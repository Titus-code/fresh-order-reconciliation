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xwork\resume\fresh-order-reconciliation\excel\"/>
    </mc:Choice>
  </mc:AlternateContent>
  <xr:revisionPtr revIDLastSave="0" documentId="13_ncr:1_{2B92F06C-3007-4727-9EE2-6C69F3908C26}" xr6:coauthVersionLast="47" xr6:coauthVersionMax="47" xr10:uidLastSave="{00000000-0000-0000-0000-000000000000}"/>
  <bookViews>
    <workbookView xWindow="4680" yWindow="4680" windowWidth="38700" windowHeight="15345" xr2:uid="{00000000-000D-0000-FFFF-FFFF00000000}"/>
  </bookViews>
  <sheets>
    <sheet name="native_pivots" sheetId="12" r:id="rId1"/>
    <sheet name="checklist" sheetId="1" r:id="rId2"/>
    <sheet name="calc_customers" sheetId="2" r:id="rId3"/>
    <sheet name="calc_orders" sheetId="3" r:id="rId4"/>
    <sheet name="calc_lines" sheetId="4" r:id="rId5"/>
    <sheet name="pivot_report" sheetId="5" r:id="rId6"/>
    <sheet name="exceptions" sheetId="6" r:id="rId7"/>
    <sheet name="raw_order_lines" sheetId="7" r:id="rId8"/>
    <sheet name="dim_products" sheetId="8" r:id="rId9"/>
    <sheet name="dim_customers" sheetId="9" r:id="rId10"/>
    <sheet name="fact_payments" sheetId="10" r:id="rId11"/>
    <sheet name="fact_receipts" sheetId="11" r:id="rId12"/>
  </sheets>
  <calcPr calcId="191029"/>
  <pivotCaches>
    <pivotCache cacheId="3" r:id="rId13"/>
    <pivotCache cacheId="8" r:id="rId14"/>
    <pivotCache cacheId="1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2" i="5" l="1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S967" i="4"/>
  <c r="Q967" i="4"/>
  <c r="P967" i="4"/>
  <c r="N967" i="4"/>
  <c r="L967" i="4"/>
  <c r="K967" i="4"/>
  <c r="J967" i="4"/>
  <c r="I967" i="4"/>
  <c r="H967" i="4"/>
  <c r="G967" i="4"/>
  <c r="F967" i="4"/>
  <c r="E967" i="4"/>
  <c r="U967" i="4" s="1"/>
  <c r="D967" i="4"/>
  <c r="C967" i="4"/>
  <c r="O967" i="4" s="1"/>
  <c r="B967" i="4"/>
  <c r="A967" i="4"/>
  <c r="S966" i="4"/>
  <c r="Q966" i="4"/>
  <c r="P966" i="4"/>
  <c r="L966" i="4"/>
  <c r="K966" i="4"/>
  <c r="J966" i="4"/>
  <c r="I966" i="4"/>
  <c r="H966" i="4"/>
  <c r="G966" i="4"/>
  <c r="F966" i="4"/>
  <c r="E966" i="4"/>
  <c r="N966" i="4" s="1"/>
  <c r="D966" i="4"/>
  <c r="C966" i="4"/>
  <c r="O966" i="4" s="1"/>
  <c r="B966" i="4"/>
  <c r="A966" i="4"/>
  <c r="S965" i="4"/>
  <c r="Q965" i="4"/>
  <c r="P965" i="4"/>
  <c r="N965" i="4"/>
  <c r="L965" i="4"/>
  <c r="K965" i="4"/>
  <c r="J965" i="4"/>
  <c r="I965" i="4"/>
  <c r="H965" i="4"/>
  <c r="G965" i="4"/>
  <c r="F965" i="4"/>
  <c r="E965" i="4"/>
  <c r="U965" i="4" s="1"/>
  <c r="D965" i="4"/>
  <c r="C965" i="4"/>
  <c r="O965" i="4" s="1"/>
  <c r="B965" i="4"/>
  <c r="A965" i="4"/>
  <c r="S964" i="4"/>
  <c r="Q964" i="4"/>
  <c r="P964" i="4"/>
  <c r="R964" i="4" s="1"/>
  <c r="L964" i="4"/>
  <c r="K964" i="4"/>
  <c r="J964" i="4"/>
  <c r="I964" i="4"/>
  <c r="H964" i="4"/>
  <c r="G964" i="4"/>
  <c r="F964" i="4"/>
  <c r="E964" i="4"/>
  <c r="N964" i="4" s="1"/>
  <c r="D964" i="4"/>
  <c r="C964" i="4"/>
  <c r="O964" i="4" s="1"/>
  <c r="B964" i="4"/>
  <c r="A964" i="4"/>
  <c r="S963" i="4"/>
  <c r="Q963" i="4"/>
  <c r="P963" i="4"/>
  <c r="N963" i="4"/>
  <c r="L963" i="4"/>
  <c r="K963" i="4"/>
  <c r="J963" i="4"/>
  <c r="I963" i="4"/>
  <c r="H963" i="4"/>
  <c r="G963" i="4"/>
  <c r="F963" i="4"/>
  <c r="E963" i="4"/>
  <c r="U963" i="4" s="1"/>
  <c r="D963" i="4"/>
  <c r="C963" i="4"/>
  <c r="O963" i="4" s="1"/>
  <c r="B963" i="4"/>
  <c r="A963" i="4"/>
  <c r="S962" i="4"/>
  <c r="Q962" i="4"/>
  <c r="P962" i="4"/>
  <c r="R962" i="4" s="1"/>
  <c r="L962" i="4"/>
  <c r="K962" i="4"/>
  <c r="J962" i="4"/>
  <c r="I962" i="4"/>
  <c r="H962" i="4"/>
  <c r="G962" i="4"/>
  <c r="F962" i="4"/>
  <c r="E962" i="4"/>
  <c r="U962" i="4" s="1"/>
  <c r="D962" i="4"/>
  <c r="C962" i="4"/>
  <c r="O962" i="4" s="1"/>
  <c r="B962" i="4"/>
  <c r="A962" i="4"/>
  <c r="S961" i="4"/>
  <c r="Q961" i="4"/>
  <c r="P961" i="4"/>
  <c r="L961" i="4"/>
  <c r="K961" i="4"/>
  <c r="J961" i="4"/>
  <c r="I961" i="4"/>
  <c r="H961" i="4"/>
  <c r="G961" i="4"/>
  <c r="F961" i="4"/>
  <c r="E961" i="4"/>
  <c r="N961" i="4" s="1"/>
  <c r="D961" i="4"/>
  <c r="C961" i="4"/>
  <c r="O961" i="4" s="1"/>
  <c r="B961" i="4"/>
  <c r="A961" i="4"/>
  <c r="S960" i="4"/>
  <c r="Q960" i="4"/>
  <c r="P960" i="4"/>
  <c r="L960" i="4"/>
  <c r="K960" i="4"/>
  <c r="J960" i="4"/>
  <c r="I960" i="4"/>
  <c r="H960" i="4"/>
  <c r="G960" i="4"/>
  <c r="F960" i="4"/>
  <c r="E960" i="4"/>
  <c r="U960" i="4" s="1"/>
  <c r="D960" i="4"/>
  <c r="C960" i="4"/>
  <c r="O960" i="4" s="1"/>
  <c r="B960" i="4"/>
  <c r="A960" i="4"/>
  <c r="U959" i="4"/>
  <c r="S959" i="4"/>
  <c r="Q959" i="4"/>
  <c r="P959" i="4"/>
  <c r="M959" i="4"/>
  <c r="L959" i="4"/>
  <c r="K959" i="4"/>
  <c r="J959" i="4"/>
  <c r="I959" i="4"/>
  <c r="H959" i="4"/>
  <c r="G959" i="4"/>
  <c r="F959" i="4"/>
  <c r="E959" i="4"/>
  <c r="N959" i="4" s="1"/>
  <c r="D959" i="4"/>
  <c r="C959" i="4"/>
  <c r="O959" i="4" s="1"/>
  <c r="B959" i="4"/>
  <c r="A959" i="4"/>
  <c r="S958" i="4"/>
  <c r="Q958" i="4"/>
  <c r="P958" i="4"/>
  <c r="N958" i="4"/>
  <c r="L958" i="4"/>
  <c r="K958" i="4"/>
  <c r="J958" i="4"/>
  <c r="I958" i="4"/>
  <c r="H958" i="4"/>
  <c r="G958" i="4"/>
  <c r="F958" i="4"/>
  <c r="E958" i="4"/>
  <c r="U958" i="4" s="1"/>
  <c r="D958" i="4"/>
  <c r="C958" i="4"/>
  <c r="O958" i="4" s="1"/>
  <c r="B958" i="4"/>
  <c r="A958" i="4"/>
  <c r="S957" i="4"/>
  <c r="Q957" i="4"/>
  <c r="P957" i="4"/>
  <c r="R957" i="4" s="1"/>
  <c r="L957" i="4"/>
  <c r="K957" i="4"/>
  <c r="J957" i="4"/>
  <c r="I957" i="4"/>
  <c r="H957" i="4"/>
  <c r="G957" i="4"/>
  <c r="F957" i="4"/>
  <c r="E957" i="4"/>
  <c r="N957" i="4" s="1"/>
  <c r="D957" i="4"/>
  <c r="C957" i="4"/>
  <c r="O957" i="4" s="1"/>
  <c r="B957" i="4"/>
  <c r="A957" i="4"/>
  <c r="S956" i="4"/>
  <c r="Q956" i="4"/>
  <c r="P956" i="4"/>
  <c r="R956" i="4" s="1"/>
  <c r="L956" i="4"/>
  <c r="K956" i="4"/>
  <c r="J956" i="4"/>
  <c r="I956" i="4"/>
  <c r="H956" i="4"/>
  <c r="G956" i="4"/>
  <c r="F956" i="4"/>
  <c r="T956" i="4" s="1"/>
  <c r="E956" i="4"/>
  <c r="U956" i="4" s="1"/>
  <c r="D956" i="4"/>
  <c r="C956" i="4"/>
  <c r="O956" i="4" s="1"/>
  <c r="B956" i="4"/>
  <c r="A956" i="4"/>
  <c r="S955" i="4"/>
  <c r="Q955" i="4"/>
  <c r="P955" i="4"/>
  <c r="L955" i="4"/>
  <c r="K955" i="4"/>
  <c r="J955" i="4"/>
  <c r="I955" i="4"/>
  <c r="H955" i="4"/>
  <c r="G955" i="4"/>
  <c r="F955" i="4"/>
  <c r="E955" i="4"/>
  <c r="M955" i="4" s="1"/>
  <c r="D955" i="4"/>
  <c r="C955" i="4"/>
  <c r="O955" i="4" s="1"/>
  <c r="B955" i="4"/>
  <c r="A955" i="4"/>
  <c r="S954" i="4"/>
  <c r="Q954" i="4"/>
  <c r="P954" i="4"/>
  <c r="L954" i="4"/>
  <c r="K954" i="4"/>
  <c r="J954" i="4"/>
  <c r="I954" i="4"/>
  <c r="H954" i="4"/>
  <c r="G954" i="4"/>
  <c r="F954" i="4"/>
  <c r="E954" i="4"/>
  <c r="U954" i="4" s="1"/>
  <c r="D954" i="4"/>
  <c r="C954" i="4"/>
  <c r="O954" i="4" s="1"/>
  <c r="B954" i="4"/>
  <c r="A954" i="4"/>
  <c r="S953" i="4"/>
  <c r="Q953" i="4"/>
  <c r="P953" i="4"/>
  <c r="R953" i="4" s="1"/>
  <c r="M953" i="4"/>
  <c r="L953" i="4"/>
  <c r="K953" i="4"/>
  <c r="J953" i="4"/>
  <c r="I953" i="4"/>
  <c r="H953" i="4"/>
  <c r="G953" i="4"/>
  <c r="F953" i="4"/>
  <c r="T953" i="4" s="1"/>
  <c r="E953" i="4"/>
  <c r="U953" i="4" s="1"/>
  <c r="D953" i="4"/>
  <c r="C953" i="4"/>
  <c r="O953" i="4" s="1"/>
  <c r="B953" i="4"/>
  <c r="A953" i="4"/>
  <c r="S952" i="4"/>
  <c r="Q952" i="4"/>
  <c r="P952" i="4"/>
  <c r="R952" i="4" s="1"/>
  <c r="O952" i="4"/>
  <c r="L952" i="4"/>
  <c r="K952" i="4"/>
  <c r="J952" i="4"/>
  <c r="I952" i="4"/>
  <c r="H952" i="4"/>
  <c r="G952" i="4"/>
  <c r="F952" i="4"/>
  <c r="E952" i="4"/>
  <c r="U952" i="4" s="1"/>
  <c r="D952" i="4"/>
  <c r="C952" i="4"/>
  <c r="B952" i="4"/>
  <c r="A952" i="4"/>
  <c r="U951" i="4"/>
  <c r="S951" i="4"/>
  <c r="Q951" i="4"/>
  <c r="P951" i="4"/>
  <c r="L951" i="4"/>
  <c r="K951" i="4"/>
  <c r="J951" i="4"/>
  <c r="I951" i="4"/>
  <c r="H951" i="4"/>
  <c r="G951" i="4"/>
  <c r="F951" i="4"/>
  <c r="E951" i="4"/>
  <c r="D951" i="4"/>
  <c r="C951" i="4"/>
  <c r="O951" i="4" s="1"/>
  <c r="B951" i="4"/>
  <c r="A951" i="4"/>
  <c r="S950" i="4"/>
  <c r="Q950" i="4"/>
  <c r="P950" i="4"/>
  <c r="L950" i="4"/>
  <c r="K950" i="4"/>
  <c r="J950" i="4"/>
  <c r="I950" i="4"/>
  <c r="H950" i="4"/>
  <c r="G950" i="4"/>
  <c r="F950" i="4"/>
  <c r="E950" i="4"/>
  <c r="U950" i="4" s="1"/>
  <c r="D950" i="4"/>
  <c r="C950" i="4"/>
  <c r="O950" i="4" s="1"/>
  <c r="B950" i="4"/>
  <c r="A950" i="4"/>
  <c r="S949" i="4"/>
  <c r="Q949" i="4"/>
  <c r="P949" i="4"/>
  <c r="L949" i="4"/>
  <c r="K949" i="4"/>
  <c r="J949" i="4"/>
  <c r="I949" i="4"/>
  <c r="H949" i="4"/>
  <c r="G949" i="4"/>
  <c r="F949" i="4"/>
  <c r="T949" i="4" s="1"/>
  <c r="E949" i="4"/>
  <c r="U949" i="4" s="1"/>
  <c r="D949" i="4"/>
  <c r="C949" i="4"/>
  <c r="O949" i="4" s="1"/>
  <c r="B949" i="4"/>
  <c r="A949" i="4"/>
  <c r="S948" i="4"/>
  <c r="Q948" i="4"/>
  <c r="P948" i="4"/>
  <c r="R948" i="4" s="1"/>
  <c r="L948" i="4"/>
  <c r="K948" i="4"/>
  <c r="J948" i="4"/>
  <c r="I948" i="4"/>
  <c r="H948" i="4"/>
  <c r="G948" i="4"/>
  <c r="F948" i="4"/>
  <c r="E948" i="4"/>
  <c r="U948" i="4" s="1"/>
  <c r="D948" i="4"/>
  <c r="C948" i="4"/>
  <c r="O948" i="4" s="1"/>
  <c r="B948" i="4"/>
  <c r="A948" i="4"/>
  <c r="S947" i="4"/>
  <c r="Q947" i="4"/>
  <c r="P947" i="4"/>
  <c r="O947" i="4"/>
  <c r="L947" i="4"/>
  <c r="K947" i="4"/>
  <c r="J947" i="4"/>
  <c r="I947" i="4"/>
  <c r="H947" i="4"/>
  <c r="G947" i="4"/>
  <c r="F947" i="4"/>
  <c r="E947" i="4"/>
  <c r="U947" i="4" s="1"/>
  <c r="D947" i="4"/>
  <c r="C947" i="4"/>
  <c r="B947" i="4"/>
  <c r="A947" i="4"/>
  <c r="S946" i="4"/>
  <c r="Q946" i="4"/>
  <c r="P946" i="4"/>
  <c r="L946" i="4"/>
  <c r="K946" i="4"/>
  <c r="J946" i="4"/>
  <c r="I946" i="4"/>
  <c r="H946" i="4"/>
  <c r="G946" i="4"/>
  <c r="F946" i="4"/>
  <c r="E946" i="4"/>
  <c r="D946" i="4"/>
  <c r="C946" i="4"/>
  <c r="O946" i="4" s="1"/>
  <c r="B946" i="4"/>
  <c r="A946" i="4"/>
  <c r="S945" i="4"/>
  <c r="Q945" i="4"/>
  <c r="P945" i="4"/>
  <c r="O945" i="4"/>
  <c r="L945" i="4"/>
  <c r="K945" i="4"/>
  <c r="J945" i="4"/>
  <c r="I945" i="4"/>
  <c r="H945" i="4"/>
  <c r="G945" i="4"/>
  <c r="F945" i="4"/>
  <c r="E945" i="4"/>
  <c r="M945" i="4" s="1"/>
  <c r="D945" i="4"/>
  <c r="C945" i="4"/>
  <c r="B945" i="4"/>
  <c r="A945" i="4"/>
  <c r="S944" i="4"/>
  <c r="Q944" i="4"/>
  <c r="P944" i="4"/>
  <c r="L944" i="4"/>
  <c r="K944" i="4"/>
  <c r="J944" i="4"/>
  <c r="I944" i="4"/>
  <c r="H944" i="4"/>
  <c r="G944" i="4"/>
  <c r="F944" i="4"/>
  <c r="E944" i="4"/>
  <c r="U944" i="4" s="1"/>
  <c r="D944" i="4"/>
  <c r="C944" i="4"/>
  <c r="O944" i="4" s="1"/>
  <c r="B944" i="4"/>
  <c r="A944" i="4"/>
  <c r="S943" i="4"/>
  <c r="Q943" i="4"/>
  <c r="P943" i="4"/>
  <c r="R943" i="4" s="1"/>
  <c r="L943" i="4"/>
  <c r="K943" i="4"/>
  <c r="J943" i="4"/>
  <c r="I943" i="4"/>
  <c r="H943" i="4"/>
  <c r="G943" i="4"/>
  <c r="F943" i="4"/>
  <c r="E943" i="4"/>
  <c r="N943" i="4" s="1"/>
  <c r="D943" i="4"/>
  <c r="C943" i="4"/>
  <c r="O943" i="4" s="1"/>
  <c r="B943" i="4"/>
  <c r="A943" i="4"/>
  <c r="S942" i="4"/>
  <c r="Q942" i="4"/>
  <c r="P942" i="4"/>
  <c r="L942" i="4"/>
  <c r="K942" i="4"/>
  <c r="J942" i="4"/>
  <c r="I942" i="4"/>
  <c r="H942" i="4"/>
  <c r="G942" i="4"/>
  <c r="F942" i="4"/>
  <c r="T942" i="4" s="1"/>
  <c r="E942" i="4"/>
  <c r="U942" i="4" s="1"/>
  <c r="D942" i="4"/>
  <c r="C942" i="4"/>
  <c r="O942" i="4" s="1"/>
  <c r="B942" i="4"/>
  <c r="A942" i="4"/>
  <c r="S941" i="4"/>
  <c r="Q941" i="4"/>
  <c r="P941" i="4"/>
  <c r="L941" i="4"/>
  <c r="K941" i="4"/>
  <c r="J941" i="4"/>
  <c r="I941" i="4"/>
  <c r="H941" i="4"/>
  <c r="G941" i="4"/>
  <c r="F941" i="4"/>
  <c r="T941" i="4" s="1"/>
  <c r="E941" i="4"/>
  <c r="N941" i="4" s="1"/>
  <c r="D941" i="4"/>
  <c r="C941" i="4"/>
  <c r="O941" i="4" s="1"/>
  <c r="B941" i="4"/>
  <c r="A941" i="4"/>
  <c r="S940" i="4"/>
  <c r="Q940" i="4"/>
  <c r="P940" i="4"/>
  <c r="L940" i="4"/>
  <c r="K940" i="4"/>
  <c r="J940" i="4"/>
  <c r="I940" i="4"/>
  <c r="H940" i="4"/>
  <c r="G940" i="4"/>
  <c r="F940" i="4"/>
  <c r="E940" i="4"/>
  <c r="U940" i="4" s="1"/>
  <c r="D940" i="4"/>
  <c r="C940" i="4"/>
  <c r="O940" i="4" s="1"/>
  <c r="B940" i="4"/>
  <c r="A940" i="4"/>
  <c r="S939" i="4"/>
  <c r="Q939" i="4"/>
  <c r="P939" i="4"/>
  <c r="R939" i="4" s="1"/>
  <c r="L939" i="4"/>
  <c r="K939" i="4"/>
  <c r="J939" i="4"/>
  <c r="I939" i="4"/>
  <c r="H939" i="4"/>
  <c r="G939" i="4"/>
  <c r="F939" i="4"/>
  <c r="T939" i="4" s="1"/>
  <c r="E939" i="4"/>
  <c r="M939" i="4" s="1"/>
  <c r="D939" i="4"/>
  <c r="C939" i="4"/>
  <c r="O939" i="4" s="1"/>
  <c r="B939" i="4"/>
  <c r="A939" i="4"/>
  <c r="S938" i="4"/>
  <c r="Q938" i="4"/>
  <c r="P938" i="4"/>
  <c r="R938" i="4" s="1"/>
  <c r="O938" i="4"/>
  <c r="N938" i="4"/>
  <c r="L938" i="4"/>
  <c r="K938" i="4"/>
  <c r="J938" i="4"/>
  <c r="I938" i="4"/>
  <c r="H938" i="4"/>
  <c r="G938" i="4"/>
  <c r="F938" i="4"/>
  <c r="T938" i="4" s="1"/>
  <c r="E938" i="4"/>
  <c r="U938" i="4" s="1"/>
  <c r="D938" i="4"/>
  <c r="C938" i="4"/>
  <c r="B938" i="4"/>
  <c r="A938" i="4"/>
  <c r="S937" i="4"/>
  <c r="R937" i="4"/>
  <c r="Q937" i="4"/>
  <c r="P937" i="4"/>
  <c r="L937" i="4"/>
  <c r="K937" i="4"/>
  <c r="J937" i="4"/>
  <c r="I937" i="4"/>
  <c r="H937" i="4"/>
  <c r="G937" i="4"/>
  <c r="F937" i="4"/>
  <c r="T937" i="4" s="1"/>
  <c r="E937" i="4"/>
  <c r="U937" i="4" s="1"/>
  <c r="D937" i="4"/>
  <c r="C937" i="4"/>
  <c r="O937" i="4" s="1"/>
  <c r="B937" i="4"/>
  <c r="A937" i="4"/>
  <c r="S936" i="4"/>
  <c r="Q936" i="4"/>
  <c r="P936" i="4"/>
  <c r="L936" i="4"/>
  <c r="K936" i="4"/>
  <c r="J936" i="4"/>
  <c r="I936" i="4"/>
  <c r="H936" i="4"/>
  <c r="G936" i="4"/>
  <c r="F936" i="4"/>
  <c r="E936" i="4"/>
  <c r="U936" i="4" s="1"/>
  <c r="D936" i="4"/>
  <c r="C936" i="4"/>
  <c r="O936" i="4" s="1"/>
  <c r="B936" i="4"/>
  <c r="A936" i="4"/>
  <c r="S935" i="4"/>
  <c r="Q935" i="4"/>
  <c r="P935" i="4"/>
  <c r="L935" i="4"/>
  <c r="K935" i="4"/>
  <c r="J935" i="4"/>
  <c r="I935" i="4"/>
  <c r="H935" i="4"/>
  <c r="G935" i="4"/>
  <c r="F935" i="4"/>
  <c r="T935" i="4" s="1"/>
  <c r="E935" i="4"/>
  <c r="N935" i="4" s="1"/>
  <c r="D935" i="4"/>
  <c r="C935" i="4"/>
  <c r="O935" i="4" s="1"/>
  <c r="B935" i="4"/>
  <c r="A935" i="4"/>
  <c r="S934" i="4"/>
  <c r="Q934" i="4"/>
  <c r="R934" i="4" s="1"/>
  <c r="P934" i="4"/>
  <c r="L934" i="4"/>
  <c r="K934" i="4"/>
  <c r="J934" i="4"/>
  <c r="I934" i="4"/>
  <c r="H934" i="4"/>
  <c r="G934" i="4"/>
  <c r="F934" i="4"/>
  <c r="E934" i="4"/>
  <c r="U934" i="4" s="1"/>
  <c r="D934" i="4"/>
  <c r="C934" i="4"/>
  <c r="O934" i="4" s="1"/>
  <c r="B934" i="4"/>
  <c r="A934" i="4"/>
  <c r="T933" i="4"/>
  <c r="S933" i="4"/>
  <c r="Q933" i="4"/>
  <c r="P933" i="4"/>
  <c r="L933" i="4"/>
  <c r="K933" i="4"/>
  <c r="J933" i="4"/>
  <c r="I933" i="4"/>
  <c r="H933" i="4"/>
  <c r="G933" i="4"/>
  <c r="F933" i="4"/>
  <c r="E933" i="4"/>
  <c r="U933" i="4" s="1"/>
  <c r="D933" i="4"/>
  <c r="C933" i="4"/>
  <c r="O933" i="4" s="1"/>
  <c r="B933" i="4"/>
  <c r="A933" i="4"/>
  <c r="S932" i="4"/>
  <c r="Q932" i="4"/>
  <c r="P932" i="4"/>
  <c r="L932" i="4"/>
  <c r="K932" i="4"/>
  <c r="J932" i="4"/>
  <c r="I932" i="4"/>
  <c r="H932" i="4"/>
  <c r="G932" i="4"/>
  <c r="F932" i="4"/>
  <c r="E932" i="4"/>
  <c r="D932" i="4"/>
  <c r="C932" i="4"/>
  <c r="O932" i="4" s="1"/>
  <c r="B932" i="4"/>
  <c r="A932" i="4"/>
  <c r="S931" i="4"/>
  <c r="Q931" i="4"/>
  <c r="P931" i="4"/>
  <c r="L931" i="4"/>
  <c r="K931" i="4"/>
  <c r="J931" i="4"/>
  <c r="I931" i="4"/>
  <c r="H931" i="4"/>
  <c r="G931" i="4"/>
  <c r="F931" i="4"/>
  <c r="T931" i="4" s="1"/>
  <c r="E931" i="4"/>
  <c r="U931" i="4" s="1"/>
  <c r="D931" i="4"/>
  <c r="C931" i="4"/>
  <c r="O931" i="4" s="1"/>
  <c r="B931" i="4"/>
  <c r="A931" i="4"/>
  <c r="S930" i="4"/>
  <c r="Q930" i="4"/>
  <c r="P930" i="4"/>
  <c r="L930" i="4"/>
  <c r="K930" i="4"/>
  <c r="J930" i="4"/>
  <c r="I930" i="4"/>
  <c r="H930" i="4"/>
  <c r="G930" i="4"/>
  <c r="F930" i="4"/>
  <c r="E930" i="4"/>
  <c r="U930" i="4" s="1"/>
  <c r="D930" i="4"/>
  <c r="C930" i="4"/>
  <c r="O930" i="4" s="1"/>
  <c r="B930" i="4"/>
  <c r="A930" i="4"/>
  <c r="S929" i="4"/>
  <c r="Q929" i="4"/>
  <c r="P929" i="4"/>
  <c r="R929" i="4" s="1"/>
  <c r="L929" i="4"/>
  <c r="K929" i="4"/>
  <c r="J929" i="4"/>
  <c r="I929" i="4"/>
  <c r="H929" i="4"/>
  <c r="G929" i="4"/>
  <c r="F929" i="4"/>
  <c r="E929" i="4"/>
  <c r="U929" i="4" s="1"/>
  <c r="D929" i="4"/>
  <c r="C929" i="4"/>
  <c r="O929" i="4" s="1"/>
  <c r="B929" i="4"/>
  <c r="A929" i="4"/>
  <c r="S928" i="4"/>
  <c r="Q928" i="4"/>
  <c r="P928" i="4"/>
  <c r="O928" i="4"/>
  <c r="L928" i="4"/>
  <c r="K928" i="4"/>
  <c r="J928" i="4"/>
  <c r="I928" i="4"/>
  <c r="H928" i="4"/>
  <c r="G928" i="4"/>
  <c r="F928" i="4"/>
  <c r="T928" i="4" s="1"/>
  <c r="E928" i="4"/>
  <c r="M928" i="4" s="1"/>
  <c r="D928" i="4"/>
  <c r="C928" i="4"/>
  <c r="B928" i="4"/>
  <c r="A928" i="4"/>
  <c r="S927" i="4"/>
  <c r="Q927" i="4"/>
  <c r="P927" i="4"/>
  <c r="R927" i="4" s="1"/>
  <c r="L927" i="4"/>
  <c r="K927" i="4"/>
  <c r="J927" i="4"/>
  <c r="I927" i="4"/>
  <c r="H927" i="4"/>
  <c r="G927" i="4"/>
  <c r="F927" i="4"/>
  <c r="E927" i="4"/>
  <c r="N927" i="4" s="1"/>
  <c r="D927" i="4"/>
  <c r="C927" i="4"/>
  <c r="O927" i="4" s="1"/>
  <c r="B927" i="4"/>
  <c r="A927" i="4"/>
  <c r="S926" i="4"/>
  <c r="Q926" i="4"/>
  <c r="P926" i="4"/>
  <c r="L926" i="4"/>
  <c r="K926" i="4"/>
  <c r="J926" i="4"/>
  <c r="I926" i="4"/>
  <c r="H926" i="4"/>
  <c r="G926" i="4"/>
  <c r="F926" i="4"/>
  <c r="E926" i="4"/>
  <c r="U926" i="4" s="1"/>
  <c r="D926" i="4"/>
  <c r="C926" i="4"/>
  <c r="O926" i="4" s="1"/>
  <c r="B926" i="4"/>
  <c r="A926" i="4"/>
  <c r="S925" i="4"/>
  <c r="Q925" i="4"/>
  <c r="R925" i="4" s="1"/>
  <c r="P925" i="4"/>
  <c r="L925" i="4"/>
  <c r="K925" i="4"/>
  <c r="J925" i="4"/>
  <c r="I925" i="4"/>
  <c r="H925" i="4"/>
  <c r="G925" i="4"/>
  <c r="F925" i="4"/>
  <c r="E925" i="4"/>
  <c r="N925" i="4" s="1"/>
  <c r="D925" i="4"/>
  <c r="C925" i="4"/>
  <c r="O925" i="4" s="1"/>
  <c r="B925" i="4"/>
  <c r="A925" i="4"/>
  <c r="S924" i="4"/>
  <c r="Q924" i="4"/>
  <c r="P924" i="4"/>
  <c r="L924" i="4"/>
  <c r="K924" i="4"/>
  <c r="J924" i="4"/>
  <c r="I924" i="4"/>
  <c r="H924" i="4"/>
  <c r="G924" i="4"/>
  <c r="F924" i="4"/>
  <c r="E924" i="4"/>
  <c r="U924" i="4" s="1"/>
  <c r="D924" i="4"/>
  <c r="C924" i="4"/>
  <c r="O924" i="4" s="1"/>
  <c r="B924" i="4"/>
  <c r="A924" i="4"/>
  <c r="S923" i="4"/>
  <c r="Q923" i="4"/>
  <c r="P923" i="4"/>
  <c r="R923" i="4" s="1"/>
  <c r="L923" i="4"/>
  <c r="K923" i="4"/>
  <c r="J923" i="4"/>
  <c r="I923" i="4"/>
  <c r="H923" i="4"/>
  <c r="G923" i="4"/>
  <c r="F923" i="4"/>
  <c r="T923" i="4" s="1"/>
  <c r="E923" i="4"/>
  <c r="M923" i="4" s="1"/>
  <c r="D923" i="4"/>
  <c r="C923" i="4"/>
  <c r="O923" i="4" s="1"/>
  <c r="B923" i="4"/>
  <c r="A923" i="4"/>
  <c r="S922" i="4"/>
  <c r="Q922" i="4"/>
  <c r="P922" i="4"/>
  <c r="N922" i="4"/>
  <c r="M922" i="4"/>
  <c r="L922" i="4"/>
  <c r="K922" i="4"/>
  <c r="J922" i="4"/>
  <c r="I922" i="4"/>
  <c r="H922" i="4"/>
  <c r="G922" i="4"/>
  <c r="F922" i="4"/>
  <c r="T922" i="4" s="1"/>
  <c r="E922" i="4"/>
  <c r="U922" i="4" s="1"/>
  <c r="D922" i="4"/>
  <c r="C922" i="4"/>
  <c r="O922" i="4" s="1"/>
  <c r="B922" i="4"/>
  <c r="A922" i="4"/>
  <c r="S921" i="4"/>
  <c r="Q921" i="4"/>
  <c r="P921" i="4"/>
  <c r="O921" i="4"/>
  <c r="N921" i="4"/>
  <c r="L921" i="4"/>
  <c r="K921" i="4"/>
  <c r="J921" i="4"/>
  <c r="I921" i="4"/>
  <c r="H921" i="4"/>
  <c r="G921" i="4"/>
  <c r="F921" i="4"/>
  <c r="E921" i="4"/>
  <c r="U921" i="4" s="1"/>
  <c r="D921" i="4"/>
  <c r="C921" i="4"/>
  <c r="B921" i="4"/>
  <c r="A921" i="4"/>
  <c r="S920" i="4"/>
  <c r="Q920" i="4"/>
  <c r="P920" i="4"/>
  <c r="R920" i="4" s="1"/>
  <c r="O920" i="4"/>
  <c r="L920" i="4"/>
  <c r="K920" i="4"/>
  <c r="J920" i="4"/>
  <c r="I920" i="4"/>
  <c r="H920" i="4"/>
  <c r="G920" i="4"/>
  <c r="F920" i="4"/>
  <c r="E920" i="4"/>
  <c r="U920" i="4" s="1"/>
  <c r="D920" i="4"/>
  <c r="C920" i="4"/>
  <c r="B920" i="4"/>
  <c r="A920" i="4"/>
  <c r="S919" i="4"/>
  <c r="Q919" i="4"/>
  <c r="P919" i="4"/>
  <c r="L919" i="4"/>
  <c r="K919" i="4"/>
  <c r="J919" i="4"/>
  <c r="I919" i="4"/>
  <c r="H919" i="4"/>
  <c r="G919" i="4"/>
  <c r="F919" i="4"/>
  <c r="T919" i="4" s="1"/>
  <c r="E919" i="4"/>
  <c r="N919" i="4" s="1"/>
  <c r="D919" i="4"/>
  <c r="C919" i="4"/>
  <c r="O919" i="4" s="1"/>
  <c r="B919" i="4"/>
  <c r="A919" i="4"/>
  <c r="S918" i="4"/>
  <c r="R918" i="4"/>
  <c r="Q918" i="4"/>
  <c r="P918" i="4"/>
  <c r="L918" i="4"/>
  <c r="K918" i="4"/>
  <c r="J918" i="4"/>
  <c r="I918" i="4"/>
  <c r="H918" i="4"/>
  <c r="G918" i="4"/>
  <c r="F918" i="4"/>
  <c r="T918" i="4" s="1"/>
  <c r="E918" i="4"/>
  <c r="U918" i="4" s="1"/>
  <c r="D918" i="4"/>
  <c r="C918" i="4"/>
  <c r="O918" i="4" s="1"/>
  <c r="B918" i="4"/>
  <c r="A918" i="4"/>
  <c r="S917" i="4"/>
  <c r="Q917" i="4"/>
  <c r="P917" i="4"/>
  <c r="L917" i="4"/>
  <c r="K917" i="4"/>
  <c r="J917" i="4"/>
  <c r="I917" i="4"/>
  <c r="H917" i="4"/>
  <c r="G917" i="4"/>
  <c r="F917" i="4"/>
  <c r="E917" i="4"/>
  <c r="U917" i="4" s="1"/>
  <c r="D917" i="4"/>
  <c r="C917" i="4"/>
  <c r="O917" i="4" s="1"/>
  <c r="B917" i="4"/>
  <c r="A917" i="4"/>
  <c r="S916" i="4"/>
  <c r="Q916" i="4"/>
  <c r="P916" i="4"/>
  <c r="L916" i="4"/>
  <c r="K916" i="4"/>
  <c r="J916" i="4"/>
  <c r="I916" i="4"/>
  <c r="H916" i="4"/>
  <c r="G916" i="4"/>
  <c r="F916" i="4"/>
  <c r="E916" i="4"/>
  <c r="D916" i="4"/>
  <c r="C916" i="4"/>
  <c r="O916" i="4" s="1"/>
  <c r="B916" i="4"/>
  <c r="A916" i="4"/>
  <c r="S915" i="4"/>
  <c r="Q915" i="4"/>
  <c r="P915" i="4"/>
  <c r="O915" i="4"/>
  <c r="L915" i="4"/>
  <c r="K915" i="4"/>
  <c r="J915" i="4"/>
  <c r="I915" i="4"/>
  <c r="H915" i="4"/>
  <c r="G915" i="4"/>
  <c r="F915" i="4"/>
  <c r="E915" i="4"/>
  <c r="U915" i="4" s="1"/>
  <c r="D915" i="4"/>
  <c r="C915" i="4"/>
  <c r="B915" i="4"/>
  <c r="A915" i="4"/>
  <c r="S914" i="4"/>
  <c r="Q914" i="4"/>
  <c r="P914" i="4"/>
  <c r="R914" i="4" s="1"/>
  <c r="L914" i="4"/>
  <c r="K914" i="4"/>
  <c r="J914" i="4"/>
  <c r="I914" i="4"/>
  <c r="H914" i="4"/>
  <c r="G914" i="4"/>
  <c r="F914" i="4"/>
  <c r="E914" i="4"/>
  <c r="U914" i="4" s="1"/>
  <c r="D914" i="4"/>
  <c r="C914" i="4"/>
  <c r="O914" i="4" s="1"/>
  <c r="B914" i="4"/>
  <c r="A914" i="4"/>
  <c r="S913" i="4"/>
  <c r="Q913" i="4"/>
  <c r="P913" i="4"/>
  <c r="N913" i="4"/>
  <c r="M913" i="4"/>
  <c r="L913" i="4"/>
  <c r="K913" i="4"/>
  <c r="J913" i="4"/>
  <c r="I913" i="4"/>
  <c r="H913" i="4"/>
  <c r="G913" i="4"/>
  <c r="F913" i="4"/>
  <c r="T913" i="4" s="1"/>
  <c r="E913" i="4"/>
  <c r="U913" i="4" s="1"/>
  <c r="D913" i="4"/>
  <c r="C913" i="4"/>
  <c r="O913" i="4" s="1"/>
  <c r="B913" i="4"/>
  <c r="A913" i="4"/>
  <c r="S912" i="4"/>
  <c r="Q912" i="4"/>
  <c r="P912" i="4"/>
  <c r="L912" i="4"/>
  <c r="K912" i="4"/>
  <c r="J912" i="4"/>
  <c r="I912" i="4"/>
  <c r="H912" i="4"/>
  <c r="G912" i="4"/>
  <c r="F912" i="4"/>
  <c r="E912" i="4"/>
  <c r="M912" i="4" s="1"/>
  <c r="D912" i="4"/>
  <c r="C912" i="4"/>
  <c r="O912" i="4" s="1"/>
  <c r="B912" i="4"/>
  <c r="A912" i="4"/>
  <c r="S911" i="4"/>
  <c r="Q911" i="4"/>
  <c r="P911" i="4"/>
  <c r="L911" i="4"/>
  <c r="K911" i="4"/>
  <c r="J911" i="4"/>
  <c r="I911" i="4"/>
  <c r="H911" i="4"/>
  <c r="G911" i="4"/>
  <c r="F911" i="4"/>
  <c r="T911" i="4" s="1"/>
  <c r="E911" i="4"/>
  <c r="U911" i="4" s="1"/>
  <c r="D911" i="4"/>
  <c r="C911" i="4"/>
  <c r="O911" i="4" s="1"/>
  <c r="B911" i="4"/>
  <c r="A911" i="4"/>
  <c r="S910" i="4"/>
  <c r="Q910" i="4"/>
  <c r="P910" i="4"/>
  <c r="L910" i="4"/>
  <c r="K910" i="4"/>
  <c r="J910" i="4"/>
  <c r="I910" i="4"/>
  <c r="H910" i="4"/>
  <c r="G910" i="4"/>
  <c r="F910" i="4"/>
  <c r="E910" i="4"/>
  <c r="N910" i="4" s="1"/>
  <c r="D910" i="4"/>
  <c r="C910" i="4"/>
  <c r="O910" i="4" s="1"/>
  <c r="B910" i="4"/>
  <c r="A910" i="4"/>
  <c r="S909" i="4"/>
  <c r="Q909" i="4"/>
  <c r="P909" i="4"/>
  <c r="L909" i="4"/>
  <c r="K909" i="4"/>
  <c r="J909" i="4"/>
  <c r="I909" i="4"/>
  <c r="H909" i="4"/>
  <c r="G909" i="4"/>
  <c r="F909" i="4"/>
  <c r="E909" i="4"/>
  <c r="U909" i="4" s="1"/>
  <c r="D909" i="4"/>
  <c r="C909" i="4"/>
  <c r="O909" i="4" s="1"/>
  <c r="B909" i="4"/>
  <c r="A909" i="4"/>
  <c r="S908" i="4"/>
  <c r="Q908" i="4"/>
  <c r="P908" i="4"/>
  <c r="L908" i="4"/>
  <c r="K908" i="4"/>
  <c r="J908" i="4"/>
  <c r="I908" i="4"/>
  <c r="H908" i="4"/>
  <c r="G908" i="4"/>
  <c r="F908" i="4"/>
  <c r="T908" i="4" s="1"/>
  <c r="E908" i="4"/>
  <c r="U908" i="4" s="1"/>
  <c r="D908" i="4"/>
  <c r="C908" i="4"/>
  <c r="O908" i="4" s="1"/>
  <c r="B908" i="4"/>
  <c r="A908" i="4"/>
  <c r="S907" i="4"/>
  <c r="Q907" i="4"/>
  <c r="P907" i="4"/>
  <c r="R907" i="4" s="1"/>
  <c r="L907" i="4"/>
  <c r="K907" i="4"/>
  <c r="J907" i="4"/>
  <c r="I907" i="4"/>
  <c r="H907" i="4"/>
  <c r="G907" i="4"/>
  <c r="F907" i="4"/>
  <c r="T907" i="4" s="1"/>
  <c r="E907" i="4"/>
  <c r="M907" i="4" s="1"/>
  <c r="D907" i="4"/>
  <c r="C907" i="4"/>
  <c r="O907" i="4" s="1"/>
  <c r="B907" i="4"/>
  <c r="A907" i="4"/>
  <c r="S906" i="4"/>
  <c r="Q906" i="4"/>
  <c r="P906" i="4"/>
  <c r="L906" i="4"/>
  <c r="K906" i="4"/>
  <c r="J906" i="4"/>
  <c r="I906" i="4"/>
  <c r="H906" i="4"/>
  <c r="G906" i="4"/>
  <c r="F906" i="4"/>
  <c r="T906" i="4" s="1"/>
  <c r="E906" i="4"/>
  <c r="U906" i="4" s="1"/>
  <c r="D906" i="4"/>
  <c r="C906" i="4"/>
  <c r="O906" i="4" s="1"/>
  <c r="B906" i="4"/>
  <c r="A906" i="4"/>
  <c r="S905" i="4"/>
  <c r="Q905" i="4"/>
  <c r="P905" i="4"/>
  <c r="L905" i="4"/>
  <c r="K905" i="4"/>
  <c r="J905" i="4"/>
  <c r="I905" i="4"/>
  <c r="H905" i="4"/>
  <c r="G905" i="4"/>
  <c r="F905" i="4"/>
  <c r="E905" i="4"/>
  <c r="N905" i="4" s="1"/>
  <c r="D905" i="4"/>
  <c r="C905" i="4"/>
  <c r="O905" i="4" s="1"/>
  <c r="B905" i="4"/>
  <c r="A905" i="4"/>
  <c r="S904" i="4"/>
  <c r="Q904" i="4"/>
  <c r="P904" i="4"/>
  <c r="L904" i="4"/>
  <c r="K904" i="4"/>
  <c r="J904" i="4"/>
  <c r="I904" i="4"/>
  <c r="H904" i="4"/>
  <c r="G904" i="4"/>
  <c r="F904" i="4"/>
  <c r="E904" i="4"/>
  <c r="M904" i="4" s="1"/>
  <c r="D904" i="4"/>
  <c r="C904" i="4"/>
  <c r="O904" i="4" s="1"/>
  <c r="B904" i="4"/>
  <c r="A904" i="4"/>
  <c r="S903" i="4"/>
  <c r="Q903" i="4"/>
  <c r="P903" i="4"/>
  <c r="N903" i="4"/>
  <c r="M903" i="4"/>
  <c r="L903" i="4"/>
  <c r="K903" i="4"/>
  <c r="J903" i="4"/>
  <c r="I903" i="4"/>
  <c r="H903" i="4"/>
  <c r="G903" i="4"/>
  <c r="F903" i="4"/>
  <c r="T903" i="4" s="1"/>
  <c r="E903" i="4"/>
  <c r="U903" i="4" s="1"/>
  <c r="D903" i="4"/>
  <c r="C903" i="4"/>
  <c r="O903" i="4" s="1"/>
  <c r="B903" i="4"/>
  <c r="A903" i="4"/>
  <c r="S902" i="4"/>
  <c r="Q902" i="4"/>
  <c r="P902" i="4"/>
  <c r="R902" i="4" s="1"/>
  <c r="L902" i="4"/>
  <c r="K902" i="4"/>
  <c r="J902" i="4"/>
  <c r="I902" i="4"/>
  <c r="H902" i="4"/>
  <c r="G902" i="4"/>
  <c r="F902" i="4"/>
  <c r="E902" i="4"/>
  <c r="N902" i="4" s="1"/>
  <c r="D902" i="4"/>
  <c r="C902" i="4"/>
  <c r="O902" i="4" s="1"/>
  <c r="B902" i="4"/>
  <c r="A902" i="4"/>
  <c r="S901" i="4"/>
  <c r="Q901" i="4"/>
  <c r="P901" i="4"/>
  <c r="L901" i="4"/>
  <c r="K901" i="4"/>
  <c r="J901" i="4"/>
  <c r="I901" i="4"/>
  <c r="H901" i="4"/>
  <c r="G901" i="4"/>
  <c r="F901" i="4"/>
  <c r="T901" i="4" s="1"/>
  <c r="E901" i="4"/>
  <c r="U901" i="4" s="1"/>
  <c r="D901" i="4"/>
  <c r="C901" i="4"/>
  <c r="O901" i="4" s="1"/>
  <c r="B901" i="4"/>
  <c r="A901" i="4"/>
  <c r="S900" i="4"/>
  <c r="Q900" i="4"/>
  <c r="P900" i="4"/>
  <c r="L900" i="4"/>
  <c r="K900" i="4"/>
  <c r="J900" i="4"/>
  <c r="I900" i="4"/>
  <c r="H900" i="4"/>
  <c r="G900" i="4"/>
  <c r="F900" i="4"/>
  <c r="E900" i="4"/>
  <c r="D900" i="4"/>
  <c r="C900" i="4"/>
  <c r="O900" i="4" s="1"/>
  <c r="B900" i="4"/>
  <c r="A900" i="4"/>
  <c r="S899" i="4"/>
  <c r="Q899" i="4"/>
  <c r="P899" i="4"/>
  <c r="R899" i="4" s="1"/>
  <c r="O899" i="4"/>
  <c r="L899" i="4"/>
  <c r="K899" i="4"/>
  <c r="J899" i="4"/>
  <c r="I899" i="4"/>
  <c r="H899" i="4"/>
  <c r="G899" i="4"/>
  <c r="F899" i="4"/>
  <c r="T899" i="4" s="1"/>
  <c r="E899" i="4"/>
  <c r="U899" i="4" s="1"/>
  <c r="D899" i="4"/>
  <c r="C899" i="4"/>
  <c r="B899" i="4"/>
  <c r="A899" i="4"/>
  <c r="S898" i="4"/>
  <c r="Q898" i="4"/>
  <c r="P898" i="4"/>
  <c r="L898" i="4"/>
  <c r="K898" i="4"/>
  <c r="J898" i="4"/>
  <c r="I898" i="4"/>
  <c r="H898" i="4"/>
  <c r="G898" i="4"/>
  <c r="F898" i="4"/>
  <c r="T898" i="4" s="1"/>
  <c r="E898" i="4"/>
  <c r="U898" i="4" s="1"/>
  <c r="D898" i="4"/>
  <c r="C898" i="4"/>
  <c r="O898" i="4" s="1"/>
  <c r="B898" i="4"/>
  <c r="A898" i="4"/>
  <c r="S897" i="4"/>
  <c r="Q897" i="4"/>
  <c r="P897" i="4"/>
  <c r="R897" i="4" s="1"/>
  <c r="O897" i="4"/>
  <c r="L897" i="4"/>
  <c r="K897" i="4"/>
  <c r="J897" i="4"/>
  <c r="I897" i="4"/>
  <c r="H897" i="4"/>
  <c r="G897" i="4"/>
  <c r="F897" i="4"/>
  <c r="E897" i="4"/>
  <c r="U897" i="4" s="1"/>
  <c r="D897" i="4"/>
  <c r="C897" i="4"/>
  <c r="B897" i="4"/>
  <c r="A897" i="4"/>
  <c r="S896" i="4"/>
  <c r="Q896" i="4"/>
  <c r="P896" i="4"/>
  <c r="L896" i="4"/>
  <c r="K896" i="4"/>
  <c r="J896" i="4"/>
  <c r="I896" i="4"/>
  <c r="H896" i="4"/>
  <c r="G896" i="4"/>
  <c r="F896" i="4"/>
  <c r="E896" i="4"/>
  <c r="M896" i="4" s="1"/>
  <c r="D896" i="4"/>
  <c r="C896" i="4"/>
  <c r="O896" i="4" s="1"/>
  <c r="B896" i="4"/>
  <c r="A896" i="4"/>
  <c r="S895" i="4"/>
  <c r="Q895" i="4"/>
  <c r="P895" i="4"/>
  <c r="R895" i="4" s="1"/>
  <c r="L895" i="4"/>
  <c r="K895" i="4"/>
  <c r="J895" i="4"/>
  <c r="I895" i="4"/>
  <c r="H895" i="4"/>
  <c r="G895" i="4"/>
  <c r="F895" i="4"/>
  <c r="T895" i="4" s="1"/>
  <c r="E895" i="4"/>
  <c r="U895" i="4" s="1"/>
  <c r="D895" i="4"/>
  <c r="C895" i="4"/>
  <c r="O895" i="4" s="1"/>
  <c r="B895" i="4"/>
  <c r="A895" i="4"/>
  <c r="S894" i="4"/>
  <c r="Q894" i="4"/>
  <c r="P894" i="4"/>
  <c r="L894" i="4"/>
  <c r="K894" i="4"/>
  <c r="J894" i="4"/>
  <c r="I894" i="4"/>
  <c r="H894" i="4"/>
  <c r="G894" i="4"/>
  <c r="F894" i="4"/>
  <c r="E894" i="4"/>
  <c r="N894" i="4" s="1"/>
  <c r="D894" i="4"/>
  <c r="C894" i="4"/>
  <c r="O894" i="4" s="1"/>
  <c r="B894" i="4"/>
  <c r="A894" i="4"/>
  <c r="S893" i="4"/>
  <c r="Q893" i="4"/>
  <c r="P893" i="4"/>
  <c r="R893" i="4" s="1"/>
  <c r="L893" i="4"/>
  <c r="K893" i="4"/>
  <c r="J893" i="4"/>
  <c r="I893" i="4"/>
  <c r="H893" i="4"/>
  <c r="G893" i="4"/>
  <c r="F893" i="4"/>
  <c r="E893" i="4"/>
  <c r="U893" i="4" s="1"/>
  <c r="D893" i="4"/>
  <c r="C893" i="4"/>
  <c r="O893" i="4" s="1"/>
  <c r="B893" i="4"/>
  <c r="A893" i="4"/>
  <c r="S892" i="4"/>
  <c r="Q892" i="4"/>
  <c r="P892" i="4"/>
  <c r="L892" i="4"/>
  <c r="K892" i="4"/>
  <c r="J892" i="4"/>
  <c r="I892" i="4"/>
  <c r="H892" i="4"/>
  <c r="G892" i="4"/>
  <c r="F892" i="4"/>
  <c r="E892" i="4"/>
  <c r="U892" i="4" s="1"/>
  <c r="D892" i="4"/>
  <c r="C892" i="4"/>
  <c r="O892" i="4" s="1"/>
  <c r="B892" i="4"/>
  <c r="A892" i="4"/>
  <c r="S891" i="4"/>
  <c r="Q891" i="4"/>
  <c r="P891" i="4"/>
  <c r="L891" i="4"/>
  <c r="K891" i="4"/>
  <c r="J891" i="4"/>
  <c r="I891" i="4"/>
  <c r="H891" i="4"/>
  <c r="G891" i="4"/>
  <c r="F891" i="4"/>
  <c r="T891" i="4" s="1"/>
  <c r="E891" i="4"/>
  <c r="M891" i="4" s="1"/>
  <c r="D891" i="4"/>
  <c r="C891" i="4"/>
  <c r="O891" i="4" s="1"/>
  <c r="B891" i="4"/>
  <c r="A891" i="4"/>
  <c r="S890" i="4"/>
  <c r="Q890" i="4"/>
  <c r="P890" i="4"/>
  <c r="L890" i="4"/>
  <c r="K890" i="4"/>
  <c r="J890" i="4"/>
  <c r="I890" i="4"/>
  <c r="H890" i="4"/>
  <c r="G890" i="4"/>
  <c r="F890" i="4"/>
  <c r="E890" i="4"/>
  <c r="U890" i="4" s="1"/>
  <c r="D890" i="4"/>
  <c r="C890" i="4"/>
  <c r="O890" i="4" s="1"/>
  <c r="B890" i="4"/>
  <c r="A890" i="4"/>
  <c r="S889" i="4"/>
  <c r="R889" i="4"/>
  <c r="Q889" i="4"/>
  <c r="P889" i="4"/>
  <c r="L889" i="4"/>
  <c r="K889" i="4"/>
  <c r="J889" i="4"/>
  <c r="I889" i="4"/>
  <c r="H889" i="4"/>
  <c r="G889" i="4"/>
  <c r="F889" i="4"/>
  <c r="E889" i="4"/>
  <c r="M889" i="4" s="1"/>
  <c r="D889" i="4"/>
  <c r="C889" i="4"/>
  <c r="O889" i="4" s="1"/>
  <c r="B889" i="4"/>
  <c r="A889" i="4"/>
  <c r="S888" i="4"/>
  <c r="Q888" i="4"/>
  <c r="P888" i="4"/>
  <c r="M888" i="4"/>
  <c r="L888" i="4"/>
  <c r="K888" i="4"/>
  <c r="J888" i="4"/>
  <c r="I888" i="4"/>
  <c r="H888" i="4"/>
  <c r="G888" i="4"/>
  <c r="F888" i="4"/>
  <c r="E888" i="4"/>
  <c r="N888" i="4" s="1"/>
  <c r="D888" i="4"/>
  <c r="C888" i="4"/>
  <c r="O888" i="4" s="1"/>
  <c r="B888" i="4"/>
  <c r="A888" i="4"/>
  <c r="S887" i="4"/>
  <c r="Q887" i="4"/>
  <c r="P887" i="4"/>
  <c r="M887" i="4"/>
  <c r="L887" i="4"/>
  <c r="K887" i="4"/>
  <c r="J887" i="4"/>
  <c r="I887" i="4"/>
  <c r="H887" i="4"/>
  <c r="G887" i="4"/>
  <c r="F887" i="4"/>
  <c r="T887" i="4" s="1"/>
  <c r="E887" i="4"/>
  <c r="N887" i="4" s="1"/>
  <c r="D887" i="4"/>
  <c r="C887" i="4"/>
  <c r="O887" i="4" s="1"/>
  <c r="B887" i="4"/>
  <c r="A887" i="4"/>
  <c r="S886" i="4"/>
  <c r="Q886" i="4"/>
  <c r="P886" i="4"/>
  <c r="L886" i="4"/>
  <c r="K886" i="4"/>
  <c r="J886" i="4"/>
  <c r="I886" i="4"/>
  <c r="H886" i="4"/>
  <c r="G886" i="4"/>
  <c r="F886" i="4"/>
  <c r="E886" i="4"/>
  <c r="N886" i="4" s="1"/>
  <c r="D886" i="4"/>
  <c r="C886" i="4"/>
  <c r="O886" i="4" s="1"/>
  <c r="B886" i="4"/>
  <c r="A886" i="4"/>
  <c r="S885" i="4"/>
  <c r="Q885" i="4"/>
  <c r="P885" i="4"/>
  <c r="L885" i="4"/>
  <c r="K885" i="4"/>
  <c r="J885" i="4"/>
  <c r="I885" i="4"/>
  <c r="H885" i="4"/>
  <c r="G885" i="4"/>
  <c r="F885" i="4"/>
  <c r="T885" i="4" s="1"/>
  <c r="E885" i="4"/>
  <c r="U885" i="4" s="1"/>
  <c r="D885" i="4"/>
  <c r="C885" i="4"/>
  <c r="O885" i="4" s="1"/>
  <c r="B885" i="4"/>
  <c r="A885" i="4"/>
  <c r="S884" i="4"/>
  <c r="Q884" i="4"/>
  <c r="P884" i="4"/>
  <c r="L884" i="4"/>
  <c r="K884" i="4"/>
  <c r="J884" i="4"/>
  <c r="I884" i="4"/>
  <c r="H884" i="4"/>
  <c r="G884" i="4"/>
  <c r="F884" i="4"/>
  <c r="E884" i="4"/>
  <c r="T884" i="4" s="1"/>
  <c r="D884" i="4"/>
  <c r="C884" i="4"/>
  <c r="O884" i="4" s="1"/>
  <c r="B884" i="4"/>
  <c r="A884" i="4"/>
  <c r="S883" i="4"/>
  <c r="Q883" i="4"/>
  <c r="P883" i="4"/>
  <c r="L883" i="4"/>
  <c r="K883" i="4"/>
  <c r="J883" i="4"/>
  <c r="I883" i="4"/>
  <c r="H883" i="4"/>
  <c r="G883" i="4"/>
  <c r="F883" i="4"/>
  <c r="E883" i="4"/>
  <c r="U883" i="4" s="1"/>
  <c r="D883" i="4"/>
  <c r="C883" i="4"/>
  <c r="O883" i="4" s="1"/>
  <c r="B883" i="4"/>
  <c r="A883" i="4"/>
  <c r="S882" i="4"/>
  <c r="Q882" i="4"/>
  <c r="P882" i="4"/>
  <c r="L882" i="4"/>
  <c r="K882" i="4"/>
  <c r="J882" i="4"/>
  <c r="I882" i="4"/>
  <c r="H882" i="4"/>
  <c r="G882" i="4"/>
  <c r="F882" i="4"/>
  <c r="E882" i="4"/>
  <c r="D882" i="4"/>
  <c r="C882" i="4"/>
  <c r="O882" i="4" s="1"/>
  <c r="B882" i="4"/>
  <c r="A882" i="4"/>
  <c r="S881" i="4"/>
  <c r="Q881" i="4"/>
  <c r="P881" i="4"/>
  <c r="L881" i="4"/>
  <c r="K881" i="4"/>
  <c r="J881" i="4"/>
  <c r="I881" i="4"/>
  <c r="H881" i="4"/>
  <c r="G881" i="4"/>
  <c r="F881" i="4"/>
  <c r="E881" i="4"/>
  <c r="U881" i="4" s="1"/>
  <c r="D881" i="4"/>
  <c r="C881" i="4"/>
  <c r="O881" i="4" s="1"/>
  <c r="B881" i="4"/>
  <c r="A881" i="4"/>
  <c r="S880" i="4"/>
  <c r="Q880" i="4"/>
  <c r="P880" i="4"/>
  <c r="L880" i="4"/>
  <c r="K880" i="4"/>
  <c r="J880" i="4"/>
  <c r="I880" i="4"/>
  <c r="H880" i="4"/>
  <c r="G880" i="4"/>
  <c r="F880" i="4"/>
  <c r="E880" i="4"/>
  <c r="U880" i="4" s="1"/>
  <c r="D880" i="4"/>
  <c r="C880" i="4"/>
  <c r="O880" i="4" s="1"/>
  <c r="B880" i="4"/>
  <c r="A880" i="4"/>
  <c r="S879" i="4"/>
  <c r="Q879" i="4"/>
  <c r="P879" i="4"/>
  <c r="L879" i="4"/>
  <c r="K879" i="4"/>
  <c r="J879" i="4"/>
  <c r="I879" i="4"/>
  <c r="H879" i="4"/>
  <c r="G879" i="4"/>
  <c r="F879" i="4"/>
  <c r="E879" i="4"/>
  <c r="U879" i="4" s="1"/>
  <c r="D879" i="4"/>
  <c r="C879" i="4"/>
  <c r="O879" i="4" s="1"/>
  <c r="B879" i="4"/>
  <c r="A879" i="4"/>
  <c r="S878" i="4"/>
  <c r="Q878" i="4"/>
  <c r="P878" i="4"/>
  <c r="R878" i="4" s="1"/>
  <c r="M878" i="4"/>
  <c r="L878" i="4"/>
  <c r="K878" i="4"/>
  <c r="J878" i="4"/>
  <c r="I878" i="4"/>
  <c r="H878" i="4"/>
  <c r="G878" i="4"/>
  <c r="F878" i="4"/>
  <c r="E878" i="4"/>
  <c r="N878" i="4" s="1"/>
  <c r="D878" i="4"/>
  <c r="C878" i="4"/>
  <c r="O878" i="4" s="1"/>
  <c r="B878" i="4"/>
  <c r="A878" i="4"/>
  <c r="S877" i="4"/>
  <c r="Q877" i="4"/>
  <c r="P877" i="4"/>
  <c r="L877" i="4"/>
  <c r="K877" i="4"/>
  <c r="J877" i="4"/>
  <c r="I877" i="4"/>
  <c r="H877" i="4"/>
  <c r="G877" i="4"/>
  <c r="F877" i="4"/>
  <c r="T877" i="4" s="1"/>
  <c r="E877" i="4"/>
  <c r="U877" i="4" s="1"/>
  <c r="D877" i="4"/>
  <c r="C877" i="4"/>
  <c r="O877" i="4" s="1"/>
  <c r="B877" i="4"/>
  <c r="A877" i="4"/>
  <c r="S876" i="4"/>
  <c r="Q876" i="4"/>
  <c r="P876" i="4"/>
  <c r="M876" i="4"/>
  <c r="L876" i="4"/>
  <c r="K876" i="4"/>
  <c r="J876" i="4"/>
  <c r="I876" i="4"/>
  <c r="H876" i="4"/>
  <c r="G876" i="4"/>
  <c r="F876" i="4"/>
  <c r="E876" i="4"/>
  <c r="U876" i="4" s="1"/>
  <c r="D876" i="4"/>
  <c r="C876" i="4"/>
  <c r="O876" i="4" s="1"/>
  <c r="B876" i="4"/>
  <c r="A876" i="4"/>
  <c r="S875" i="4"/>
  <c r="Q875" i="4"/>
  <c r="P875" i="4"/>
  <c r="L875" i="4"/>
  <c r="K875" i="4"/>
  <c r="J875" i="4"/>
  <c r="I875" i="4"/>
  <c r="H875" i="4"/>
  <c r="G875" i="4"/>
  <c r="F875" i="4"/>
  <c r="E875" i="4"/>
  <c r="D875" i="4"/>
  <c r="C875" i="4"/>
  <c r="O875" i="4" s="1"/>
  <c r="B875" i="4"/>
  <c r="A875" i="4"/>
  <c r="S874" i="4"/>
  <c r="Q874" i="4"/>
  <c r="P874" i="4"/>
  <c r="M874" i="4"/>
  <c r="L874" i="4"/>
  <c r="K874" i="4"/>
  <c r="J874" i="4"/>
  <c r="I874" i="4"/>
  <c r="H874" i="4"/>
  <c r="G874" i="4"/>
  <c r="F874" i="4"/>
  <c r="E874" i="4"/>
  <c r="U874" i="4" s="1"/>
  <c r="D874" i="4"/>
  <c r="C874" i="4"/>
  <c r="O874" i="4" s="1"/>
  <c r="B874" i="4"/>
  <c r="A874" i="4"/>
  <c r="S873" i="4"/>
  <c r="Q873" i="4"/>
  <c r="P873" i="4"/>
  <c r="O873" i="4"/>
  <c r="L873" i="4"/>
  <c r="K873" i="4"/>
  <c r="J873" i="4"/>
  <c r="I873" i="4"/>
  <c r="H873" i="4"/>
  <c r="G873" i="4"/>
  <c r="F873" i="4"/>
  <c r="E873" i="4"/>
  <c r="U873" i="4" s="1"/>
  <c r="D873" i="4"/>
  <c r="C873" i="4"/>
  <c r="B873" i="4"/>
  <c r="A873" i="4"/>
  <c r="S872" i="4"/>
  <c r="Q872" i="4"/>
  <c r="P872" i="4"/>
  <c r="L872" i="4"/>
  <c r="K872" i="4"/>
  <c r="J872" i="4"/>
  <c r="I872" i="4"/>
  <c r="H872" i="4"/>
  <c r="G872" i="4"/>
  <c r="F872" i="4"/>
  <c r="E872" i="4"/>
  <c r="N872" i="4" s="1"/>
  <c r="D872" i="4"/>
  <c r="C872" i="4"/>
  <c r="O872" i="4" s="1"/>
  <c r="B872" i="4"/>
  <c r="A872" i="4"/>
  <c r="S871" i="4"/>
  <c r="Q871" i="4"/>
  <c r="P871" i="4"/>
  <c r="R871" i="4" s="1"/>
  <c r="L871" i="4"/>
  <c r="K871" i="4"/>
  <c r="J871" i="4"/>
  <c r="I871" i="4"/>
  <c r="H871" i="4"/>
  <c r="G871" i="4"/>
  <c r="F871" i="4"/>
  <c r="T871" i="4" s="1"/>
  <c r="E871" i="4"/>
  <c r="U871" i="4" s="1"/>
  <c r="D871" i="4"/>
  <c r="C871" i="4"/>
  <c r="O871" i="4" s="1"/>
  <c r="B871" i="4"/>
  <c r="A871" i="4"/>
  <c r="S870" i="4"/>
  <c r="Q870" i="4"/>
  <c r="P870" i="4"/>
  <c r="L870" i="4"/>
  <c r="K870" i="4"/>
  <c r="J870" i="4"/>
  <c r="I870" i="4"/>
  <c r="H870" i="4"/>
  <c r="G870" i="4"/>
  <c r="F870" i="4"/>
  <c r="E870" i="4"/>
  <c r="N870" i="4" s="1"/>
  <c r="D870" i="4"/>
  <c r="C870" i="4"/>
  <c r="O870" i="4" s="1"/>
  <c r="B870" i="4"/>
  <c r="A870" i="4"/>
  <c r="S869" i="4"/>
  <c r="Q869" i="4"/>
  <c r="P869" i="4"/>
  <c r="L869" i="4"/>
  <c r="K869" i="4"/>
  <c r="J869" i="4"/>
  <c r="I869" i="4"/>
  <c r="H869" i="4"/>
  <c r="G869" i="4"/>
  <c r="F869" i="4"/>
  <c r="E869" i="4"/>
  <c r="U869" i="4" s="1"/>
  <c r="D869" i="4"/>
  <c r="C869" i="4"/>
  <c r="O869" i="4" s="1"/>
  <c r="B869" i="4"/>
  <c r="A869" i="4"/>
  <c r="S868" i="4"/>
  <c r="Q868" i="4"/>
  <c r="P868" i="4"/>
  <c r="L868" i="4"/>
  <c r="K868" i="4"/>
  <c r="J868" i="4"/>
  <c r="I868" i="4"/>
  <c r="H868" i="4"/>
  <c r="G868" i="4"/>
  <c r="F868" i="4"/>
  <c r="E868" i="4"/>
  <c r="U868" i="4" s="1"/>
  <c r="D868" i="4"/>
  <c r="C868" i="4"/>
  <c r="O868" i="4" s="1"/>
  <c r="B868" i="4"/>
  <c r="A868" i="4"/>
  <c r="S867" i="4"/>
  <c r="Q867" i="4"/>
  <c r="P867" i="4"/>
  <c r="M867" i="4"/>
  <c r="L867" i="4"/>
  <c r="K867" i="4"/>
  <c r="J867" i="4"/>
  <c r="I867" i="4"/>
  <c r="H867" i="4"/>
  <c r="G867" i="4"/>
  <c r="F867" i="4"/>
  <c r="T867" i="4" s="1"/>
  <c r="E867" i="4"/>
  <c r="U867" i="4" s="1"/>
  <c r="D867" i="4"/>
  <c r="C867" i="4"/>
  <c r="O867" i="4" s="1"/>
  <c r="B867" i="4"/>
  <c r="A867" i="4"/>
  <c r="S866" i="4"/>
  <c r="Q866" i="4"/>
  <c r="R866" i="4" s="1"/>
  <c r="P866" i="4"/>
  <c r="L866" i="4"/>
  <c r="K866" i="4"/>
  <c r="J866" i="4"/>
  <c r="I866" i="4"/>
  <c r="H866" i="4"/>
  <c r="G866" i="4"/>
  <c r="F866" i="4"/>
  <c r="E866" i="4"/>
  <c r="D866" i="4"/>
  <c r="C866" i="4"/>
  <c r="O866" i="4" s="1"/>
  <c r="B866" i="4"/>
  <c r="A866" i="4"/>
  <c r="S865" i="4"/>
  <c r="Q865" i="4"/>
  <c r="P865" i="4"/>
  <c r="M865" i="4"/>
  <c r="L865" i="4"/>
  <c r="K865" i="4"/>
  <c r="J865" i="4"/>
  <c r="I865" i="4"/>
  <c r="H865" i="4"/>
  <c r="G865" i="4"/>
  <c r="F865" i="4"/>
  <c r="E865" i="4"/>
  <c r="N865" i="4" s="1"/>
  <c r="D865" i="4"/>
  <c r="C865" i="4"/>
  <c r="O865" i="4" s="1"/>
  <c r="B865" i="4"/>
  <c r="A865" i="4"/>
  <c r="S864" i="4"/>
  <c r="Q864" i="4"/>
  <c r="P864" i="4"/>
  <c r="N864" i="4"/>
  <c r="L864" i="4"/>
  <c r="K864" i="4"/>
  <c r="J864" i="4"/>
  <c r="I864" i="4"/>
  <c r="H864" i="4"/>
  <c r="G864" i="4"/>
  <c r="F864" i="4"/>
  <c r="T864" i="4" s="1"/>
  <c r="E864" i="4"/>
  <c r="U864" i="4" s="1"/>
  <c r="D864" i="4"/>
  <c r="C864" i="4"/>
  <c r="O864" i="4" s="1"/>
  <c r="B864" i="4"/>
  <c r="A864" i="4"/>
  <c r="S863" i="4"/>
  <c r="Q863" i="4"/>
  <c r="P863" i="4"/>
  <c r="L863" i="4"/>
  <c r="K863" i="4"/>
  <c r="J863" i="4"/>
  <c r="I863" i="4"/>
  <c r="H863" i="4"/>
  <c r="G863" i="4"/>
  <c r="F863" i="4"/>
  <c r="E863" i="4"/>
  <c r="M863" i="4" s="1"/>
  <c r="D863" i="4"/>
  <c r="C863" i="4"/>
  <c r="O863" i="4" s="1"/>
  <c r="B863" i="4"/>
  <c r="A863" i="4"/>
  <c r="S862" i="4"/>
  <c r="Q862" i="4"/>
  <c r="P862" i="4"/>
  <c r="L862" i="4"/>
  <c r="K862" i="4"/>
  <c r="J862" i="4"/>
  <c r="I862" i="4"/>
  <c r="H862" i="4"/>
  <c r="G862" i="4"/>
  <c r="F862" i="4"/>
  <c r="T862" i="4" s="1"/>
  <c r="E862" i="4"/>
  <c r="M862" i="4" s="1"/>
  <c r="D862" i="4"/>
  <c r="C862" i="4"/>
  <c r="O862" i="4" s="1"/>
  <c r="B862" i="4"/>
  <c r="A862" i="4"/>
  <c r="S861" i="4"/>
  <c r="Q861" i="4"/>
  <c r="R861" i="4" s="1"/>
  <c r="P861" i="4"/>
  <c r="L861" i="4"/>
  <c r="K861" i="4"/>
  <c r="J861" i="4"/>
  <c r="I861" i="4"/>
  <c r="H861" i="4"/>
  <c r="G861" i="4"/>
  <c r="F861" i="4"/>
  <c r="E861" i="4"/>
  <c r="D861" i="4"/>
  <c r="C861" i="4"/>
  <c r="O861" i="4" s="1"/>
  <c r="B861" i="4"/>
  <c r="A861" i="4"/>
  <c r="S860" i="4"/>
  <c r="Q860" i="4"/>
  <c r="R860" i="4" s="1"/>
  <c r="P860" i="4"/>
  <c r="L860" i="4"/>
  <c r="K860" i="4"/>
  <c r="J860" i="4"/>
  <c r="I860" i="4"/>
  <c r="H860" i="4"/>
  <c r="G860" i="4"/>
  <c r="F860" i="4"/>
  <c r="E860" i="4"/>
  <c r="U860" i="4" s="1"/>
  <c r="D860" i="4"/>
  <c r="C860" i="4"/>
  <c r="O860" i="4" s="1"/>
  <c r="B860" i="4"/>
  <c r="A860" i="4"/>
  <c r="S859" i="4"/>
  <c r="Q859" i="4"/>
  <c r="P859" i="4"/>
  <c r="L859" i="4"/>
  <c r="K859" i="4"/>
  <c r="J859" i="4"/>
  <c r="I859" i="4"/>
  <c r="H859" i="4"/>
  <c r="G859" i="4"/>
  <c r="F859" i="4"/>
  <c r="E859" i="4"/>
  <c r="U859" i="4" s="1"/>
  <c r="D859" i="4"/>
  <c r="C859" i="4"/>
  <c r="O859" i="4" s="1"/>
  <c r="B859" i="4"/>
  <c r="A859" i="4"/>
  <c r="S858" i="4"/>
  <c r="Q858" i="4"/>
  <c r="P858" i="4"/>
  <c r="N858" i="4"/>
  <c r="M858" i="4"/>
  <c r="L858" i="4"/>
  <c r="K858" i="4"/>
  <c r="J858" i="4"/>
  <c r="I858" i="4"/>
  <c r="H858" i="4"/>
  <c r="G858" i="4"/>
  <c r="F858" i="4"/>
  <c r="T858" i="4" s="1"/>
  <c r="E858" i="4"/>
  <c r="U858" i="4" s="1"/>
  <c r="D858" i="4"/>
  <c r="C858" i="4"/>
  <c r="O858" i="4" s="1"/>
  <c r="B858" i="4"/>
  <c r="A858" i="4"/>
  <c r="S857" i="4"/>
  <c r="Q857" i="4"/>
  <c r="P857" i="4"/>
  <c r="L857" i="4"/>
  <c r="K857" i="4"/>
  <c r="J857" i="4"/>
  <c r="I857" i="4"/>
  <c r="H857" i="4"/>
  <c r="G857" i="4"/>
  <c r="F857" i="4"/>
  <c r="E857" i="4"/>
  <c r="U857" i="4" s="1"/>
  <c r="D857" i="4"/>
  <c r="C857" i="4"/>
  <c r="O857" i="4" s="1"/>
  <c r="B857" i="4"/>
  <c r="A857" i="4"/>
  <c r="U856" i="4"/>
  <c r="S856" i="4"/>
  <c r="Q856" i="4"/>
  <c r="P856" i="4"/>
  <c r="L856" i="4"/>
  <c r="K856" i="4"/>
  <c r="J856" i="4"/>
  <c r="I856" i="4"/>
  <c r="H856" i="4"/>
  <c r="G856" i="4"/>
  <c r="F856" i="4"/>
  <c r="E856" i="4"/>
  <c r="N856" i="4" s="1"/>
  <c r="D856" i="4"/>
  <c r="C856" i="4"/>
  <c r="O856" i="4" s="1"/>
  <c r="B856" i="4"/>
  <c r="A856" i="4"/>
  <c r="S855" i="4"/>
  <c r="Q855" i="4"/>
  <c r="P855" i="4"/>
  <c r="L855" i="4"/>
  <c r="K855" i="4"/>
  <c r="J855" i="4"/>
  <c r="I855" i="4"/>
  <c r="H855" i="4"/>
  <c r="G855" i="4"/>
  <c r="F855" i="4"/>
  <c r="E855" i="4"/>
  <c r="U855" i="4" s="1"/>
  <c r="D855" i="4"/>
  <c r="C855" i="4"/>
  <c r="O855" i="4" s="1"/>
  <c r="B855" i="4"/>
  <c r="A855" i="4"/>
  <c r="S854" i="4"/>
  <c r="Q854" i="4"/>
  <c r="P854" i="4"/>
  <c r="R854" i="4" s="1"/>
  <c r="L854" i="4"/>
  <c r="K854" i="4"/>
  <c r="J854" i="4"/>
  <c r="I854" i="4"/>
  <c r="H854" i="4"/>
  <c r="G854" i="4"/>
  <c r="F854" i="4"/>
  <c r="E854" i="4"/>
  <c r="N854" i="4" s="1"/>
  <c r="D854" i="4"/>
  <c r="C854" i="4"/>
  <c r="O854" i="4" s="1"/>
  <c r="B854" i="4"/>
  <c r="A854" i="4"/>
  <c r="S853" i="4"/>
  <c r="Q853" i="4"/>
  <c r="P853" i="4"/>
  <c r="R853" i="4" s="1"/>
  <c r="L853" i="4"/>
  <c r="K853" i="4"/>
  <c r="J853" i="4"/>
  <c r="I853" i="4"/>
  <c r="H853" i="4"/>
  <c r="G853" i="4"/>
  <c r="F853" i="4"/>
  <c r="E853" i="4"/>
  <c r="U853" i="4" s="1"/>
  <c r="D853" i="4"/>
  <c r="C853" i="4"/>
  <c r="O853" i="4" s="1"/>
  <c r="B853" i="4"/>
  <c r="A853" i="4"/>
  <c r="S852" i="4"/>
  <c r="Q852" i="4"/>
  <c r="P852" i="4"/>
  <c r="R852" i="4" s="1"/>
  <c r="L852" i="4"/>
  <c r="K852" i="4"/>
  <c r="J852" i="4"/>
  <c r="I852" i="4"/>
  <c r="H852" i="4"/>
  <c r="G852" i="4"/>
  <c r="F852" i="4"/>
  <c r="T852" i="4" s="1"/>
  <c r="E852" i="4"/>
  <c r="U852" i="4" s="1"/>
  <c r="D852" i="4"/>
  <c r="C852" i="4"/>
  <c r="O852" i="4" s="1"/>
  <c r="B852" i="4"/>
  <c r="A852" i="4"/>
  <c r="S851" i="4"/>
  <c r="Q851" i="4"/>
  <c r="P851" i="4"/>
  <c r="O851" i="4"/>
  <c r="L851" i="4"/>
  <c r="K851" i="4"/>
  <c r="J851" i="4"/>
  <c r="I851" i="4"/>
  <c r="H851" i="4"/>
  <c r="G851" i="4"/>
  <c r="F851" i="4"/>
  <c r="E851" i="4"/>
  <c r="U851" i="4" s="1"/>
  <c r="D851" i="4"/>
  <c r="C851" i="4"/>
  <c r="B851" i="4"/>
  <c r="A851" i="4"/>
  <c r="S850" i="4"/>
  <c r="Q850" i="4"/>
  <c r="P850" i="4"/>
  <c r="R850" i="4" s="1"/>
  <c r="L850" i="4"/>
  <c r="K850" i="4"/>
  <c r="J850" i="4"/>
  <c r="I850" i="4"/>
  <c r="H850" i="4"/>
  <c r="G850" i="4"/>
  <c r="F850" i="4"/>
  <c r="T850" i="4" s="1"/>
  <c r="E850" i="4"/>
  <c r="D850" i="4"/>
  <c r="C850" i="4"/>
  <c r="O850" i="4" s="1"/>
  <c r="B850" i="4"/>
  <c r="A850" i="4"/>
  <c r="S849" i="4"/>
  <c r="Q849" i="4"/>
  <c r="P849" i="4"/>
  <c r="L849" i="4"/>
  <c r="K849" i="4"/>
  <c r="J849" i="4"/>
  <c r="I849" i="4"/>
  <c r="H849" i="4"/>
  <c r="G849" i="4"/>
  <c r="F849" i="4"/>
  <c r="E849" i="4"/>
  <c r="N849" i="4" s="1"/>
  <c r="D849" i="4"/>
  <c r="C849" i="4"/>
  <c r="O849" i="4" s="1"/>
  <c r="B849" i="4"/>
  <c r="A849" i="4"/>
  <c r="S848" i="4"/>
  <c r="Q848" i="4"/>
  <c r="R848" i="4" s="1"/>
  <c r="P848" i="4"/>
  <c r="M848" i="4"/>
  <c r="L848" i="4"/>
  <c r="K848" i="4"/>
  <c r="J848" i="4"/>
  <c r="I848" i="4"/>
  <c r="H848" i="4"/>
  <c r="G848" i="4"/>
  <c r="F848" i="4"/>
  <c r="E848" i="4"/>
  <c r="U848" i="4" s="1"/>
  <c r="D848" i="4"/>
  <c r="C848" i="4"/>
  <c r="O848" i="4" s="1"/>
  <c r="B848" i="4"/>
  <c r="A848" i="4"/>
  <c r="S847" i="4"/>
  <c r="Q847" i="4"/>
  <c r="P847" i="4"/>
  <c r="N847" i="4"/>
  <c r="L847" i="4"/>
  <c r="K847" i="4"/>
  <c r="J847" i="4"/>
  <c r="I847" i="4"/>
  <c r="H847" i="4"/>
  <c r="G847" i="4"/>
  <c r="F847" i="4"/>
  <c r="T847" i="4" s="1"/>
  <c r="E847" i="4"/>
  <c r="M847" i="4" s="1"/>
  <c r="D847" i="4"/>
  <c r="C847" i="4"/>
  <c r="O847" i="4" s="1"/>
  <c r="B847" i="4"/>
  <c r="A847" i="4"/>
  <c r="S846" i="4"/>
  <c r="Q846" i="4"/>
  <c r="P846" i="4"/>
  <c r="N846" i="4"/>
  <c r="L846" i="4"/>
  <c r="K846" i="4"/>
  <c r="J846" i="4"/>
  <c r="I846" i="4"/>
  <c r="H846" i="4"/>
  <c r="G846" i="4"/>
  <c r="F846" i="4"/>
  <c r="E846" i="4"/>
  <c r="U846" i="4" s="1"/>
  <c r="D846" i="4"/>
  <c r="C846" i="4"/>
  <c r="O846" i="4" s="1"/>
  <c r="B846" i="4"/>
  <c r="A846" i="4"/>
  <c r="S845" i="4"/>
  <c r="Q845" i="4"/>
  <c r="P845" i="4"/>
  <c r="L845" i="4"/>
  <c r="K845" i="4"/>
  <c r="J845" i="4"/>
  <c r="I845" i="4"/>
  <c r="H845" i="4"/>
  <c r="G845" i="4"/>
  <c r="F845" i="4"/>
  <c r="E845" i="4"/>
  <c r="U845" i="4" s="1"/>
  <c r="D845" i="4"/>
  <c r="C845" i="4"/>
  <c r="O845" i="4" s="1"/>
  <c r="B845" i="4"/>
  <c r="A845" i="4"/>
  <c r="S844" i="4"/>
  <c r="Q844" i="4"/>
  <c r="P844" i="4"/>
  <c r="N844" i="4"/>
  <c r="L844" i="4"/>
  <c r="K844" i="4"/>
  <c r="J844" i="4"/>
  <c r="I844" i="4"/>
  <c r="H844" i="4"/>
  <c r="G844" i="4"/>
  <c r="F844" i="4"/>
  <c r="T844" i="4" s="1"/>
  <c r="E844" i="4"/>
  <c r="U844" i="4" s="1"/>
  <c r="D844" i="4"/>
  <c r="C844" i="4"/>
  <c r="O844" i="4" s="1"/>
  <c r="B844" i="4"/>
  <c r="A844" i="4"/>
  <c r="S843" i="4"/>
  <c r="Q843" i="4"/>
  <c r="P843" i="4"/>
  <c r="L843" i="4"/>
  <c r="K843" i="4"/>
  <c r="J843" i="4"/>
  <c r="I843" i="4"/>
  <c r="H843" i="4"/>
  <c r="G843" i="4"/>
  <c r="F843" i="4"/>
  <c r="E843" i="4"/>
  <c r="D843" i="4"/>
  <c r="C843" i="4"/>
  <c r="O843" i="4" s="1"/>
  <c r="B843" i="4"/>
  <c r="A843" i="4"/>
  <c r="S842" i="4"/>
  <c r="Q842" i="4"/>
  <c r="P842" i="4"/>
  <c r="M842" i="4"/>
  <c r="L842" i="4"/>
  <c r="K842" i="4"/>
  <c r="J842" i="4"/>
  <c r="I842" i="4"/>
  <c r="H842" i="4"/>
  <c r="G842" i="4"/>
  <c r="F842" i="4"/>
  <c r="E842" i="4"/>
  <c r="U842" i="4" s="1"/>
  <c r="D842" i="4"/>
  <c r="C842" i="4"/>
  <c r="O842" i="4" s="1"/>
  <c r="B842" i="4"/>
  <c r="A842" i="4"/>
  <c r="S841" i="4"/>
  <c r="Q841" i="4"/>
  <c r="P841" i="4"/>
  <c r="L841" i="4"/>
  <c r="K841" i="4"/>
  <c r="J841" i="4"/>
  <c r="I841" i="4"/>
  <c r="H841" i="4"/>
  <c r="G841" i="4"/>
  <c r="F841" i="4"/>
  <c r="E841" i="4"/>
  <c r="U841" i="4" s="1"/>
  <c r="D841" i="4"/>
  <c r="C841" i="4"/>
  <c r="O841" i="4" s="1"/>
  <c r="B841" i="4"/>
  <c r="A841" i="4"/>
  <c r="S840" i="4"/>
  <c r="Q840" i="4"/>
  <c r="P840" i="4"/>
  <c r="N840" i="4"/>
  <c r="L840" i="4"/>
  <c r="K840" i="4"/>
  <c r="J840" i="4"/>
  <c r="I840" i="4"/>
  <c r="H840" i="4"/>
  <c r="G840" i="4"/>
  <c r="F840" i="4"/>
  <c r="T840" i="4" s="1"/>
  <c r="E840" i="4"/>
  <c r="M840" i="4" s="1"/>
  <c r="D840" i="4"/>
  <c r="C840" i="4"/>
  <c r="O840" i="4" s="1"/>
  <c r="B840" i="4"/>
  <c r="A840" i="4"/>
  <c r="S839" i="4"/>
  <c r="Q839" i="4"/>
  <c r="P839" i="4"/>
  <c r="L839" i="4"/>
  <c r="K839" i="4"/>
  <c r="J839" i="4"/>
  <c r="I839" i="4"/>
  <c r="H839" i="4"/>
  <c r="G839" i="4"/>
  <c r="F839" i="4"/>
  <c r="E839" i="4"/>
  <c r="U839" i="4" s="1"/>
  <c r="D839" i="4"/>
  <c r="C839" i="4"/>
  <c r="O839" i="4" s="1"/>
  <c r="B839" i="4"/>
  <c r="A839" i="4"/>
  <c r="S838" i="4"/>
  <c r="Q838" i="4"/>
  <c r="P838" i="4"/>
  <c r="L838" i="4"/>
  <c r="K838" i="4"/>
  <c r="J838" i="4"/>
  <c r="I838" i="4"/>
  <c r="H838" i="4"/>
  <c r="G838" i="4"/>
  <c r="F838" i="4"/>
  <c r="E838" i="4"/>
  <c r="D838" i="4"/>
  <c r="C838" i="4"/>
  <c r="O838" i="4" s="1"/>
  <c r="B838" i="4"/>
  <c r="A838" i="4"/>
  <c r="S837" i="4"/>
  <c r="Q837" i="4"/>
  <c r="P837" i="4"/>
  <c r="L837" i="4"/>
  <c r="K837" i="4"/>
  <c r="J837" i="4"/>
  <c r="I837" i="4"/>
  <c r="H837" i="4"/>
  <c r="G837" i="4"/>
  <c r="F837" i="4"/>
  <c r="E837" i="4"/>
  <c r="D837" i="4"/>
  <c r="C837" i="4"/>
  <c r="O837" i="4" s="1"/>
  <c r="B837" i="4"/>
  <c r="A837" i="4"/>
  <c r="S836" i="4"/>
  <c r="Q836" i="4"/>
  <c r="P836" i="4"/>
  <c r="L836" i="4"/>
  <c r="K836" i="4"/>
  <c r="J836" i="4"/>
  <c r="I836" i="4"/>
  <c r="H836" i="4"/>
  <c r="G836" i="4"/>
  <c r="F836" i="4"/>
  <c r="E836" i="4"/>
  <c r="D836" i="4"/>
  <c r="C836" i="4"/>
  <c r="O836" i="4" s="1"/>
  <c r="B836" i="4"/>
  <c r="A836" i="4"/>
  <c r="S835" i="4"/>
  <c r="Q835" i="4"/>
  <c r="P835" i="4"/>
  <c r="R835" i="4" s="1"/>
  <c r="L835" i="4"/>
  <c r="K835" i="4"/>
  <c r="J835" i="4"/>
  <c r="I835" i="4"/>
  <c r="H835" i="4"/>
  <c r="G835" i="4"/>
  <c r="F835" i="4"/>
  <c r="E835" i="4"/>
  <c r="D835" i="4"/>
  <c r="C835" i="4"/>
  <c r="O835" i="4" s="1"/>
  <c r="B835" i="4"/>
  <c r="A835" i="4"/>
  <c r="S834" i="4"/>
  <c r="Q834" i="4"/>
  <c r="P834" i="4"/>
  <c r="R834" i="4" s="1"/>
  <c r="L834" i="4"/>
  <c r="K834" i="4"/>
  <c r="J834" i="4"/>
  <c r="I834" i="4"/>
  <c r="H834" i="4"/>
  <c r="G834" i="4"/>
  <c r="F834" i="4"/>
  <c r="T834" i="4" s="1"/>
  <c r="E834" i="4"/>
  <c r="D834" i="4"/>
  <c r="C834" i="4"/>
  <c r="O834" i="4" s="1"/>
  <c r="B834" i="4"/>
  <c r="A834" i="4"/>
  <c r="S833" i="4"/>
  <c r="Q833" i="4"/>
  <c r="P833" i="4"/>
  <c r="O833" i="4"/>
  <c r="L833" i="4"/>
  <c r="K833" i="4"/>
  <c r="J833" i="4"/>
  <c r="I833" i="4"/>
  <c r="H833" i="4"/>
  <c r="G833" i="4"/>
  <c r="F833" i="4"/>
  <c r="T833" i="4" s="1"/>
  <c r="E833" i="4"/>
  <c r="N833" i="4" s="1"/>
  <c r="D833" i="4"/>
  <c r="C833" i="4"/>
  <c r="B833" i="4"/>
  <c r="A833" i="4"/>
  <c r="S832" i="4"/>
  <c r="Q832" i="4"/>
  <c r="R832" i="4" s="1"/>
  <c r="P832" i="4"/>
  <c r="L832" i="4"/>
  <c r="K832" i="4"/>
  <c r="J832" i="4"/>
  <c r="I832" i="4"/>
  <c r="H832" i="4"/>
  <c r="G832" i="4"/>
  <c r="F832" i="4"/>
  <c r="T832" i="4" s="1"/>
  <c r="E832" i="4"/>
  <c r="U832" i="4" s="1"/>
  <c r="D832" i="4"/>
  <c r="C832" i="4"/>
  <c r="O832" i="4" s="1"/>
  <c r="B832" i="4"/>
  <c r="A832" i="4"/>
  <c r="S831" i="4"/>
  <c r="Q831" i="4"/>
  <c r="P831" i="4"/>
  <c r="L831" i="4"/>
  <c r="K831" i="4"/>
  <c r="J831" i="4"/>
  <c r="I831" i="4"/>
  <c r="H831" i="4"/>
  <c r="G831" i="4"/>
  <c r="F831" i="4"/>
  <c r="E831" i="4"/>
  <c r="M831" i="4" s="1"/>
  <c r="D831" i="4"/>
  <c r="C831" i="4"/>
  <c r="O831" i="4" s="1"/>
  <c r="B831" i="4"/>
  <c r="A831" i="4"/>
  <c r="S830" i="4"/>
  <c r="Q830" i="4"/>
  <c r="P830" i="4"/>
  <c r="L830" i="4"/>
  <c r="K830" i="4"/>
  <c r="J830" i="4"/>
  <c r="I830" i="4"/>
  <c r="H830" i="4"/>
  <c r="G830" i="4"/>
  <c r="F830" i="4"/>
  <c r="E830" i="4"/>
  <c r="M830" i="4" s="1"/>
  <c r="D830" i="4"/>
  <c r="C830" i="4"/>
  <c r="O830" i="4" s="1"/>
  <c r="B830" i="4"/>
  <c r="A830" i="4"/>
  <c r="S829" i="4"/>
  <c r="R829" i="4"/>
  <c r="Q829" i="4"/>
  <c r="P829" i="4"/>
  <c r="L829" i="4"/>
  <c r="K829" i="4"/>
  <c r="J829" i="4"/>
  <c r="I829" i="4"/>
  <c r="H829" i="4"/>
  <c r="G829" i="4"/>
  <c r="F829" i="4"/>
  <c r="E829" i="4"/>
  <c r="U829" i="4" s="1"/>
  <c r="D829" i="4"/>
  <c r="C829" i="4"/>
  <c r="O829" i="4" s="1"/>
  <c r="B829" i="4"/>
  <c r="A829" i="4"/>
  <c r="S828" i="4"/>
  <c r="R828" i="4"/>
  <c r="Q828" i="4"/>
  <c r="P828" i="4"/>
  <c r="L828" i="4"/>
  <c r="K828" i="4"/>
  <c r="J828" i="4"/>
  <c r="I828" i="4"/>
  <c r="H828" i="4"/>
  <c r="G828" i="4"/>
  <c r="F828" i="4"/>
  <c r="T828" i="4" s="1"/>
  <c r="E828" i="4"/>
  <c r="U828" i="4" s="1"/>
  <c r="D828" i="4"/>
  <c r="C828" i="4"/>
  <c r="O828" i="4" s="1"/>
  <c r="B828" i="4"/>
  <c r="A828" i="4"/>
  <c r="S827" i="4"/>
  <c r="Q827" i="4"/>
  <c r="P827" i="4"/>
  <c r="L827" i="4"/>
  <c r="K827" i="4"/>
  <c r="J827" i="4"/>
  <c r="I827" i="4"/>
  <c r="H827" i="4"/>
  <c r="G827" i="4"/>
  <c r="F827" i="4"/>
  <c r="E827" i="4"/>
  <c r="U827" i="4" s="1"/>
  <c r="D827" i="4"/>
  <c r="C827" i="4"/>
  <c r="O827" i="4" s="1"/>
  <c r="B827" i="4"/>
  <c r="A827" i="4"/>
  <c r="S826" i="4"/>
  <c r="Q826" i="4"/>
  <c r="P826" i="4"/>
  <c r="L826" i="4"/>
  <c r="K826" i="4"/>
  <c r="J826" i="4"/>
  <c r="I826" i="4"/>
  <c r="H826" i="4"/>
  <c r="G826" i="4"/>
  <c r="F826" i="4"/>
  <c r="E826" i="4"/>
  <c r="U826" i="4" s="1"/>
  <c r="D826" i="4"/>
  <c r="C826" i="4"/>
  <c r="O826" i="4" s="1"/>
  <c r="B826" i="4"/>
  <c r="A826" i="4"/>
  <c r="S825" i="4"/>
  <c r="Q825" i="4"/>
  <c r="P825" i="4"/>
  <c r="L825" i="4"/>
  <c r="K825" i="4"/>
  <c r="J825" i="4"/>
  <c r="I825" i="4"/>
  <c r="H825" i="4"/>
  <c r="G825" i="4"/>
  <c r="F825" i="4"/>
  <c r="E825" i="4"/>
  <c r="U825" i="4" s="1"/>
  <c r="D825" i="4"/>
  <c r="C825" i="4"/>
  <c r="O825" i="4" s="1"/>
  <c r="B825" i="4"/>
  <c r="A825" i="4"/>
  <c r="S824" i="4"/>
  <c r="Q824" i="4"/>
  <c r="P824" i="4"/>
  <c r="L824" i="4"/>
  <c r="K824" i="4"/>
  <c r="J824" i="4"/>
  <c r="I824" i="4"/>
  <c r="H824" i="4"/>
  <c r="G824" i="4"/>
  <c r="F824" i="4"/>
  <c r="E824" i="4"/>
  <c r="U824" i="4" s="1"/>
  <c r="D824" i="4"/>
  <c r="C824" i="4"/>
  <c r="O824" i="4" s="1"/>
  <c r="B824" i="4"/>
  <c r="A824" i="4"/>
  <c r="S823" i="4"/>
  <c r="Q823" i="4"/>
  <c r="P823" i="4"/>
  <c r="M823" i="4"/>
  <c r="L823" i="4"/>
  <c r="K823" i="4"/>
  <c r="J823" i="4"/>
  <c r="I823" i="4"/>
  <c r="H823" i="4"/>
  <c r="G823" i="4"/>
  <c r="F823" i="4"/>
  <c r="T823" i="4" s="1"/>
  <c r="E823" i="4"/>
  <c r="U823" i="4" s="1"/>
  <c r="D823" i="4"/>
  <c r="C823" i="4"/>
  <c r="O823" i="4" s="1"/>
  <c r="B823" i="4"/>
  <c r="A823" i="4"/>
  <c r="S822" i="4"/>
  <c r="Q822" i="4"/>
  <c r="P822" i="4"/>
  <c r="R822" i="4" s="1"/>
  <c r="L822" i="4"/>
  <c r="K822" i="4"/>
  <c r="J822" i="4"/>
  <c r="I822" i="4"/>
  <c r="H822" i="4"/>
  <c r="G822" i="4"/>
  <c r="F822" i="4"/>
  <c r="E822" i="4"/>
  <c r="D822" i="4"/>
  <c r="C822" i="4"/>
  <c r="O822" i="4" s="1"/>
  <c r="B822" i="4"/>
  <c r="A822" i="4"/>
  <c r="S821" i="4"/>
  <c r="Q821" i="4"/>
  <c r="P821" i="4"/>
  <c r="R821" i="4" s="1"/>
  <c r="L821" i="4"/>
  <c r="K821" i="4"/>
  <c r="J821" i="4"/>
  <c r="I821" i="4"/>
  <c r="H821" i="4"/>
  <c r="G821" i="4"/>
  <c r="F821" i="4"/>
  <c r="E821" i="4"/>
  <c r="D821" i="4"/>
  <c r="C821" i="4"/>
  <c r="O821" i="4" s="1"/>
  <c r="B821" i="4"/>
  <c r="A821" i="4"/>
  <c r="S820" i="4"/>
  <c r="Q820" i="4"/>
  <c r="P820" i="4"/>
  <c r="L820" i="4"/>
  <c r="K820" i="4"/>
  <c r="J820" i="4"/>
  <c r="I820" i="4"/>
  <c r="H820" i="4"/>
  <c r="G820" i="4"/>
  <c r="F820" i="4"/>
  <c r="T820" i="4" s="1"/>
  <c r="E820" i="4"/>
  <c r="D820" i="4"/>
  <c r="C820" i="4"/>
  <c r="O820" i="4" s="1"/>
  <c r="B820" i="4"/>
  <c r="A820" i="4"/>
  <c r="S819" i="4"/>
  <c r="Q819" i="4"/>
  <c r="P819" i="4"/>
  <c r="N819" i="4"/>
  <c r="L819" i="4"/>
  <c r="K819" i="4"/>
  <c r="J819" i="4"/>
  <c r="I819" i="4"/>
  <c r="H819" i="4"/>
  <c r="G819" i="4"/>
  <c r="F819" i="4"/>
  <c r="T819" i="4" s="1"/>
  <c r="E819" i="4"/>
  <c r="U819" i="4" s="1"/>
  <c r="D819" i="4"/>
  <c r="C819" i="4"/>
  <c r="O819" i="4" s="1"/>
  <c r="B819" i="4"/>
  <c r="A819" i="4"/>
  <c r="S818" i="4"/>
  <c r="Q818" i="4"/>
  <c r="P818" i="4"/>
  <c r="L818" i="4"/>
  <c r="K818" i="4"/>
  <c r="J818" i="4"/>
  <c r="I818" i="4"/>
  <c r="H818" i="4"/>
  <c r="G818" i="4"/>
  <c r="F818" i="4"/>
  <c r="E818" i="4"/>
  <c r="N818" i="4" s="1"/>
  <c r="D818" i="4"/>
  <c r="C818" i="4"/>
  <c r="O818" i="4" s="1"/>
  <c r="B818" i="4"/>
  <c r="A818" i="4"/>
  <c r="S817" i="4"/>
  <c r="Q817" i="4"/>
  <c r="P817" i="4"/>
  <c r="N817" i="4"/>
  <c r="L817" i="4"/>
  <c r="K817" i="4"/>
  <c r="J817" i="4"/>
  <c r="I817" i="4"/>
  <c r="H817" i="4"/>
  <c r="G817" i="4"/>
  <c r="F817" i="4"/>
  <c r="T817" i="4" s="1"/>
  <c r="E817" i="4"/>
  <c r="U817" i="4" s="1"/>
  <c r="D817" i="4"/>
  <c r="C817" i="4"/>
  <c r="O817" i="4" s="1"/>
  <c r="B817" i="4"/>
  <c r="A817" i="4"/>
  <c r="S816" i="4"/>
  <c r="Q816" i="4"/>
  <c r="P816" i="4"/>
  <c r="L816" i="4"/>
  <c r="K816" i="4"/>
  <c r="J816" i="4"/>
  <c r="I816" i="4"/>
  <c r="H816" i="4"/>
  <c r="G816" i="4"/>
  <c r="F816" i="4"/>
  <c r="E816" i="4"/>
  <c r="U816" i="4" s="1"/>
  <c r="D816" i="4"/>
  <c r="C816" i="4"/>
  <c r="O816" i="4" s="1"/>
  <c r="B816" i="4"/>
  <c r="A816" i="4"/>
  <c r="S815" i="4"/>
  <c r="Q815" i="4"/>
  <c r="P815" i="4"/>
  <c r="R815" i="4" s="1"/>
  <c r="L815" i="4"/>
  <c r="K815" i="4"/>
  <c r="J815" i="4"/>
  <c r="I815" i="4"/>
  <c r="H815" i="4"/>
  <c r="G815" i="4"/>
  <c r="F815" i="4"/>
  <c r="E815" i="4"/>
  <c r="N815" i="4" s="1"/>
  <c r="D815" i="4"/>
  <c r="C815" i="4"/>
  <c r="O815" i="4" s="1"/>
  <c r="B815" i="4"/>
  <c r="A815" i="4"/>
  <c r="S814" i="4"/>
  <c r="Q814" i="4"/>
  <c r="P814" i="4"/>
  <c r="L814" i="4"/>
  <c r="K814" i="4"/>
  <c r="J814" i="4"/>
  <c r="I814" i="4"/>
  <c r="H814" i="4"/>
  <c r="G814" i="4"/>
  <c r="F814" i="4"/>
  <c r="T814" i="4" s="1"/>
  <c r="E814" i="4"/>
  <c r="U814" i="4" s="1"/>
  <c r="D814" i="4"/>
  <c r="C814" i="4"/>
  <c r="O814" i="4" s="1"/>
  <c r="B814" i="4"/>
  <c r="A814" i="4"/>
  <c r="S813" i="4"/>
  <c r="Q813" i="4"/>
  <c r="P813" i="4"/>
  <c r="R813" i="4" s="1"/>
  <c r="L813" i="4"/>
  <c r="K813" i="4"/>
  <c r="J813" i="4"/>
  <c r="I813" i="4"/>
  <c r="H813" i="4"/>
  <c r="G813" i="4"/>
  <c r="F813" i="4"/>
  <c r="E813" i="4"/>
  <c r="D813" i="4"/>
  <c r="C813" i="4"/>
  <c r="O813" i="4" s="1"/>
  <c r="B813" i="4"/>
  <c r="A813" i="4"/>
  <c r="S812" i="4"/>
  <c r="Q812" i="4"/>
  <c r="P812" i="4"/>
  <c r="O812" i="4"/>
  <c r="L812" i="4"/>
  <c r="K812" i="4"/>
  <c r="J812" i="4"/>
  <c r="I812" i="4"/>
  <c r="H812" i="4"/>
  <c r="G812" i="4"/>
  <c r="F812" i="4"/>
  <c r="E812" i="4"/>
  <c r="U812" i="4" s="1"/>
  <c r="D812" i="4"/>
  <c r="C812" i="4"/>
  <c r="B812" i="4"/>
  <c r="A812" i="4"/>
  <c r="S811" i="4"/>
  <c r="Q811" i="4"/>
  <c r="P811" i="4"/>
  <c r="L811" i="4"/>
  <c r="K811" i="4"/>
  <c r="J811" i="4"/>
  <c r="I811" i="4"/>
  <c r="H811" i="4"/>
  <c r="G811" i="4"/>
  <c r="F811" i="4"/>
  <c r="T811" i="4" s="1"/>
  <c r="E811" i="4"/>
  <c r="N811" i="4" s="1"/>
  <c r="D811" i="4"/>
  <c r="C811" i="4"/>
  <c r="O811" i="4" s="1"/>
  <c r="B811" i="4"/>
  <c r="A811" i="4"/>
  <c r="S810" i="4"/>
  <c r="Q810" i="4"/>
  <c r="P810" i="4"/>
  <c r="L810" i="4"/>
  <c r="K810" i="4"/>
  <c r="J810" i="4"/>
  <c r="I810" i="4"/>
  <c r="H810" i="4"/>
  <c r="G810" i="4"/>
  <c r="F810" i="4"/>
  <c r="T810" i="4" s="1"/>
  <c r="E810" i="4"/>
  <c r="N810" i="4" s="1"/>
  <c r="D810" i="4"/>
  <c r="C810" i="4"/>
  <c r="O810" i="4" s="1"/>
  <c r="B810" i="4"/>
  <c r="A810" i="4"/>
  <c r="S809" i="4"/>
  <c r="Q809" i="4"/>
  <c r="P809" i="4"/>
  <c r="L809" i="4"/>
  <c r="K809" i="4"/>
  <c r="J809" i="4"/>
  <c r="I809" i="4"/>
  <c r="H809" i="4"/>
  <c r="G809" i="4"/>
  <c r="F809" i="4"/>
  <c r="T809" i="4" s="1"/>
  <c r="E809" i="4"/>
  <c r="U809" i="4" s="1"/>
  <c r="D809" i="4"/>
  <c r="C809" i="4"/>
  <c r="O809" i="4" s="1"/>
  <c r="B809" i="4"/>
  <c r="A809" i="4"/>
  <c r="S808" i="4"/>
  <c r="Q808" i="4"/>
  <c r="P808" i="4"/>
  <c r="R808" i="4" s="1"/>
  <c r="N808" i="4"/>
  <c r="L808" i="4"/>
  <c r="K808" i="4"/>
  <c r="J808" i="4"/>
  <c r="I808" i="4"/>
  <c r="H808" i="4"/>
  <c r="G808" i="4"/>
  <c r="F808" i="4"/>
  <c r="E808" i="4"/>
  <c r="M808" i="4" s="1"/>
  <c r="D808" i="4"/>
  <c r="C808" i="4"/>
  <c r="O808" i="4" s="1"/>
  <c r="B808" i="4"/>
  <c r="A808" i="4"/>
  <c r="S807" i="4"/>
  <c r="Q807" i="4"/>
  <c r="P807" i="4"/>
  <c r="R807" i="4" s="1"/>
  <c r="O807" i="4"/>
  <c r="N807" i="4"/>
  <c r="M807" i="4"/>
  <c r="L807" i="4"/>
  <c r="K807" i="4"/>
  <c r="J807" i="4"/>
  <c r="I807" i="4"/>
  <c r="H807" i="4"/>
  <c r="G807" i="4"/>
  <c r="F807" i="4"/>
  <c r="T807" i="4" s="1"/>
  <c r="E807" i="4"/>
  <c r="U807" i="4" s="1"/>
  <c r="D807" i="4"/>
  <c r="C807" i="4"/>
  <c r="B807" i="4"/>
  <c r="A807" i="4"/>
  <c r="S806" i="4"/>
  <c r="Q806" i="4"/>
  <c r="P806" i="4"/>
  <c r="N806" i="4"/>
  <c r="L806" i="4"/>
  <c r="K806" i="4"/>
  <c r="J806" i="4"/>
  <c r="I806" i="4"/>
  <c r="H806" i="4"/>
  <c r="G806" i="4"/>
  <c r="F806" i="4"/>
  <c r="E806" i="4"/>
  <c r="M806" i="4" s="1"/>
  <c r="D806" i="4"/>
  <c r="C806" i="4"/>
  <c r="O806" i="4" s="1"/>
  <c r="B806" i="4"/>
  <c r="A806" i="4"/>
  <c r="U805" i="4"/>
  <c r="S805" i="4"/>
  <c r="Q805" i="4"/>
  <c r="P805" i="4"/>
  <c r="N805" i="4"/>
  <c r="M805" i="4"/>
  <c r="L805" i="4"/>
  <c r="K805" i="4"/>
  <c r="J805" i="4"/>
  <c r="I805" i="4"/>
  <c r="H805" i="4"/>
  <c r="G805" i="4"/>
  <c r="F805" i="4"/>
  <c r="E805" i="4"/>
  <c r="D805" i="4"/>
  <c r="C805" i="4"/>
  <c r="O805" i="4" s="1"/>
  <c r="B805" i="4"/>
  <c r="A805" i="4"/>
  <c r="S804" i="4"/>
  <c r="Q804" i="4"/>
  <c r="R804" i="4" s="1"/>
  <c r="P804" i="4"/>
  <c r="N804" i="4"/>
  <c r="L804" i="4"/>
  <c r="K804" i="4"/>
  <c r="J804" i="4"/>
  <c r="I804" i="4"/>
  <c r="H804" i="4"/>
  <c r="G804" i="4"/>
  <c r="F804" i="4"/>
  <c r="E804" i="4"/>
  <c r="M804" i="4" s="1"/>
  <c r="D804" i="4"/>
  <c r="C804" i="4"/>
  <c r="O804" i="4" s="1"/>
  <c r="B804" i="4"/>
  <c r="A804" i="4"/>
  <c r="U803" i="4"/>
  <c r="S803" i="4"/>
  <c r="Q803" i="4"/>
  <c r="P803" i="4"/>
  <c r="L803" i="4"/>
  <c r="K803" i="4"/>
  <c r="J803" i="4"/>
  <c r="I803" i="4"/>
  <c r="H803" i="4"/>
  <c r="G803" i="4"/>
  <c r="F803" i="4"/>
  <c r="E803" i="4"/>
  <c r="N803" i="4" s="1"/>
  <c r="D803" i="4"/>
  <c r="C803" i="4"/>
  <c r="O803" i="4" s="1"/>
  <c r="B803" i="4"/>
  <c r="A803" i="4"/>
  <c r="S802" i="4"/>
  <c r="Q802" i="4"/>
  <c r="P802" i="4"/>
  <c r="L802" i="4"/>
  <c r="K802" i="4"/>
  <c r="J802" i="4"/>
  <c r="I802" i="4"/>
  <c r="H802" i="4"/>
  <c r="G802" i="4"/>
  <c r="F802" i="4"/>
  <c r="E802" i="4"/>
  <c r="N802" i="4" s="1"/>
  <c r="D802" i="4"/>
  <c r="C802" i="4"/>
  <c r="O802" i="4" s="1"/>
  <c r="B802" i="4"/>
  <c r="A802" i="4"/>
  <c r="S801" i="4"/>
  <c r="Q801" i="4"/>
  <c r="P801" i="4"/>
  <c r="L801" i="4"/>
  <c r="K801" i="4"/>
  <c r="J801" i="4"/>
  <c r="I801" i="4"/>
  <c r="H801" i="4"/>
  <c r="G801" i="4"/>
  <c r="F801" i="4"/>
  <c r="T801" i="4" s="1"/>
  <c r="E801" i="4"/>
  <c r="U801" i="4" s="1"/>
  <c r="D801" i="4"/>
  <c r="C801" i="4"/>
  <c r="O801" i="4" s="1"/>
  <c r="B801" i="4"/>
  <c r="A801" i="4"/>
  <c r="S800" i="4"/>
  <c r="Q800" i="4"/>
  <c r="P800" i="4"/>
  <c r="L800" i="4"/>
  <c r="K800" i="4"/>
  <c r="J800" i="4"/>
  <c r="I800" i="4"/>
  <c r="H800" i="4"/>
  <c r="G800" i="4"/>
  <c r="F800" i="4"/>
  <c r="E800" i="4"/>
  <c r="U800" i="4" s="1"/>
  <c r="D800" i="4"/>
  <c r="C800" i="4"/>
  <c r="O800" i="4" s="1"/>
  <c r="B800" i="4"/>
  <c r="A800" i="4"/>
  <c r="S799" i="4"/>
  <c r="Q799" i="4"/>
  <c r="P799" i="4"/>
  <c r="L799" i="4"/>
  <c r="K799" i="4"/>
  <c r="J799" i="4"/>
  <c r="I799" i="4"/>
  <c r="H799" i="4"/>
  <c r="G799" i="4"/>
  <c r="F799" i="4"/>
  <c r="E799" i="4"/>
  <c r="D799" i="4"/>
  <c r="C799" i="4"/>
  <c r="O799" i="4" s="1"/>
  <c r="B799" i="4"/>
  <c r="A799" i="4"/>
  <c r="S798" i="4"/>
  <c r="Q798" i="4"/>
  <c r="P798" i="4"/>
  <c r="N798" i="4"/>
  <c r="L798" i="4"/>
  <c r="K798" i="4"/>
  <c r="J798" i="4"/>
  <c r="I798" i="4"/>
  <c r="H798" i="4"/>
  <c r="G798" i="4"/>
  <c r="F798" i="4"/>
  <c r="T798" i="4" s="1"/>
  <c r="E798" i="4"/>
  <c r="U798" i="4" s="1"/>
  <c r="D798" i="4"/>
  <c r="C798" i="4"/>
  <c r="O798" i="4" s="1"/>
  <c r="B798" i="4"/>
  <c r="A798" i="4"/>
  <c r="S797" i="4"/>
  <c r="Q797" i="4"/>
  <c r="P797" i="4"/>
  <c r="R797" i="4" s="1"/>
  <c r="L797" i="4"/>
  <c r="K797" i="4"/>
  <c r="J797" i="4"/>
  <c r="I797" i="4"/>
  <c r="H797" i="4"/>
  <c r="G797" i="4"/>
  <c r="F797" i="4"/>
  <c r="E797" i="4"/>
  <c r="N797" i="4" s="1"/>
  <c r="D797" i="4"/>
  <c r="C797" i="4"/>
  <c r="O797" i="4" s="1"/>
  <c r="B797" i="4"/>
  <c r="A797" i="4"/>
  <c r="S796" i="4"/>
  <c r="Q796" i="4"/>
  <c r="P796" i="4"/>
  <c r="R796" i="4" s="1"/>
  <c r="L796" i="4"/>
  <c r="K796" i="4"/>
  <c r="J796" i="4"/>
  <c r="I796" i="4"/>
  <c r="H796" i="4"/>
  <c r="G796" i="4"/>
  <c r="F796" i="4"/>
  <c r="T796" i="4" s="1"/>
  <c r="E796" i="4"/>
  <c r="U796" i="4" s="1"/>
  <c r="D796" i="4"/>
  <c r="C796" i="4"/>
  <c r="O796" i="4" s="1"/>
  <c r="B796" i="4"/>
  <c r="A796" i="4"/>
  <c r="S795" i="4"/>
  <c r="Q795" i="4"/>
  <c r="P795" i="4"/>
  <c r="R795" i="4" s="1"/>
  <c r="L795" i="4"/>
  <c r="K795" i="4"/>
  <c r="J795" i="4"/>
  <c r="I795" i="4"/>
  <c r="H795" i="4"/>
  <c r="G795" i="4"/>
  <c r="F795" i="4"/>
  <c r="E795" i="4"/>
  <c r="U795" i="4" s="1"/>
  <c r="D795" i="4"/>
  <c r="C795" i="4"/>
  <c r="O795" i="4" s="1"/>
  <c r="B795" i="4"/>
  <c r="A795" i="4"/>
  <c r="S794" i="4"/>
  <c r="Q794" i="4"/>
  <c r="P794" i="4"/>
  <c r="L794" i="4"/>
  <c r="K794" i="4"/>
  <c r="J794" i="4"/>
  <c r="I794" i="4"/>
  <c r="H794" i="4"/>
  <c r="G794" i="4"/>
  <c r="F794" i="4"/>
  <c r="E794" i="4"/>
  <c r="N794" i="4" s="1"/>
  <c r="D794" i="4"/>
  <c r="C794" i="4"/>
  <c r="O794" i="4" s="1"/>
  <c r="B794" i="4"/>
  <c r="A794" i="4"/>
  <c r="S793" i="4"/>
  <c r="Q793" i="4"/>
  <c r="P793" i="4"/>
  <c r="R793" i="4" s="1"/>
  <c r="L793" i="4"/>
  <c r="K793" i="4"/>
  <c r="J793" i="4"/>
  <c r="I793" i="4"/>
  <c r="H793" i="4"/>
  <c r="G793" i="4"/>
  <c r="F793" i="4"/>
  <c r="E793" i="4"/>
  <c r="U793" i="4" s="1"/>
  <c r="D793" i="4"/>
  <c r="C793" i="4"/>
  <c r="O793" i="4" s="1"/>
  <c r="B793" i="4"/>
  <c r="A793" i="4"/>
  <c r="S792" i="4"/>
  <c r="Q792" i="4"/>
  <c r="P792" i="4"/>
  <c r="R792" i="4" s="1"/>
  <c r="L792" i="4"/>
  <c r="K792" i="4"/>
  <c r="J792" i="4"/>
  <c r="I792" i="4"/>
  <c r="H792" i="4"/>
  <c r="G792" i="4"/>
  <c r="F792" i="4"/>
  <c r="E792" i="4"/>
  <c r="N792" i="4" s="1"/>
  <c r="D792" i="4"/>
  <c r="C792" i="4"/>
  <c r="O792" i="4" s="1"/>
  <c r="B792" i="4"/>
  <c r="A792" i="4"/>
  <c r="S791" i="4"/>
  <c r="Q791" i="4"/>
  <c r="P791" i="4"/>
  <c r="L791" i="4"/>
  <c r="K791" i="4"/>
  <c r="J791" i="4"/>
  <c r="I791" i="4"/>
  <c r="H791" i="4"/>
  <c r="G791" i="4"/>
  <c r="F791" i="4"/>
  <c r="E791" i="4"/>
  <c r="U791" i="4" s="1"/>
  <c r="D791" i="4"/>
  <c r="C791" i="4"/>
  <c r="O791" i="4" s="1"/>
  <c r="B791" i="4"/>
  <c r="A791" i="4"/>
  <c r="S790" i="4"/>
  <c r="Q790" i="4"/>
  <c r="P790" i="4"/>
  <c r="R790" i="4" s="1"/>
  <c r="L790" i="4"/>
  <c r="K790" i="4"/>
  <c r="J790" i="4"/>
  <c r="I790" i="4"/>
  <c r="H790" i="4"/>
  <c r="G790" i="4"/>
  <c r="F790" i="4"/>
  <c r="E790" i="4"/>
  <c r="M790" i="4" s="1"/>
  <c r="D790" i="4"/>
  <c r="C790" i="4"/>
  <c r="O790" i="4" s="1"/>
  <c r="B790" i="4"/>
  <c r="A790" i="4"/>
  <c r="S789" i="4"/>
  <c r="Q789" i="4"/>
  <c r="P789" i="4"/>
  <c r="L789" i="4"/>
  <c r="K789" i="4"/>
  <c r="J789" i="4"/>
  <c r="I789" i="4"/>
  <c r="H789" i="4"/>
  <c r="G789" i="4"/>
  <c r="F789" i="4"/>
  <c r="E789" i="4"/>
  <c r="N789" i="4" s="1"/>
  <c r="D789" i="4"/>
  <c r="C789" i="4"/>
  <c r="O789" i="4" s="1"/>
  <c r="B789" i="4"/>
  <c r="A789" i="4"/>
  <c r="S788" i="4"/>
  <c r="Q788" i="4"/>
  <c r="P788" i="4"/>
  <c r="O788" i="4"/>
  <c r="L788" i="4"/>
  <c r="K788" i="4"/>
  <c r="J788" i="4"/>
  <c r="I788" i="4"/>
  <c r="H788" i="4"/>
  <c r="G788" i="4"/>
  <c r="F788" i="4"/>
  <c r="E788" i="4"/>
  <c r="D788" i="4"/>
  <c r="C788" i="4"/>
  <c r="B788" i="4"/>
  <c r="A788" i="4"/>
  <c r="S787" i="4"/>
  <c r="Q787" i="4"/>
  <c r="P787" i="4"/>
  <c r="M787" i="4"/>
  <c r="L787" i="4"/>
  <c r="K787" i="4"/>
  <c r="J787" i="4"/>
  <c r="I787" i="4"/>
  <c r="H787" i="4"/>
  <c r="G787" i="4"/>
  <c r="F787" i="4"/>
  <c r="E787" i="4"/>
  <c r="N787" i="4" s="1"/>
  <c r="D787" i="4"/>
  <c r="C787" i="4"/>
  <c r="O787" i="4" s="1"/>
  <c r="B787" i="4"/>
  <c r="A787" i="4"/>
  <c r="S786" i="4"/>
  <c r="Q786" i="4"/>
  <c r="P786" i="4"/>
  <c r="L786" i="4"/>
  <c r="K786" i="4"/>
  <c r="J786" i="4"/>
  <c r="I786" i="4"/>
  <c r="H786" i="4"/>
  <c r="G786" i="4"/>
  <c r="F786" i="4"/>
  <c r="E786" i="4"/>
  <c r="N786" i="4" s="1"/>
  <c r="D786" i="4"/>
  <c r="C786" i="4"/>
  <c r="O786" i="4" s="1"/>
  <c r="B786" i="4"/>
  <c r="A786" i="4"/>
  <c r="S785" i="4"/>
  <c r="Q785" i="4"/>
  <c r="P785" i="4"/>
  <c r="O785" i="4"/>
  <c r="L785" i="4"/>
  <c r="K785" i="4"/>
  <c r="J785" i="4"/>
  <c r="I785" i="4"/>
  <c r="H785" i="4"/>
  <c r="G785" i="4"/>
  <c r="F785" i="4"/>
  <c r="E785" i="4"/>
  <c r="U785" i="4" s="1"/>
  <c r="D785" i="4"/>
  <c r="C785" i="4"/>
  <c r="B785" i="4"/>
  <c r="A785" i="4"/>
  <c r="S784" i="4"/>
  <c r="Q784" i="4"/>
  <c r="P784" i="4"/>
  <c r="L784" i="4"/>
  <c r="K784" i="4"/>
  <c r="J784" i="4"/>
  <c r="I784" i="4"/>
  <c r="H784" i="4"/>
  <c r="G784" i="4"/>
  <c r="F784" i="4"/>
  <c r="T784" i="4" s="1"/>
  <c r="E784" i="4"/>
  <c r="U784" i="4" s="1"/>
  <c r="D784" i="4"/>
  <c r="C784" i="4"/>
  <c r="O784" i="4" s="1"/>
  <c r="B784" i="4"/>
  <c r="A784" i="4"/>
  <c r="S783" i="4"/>
  <c r="Q783" i="4"/>
  <c r="P783" i="4"/>
  <c r="L783" i="4"/>
  <c r="K783" i="4"/>
  <c r="J783" i="4"/>
  <c r="I783" i="4"/>
  <c r="H783" i="4"/>
  <c r="G783" i="4"/>
  <c r="F783" i="4"/>
  <c r="E783" i="4"/>
  <c r="D783" i="4"/>
  <c r="C783" i="4"/>
  <c r="O783" i="4" s="1"/>
  <c r="B783" i="4"/>
  <c r="A783" i="4"/>
  <c r="S782" i="4"/>
  <c r="Q782" i="4"/>
  <c r="P782" i="4"/>
  <c r="R782" i="4" s="1"/>
  <c r="O782" i="4"/>
  <c r="N782" i="4"/>
  <c r="M782" i="4"/>
  <c r="L782" i="4"/>
  <c r="K782" i="4"/>
  <c r="J782" i="4"/>
  <c r="I782" i="4"/>
  <c r="H782" i="4"/>
  <c r="G782" i="4"/>
  <c r="F782" i="4"/>
  <c r="T782" i="4" s="1"/>
  <c r="E782" i="4"/>
  <c r="U782" i="4" s="1"/>
  <c r="D782" i="4"/>
  <c r="C782" i="4"/>
  <c r="B782" i="4"/>
  <c r="A782" i="4"/>
  <c r="S781" i="4"/>
  <c r="Q781" i="4"/>
  <c r="P781" i="4"/>
  <c r="O781" i="4"/>
  <c r="L781" i="4"/>
  <c r="K781" i="4"/>
  <c r="J781" i="4"/>
  <c r="I781" i="4"/>
  <c r="H781" i="4"/>
  <c r="G781" i="4"/>
  <c r="F781" i="4"/>
  <c r="T781" i="4" s="1"/>
  <c r="E781" i="4"/>
  <c r="N781" i="4" s="1"/>
  <c r="D781" i="4"/>
  <c r="C781" i="4"/>
  <c r="B781" i="4"/>
  <c r="A781" i="4"/>
  <c r="T780" i="4"/>
  <c r="S780" i="4"/>
  <c r="Q780" i="4"/>
  <c r="P780" i="4"/>
  <c r="N780" i="4"/>
  <c r="M780" i="4"/>
  <c r="L780" i="4"/>
  <c r="K780" i="4"/>
  <c r="J780" i="4"/>
  <c r="I780" i="4"/>
  <c r="H780" i="4"/>
  <c r="G780" i="4"/>
  <c r="F780" i="4"/>
  <c r="E780" i="4"/>
  <c r="U780" i="4" s="1"/>
  <c r="D780" i="4"/>
  <c r="C780" i="4"/>
  <c r="O780" i="4" s="1"/>
  <c r="B780" i="4"/>
  <c r="A780" i="4"/>
  <c r="T779" i="4"/>
  <c r="S779" i="4"/>
  <c r="Q779" i="4"/>
  <c r="R779" i="4" s="1"/>
  <c r="P779" i="4"/>
  <c r="M779" i="4"/>
  <c r="L779" i="4"/>
  <c r="K779" i="4"/>
  <c r="J779" i="4"/>
  <c r="I779" i="4"/>
  <c r="H779" i="4"/>
  <c r="G779" i="4"/>
  <c r="F779" i="4"/>
  <c r="E779" i="4"/>
  <c r="U779" i="4" s="1"/>
  <c r="D779" i="4"/>
  <c r="C779" i="4"/>
  <c r="O779" i="4" s="1"/>
  <c r="B779" i="4"/>
  <c r="A779" i="4"/>
  <c r="S778" i="4"/>
  <c r="Q778" i="4"/>
  <c r="P778" i="4"/>
  <c r="L778" i="4"/>
  <c r="K778" i="4"/>
  <c r="J778" i="4"/>
  <c r="I778" i="4"/>
  <c r="H778" i="4"/>
  <c r="G778" i="4"/>
  <c r="F778" i="4"/>
  <c r="E778" i="4"/>
  <c r="N778" i="4" s="1"/>
  <c r="D778" i="4"/>
  <c r="C778" i="4"/>
  <c r="O778" i="4" s="1"/>
  <c r="B778" i="4"/>
  <c r="A778" i="4"/>
  <c r="S777" i="4"/>
  <c r="Q777" i="4"/>
  <c r="P777" i="4"/>
  <c r="L777" i="4"/>
  <c r="K777" i="4"/>
  <c r="J777" i="4"/>
  <c r="I777" i="4"/>
  <c r="H777" i="4"/>
  <c r="G777" i="4"/>
  <c r="F777" i="4"/>
  <c r="E777" i="4"/>
  <c r="D777" i="4"/>
  <c r="C777" i="4"/>
  <c r="O777" i="4" s="1"/>
  <c r="B777" i="4"/>
  <c r="A777" i="4"/>
  <c r="S776" i="4"/>
  <c r="R776" i="4"/>
  <c r="Q776" i="4"/>
  <c r="P776" i="4"/>
  <c r="L776" i="4"/>
  <c r="K776" i="4"/>
  <c r="J776" i="4"/>
  <c r="I776" i="4"/>
  <c r="H776" i="4"/>
  <c r="G776" i="4"/>
  <c r="F776" i="4"/>
  <c r="E776" i="4"/>
  <c r="D776" i="4"/>
  <c r="C776" i="4"/>
  <c r="O776" i="4" s="1"/>
  <c r="B776" i="4"/>
  <c r="A776" i="4"/>
  <c r="S775" i="4"/>
  <c r="R775" i="4"/>
  <c r="Q775" i="4"/>
  <c r="P775" i="4"/>
  <c r="N775" i="4"/>
  <c r="L775" i="4"/>
  <c r="K775" i="4"/>
  <c r="J775" i="4"/>
  <c r="I775" i="4"/>
  <c r="H775" i="4"/>
  <c r="G775" i="4"/>
  <c r="F775" i="4"/>
  <c r="E775" i="4"/>
  <c r="M775" i="4" s="1"/>
  <c r="D775" i="4"/>
  <c r="C775" i="4"/>
  <c r="O775" i="4" s="1"/>
  <c r="B775" i="4"/>
  <c r="A775" i="4"/>
  <c r="U774" i="4"/>
  <c r="S774" i="4"/>
  <c r="Q774" i="4"/>
  <c r="P774" i="4"/>
  <c r="L774" i="4"/>
  <c r="K774" i="4"/>
  <c r="J774" i="4"/>
  <c r="I774" i="4"/>
  <c r="H774" i="4"/>
  <c r="G774" i="4"/>
  <c r="F774" i="4"/>
  <c r="E774" i="4"/>
  <c r="M774" i="4" s="1"/>
  <c r="D774" i="4"/>
  <c r="C774" i="4"/>
  <c r="O774" i="4" s="1"/>
  <c r="B774" i="4"/>
  <c r="A774" i="4"/>
  <c r="S773" i="4"/>
  <c r="Q773" i="4"/>
  <c r="P773" i="4"/>
  <c r="L773" i="4"/>
  <c r="K773" i="4"/>
  <c r="J773" i="4"/>
  <c r="I773" i="4"/>
  <c r="H773" i="4"/>
  <c r="G773" i="4"/>
  <c r="F773" i="4"/>
  <c r="E773" i="4"/>
  <c r="U773" i="4" s="1"/>
  <c r="D773" i="4"/>
  <c r="C773" i="4"/>
  <c r="O773" i="4" s="1"/>
  <c r="B773" i="4"/>
  <c r="A773" i="4"/>
  <c r="S772" i="4"/>
  <c r="Q772" i="4"/>
  <c r="P772" i="4"/>
  <c r="L772" i="4"/>
  <c r="K772" i="4"/>
  <c r="J772" i="4"/>
  <c r="I772" i="4"/>
  <c r="H772" i="4"/>
  <c r="G772" i="4"/>
  <c r="F772" i="4"/>
  <c r="T772" i="4" s="1"/>
  <c r="E772" i="4"/>
  <c r="M772" i="4" s="1"/>
  <c r="D772" i="4"/>
  <c r="C772" i="4"/>
  <c r="O772" i="4" s="1"/>
  <c r="B772" i="4"/>
  <c r="A772" i="4"/>
  <c r="U771" i="4"/>
  <c r="S771" i="4"/>
  <c r="Q771" i="4"/>
  <c r="P771" i="4"/>
  <c r="L771" i="4"/>
  <c r="K771" i="4"/>
  <c r="J771" i="4"/>
  <c r="I771" i="4"/>
  <c r="H771" i="4"/>
  <c r="G771" i="4"/>
  <c r="F771" i="4"/>
  <c r="T771" i="4" s="1"/>
  <c r="E771" i="4"/>
  <c r="N771" i="4" s="1"/>
  <c r="D771" i="4"/>
  <c r="C771" i="4"/>
  <c r="O771" i="4" s="1"/>
  <c r="B771" i="4"/>
  <c r="A771" i="4"/>
  <c r="U770" i="4"/>
  <c r="S770" i="4"/>
  <c r="Q770" i="4"/>
  <c r="P770" i="4"/>
  <c r="L770" i="4"/>
  <c r="K770" i="4"/>
  <c r="J770" i="4"/>
  <c r="I770" i="4"/>
  <c r="H770" i="4"/>
  <c r="G770" i="4"/>
  <c r="F770" i="4"/>
  <c r="E770" i="4"/>
  <c r="D770" i="4"/>
  <c r="C770" i="4"/>
  <c r="O770" i="4" s="1"/>
  <c r="B770" i="4"/>
  <c r="A770" i="4"/>
  <c r="S769" i="4"/>
  <c r="Q769" i="4"/>
  <c r="P769" i="4"/>
  <c r="M769" i="4"/>
  <c r="L769" i="4"/>
  <c r="K769" i="4"/>
  <c r="J769" i="4"/>
  <c r="I769" i="4"/>
  <c r="H769" i="4"/>
  <c r="G769" i="4"/>
  <c r="F769" i="4"/>
  <c r="T769" i="4" s="1"/>
  <c r="E769" i="4"/>
  <c r="N769" i="4" s="1"/>
  <c r="D769" i="4"/>
  <c r="C769" i="4"/>
  <c r="O769" i="4" s="1"/>
  <c r="B769" i="4"/>
  <c r="A769" i="4"/>
  <c r="S768" i="4"/>
  <c r="Q768" i="4"/>
  <c r="P768" i="4"/>
  <c r="M768" i="4"/>
  <c r="L768" i="4"/>
  <c r="K768" i="4"/>
  <c r="J768" i="4"/>
  <c r="I768" i="4"/>
  <c r="H768" i="4"/>
  <c r="G768" i="4"/>
  <c r="F768" i="4"/>
  <c r="T768" i="4" s="1"/>
  <c r="E768" i="4"/>
  <c r="U768" i="4" s="1"/>
  <c r="D768" i="4"/>
  <c r="C768" i="4"/>
  <c r="O768" i="4" s="1"/>
  <c r="B768" i="4"/>
  <c r="A768" i="4"/>
  <c r="S767" i="4"/>
  <c r="Q767" i="4"/>
  <c r="P767" i="4"/>
  <c r="L767" i="4"/>
  <c r="K767" i="4"/>
  <c r="J767" i="4"/>
  <c r="I767" i="4"/>
  <c r="H767" i="4"/>
  <c r="G767" i="4"/>
  <c r="F767" i="4"/>
  <c r="E767" i="4"/>
  <c r="N767" i="4" s="1"/>
  <c r="D767" i="4"/>
  <c r="C767" i="4"/>
  <c r="O767" i="4" s="1"/>
  <c r="B767" i="4"/>
  <c r="A767" i="4"/>
  <c r="S766" i="4"/>
  <c r="Q766" i="4"/>
  <c r="P766" i="4"/>
  <c r="O766" i="4"/>
  <c r="N766" i="4"/>
  <c r="M766" i="4"/>
  <c r="L766" i="4"/>
  <c r="K766" i="4"/>
  <c r="J766" i="4"/>
  <c r="I766" i="4"/>
  <c r="H766" i="4"/>
  <c r="G766" i="4"/>
  <c r="F766" i="4"/>
  <c r="T766" i="4" s="1"/>
  <c r="E766" i="4"/>
  <c r="U766" i="4" s="1"/>
  <c r="D766" i="4"/>
  <c r="C766" i="4"/>
  <c r="B766" i="4"/>
  <c r="A766" i="4"/>
  <c r="U765" i="4"/>
  <c r="T765" i="4"/>
  <c r="S765" i="4"/>
  <c r="Q765" i="4"/>
  <c r="P765" i="4"/>
  <c r="R765" i="4" s="1"/>
  <c r="M765" i="4"/>
  <c r="L765" i="4"/>
  <c r="K765" i="4"/>
  <c r="J765" i="4"/>
  <c r="I765" i="4"/>
  <c r="H765" i="4"/>
  <c r="G765" i="4"/>
  <c r="F765" i="4"/>
  <c r="E765" i="4"/>
  <c r="N765" i="4" s="1"/>
  <c r="D765" i="4"/>
  <c r="C765" i="4"/>
  <c r="O765" i="4" s="1"/>
  <c r="B765" i="4"/>
  <c r="A765" i="4"/>
  <c r="S764" i="4"/>
  <c r="Q764" i="4"/>
  <c r="P764" i="4"/>
  <c r="R764" i="4" s="1"/>
  <c r="L764" i="4"/>
  <c r="K764" i="4"/>
  <c r="J764" i="4"/>
  <c r="I764" i="4"/>
  <c r="H764" i="4"/>
  <c r="G764" i="4"/>
  <c r="F764" i="4"/>
  <c r="E764" i="4"/>
  <c r="U764" i="4" s="1"/>
  <c r="D764" i="4"/>
  <c r="C764" i="4"/>
  <c r="O764" i="4" s="1"/>
  <c r="B764" i="4"/>
  <c r="A764" i="4"/>
  <c r="S763" i="4"/>
  <c r="Q763" i="4"/>
  <c r="P763" i="4"/>
  <c r="L763" i="4"/>
  <c r="K763" i="4"/>
  <c r="J763" i="4"/>
  <c r="I763" i="4"/>
  <c r="H763" i="4"/>
  <c r="G763" i="4"/>
  <c r="F763" i="4"/>
  <c r="E763" i="4"/>
  <c r="D763" i="4"/>
  <c r="C763" i="4"/>
  <c r="O763" i="4" s="1"/>
  <c r="B763" i="4"/>
  <c r="A763" i="4"/>
  <c r="S762" i="4"/>
  <c r="Q762" i="4"/>
  <c r="P762" i="4"/>
  <c r="L762" i="4"/>
  <c r="K762" i="4"/>
  <c r="J762" i="4"/>
  <c r="I762" i="4"/>
  <c r="H762" i="4"/>
  <c r="G762" i="4"/>
  <c r="F762" i="4"/>
  <c r="E762" i="4"/>
  <c r="M762" i="4" s="1"/>
  <c r="D762" i="4"/>
  <c r="C762" i="4"/>
  <c r="O762" i="4" s="1"/>
  <c r="B762" i="4"/>
  <c r="A762" i="4"/>
  <c r="S761" i="4"/>
  <c r="Q761" i="4"/>
  <c r="R761" i="4" s="1"/>
  <c r="P761" i="4"/>
  <c r="N761" i="4"/>
  <c r="L761" i="4"/>
  <c r="K761" i="4"/>
  <c r="J761" i="4"/>
  <c r="I761" i="4"/>
  <c r="H761" i="4"/>
  <c r="G761" i="4"/>
  <c r="F761" i="4"/>
  <c r="E761" i="4"/>
  <c r="D761" i="4"/>
  <c r="C761" i="4"/>
  <c r="O761" i="4" s="1"/>
  <c r="B761" i="4"/>
  <c r="A761" i="4"/>
  <c r="S760" i="4"/>
  <c r="Q760" i="4"/>
  <c r="P760" i="4"/>
  <c r="R760" i="4" s="1"/>
  <c r="L760" i="4"/>
  <c r="K760" i="4"/>
  <c r="J760" i="4"/>
  <c r="I760" i="4"/>
  <c r="H760" i="4"/>
  <c r="G760" i="4"/>
  <c r="F760" i="4"/>
  <c r="E760" i="4"/>
  <c r="D760" i="4"/>
  <c r="C760" i="4"/>
  <c r="O760" i="4" s="1"/>
  <c r="B760" i="4"/>
  <c r="A760" i="4"/>
  <c r="S759" i="4"/>
  <c r="Q759" i="4"/>
  <c r="P759" i="4"/>
  <c r="R759" i="4" s="1"/>
  <c r="L759" i="4"/>
  <c r="K759" i="4"/>
  <c r="J759" i="4"/>
  <c r="I759" i="4"/>
  <c r="H759" i="4"/>
  <c r="G759" i="4"/>
  <c r="F759" i="4"/>
  <c r="E759" i="4"/>
  <c r="M759" i="4" s="1"/>
  <c r="D759" i="4"/>
  <c r="C759" i="4"/>
  <c r="O759" i="4" s="1"/>
  <c r="B759" i="4"/>
  <c r="A759" i="4"/>
  <c r="S758" i="4"/>
  <c r="Q758" i="4"/>
  <c r="P758" i="4"/>
  <c r="N758" i="4"/>
  <c r="L758" i="4"/>
  <c r="K758" i="4"/>
  <c r="J758" i="4"/>
  <c r="I758" i="4"/>
  <c r="H758" i="4"/>
  <c r="G758" i="4"/>
  <c r="F758" i="4"/>
  <c r="T758" i="4" s="1"/>
  <c r="E758" i="4"/>
  <c r="M758" i="4" s="1"/>
  <c r="D758" i="4"/>
  <c r="C758" i="4"/>
  <c r="O758" i="4" s="1"/>
  <c r="B758" i="4"/>
  <c r="A758" i="4"/>
  <c r="S757" i="4"/>
  <c r="Q757" i="4"/>
  <c r="P757" i="4"/>
  <c r="L757" i="4"/>
  <c r="K757" i="4"/>
  <c r="J757" i="4"/>
  <c r="I757" i="4"/>
  <c r="H757" i="4"/>
  <c r="G757" i="4"/>
  <c r="F757" i="4"/>
  <c r="E757" i="4"/>
  <c r="U757" i="4" s="1"/>
  <c r="D757" i="4"/>
  <c r="C757" i="4"/>
  <c r="O757" i="4" s="1"/>
  <c r="B757" i="4"/>
  <c r="A757" i="4"/>
  <c r="S756" i="4"/>
  <c r="Q756" i="4"/>
  <c r="P756" i="4"/>
  <c r="L756" i="4"/>
  <c r="K756" i="4"/>
  <c r="J756" i="4"/>
  <c r="I756" i="4"/>
  <c r="H756" i="4"/>
  <c r="G756" i="4"/>
  <c r="F756" i="4"/>
  <c r="E756" i="4"/>
  <c r="M756" i="4" s="1"/>
  <c r="D756" i="4"/>
  <c r="C756" i="4"/>
  <c r="O756" i="4" s="1"/>
  <c r="B756" i="4"/>
  <c r="A756" i="4"/>
  <c r="S755" i="4"/>
  <c r="Q755" i="4"/>
  <c r="P755" i="4"/>
  <c r="N755" i="4"/>
  <c r="L755" i="4"/>
  <c r="K755" i="4"/>
  <c r="J755" i="4"/>
  <c r="I755" i="4"/>
  <c r="H755" i="4"/>
  <c r="G755" i="4"/>
  <c r="F755" i="4"/>
  <c r="T755" i="4" s="1"/>
  <c r="E755" i="4"/>
  <c r="U755" i="4" s="1"/>
  <c r="D755" i="4"/>
  <c r="C755" i="4"/>
  <c r="O755" i="4" s="1"/>
  <c r="B755" i="4"/>
  <c r="A755" i="4"/>
  <c r="S754" i="4"/>
  <c r="Q754" i="4"/>
  <c r="P754" i="4"/>
  <c r="R754" i="4" s="1"/>
  <c r="L754" i="4"/>
  <c r="K754" i="4"/>
  <c r="J754" i="4"/>
  <c r="I754" i="4"/>
  <c r="H754" i="4"/>
  <c r="G754" i="4"/>
  <c r="F754" i="4"/>
  <c r="E754" i="4"/>
  <c r="U754" i="4" s="1"/>
  <c r="D754" i="4"/>
  <c r="C754" i="4"/>
  <c r="O754" i="4" s="1"/>
  <c r="B754" i="4"/>
  <c r="A754" i="4"/>
  <c r="S753" i="4"/>
  <c r="Q753" i="4"/>
  <c r="P753" i="4"/>
  <c r="L753" i="4"/>
  <c r="K753" i="4"/>
  <c r="J753" i="4"/>
  <c r="I753" i="4"/>
  <c r="H753" i="4"/>
  <c r="G753" i="4"/>
  <c r="F753" i="4"/>
  <c r="T753" i="4" s="1"/>
  <c r="E753" i="4"/>
  <c r="N753" i="4" s="1"/>
  <c r="D753" i="4"/>
  <c r="C753" i="4"/>
  <c r="O753" i="4" s="1"/>
  <c r="B753" i="4"/>
  <c r="A753" i="4"/>
  <c r="S752" i="4"/>
  <c r="Q752" i="4"/>
  <c r="P752" i="4"/>
  <c r="R752" i="4" s="1"/>
  <c r="L752" i="4"/>
  <c r="K752" i="4"/>
  <c r="J752" i="4"/>
  <c r="I752" i="4"/>
  <c r="H752" i="4"/>
  <c r="G752" i="4"/>
  <c r="F752" i="4"/>
  <c r="T752" i="4" s="1"/>
  <c r="E752" i="4"/>
  <c r="U752" i="4" s="1"/>
  <c r="D752" i="4"/>
  <c r="C752" i="4"/>
  <c r="O752" i="4" s="1"/>
  <c r="B752" i="4"/>
  <c r="A752" i="4"/>
  <c r="S751" i="4"/>
  <c r="Q751" i="4"/>
  <c r="P751" i="4"/>
  <c r="R751" i="4" s="1"/>
  <c r="L751" i="4"/>
  <c r="K751" i="4"/>
  <c r="J751" i="4"/>
  <c r="I751" i="4"/>
  <c r="H751" i="4"/>
  <c r="G751" i="4"/>
  <c r="F751" i="4"/>
  <c r="E751" i="4"/>
  <c r="D751" i="4"/>
  <c r="C751" i="4"/>
  <c r="O751" i="4" s="1"/>
  <c r="B751" i="4"/>
  <c r="A751" i="4"/>
  <c r="S750" i="4"/>
  <c r="Q750" i="4"/>
  <c r="P750" i="4"/>
  <c r="O750" i="4"/>
  <c r="L750" i="4"/>
  <c r="K750" i="4"/>
  <c r="J750" i="4"/>
  <c r="I750" i="4"/>
  <c r="H750" i="4"/>
  <c r="G750" i="4"/>
  <c r="F750" i="4"/>
  <c r="T750" i="4" s="1"/>
  <c r="E750" i="4"/>
  <c r="U750" i="4" s="1"/>
  <c r="D750" i="4"/>
  <c r="C750" i="4"/>
  <c r="B750" i="4"/>
  <c r="A750" i="4"/>
  <c r="S749" i="4"/>
  <c r="Q749" i="4"/>
  <c r="P749" i="4"/>
  <c r="L749" i="4"/>
  <c r="K749" i="4"/>
  <c r="J749" i="4"/>
  <c r="I749" i="4"/>
  <c r="H749" i="4"/>
  <c r="G749" i="4"/>
  <c r="F749" i="4"/>
  <c r="T749" i="4" s="1"/>
  <c r="E749" i="4"/>
  <c r="N749" i="4" s="1"/>
  <c r="D749" i="4"/>
  <c r="C749" i="4"/>
  <c r="O749" i="4" s="1"/>
  <c r="B749" i="4"/>
  <c r="A749" i="4"/>
  <c r="S748" i="4"/>
  <c r="Q748" i="4"/>
  <c r="P748" i="4"/>
  <c r="R748" i="4" s="1"/>
  <c r="L748" i="4"/>
  <c r="K748" i="4"/>
  <c r="J748" i="4"/>
  <c r="I748" i="4"/>
  <c r="H748" i="4"/>
  <c r="G748" i="4"/>
  <c r="F748" i="4"/>
  <c r="E748" i="4"/>
  <c r="U748" i="4" s="1"/>
  <c r="D748" i="4"/>
  <c r="C748" i="4"/>
  <c r="O748" i="4" s="1"/>
  <c r="B748" i="4"/>
  <c r="A748" i="4"/>
  <c r="S747" i="4"/>
  <c r="Q747" i="4"/>
  <c r="P747" i="4"/>
  <c r="O747" i="4"/>
  <c r="N747" i="4"/>
  <c r="L747" i="4"/>
  <c r="K747" i="4"/>
  <c r="J747" i="4"/>
  <c r="I747" i="4"/>
  <c r="H747" i="4"/>
  <c r="G747" i="4"/>
  <c r="F747" i="4"/>
  <c r="T747" i="4" s="1"/>
  <c r="E747" i="4"/>
  <c r="U747" i="4" s="1"/>
  <c r="D747" i="4"/>
  <c r="C747" i="4"/>
  <c r="B747" i="4"/>
  <c r="A747" i="4"/>
  <c r="U746" i="4"/>
  <c r="T746" i="4"/>
  <c r="S746" i="4"/>
  <c r="Q746" i="4"/>
  <c r="P746" i="4"/>
  <c r="L746" i="4"/>
  <c r="K746" i="4"/>
  <c r="J746" i="4"/>
  <c r="I746" i="4"/>
  <c r="H746" i="4"/>
  <c r="G746" i="4"/>
  <c r="F746" i="4"/>
  <c r="E746" i="4"/>
  <c r="M746" i="4" s="1"/>
  <c r="D746" i="4"/>
  <c r="C746" i="4"/>
  <c r="O746" i="4" s="1"/>
  <c r="B746" i="4"/>
  <c r="A746" i="4"/>
  <c r="U745" i="4"/>
  <c r="S745" i="4"/>
  <c r="Q745" i="4"/>
  <c r="P745" i="4"/>
  <c r="L745" i="4"/>
  <c r="K745" i="4"/>
  <c r="J745" i="4"/>
  <c r="I745" i="4"/>
  <c r="H745" i="4"/>
  <c r="G745" i="4"/>
  <c r="F745" i="4"/>
  <c r="E745" i="4"/>
  <c r="M745" i="4" s="1"/>
  <c r="D745" i="4"/>
  <c r="C745" i="4"/>
  <c r="O745" i="4" s="1"/>
  <c r="B745" i="4"/>
  <c r="A745" i="4"/>
  <c r="S744" i="4"/>
  <c r="Q744" i="4"/>
  <c r="P744" i="4"/>
  <c r="L744" i="4"/>
  <c r="K744" i="4"/>
  <c r="J744" i="4"/>
  <c r="I744" i="4"/>
  <c r="H744" i="4"/>
  <c r="G744" i="4"/>
  <c r="F744" i="4"/>
  <c r="E744" i="4"/>
  <c r="U744" i="4" s="1"/>
  <c r="D744" i="4"/>
  <c r="C744" i="4"/>
  <c r="O744" i="4" s="1"/>
  <c r="B744" i="4"/>
  <c r="A744" i="4"/>
  <c r="S743" i="4"/>
  <c r="Q743" i="4"/>
  <c r="P743" i="4"/>
  <c r="L743" i="4"/>
  <c r="K743" i="4"/>
  <c r="J743" i="4"/>
  <c r="I743" i="4"/>
  <c r="H743" i="4"/>
  <c r="G743" i="4"/>
  <c r="F743" i="4"/>
  <c r="T743" i="4" s="1"/>
  <c r="E743" i="4"/>
  <c r="N743" i="4" s="1"/>
  <c r="D743" i="4"/>
  <c r="C743" i="4"/>
  <c r="O743" i="4" s="1"/>
  <c r="B743" i="4"/>
  <c r="A743" i="4"/>
  <c r="S742" i="4"/>
  <c r="R742" i="4"/>
  <c r="Q742" i="4"/>
  <c r="P742" i="4"/>
  <c r="L742" i="4"/>
  <c r="K742" i="4"/>
  <c r="J742" i="4"/>
  <c r="I742" i="4"/>
  <c r="H742" i="4"/>
  <c r="G742" i="4"/>
  <c r="F742" i="4"/>
  <c r="T742" i="4" s="1"/>
  <c r="E742" i="4"/>
  <c r="U742" i="4" s="1"/>
  <c r="D742" i="4"/>
  <c r="C742" i="4"/>
  <c r="O742" i="4" s="1"/>
  <c r="B742" i="4"/>
  <c r="A742" i="4"/>
  <c r="S741" i="4"/>
  <c r="Q741" i="4"/>
  <c r="P741" i="4"/>
  <c r="L741" i="4"/>
  <c r="K741" i="4"/>
  <c r="J741" i="4"/>
  <c r="I741" i="4"/>
  <c r="H741" i="4"/>
  <c r="G741" i="4"/>
  <c r="F741" i="4"/>
  <c r="E741" i="4"/>
  <c r="D741" i="4"/>
  <c r="C741" i="4"/>
  <c r="O741" i="4" s="1"/>
  <c r="B741" i="4"/>
  <c r="A741" i="4"/>
  <c r="S740" i="4"/>
  <c r="Q740" i="4"/>
  <c r="P740" i="4"/>
  <c r="L740" i="4"/>
  <c r="K740" i="4"/>
  <c r="J740" i="4"/>
  <c r="I740" i="4"/>
  <c r="H740" i="4"/>
  <c r="G740" i="4"/>
  <c r="F740" i="4"/>
  <c r="T740" i="4" s="1"/>
  <c r="E740" i="4"/>
  <c r="N740" i="4" s="1"/>
  <c r="D740" i="4"/>
  <c r="C740" i="4"/>
  <c r="O740" i="4" s="1"/>
  <c r="B740" i="4"/>
  <c r="A740" i="4"/>
  <c r="S739" i="4"/>
  <c r="Q739" i="4"/>
  <c r="R739" i="4" s="1"/>
  <c r="P739" i="4"/>
  <c r="L739" i="4"/>
  <c r="K739" i="4"/>
  <c r="J739" i="4"/>
  <c r="I739" i="4"/>
  <c r="H739" i="4"/>
  <c r="G739" i="4"/>
  <c r="F739" i="4"/>
  <c r="E739" i="4"/>
  <c r="N739" i="4" s="1"/>
  <c r="D739" i="4"/>
  <c r="C739" i="4"/>
  <c r="O739" i="4" s="1"/>
  <c r="B739" i="4"/>
  <c r="A739" i="4"/>
  <c r="S738" i="4"/>
  <c r="Q738" i="4"/>
  <c r="P738" i="4"/>
  <c r="L738" i="4"/>
  <c r="K738" i="4"/>
  <c r="J738" i="4"/>
  <c r="I738" i="4"/>
  <c r="H738" i="4"/>
  <c r="G738" i="4"/>
  <c r="F738" i="4"/>
  <c r="T738" i="4" s="1"/>
  <c r="E738" i="4"/>
  <c r="N738" i="4" s="1"/>
  <c r="D738" i="4"/>
  <c r="C738" i="4"/>
  <c r="O738" i="4" s="1"/>
  <c r="B738" i="4"/>
  <c r="A738" i="4"/>
  <c r="S737" i="4"/>
  <c r="Q737" i="4"/>
  <c r="P737" i="4"/>
  <c r="R737" i="4" s="1"/>
  <c r="O737" i="4"/>
  <c r="L737" i="4"/>
  <c r="K737" i="4"/>
  <c r="J737" i="4"/>
  <c r="I737" i="4"/>
  <c r="H737" i="4"/>
  <c r="G737" i="4"/>
  <c r="F737" i="4"/>
  <c r="E737" i="4"/>
  <c r="U737" i="4" s="1"/>
  <c r="D737" i="4"/>
  <c r="C737" i="4"/>
  <c r="B737" i="4"/>
  <c r="A737" i="4"/>
  <c r="S736" i="4"/>
  <c r="Q736" i="4"/>
  <c r="P736" i="4"/>
  <c r="L736" i="4"/>
  <c r="K736" i="4"/>
  <c r="J736" i="4"/>
  <c r="I736" i="4"/>
  <c r="H736" i="4"/>
  <c r="G736" i="4"/>
  <c r="F736" i="4"/>
  <c r="T736" i="4" s="1"/>
  <c r="E736" i="4"/>
  <c r="U736" i="4" s="1"/>
  <c r="D736" i="4"/>
  <c r="C736" i="4"/>
  <c r="O736" i="4" s="1"/>
  <c r="B736" i="4"/>
  <c r="A736" i="4"/>
  <c r="T735" i="4"/>
  <c r="S735" i="4"/>
  <c r="Q735" i="4"/>
  <c r="P735" i="4"/>
  <c r="L735" i="4"/>
  <c r="K735" i="4"/>
  <c r="J735" i="4"/>
  <c r="I735" i="4"/>
  <c r="H735" i="4"/>
  <c r="G735" i="4"/>
  <c r="F735" i="4"/>
  <c r="E735" i="4"/>
  <c r="U735" i="4" s="1"/>
  <c r="D735" i="4"/>
  <c r="C735" i="4"/>
  <c r="O735" i="4" s="1"/>
  <c r="B735" i="4"/>
  <c r="A735" i="4"/>
  <c r="S734" i="4"/>
  <c r="Q734" i="4"/>
  <c r="P734" i="4"/>
  <c r="L734" i="4"/>
  <c r="K734" i="4"/>
  <c r="J734" i="4"/>
  <c r="I734" i="4"/>
  <c r="H734" i="4"/>
  <c r="G734" i="4"/>
  <c r="F734" i="4"/>
  <c r="T734" i="4" s="1"/>
  <c r="E734" i="4"/>
  <c r="M734" i="4" s="1"/>
  <c r="D734" i="4"/>
  <c r="C734" i="4"/>
  <c r="O734" i="4" s="1"/>
  <c r="B734" i="4"/>
  <c r="A734" i="4"/>
  <c r="S733" i="4"/>
  <c r="Q733" i="4"/>
  <c r="P733" i="4"/>
  <c r="L733" i="4"/>
  <c r="K733" i="4"/>
  <c r="J733" i="4"/>
  <c r="I733" i="4"/>
  <c r="H733" i="4"/>
  <c r="G733" i="4"/>
  <c r="F733" i="4"/>
  <c r="E733" i="4"/>
  <c r="D733" i="4"/>
  <c r="C733" i="4"/>
  <c r="O733" i="4" s="1"/>
  <c r="B733" i="4"/>
  <c r="A733" i="4"/>
  <c r="S732" i="4"/>
  <c r="Q732" i="4"/>
  <c r="P732" i="4"/>
  <c r="R732" i="4" s="1"/>
  <c r="M732" i="4"/>
  <c r="L732" i="4"/>
  <c r="K732" i="4"/>
  <c r="J732" i="4"/>
  <c r="I732" i="4"/>
  <c r="H732" i="4"/>
  <c r="G732" i="4"/>
  <c r="F732" i="4"/>
  <c r="E732" i="4"/>
  <c r="U732" i="4" s="1"/>
  <c r="D732" i="4"/>
  <c r="C732" i="4"/>
  <c r="O732" i="4" s="1"/>
  <c r="B732" i="4"/>
  <c r="A732" i="4"/>
  <c r="S731" i="4"/>
  <c r="Q731" i="4"/>
  <c r="P731" i="4"/>
  <c r="L731" i="4"/>
  <c r="K731" i="4"/>
  <c r="J731" i="4"/>
  <c r="I731" i="4"/>
  <c r="H731" i="4"/>
  <c r="G731" i="4"/>
  <c r="F731" i="4"/>
  <c r="E731" i="4"/>
  <c r="N731" i="4" s="1"/>
  <c r="D731" i="4"/>
  <c r="C731" i="4"/>
  <c r="O731" i="4" s="1"/>
  <c r="B731" i="4"/>
  <c r="A731" i="4"/>
  <c r="S730" i="4"/>
  <c r="Q730" i="4"/>
  <c r="P730" i="4"/>
  <c r="L730" i="4"/>
  <c r="K730" i="4"/>
  <c r="J730" i="4"/>
  <c r="I730" i="4"/>
  <c r="H730" i="4"/>
  <c r="G730" i="4"/>
  <c r="F730" i="4"/>
  <c r="E730" i="4"/>
  <c r="U730" i="4" s="1"/>
  <c r="D730" i="4"/>
  <c r="C730" i="4"/>
  <c r="O730" i="4" s="1"/>
  <c r="B730" i="4"/>
  <c r="A730" i="4"/>
  <c r="S729" i="4"/>
  <c r="Q729" i="4"/>
  <c r="P729" i="4"/>
  <c r="L729" i="4"/>
  <c r="K729" i="4"/>
  <c r="J729" i="4"/>
  <c r="I729" i="4"/>
  <c r="H729" i="4"/>
  <c r="G729" i="4"/>
  <c r="F729" i="4"/>
  <c r="E729" i="4"/>
  <c r="U729" i="4" s="1"/>
  <c r="D729" i="4"/>
  <c r="C729" i="4"/>
  <c r="O729" i="4" s="1"/>
  <c r="B729" i="4"/>
  <c r="A729" i="4"/>
  <c r="S728" i="4"/>
  <c r="Q728" i="4"/>
  <c r="P728" i="4"/>
  <c r="L728" i="4"/>
  <c r="K728" i="4"/>
  <c r="J728" i="4"/>
  <c r="I728" i="4"/>
  <c r="H728" i="4"/>
  <c r="G728" i="4"/>
  <c r="F728" i="4"/>
  <c r="E728" i="4"/>
  <c r="D728" i="4"/>
  <c r="C728" i="4"/>
  <c r="O728" i="4" s="1"/>
  <c r="B728" i="4"/>
  <c r="A728" i="4"/>
  <c r="S727" i="4"/>
  <c r="Q727" i="4"/>
  <c r="P727" i="4"/>
  <c r="L727" i="4"/>
  <c r="K727" i="4"/>
  <c r="J727" i="4"/>
  <c r="I727" i="4"/>
  <c r="H727" i="4"/>
  <c r="G727" i="4"/>
  <c r="F727" i="4"/>
  <c r="E727" i="4"/>
  <c r="U727" i="4" s="1"/>
  <c r="D727" i="4"/>
  <c r="C727" i="4"/>
  <c r="O727" i="4" s="1"/>
  <c r="B727" i="4"/>
  <c r="A727" i="4"/>
  <c r="S726" i="4"/>
  <c r="Q726" i="4"/>
  <c r="P726" i="4"/>
  <c r="L726" i="4"/>
  <c r="K726" i="4"/>
  <c r="J726" i="4"/>
  <c r="I726" i="4"/>
  <c r="H726" i="4"/>
  <c r="G726" i="4"/>
  <c r="F726" i="4"/>
  <c r="E726" i="4"/>
  <c r="U726" i="4" s="1"/>
  <c r="D726" i="4"/>
  <c r="C726" i="4"/>
  <c r="O726" i="4" s="1"/>
  <c r="B726" i="4"/>
  <c r="A726" i="4"/>
  <c r="S725" i="4"/>
  <c r="Q725" i="4"/>
  <c r="P725" i="4"/>
  <c r="L725" i="4"/>
  <c r="K725" i="4"/>
  <c r="J725" i="4"/>
  <c r="I725" i="4"/>
  <c r="H725" i="4"/>
  <c r="G725" i="4"/>
  <c r="F725" i="4"/>
  <c r="T725" i="4" s="1"/>
  <c r="E725" i="4"/>
  <c r="N725" i="4" s="1"/>
  <c r="D725" i="4"/>
  <c r="C725" i="4"/>
  <c r="O725" i="4" s="1"/>
  <c r="B725" i="4"/>
  <c r="A725" i="4"/>
  <c r="S724" i="4"/>
  <c r="Q724" i="4"/>
  <c r="P724" i="4"/>
  <c r="L724" i="4"/>
  <c r="K724" i="4"/>
  <c r="J724" i="4"/>
  <c r="I724" i="4"/>
  <c r="H724" i="4"/>
  <c r="G724" i="4"/>
  <c r="F724" i="4"/>
  <c r="E724" i="4"/>
  <c r="U724" i="4" s="1"/>
  <c r="D724" i="4"/>
  <c r="C724" i="4"/>
  <c r="O724" i="4" s="1"/>
  <c r="B724" i="4"/>
  <c r="A724" i="4"/>
  <c r="S723" i="4"/>
  <c r="Q723" i="4"/>
  <c r="P723" i="4"/>
  <c r="R723" i="4" s="1"/>
  <c r="L723" i="4"/>
  <c r="K723" i="4"/>
  <c r="J723" i="4"/>
  <c r="I723" i="4"/>
  <c r="H723" i="4"/>
  <c r="G723" i="4"/>
  <c r="F723" i="4"/>
  <c r="T723" i="4" s="1"/>
  <c r="E723" i="4"/>
  <c r="U723" i="4" s="1"/>
  <c r="D723" i="4"/>
  <c r="C723" i="4"/>
  <c r="O723" i="4" s="1"/>
  <c r="B723" i="4"/>
  <c r="A723" i="4"/>
  <c r="S722" i="4"/>
  <c r="Q722" i="4"/>
  <c r="P722" i="4"/>
  <c r="R722" i="4" s="1"/>
  <c r="L722" i="4"/>
  <c r="K722" i="4"/>
  <c r="J722" i="4"/>
  <c r="I722" i="4"/>
  <c r="H722" i="4"/>
  <c r="G722" i="4"/>
  <c r="F722" i="4"/>
  <c r="E722" i="4"/>
  <c r="U722" i="4" s="1"/>
  <c r="D722" i="4"/>
  <c r="C722" i="4"/>
  <c r="O722" i="4" s="1"/>
  <c r="B722" i="4"/>
  <c r="A722" i="4"/>
  <c r="S721" i="4"/>
  <c r="Q721" i="4"/>
  <c r="P721" i="4"/>
  <c r="L721" i="4"/>
  <c r="K721" i="4"/>
  <c r="J721" i="4"/>
  <c r="I721" i="4"/>
  <c r="H721" i="4"/>
  <c r="G721" i="4"/>
  <c r="F721" i="4"/>
  <c r="T721" i="4" s="1"/>
  <c r="E721" i="4"/>
  <c r="U721" i="4" s="1"/>
  <c r="D721" i="4"/>
  <c r="C721" i="4"/>
  <c r="O721" i="4" s="1"/>
  <c r="B721" i="4"/>
  <c r="A721" i="4"/>
  <c r="S720" i="4"/>
  <c r="Q720" i="4"/>
  <c r="P720" i="4"/>
  <c r="L720" i="4"/>
  <c r="K720" i="4"/>
  <c r="J720" i="4"/>
  <c r="I720" i="4"/>
  <c r="H720" i="4"/>
  <c r="G720" i="4"/>
  <c r="F720" i="4"/>
  <c r="T720" i="4" s="1"/>
  <c r="E720" i="4"/>
  <c r="U720" i="4" s="1"/>
  <c r="D720" i="4"/>
  <c r="C720" i="4"/>
  <c r="O720" i="4" s="1"/>
  <c r="B720" i="4"/>
  <c r="A720" i="4"/>
  <c r="S719" i="4"/>
  <c r="Q719" i="4"/>
  <c r="P719" i="4"/>
  <c r="L719" i="4"/>
  <c r="K719" i="4"/>
  <c r="J719" i="4"/>
  <c r="I719" i="4"/>
  <c r="H719" i="4"/>
  <c r="G719" i="4"/>
  <c r="F719" i="4"/>
  <c r="T719" i="4" s="1"/>
  <c r="E719" i="4"/>
  <c r="U719" i="4" s="1"/>
  <c r="D719" i="4"/>
  <c r="C719" i="4"/>
  <c r="O719" i="4" s="1"/>
  <c r="B719" i="4"/>
  <c r="A719" i="4"/>
  <c r="U718" i="4"/>
  <c r="S718" i="4"/>
  <c r="Q718" i="4"/>
  <c r="P718" i="4"/>
  <c r="L718" i="4"/>
  <c r="K718" i="4"/>
  <c r="J718" i="4"/>
  <c r="I718" i="4"/>
  <c r="H718" i="4"/>
  <c r="G718" i="4"/>
  <c r="F718" i="4"/>
  <c r="T718" i="4" s="1"/>
  <c r="E718" i="4"/>
  <c r="M718" i="4" s="1"/>
  <c r="D718" i="4"/>
  <c r="C718" i="4"/>
  <c r="O718" i="4" s="1"/>
  <c r="B718" i="4"/>
  <c r="A718" i="4"/>
  <c r="S717" i="4"/>
  <c r="Q717" i="4"/>
  <c r="P717" i="4"/>
  <c r="R717" i="4" s="1"/>
  <c r="L717" i="4"/>
  <c r="K717" i="4"/>
  <c r="J717" i="4"/>
  <c r="I717" i="4"/>
  <c r="H717" i="4"/>
  <c r="G717" i="4"/>
  <c r="F717" i="4"/>
  <c r="E717" i="4"/>
  <c r="U717" i="4" s="1"/>
  <c r="D717" i="4"/>
  <c r="C717" i="4"/>
  <c r="O717" i="4" s="1"/>
  <c r="B717" i="4"/>
  <c r="A717" i="4"/>
  <c r="S716" i="4"/>
  <c r="Q716" i="4"/>
  <c r="P716" i="4"/>
  <c r="R716" i="4" s="1"/>
  <c r="L716" i="4"/>
  <c r="K716" i="4"/>
  <c r="J716" i="4"/>
  <c r="I716" i="4"/>
  <c r="H716" i="4"/>
  <c r="G716" i="4"/>
  <c r="F716" i="4"/>
  <c r="T716" i="4" s="1"/>
  <c r="E716" i="4"/>
  <c r="M716" i="4" s="1"/>
  <c r="D716" i="4"/>
  <c r="C716" i="4"/>
  <c r="O716" i="4" s="1"/>
  <c r="B716" i="4"/>
  <c r="A716" i="4"/>
  <c r="S715" i="4"/>
  <c r="Q715" i="4"/>
  <c r="P715" i="4"/>
  <c r="L715" i="4"/>
  <c r="K715" i="4"/>
  <c r="J715" i="4"/>
  <c r="I715" i="4"/>
  <c r="H715" i="4"/>
  <c r="G715" i="4"/>
  <c r="F715" i="4"/>
  <c r="E715" i="4"/>
  <c r="N715" i="4" s="1"/>
  <c r="D715" i="4"/>
  <c r="C715" i="4"/>
  <c r="O715" i="4" s="1"/>
  <c r="B715" i="4"/>
  <c r="A715" i="4"/>
  <c r="S714" i="4"/>
  <c r="Q714" i="4"/>
  <c r="P714" i="4"/>
  <c r="R714" i="4" s="1"/>
  <c r="L714" i="4"/>
  <c r="K714" i="4"/>
  <c r="J714" i="4"/>
  <c r="I714" i="4"/>
  <c r="H714" i="4"/>
  <c r="G714" i="4"/>
  <c r="F714" i="4"/>
  <c r="T714" i="4" s="1"/>
  <c r="E714" i="4"/>
  <c r="U714" i="4" s="1"/>
  <c r="D714" i="4"/>
  <c r="C714" i="4"/>
  <c r="O714" i="4" s="1"/>
  <c r="B714" i="4"/>
  <c r="A714" i="4"/>
  <c r="S713" i="4"/>
  <c r="Q713" i="4"/>
  <c r="P713" i="4"/>
  <c r="L713" i="4"/>
  <c r="K713" i="4"/>
  <c r="J713" i="4"/>
  <c r="I713" i="4"/>
  <c r="H713" i="4"/>
  <c r="G713" i="4"/>
  <c r="F713" i="4"/>
  <c r="E713" i="4"/>
  <c r="M713" i="4" s="1"/>
  <c r="D713" i="4"/>
  <c r="C713" i="4"/>
  <c r="O713" i="4" s="1"/>
  <c r="B713" i="4"/>
  <c r="A713" i="4"/>
  <c r="S712" i="4"/>
  <c r="Q712" i="4"/>
  <c r="P712" i="4"/>
  <c r="L712" i="4"/>
  <c r="K712" i="4"/>
  <c r="J712" i="4"/>
  <c r="I712" i="4"/>
  <c r="H712" i="4"/>
  <c r="G712" i="4"/>
  <c r="F712" i="4"/>
  <c r="E712" i="4"/>
  <c r="D712" i="4"/>
  <c r="C712" i="4"/>
  <c r="O712" i="4" s="1"/>
  <c r="B712" i="4"/>
  <c r="A712" i="4"/>
  <c r="S711" i="4"/>
  <c r="Q711" i="4"/>
  <c r="P711" i="4"/>
  <c r="L711" i="4"/>
  <c r="K711" i="4"/>
  <c r="J711" i="4"/>
  <c r="I711" i="4"/>
  <c r="H711" i="4"/>
  <c r="G711" i="4"/>
  <c r="F711" i="4"/>
  <c r="E711" i="4"/>
  <c r="U711" i="4" s="1"/>
  <c r="D711" i="4"/>
  <c r="C711" i="4"/>
  <c r="O711" i="4" s="1"/>
  <c r="B711" i="4"/>
  <c r="A711" i="4"/>
  <c r="S710" i="4"/>
  <c r="Q710" i="4"/>
  <c r="P710" i="4"/>
  <c r="L710" i="4"/>
  <c r="K710" i="4"/>
  <c r="J710" i="4"/>
  <c r="I710" i="4"/>
  <c r="H710" i="4"/>
  <c r="G710" i="4"/>
  <c r="F710" i="4"/>
  <c r="T710" i="4" s="1"/>
  <c r="E710" i="4"/>
  <c r="U710" i="4" s="1"/>
  <c r="D710" i="4"/>
  <c r="C710" i="4"/>
  <c r="O710" i="4" s="1"/>
  <c r="B710" i="4"/>
  <c r="A710" i="4"/>
  <c r="S709" i="4"/>
  <c r="Q709" i="4"/>
  <c r="P709" i="4"/>
  <c r="L709" i="4"/>
  <c r="K709" i="4"/>
  <c r="J709" i="4"/>
  <c r="I709" i="4"/>
  <c r="H709" i="4"/>
  <c r="G709" i="4"/>
  <c r="F709" i="4"/>
  <c r="T709" i="4" s="1"/>
  <c r="E709" i="4"/>
  <c r="U709" i="4" s="1"/>
  <c r="D709" i="4"/>
  <c r="C709" i="4"/>
  <c r="O709" i="4" s="1"/>
  <c r="B709" i="4"/>
  <c r="A709" i="4"/>
  <c r="S708" i="4"/>
  <c r="Q708" i="4"/>
  <c r="P708" i="4"/>
  <c r="L708" i="4"/>
  <c r="K708" i="4"/>
  <c r="J708" i="4"/>
  <c r="I708" i="4"/>
  <c r="H708" i="4"/>
  <c r="G708" i="4"/>
  <c r="F708" i="4"/>
  <c r="T708" i="4" s="1"/>
  <c r="E708" i="4"/>
  <c r="N708" i="4" s="1"/>
  <c r="D708" i="4"/>
  <c r="C708" i="4"/>
  <c r="O708" i="4" s="1"/>
  <c r="B708" i="4"/>
  <c r="A708" i="4"/>
  <c r="S707" i="4"/>
  <c r="Q707" i="4"/>
  <c r="P707" i="4"/>
  <c r="O707" i="4"/>
  <c r="L707" i="4"/>
  <c r="K707" i="4"/>
  <c r="J707" i="4"/>
  <c r="I707" i="4"/>
  <c r="H707" i="4"/>
  <c r="G707" i="4"/>
  <c r="F707" i="4"/>
  <c r="T707" i="4" s="1"/>
  <c r="E707" i="4"/>
  <c r="U707" i="4" s="1"/>
  <c r="D707" i="4"/>
  <c r="C707" i="4"/>
  <c r="B707" i="4"/>
  <c r="A707" i="4"/>
  <c r="S706" i="4"/>
  <c r="Q706" i="4"/>
  <c r="P706" i="4"/>
  <c r="L706" i="4"/>
  <c r="K706" i="4"/>
  <c r="J706" i="4"/>
  <c r="I706" i="4"/>
  <c r="H706" i="4"/>
  <c r="G706" i="4"/>
  <c r="F706" i="4"/>
  <c r="E706" i="4"/>
  <c r="U706" i="4" s="1"/>
  <c r="D706" i="4"/>
  <c r="C706" i="4"/>
  <c r="O706" i="4" s="1"/>
  <c r="B706" i="4"/>
  <c r="A706" i="4"/>
  <c r="S705" i="4"/>
  <c r="Q705" i="4"/>
  <c r="P705" i="4"/>
  <c r="L705" i="4"/>
  <c r="K705" i="4"/>
  <c r="J705" i="4"/>
  <c r="I705" i="4"/>
  <c r="H705" i="4"/>
  <c r="G705" i="4"/>
  <c r="F705" i="4"/>
  <c r="T705" i="4" s="1"/>
  <c r="E705" i="4"/>
  <c r="U705" i="4" s="1"/>
  <c r="D705" i="4"/>
  <c r="C705" i="4"/>
  <c r="O705" i="4" s="1"/>
  <c r="B705" i="4"/>
  <c r="A705" i="4"/>
  <c r="T704" i="4"/>
  <c r="S704" i="4"/>
  <c r="Q704" i="4"/>
  <c r="P704" i="4"/>
  <c r="L704" i="4"/>
  <c r="K704" i="4"/>
  <c r="J704" i="4"/>
  <c r="I704" i="4"/>
  <c r="H704" i="4"/>
  <c r="G704" i="4"/>
  <c r="F704" i="4"/>
  <c r="E704" i="4"/>
  <c r="U704" i="4" s="1"/>
  <c r="D704" i="4"/>
  <c r="C704" i="4"/>
  <c r="O704" i="4" s="1"/>
  <c r="B704" i="4"/>
  <c r="A704" i="4"/>
  <c r="S703" i="4"/>
  <c r="Q703" i="4"/>
  <c r="P703" i="4"/>
  <c r="L703" i="4"/>
  <c r="K703" i="4"/>
  <c r="J703" i="4"/>
  <c r="I703" i="4"/>
  <c r="H703" i="4"/>
  <c r="G703" i="4"/>
  <c r="F703" i="4"/>
  <c r="T703" i="4" s="1"/>
  <c r="E703" i="4"/>
  <c r="U703" i="4" s="1"/>
  <c r="D703" i="4"/>
  <c r="C703" i="4"/>
  <c r="O703" i="4" s="1"/>
  <c r="B703" i="4"/>
  <c r="A703" i="4"/>
  <c r="U702" i="4"/>
  <c r="S702" i="4"/>
  <c r="Q702" i="4"/>
  <c r="P702" i="4"/>
  <c r="O702" i="4"/>
  <c r="L702" i="4"/>
  <c r="K702" i="4"/>
  <c r="J702" i="4"/>
  <c r="I702" i="4"/>
  <c r="H702" i="4"/>
  <c r="G702" i="4"/>
  <c r="F702" i="4"/>
  <c r="T702" i="4" s="1"/>
  <c r="E702" i="4"/>
  <c r="M702" i="4" s="1"/>
  <c r="D702" i="4"/>
  <c r="C702" i="4"/>
  <c r="B702" i="4"/>
  <c r="A702" i="4"/>
  <c r="S701" i="4"/>
  <c r="Q701" i="4"/>
  <c r="P701" i="4"/>
  <c r="L701" i="4"/>
  <c r="K701" i="4"/>
  <c r="J701" i="4"/>
  <c r="I701" i="4"/>
  <c r="H701" i="4"/>
  <c r="G701" i="4"/>
  <c r="F701" i="4"/>
  <c r="T701" i="4" s="1"/>
  <c r="E701" i="4"/>
  <c r="N701" i="4" s="1"/>
  <c r="D701" i="4"/>
  <c r="C701" i="4"/>
  <c r="O701" i="4" s="1"/>
  <c r="B701" i="4"/>
  <c r="A701" i="4"/>
  <c r="S700" i="4"/>
  <c r="Q700" i="4"/>
  <c r="P700" i="4"/>
  <c r="L700" i="4"/>
  <c r="K700" i="4"/>
  <c r="J700" i="4"/>
  <c r="I700" i="4"/>
  <c r="H700" i="4"/>
  <c r="G700" i="4"/>
  <c r="F700" i="4"/>
  <c r="E700" i="4"/>
  <c r="U700" i="4" s="1"/>
  <c r="D700" i="4"/>
  <c r="C700" i="4"/>
  <c r="O700" i="4" s="1"/>
  <c r="B700" i="4"/>
  <c r="A700" i="4"/>
  <c r="S699" i="4"/>
  <c r="Q699" i="4"/>
  <c r="P699" i="4"/>
  <c r="M699" i="4"/>
  <c r="L699" i="4"/>
  <c r="K699" i="4"/>
  <c r="J699" i="4"/>
  <c r="I699" i="4"/>
  <c r="H699" i="4"/>
  <c r="G699" i="4"/>
  <c r="F699" i="4"/>
  <c r="E699" i="4"/>
  <c r="N699" i="4" s="1"/>
  <c r="D699" i="4"/>
  <c r="C699" i="4"/>
  <c r="O699" i="4" s="1"/>
  <c r="B699" i="4"/>
  <c r="A699" i="4"/>
  <c r="S698" i="4"/>
  <c r="Q698" i="4"/>
  <c r="P698" i="4"/>
  <c r="R698" i="4" s="1"/>
  <c r="M698" i="4"/>
  <c r="L698" i="4"/>
  <c r="K698" i="4"/>
  <c r="J698" i="4"/>
  <c r="I698" i="4"/>
  <c r="H698" i="4"/>
  <c r="G698" i="4"/>
  <c r="F698" i="4"/>
  <c r="E698" i="4"/>
  <c r="U698" i="4" s="1"/>
  <c r="D698" i="4"/>
  <c r="C698" i="4"/>
  <c r="O698" i="4" s="1"/>
  <c r="B698" i="4"/>
  <c r="A698" i="4"/>
  <c r="S697" i="4"/>
  <c r="Q697" i="4"/>
  <c r="P697" i="4"/>
  <c r="L697" i="4"/>
  <c r="K697" i="4"/>
  <c r="J697" i="4"/>
  <c r="I697" i="4"/>
  <c r="H697" i="4"/>
  <c r="G697" i="4"/>
  <c r="F697" i="4"/>
  <c r="E697" i="4"/>
  <c r="D697" i="4"/>
  <c r="C697" i="4"/>
  <c r="O697" i="4" s="1"/>
  <c r="B697" i="4"/>
  <c r="A697" i="4"/>
  <c r="S696" i="4"/>
  <c r="Q696" i="4"/>
  <c r="P696" i="4"/>
  <c r="O696" i="4"/>
  <c r="N696" i="4"/>
  <c r="L696" i="4"/>
  <c r="K696" i="4"/>
  <c r="J696" i="4"/>
  <c r="I696" i="4"/>
  <c r="H696" i="4"/>
  <c r="G696" i="4"/>
  <c r="F696" i="4"/>
  <c r="E696" i="4"/>
  <c r="U696" i="4" s="1"/>
  <c r="D696" i="4"/>
  <c r="C696" i="4"/>
  <c r="B696" i="4"/>
  <c r="A696" i="4"/>
  <c r="S695" i="4"/>
  <c r="Q695" i="4"/>
  <c r="P695" i="4"/>
  <c r="L695" i="4"/>
  <c r="K695" i="4"/>
  <c r="J695" i="4"/>
  <c r="I695" i="4"/>
  <c r="H695" i="4"/>
  <c r="G695" i="4"/>
  <c r="F695" i="4"/>
  <c r="E695" i="4"/>
  <c r="U695" i="4" s="1"/>
  <c r="D695" i="4"/>
  <c r="C695" i="4"/>
  <c r="O695" i="4" s="1"/>
  <c r="B695" i="4"/>
  <c r="A695" i="4"/>
  <c r="S694" i="4"/>
  <c r="Q694" i="4"/>
  <c r="P694" i="4"/>
  <c r="R694" i="4" s="1"/>
  <c r="M694" i="4"/>
  <c r="L694" i="4"/>
  <c r="K694" i="4"/>
  <c r="J694" i="4"/>
  <c r="I694" i="4"/>
  <c r="H694" i="4"/>
  <c r="G694" i="4"/>
  <c r="F694" i="4"/>
  <c r="E694" i="4"/>
  <c r="U694" i="4" s="1"/>
  <c r="D694" i="4"/>
  <c r="C694" i="4"/>
  <c r="O694" i="4" s="1"/>
  <c r="B694" i="4"/>
  <c r="A694" i="4"/>
  <c r="S693" i="4"/>
  <c r="Q693" i="4"/>
  <c r="P693" i="4"/>
  <c r="L693" i="4"/>
  <c r="K693" i="4"/>
  <c r="J693" i="4"/>
  <c r="I693" i="4"/>
  <c r="H693" i="4"/>
  <c r="G693" i="4"/>
  <c r="F693" i="4"/>
  <c r="E693" i="4"/>
  <c r="U693" i="4" s="1"/>
  <c r="D693" i="4"/>
  <c r="C693" i="4"/>
  <c r="O693" i="4" s="1"/>
  <c r="B693" i="4"/>
  <c r="A693" i="4"/>
  <c r="S692" i="4"/>
  <c r="Q692" i="4"/>
  <c r="P692" i="4"/>
  <c r="N692" i="4"/>
  <c r="L692" i="4"/>
  <c r="K692" i="4"/>
  <c r="J692" i="4"/>
  <c r="I692" i="4"/>
  <c r="H692" i="4"/>
  <c r="G692" i="4"/>
  <c r="F692" i="4"/>
  <c r="T692" i="4" s="1"/>
  <c r="E692" i="4"/>
  <c r="U692" i="4" s="1"/>
  <c r="D692" i="4"/>
  <c r="C692" i="4"/>
  <c r="O692" i="4" s="1"/>
  <c r="B692" i="4"/>
  <c r="A692" i="4"/>
  <c r="S691" i="4"/>
  <c r="Q691" i="4"/>
  <c r="P691" i="4"/>
  <c r="R691" i="4" s="1"/>
  <c r="L691" i="4"/>
  <c r="K691" i="4"/>
  <c r="J691" i="4"/>
  <c r="I691" i="4"/>
  <c r="H691" i="4"/>
  <c r="G691" i="4"/>
  <c r="F691" i="4"/>
  <c r="T691" i="4" s="1"/>
  <c r="E691" i="4"/>
  <c r="N691" i="4" s="1"/>
  <c r="D691" i="4"/>
  <c r="C691" i="4"/>
  <c r="O691" i="4" s="1"/>
  <c r="B691" i="4"/>
  <c r="A691" i="4"/>
  <c r="S690" i="4"/>
  <c r="Q690" i="4"/>
  <c r="P690" i="4"/>
  <c r="R690" i="4" s="1"/>
  <c r="O690" i="4"/>
  <c r="L690" i="4"/>
  <c r="K690" i="4"/>
  <c r="J690" i="4"/>
  <c r="I690" i="4"/>
  <c r="H690" i="4"/>
  <c r="G690" i="4"/>
  <c r="F690" i="4"/>
  <c r="E690" i="4"/>
  <c r="D690" i="4"/>
  <c r="C690" i="4"/>
  <c r="B690" i="4"/>
  <c r="A690" i="4"/>
  <c r="S689" i="4"/>
  <c r="Q689" i="4"/>
  <c r="P689" i="4"/>
  <c r="L689" i="4"/>
  <c r="K689" i="4"/>
  <c r="J689" i="4"/>
  <c r="I689" i="4"/>
  <c r="H689" i="4"/>
  <c r="G689" i="4"/>
  <c r="F689" i="4"/>
  <c r="E689" i="4"/>
  <c r="D689" i="4"/>
  <c r="C689" i="4"/>
  <c r="O689" i="4" s="1"/>
  <c r="B689" i="4"/>
  <c r="A689" i="4"/>
  <c r="S688" i="4"/>
  <c r="Q688" i="4"/>
  <c r="P688" i="4"/>
  <c r="R688" i="4" s="1"/>
  <c r="L688" i="4"/>
  <c r="K688" i="4"/>
  <c r="J688" i="4"/>
  <c r="I688" i="4"/>
  <c r="H688" i="4"/>
  <c r="G688" i="4"/>
  <c r="F688" i="4"/>
  <c r="E688" i="4"/>
  <c r="N688" i="4" s="1"/>
  <c r="D688" i="4"/>
  <c r="C688" i="4"/>
  <c r="O688" i="4" s="1"/>
  <c r="B688" i="4"/>
  <c r="A688" i="4"/>
  <c r="S687" i="4"/>
  <c r="Q687" i="4"/>
  <c r="P687" i="4"/>
  <c r="R687" i="4" s="1"/>
  <c r="N687" i="4"/>
  <c r="L687" i="4"/>
  <c r="K687" i="4"/>
  <c r="J687" i="4"/>
  <c r="I687" i="4"/>
  <c r="H687" i="4"/>
  <c r="G687" i="4"/>
  <c r="F687" i="4"/>
  <c r="T687" i="4" s="1"/>
  <c r="E687" i="4"/>
  <c r="U687" i="4" s="1"/>
  <c r="D687" i="4"/>
  <c r="C687" i="4"/>
  <c r="O687" i="4" s="1"/>
  <c r="B687" i="4"/>
  <c r="A687" i="4"/>
  <c r="S686" i="4"/>
  <c r="Q686" i="4"/>
  <c r="P686" i="4"/>
  <c r="O686" i="4"/>
  <c r="N686" i="4"/>
  <c r="L686" i="4"/>
  <c r="K686" i="4"/>
  <c r="J686" i="4"/>
  <c r="I686" i="4"/>
  <c r="H686" i="4"/>
  <c r="G686" i="4"/>
  <c r="F686" i="4"/>
  <c r="E686" i="4"/>
  <c r="U686" i="4" s="1"/>
  <c r="D686" i="4"/>
  <c r="C686" i="4"/>
  <c r="B686" i="4"/>
  <c r="A686" i="4"/>
  <c r="T685" i="4"/>
  <c r="S685" i="4"/>
  <c r="Q685" i="4"/>
  <c r="R685" i="4" s="1"/>
  <c r="P685" i="4"/>
  <c r="M685" i="4"/>
  <c r="L685" i="4"/>
  <c r="K685" i="4"/>
  <c r="J685" i="4"/>
  <c r="I685" i="4"/>
  <c r="H685" i="4"/>
  <c r="G685" i="4"/>
  <c r="F685" i="4"/>
  <c r="E685" i="4"/>
  <c r="N685" i="4" s="1"/>
  <c r="D685" i="4"/>
  <c r="C685" i="4"/>
  <c r="O685" i="4" s="1"/>
  <c r="B685" i="4"/>
  <c r="A685" i="4"/>
  <c r="T684" i="4"/>
  <c r="S684" i="4"/>
  <c r="Q684" i="4"/>
  <c r="P684" i="4"/>
  <c r="N684" i="4"/>
  <c r="L684" i="4"/>
  <c r="K684" i="4"/>
  <c r="J684" i="4"/>
  <c r="I684" i="4"/>
  <c r="H684" i="4"/>
  <c r="G684" i="4"/>
  <c r="F684" i="4"/>
  <c r="E684" i="4"/>
  <c r="U684" i="4" s="1"/>
  <c r="D684" i="4"/>
  <c r="C684" i="4"/>
  <c r="O684" i="4" s="1"/>
  <c r="B684" i="4"/>
  <c r="A684" i="4"/>
  <c r="S683" i="4"/>
  <c r="Q683" i="4"/>
  <c r="P683" i="4"/>
  <c r="R683" i="4" s="1"/>
  <c r="L683" i="4"/>
  <c r="K683" i="4"/>
  <c r="J683" i="4"/>
  <c r="I683" i="4"/>
  <c r="H683" i="4"/>
  <c r="G683" i="4"/>
  <c r="F683" i="4"/>
  <c r="E683" i="4"/>
  <c r="M683" i="4" s="1"/>
  <c r="D683" i="4"/>
  <c r="C683" i="4"/>
  <c r="O683" i="4" s="1"/>
  <c r="B683" i="4"/>
  <c r="A683" i="4"/>
  <c r="S682" i="4"/>
  <c r="Q682" i="4"/>
  <c r="P682" i="4"/>
  <c r="R682" i="4" s="1"/>
  <c r="L682" i="4"/>
  <c r="K682" i="4"/>
  <c r="J682" i="4"/>
  <c r="I682" i="4"/>
  <c r="H682" i="4"/>
  <c r="G682" i="4"/>
  <c r="F682" i="4"/>
  <c r="E682" i="4"/>
  <c r="D682" i="4"/>
  <c r="C682" i="4"/>
  <c r="O682" i="4" s="1"/>
  <c r="B682" i="4"/>
  <c r="A682" i="4"/>
  <c r="S681" i="4"/>
  <c r="R681" i="4"/>
  <c r="Q681" i="4"/>
  <c r="P681" i="4"/>
  <c r="N681" i="4"/>
  <c r="M681" i="4"/>
  <c r="L681" i="4"/>
  <c r="K681" i="4"/>
  <c r="J681" i="4"/>
  <c r="I681" i="4"/>
  <c r="H681" i="4"/>
  <c r="G681" i="4"/>
  <c r="F681" i="4"/>
  <c r="T681" i="4" s="1"/>
  <c r="E681" i="4"/>
  <c r="U681" i="4" s="1"/>
  <c r="D681" i="4"/>
  <c r="C681" i="4"/>
  <c r="O681" i="4" s="1"/>
  <c r="B681" i="4"/>
  <c r="A681" i="4"/>
  <c r="S680" i="4"/>
  <c r="Q680" i="4"/>
  <c r="P680" i="4"/>
  <c r="R680" i="4" s="1"/>
  <c r="O680" i="4"/>
  <c r="L680" i="4"/>
  <c r="K680" i="4"/>
  <c r="J680" i="4"/>
  <c r="I680" i="4"/>
  <c r="H680" i="4"/>
  <c r="G680" i="4"/>
  <c r="F680" i="4"/>
  <c r="E680" i="4"/>
  <c r="M680" i="4" s="1"/>
  <c r="D680" i="4"/>
  <c r="C680" i="4"/>
  <c r="B680" i="4"/>
  <c r="A680" i="4"/>
  <c r="S679" i="4"/>
  <c r="Q679" i="4"/>
  <c r="P679" i="4"/>
  <c r="L679" i="4"/>
  <c r="K679" i="4"/>
  <c r="J679" i="4"/>
  <c r="I679" i="4"/>
  <c r="H679" i="4"/>
  <c r="G679" i="4"/>
  <c r="F679" i="4"/>
  <c r="E679" i="4"/>
  <c r="D679" i="4"/>
  <c r="C679" i="4"/>
  <c r="O679" i="4" s="1"/>
  <c r="B679" i="4"/>
  <c r="A679" i="4"/>
  <c r="S678" i="4"/>
  <c r="Q678" i="4"/>
  <c r="P678" i="4"/>
  <c r="O678" i="4"/>
  <c r="N678" i="4"/>
  <c r="L678" i="4"/>
  <c r="K678" i="4"/>
  <c r="J678" i="4"/>
  <c r="I678" i="4"/>
  <c r="H678" i="4"/>
  <c r="G678" i="4"/>
  <c r="F678" i="4"/>
  <c r="E678" i="4"/>
  <c r="U678" i="4" s="1"/>
  <c r="D678" i="4"/>
  <c r="C678" i="4"/>
  <c r="B678" i="4"/>
  <c r="A678" i="4"/>
  <c r="S677" i="4"/>
  <c r="Q677" i="4"/>
  <c r="P677" i="4"/>
  <c r="L677" i="4"/>
  <c r="K677" i="4"/>
  <c r="J677" i="4"/>
  <c r="I677" i="4"/>
  <c r="H677" i="4"/>
  <c r="G677" i="4"/>
  <c r="F677" i="4"/>
  <c r="T677" i="4" s="1"/>
  <c r="E677" i="4"/>
  <c r="N677" i="4" s="1"/>
  <c r="D677" i="4"/>
  <c r="C677" i="4"/>
  <c r="O677" i="4" s="1"/>
  <c r="B677" i="4"/>
  <c r="A677" i="4"/>
  <c r="S676" i="4"/>
  <c r="Q676" i="4"/>
  <c r="P676" i="4"/>
  <c r="O676" i="4"/>
  <c r="L676" i="4"/>
  <c r="K676" i="4"/>
  <c r="J676" i="4"/>
  <c r="I676" i="4"/>
  <c r="H676" i="4"/>
  <c r="G676" i="4"/>
  <c r="F676" i="4"/>
  <c r="E676" i="4"/>
  <c r="U676" i="4" s="1"/>
  <c r="D676" i="4"/>
  <c r="C676" i="4"/>
  <c r="B676" i="4"/>
  <c r="A676" i="4"/>
  <c r="S675" i="4"/>
  <c r="Q675" i="4"/>
  <c r="R675" i="4" s="1"/>
  <c r="P675" i="4"/>
  <c r="O675" i="4"/>
  <c r="L675" i="4"/>
  <c r="K675" i="4"/>
  <c r="J675" i="4"/>
  <c r="I675" i="4"/>
  <c r="H675" i="4"/>
  <c r="G675" i="4"/>
  <c r="F675" i="4"/>
  <c r="T675" i="4" s="1"/>
  <c r="E675" i="4"/>
  <c r="M675" i="4" s="1"/>
  <c r="D675" i="4"/>
  <c r="C675" i="4"/>
  <c r="B675" i="4"/>
  <c r="A675" i="4"/>
  <c r="U674" i="4"/>
  <c r="S674" i="4"/>
  <c r="Q674" i="4"/>
  <c r="P674" i="4"/>
  <c r="L674" i="4"/>
  <c r="K674" i="4"/>
  <c r="J674" i="4"/>
  <c r="I674" i="4"/>
  <c r="H674" i="4"/>
  <c r="G674" i="4"/>
  <c r="F674" i="4"/>
  <c r="T674" i="4" s="1"/>
  <c r="E674" i="4"/>
  <c r="D674" i="4"/>
  <c r="C674" i="4"/>
  <c r="O674" i="4" s="1"/>
  <c r="B674" i="4"/>
  <c r="A674" i="4"/>
  <c r="U673" i="4"/>
  <c r="S673" i="4"/>
  <c r="Q673" i="4"/>
  <c r="P673" i="4"/>
  <c r="L673" i="4"/>
  <c r="K673" i="4"/>
  <c r="J673" i="4"/>
  <c r="I673" i="4"/>
  <c r="H673" i="4"/>
  <c r="G673" i="4"/>
  <c r="F673" i="4"/>
  <c r="E673" i="4"/>
  <c r="N673" i="4" s="1"/>
  <c r="D673" i="4"/>
  <c r="C673" i="4"/>
  <c r="O673" i="4" s="1"/>
  <c r="B673" i="4"/>
  <c r="A673" i="4"/>
  <c r="S672" i="4"/>
  <c r="Q672" i="4"/>
  <c r="P672" i="4"/>
  <c r="L672" i="4"/>
  <c r="K672" i="4"/>
  <c r="J672" i="4"/>
  <c r="I672" i="4"/>
  <c r="H672" i="4"/>
  <c r="G672" i="4"/>
  <c r="F672" i="4"/>
  <c r="T672" i="4" s="1"/>
  <c r="E672" i="4"/>
  <c r="N672" i="4" s="1"/>
  <c r="D672" i="4"/>
  <c r="C672" i="4"/>
  <c r="O672" i="4" s="1"/>
  <c r="B672" i="4"/>
  <c r="A672" i="4"/>
  <c r="S671" i="4"/>
  <c r="Q671" i="4"/>
  <c r="R671" i="4" s="1"/>
  <c r="P671" i="4"/>
  <c r="L671" i="4"/>
  <c r="K671" i="4"/>
  <c r="J671" i="4"/>
  <c r="I671" i="4"/>
  <c r="H671" i="4"/>
  <c r="G671" i="4"/>
  <c r="F671" i="4"/>
  <c r="E671" i="4"/>
  <c r="M671" i="4" s="1"/>
  <c r="D671" i="4"/>
  <c r="C671" i="4"/>
  <c r="O671" i="4" s="1"/>
  <c r="B671" i="4"/>
  <c r="A671" i="4"/>
  <c r="S670" i="4"/>
  <c r="Q670" i="4"/>
  <c r="P670" i="4"/>
  <c r="O670" i="4"/>
  <c r="N670" i="4"/>
  <c r="M670" i="4"/>
  <c r="L670" i="4"/>
  <c r="K670" i="4"/>
  <c r="J670" i="4"/>
  <c r="I670" i="4"/>
  <c r="H670" i="4"/>
  <c r="G670" i="4"/>
  <c r="F670" i="4"/>
  <c r="E670" i="4"/>
  <c r="U670" i="4" s="1"/>
  <c r="D670" i="4"/>
  <c r="C670" i="4"/>
  <c r="B670" i="4"/>
  <c r="A670" i="4"/>
  <c r="S669" i="4"/>
  <c r="Q669" i="4"/>
  <c r="P669" i="4"/>
  <c r="O669" i="4"/>
  <c r="L669" i="4"/>
  <c r="K669" i="4"/>
  <c r="J669" i="4"/>
  <c r="I669" i="4"/>
  <c r="H669" i="4"/>
  <c r="G669" i="4"/>
  <c r="F669" i="4"/>
  <c r="T669" i="4" s="1"/>
  <c r="E669" i="4"/>
  <c r="N669" i="4" s="1"/>
  <c r="D669" i="4"/>
  <c r="C669" i="4"/>
  <c r="B669" i="4"/>
  <c r="A669" i="4"/>
  <c r="S668" i="4"/>
  <c r="Q668" i="4"/>
  <c r="P668" i="4"/>
  <c r="N668" i="4"/>
  <c r="L668" i="4"/>
  <c r="K668" i="4"/>
  <c r="J668" i="4"/>
  <c r="I668" i="4"/>
  <c r="H668" i="4"/>
  <c r="G668" i="4"/>
  <c r="F668" i="4"/>
  <c r="T668" i="4" s="1"/>
  <c r="E668" i="4"/>
  <c r="U668" i="4" s="1"/>
  <c r="D668" i="4"/>
  <c r="C668" i="4"/>
  <c r="O668" i="4" s="1"/>
  <c r="B668" i="4"/>
  <c r="A668" i="4"/>
  <c r="S667" i="4"/>
  <c r="R667" i="4"/>
  <c r="Q667" i="4"/>
  <c r="P667" i="4"/>
  <c r="L667" i="4"/>
  <c r="K667" i="4"/>
  <c r="J667" i="4"/>
  <c r="I667" i="4"/>
  <c r="H667" i="4"/>
  <c r="G667" i="4"/>
  <c r="F667" i="4"/>
  <c r="E667" i="4"/>
  <c r="D667" i="4"/>
  <c r="C667" i="4"/>
  <c r="O667" i="4" s="1"/>
  <c r="B667" i="4"/>
  <c r="A667" i="4"/>
  <c r="U666" i="4"/>
  <c r="S666" i="4"/>
  <c r="R666" i="4"/>
  <c r="Q666" i="4"/>
  <c r="P666" i="4"/>
  <c r="L666" i="4"/>
  <c r="K666" i="4"/>
  <c r="J666" i="4"/>
  <c r="I666" i="4"/>
  <c r="H666" i="4"/>
  <c r="G666" i="4"/>
  <c r="F666" i="4"/>
  <c r="E666" i="4"/>
  <c r="N666" i="4" s="1"/>
  <c r="D666" i="4"/>
  <c r="C666" i="4"/>
  <c r="O666" i="4" s="1"/>
  <c r="B666" i="4"/>
  <c r="A666" i="4"/>
  <c r="S665" i="4"/>
  <c r="R665" i="4"/>
  <c r="Q665" i="4"/>
  <c r="P665" i="4"/>
  <c r="N665" i="4"/>
  <c r="M665" i="4"/>
  <c r="L665" i="4"/>
  <c r="K665" i="4"/>
  <c r="J665" i="4"/>
  <c r="I665" i="4"/>
  <c r="H665" i="4"/>
  <c r="G665" i="4"/>
  <c r="F665" i="4"/>
  <c r="E665" i="4"/>
  <c r="U665" i="4" s="1"/>
  <c r="D665" i="4"/>
  <c r="C665" i="4"/>
  <c r="O665" i="4" s="1"/>
  <c r="B665" i="4"/>
  <c r="A665" i="4"/>
  <c r="S664" i="4"/>
  <c r="Q664" i="4"/>
  <c r="P664" i="4"/>
  <c r="L664" i="4"/>
  <c r="K664" i="4"/>
  <c r="J664" i="4"/>
  <c r="I664" i="4"/>
  <c r="H664" i="4"/>
  <c r="G664" i="4"/>
  <c r="F664" i="4"/>
  <c r="E664" i="4"/>
  <c r="D664" i="4"/>
  <c r="C664" i="4"/>
  <c r="O664" i="4" s="1"/>
  <c r="B664" i="4"/>
  <c r="A664" i="4"/>
  <c r="S663" i="4"/>
  <c r="Q663" i="4"/>
  <c r="P663" i="4"/>
  <c r="L663" i="4"/>
  <c r="K663" i="4"/>
  <c r="J663" i="4"/>
  <c r="I663" i="4"/>
  <c r="H663" i="4"/>
  <c r="G663" i="4"/>
  <c r="F663" i="4"/>
  <c r="E663" i="4"/>
  <c r="D663" i="4"/>
  <c r="C663" i="4"/>
  <c r="O663" i="4" s="1"/>
  <c r="B663" i="4"/>
  <c r="A663" i="4"/>
  <c r="S662" i="4"/>
  <c r="Q662" i="4"/>
  <c r="P662" i="4"/>
  <c r="M662" i="4"/>
  <c r="L662" i="4"/>
  <c r="K662" i="4"/>
  <c r="J662" i="4"/>
  <c r="I662" i="4"/>
  <c r="H662" i="4"/>
  <c r="G662" i="4"/>
  <c r="F662" i="4"/>
  <c r="E662" i="4"/>
  <c r="U662" i="4" s="1"/>
  <c r="D662" i="4"/>
  <c r="C662" i="4"/>
  <c r="O662" i="4" s="1"/>
  <c r="B662" i="4"/>
  <c r="A662" i="4"/>
  <c r="S661" i="4"/>
  <c r="Q661" i="4"/>
  <c r="P661" i="4"/>
  <c r="L661" i="4"/>
  <c r="K661" i="4"/>
  <c r="J661" i="4"/>
  <c r="I661" i="4"/>
  <c r="H661" i="4"/>
  <c r="G661" i="4"/>
  <c r="F661" i="4"/>
  <c r="E661" i="4"/>
  <c r="T661" i="4" s="1"/>
  <c r="D661" i="4"/>
  <c r="C661" i="4"/>
  <c r="O661" i="4" s="1"/>
  <c r="B661" i="4"/>
  <c r="A661" i="4"/>
  <c r="S660" i="4"/>
  <c r="Q660" i="4"/>
  <c r="P660" i="4"/>
  <c r="N660" i="4"/>
  <c r="M660" i="4"/>
  <c r="L660" i="4"/>
  <c r="K660" i="4"/>
  <c r="J660" i="4"/>
  <c r="I660" i="4"/>
  <c r="H660" i="4"/>
  <c r="G660" i="4"/>
  <c r="F660" i="4"/>
  <c r="E660" i="4"/>
  <c r="U660" i="4" s="1"/>
  <c r="D660" i="4"/>
  <c r="C660" i="4"/>
  <c r="O660" i="4" s="1"/>
  <c r="B660" i="4"/>
  <c r="A660" i="4"/>
  <c r="S659" i="4"/>
  <c r="Q659" i="4"/>
  <c r="P659" i="4"/>
  <c r="R659" i="4" s="1"/>
  <c r="L659" i="4"/>
  <c r="K659" i="4"/>
  <c r="J659" i="4"/>
  <c r="I659" i="4"/>
  <c r="H659" i="4"/>
  <c r="G659" i="4"/>
  <c r="F659" i="4"/>
  <c r="E659" i="4"/>
  <c r="N659" i="4" s="1"/>
  <c r="D659" i="4"/>
  <c r="C659" i="4"/>
  <c r="O659" i="4" s="1"/>
  <c r="B659" i="4"/>
  <c r="A659" i="4"/>
  <c r="S658" i="4"/>
  <c r="Q658" i="4"/>
  <c r="P658" i="4"/>
  <c r="N658" i="4"/>
  <c r="L658" i="4"/>
  <c r="K658" i="4"/>
  <c r="J658" i="4"/>
  <c r="I658" i="4"/>
  <c r="H658" i="4"/>
  <c r="G658" i="4"/>
  <c r="F658" i="4"/>
  <c r="E658" i="4"/>
  <c r="U658" i="4" s="1"/>
  <c r="D658" i="4"/>
  <c r="C658" i="4"/>
  <c r="O658" i="4" s="1"/>
  <c r="B658" i="4"/>
  <c r="A658" i="4"/>
  <c r="S657" i="4"/>
  <c r="Q657" i="4"/>
  <c r="P657" i="4"/>
  <c r="L657" i="4"/>
  <c r="K657" i="4"/>
  <c r="J657" i="4"/>
  <c r="I657" i="4"/>
  <c r="H657" i="4"/>
  <c r="G657" i="4"/>
  <c r="F657" i="4"/>
  <c r="E657" i="4"/>
  <c r="D657" i="4"/>
  <c r="C657" i="4"/>
  <c r="O657" i="4" s="1"/>
  <c r="B657" i="4"/>
  <c r="A657" i="4"/>
  <c r="S656" i="4"/>
  <c r="Q656" i="4"/>
  <c r="P656" i="4"/>
  <c r="L656" i="4"/>
  <c r="K656" i="4"/>
  <c r="J656" i="4"/>
  <c r="I656" i="4"/>
  <c r="H656" i="4"/>
  <c r="G656" i="4"/>
  <c r="F656" i="4"/>
  <c r="E656" i="4"/>
  <c r="U656" i="4" s="1"/>
  <c r="D656" i="4"/>
  <c r="C656" i="4"/>
  <c r="O656" i="4" s="1"/>
  <c r="B656" i="4"/>
  <c r="A656" i="4"/>
  <c r="S655" i="4"/>
  <c r="Q655" i="4"/>
  <c r="R655" i="4" s="1"/>
  <c r="P655" i="4"/>
  <c r="N655" i="4"/>
  <c r="L655" i="4"/>
  <c r="K655" i="4"/>
  <c r="J655" i="4"/>
  <c r="I655" i="4"/>
  <c r="H655" i="4"/>
  <c r="G655" i="4"/>
  <c r="F655" i="4"/>
  <c r="E655" i="4"/>
  <c r="U655" i="4" s="1"/>
  <c r="D655" i="4"/>
  <c r="C655" i="4"/>
  <c r="O655" i="4" s="1"/>
  <c r="B655" i="4"/>
  <c r="A655" i="4"/>
  <c r="S654" i="4"/>
  <c r="Q654" i="4"/>
  <c r="P654" i="4"/>
  <c r="L654" i="4"/>
  <c r="K654" i="4"/>
  <c r="J654" i="4"/>
  <c r="I654" i="4"/>
  <c r="H654" i="4"/>
  <c r="G654" i="4"/>
  <c r="F654" i="4"/>
  <c r="E654" i="4"/>
  <c r="D654" i="4"/>
  <c r="C654" i="4"/>
  <c r="O654" i="4" s="1"/>
  <c r="B654" i="4"/>
  <c r="A654" i="4"/>
  <c r="S653" i="4"/>
  <c r="Q653" i="4"/>
  <c r="P653" i="4"/>
  <c r="M653" i="4"/>
  <c r="L653" i="4"/>
  <c r="K653" i="4"/>
  <c r="J653" i="4"/>
  <c r="I653" i="4"/>
  <c r="H653" i="4"/>
  <c r="G653" i="4"/>
  <c r="F653" i="4"/>
  <c r="E653" i="4"/>
  <c r="T653" i="4" s="1"/>
  <c r="D653" i="4"/>
  <c r="C653" i="4"/>
  <c r="O653" i="4" s="1"/>
  <c r="B653" i="4"/>
  <c r="A653" i="4"/>
  <c r="S652" i="4"/>
  <c r="Q652" i="4"/>
  <c r="P652" i="4"/>
  <c r="N652" i="4"/>
  <c r="L652" i="4"/>
  <c r="K652" i="4"/>
  <c r="J652" i="4"/>
  <c r="I652" i="4"/>
  <c r="H652" i="4"/>
  <c r="G652" i="4"/>
  <c r="F652" i="4"/>
  <c r="E652" i="4"/>
  <c r="M652" i="4" s="1"/>
  <c r="D652" i="4"/>
  <c r="C652" i="4"/>
  <c r="O652" i="4" s="1"/>
  <c r="B652" i="4"/>
  <c r="A652" i="4"/>
  <c r="S651" i="4"/>
  <c r="Q651" i="4"/>
  <c r="P651" i="4"/>
  <c r="L651" i="4"/>
  <c r="K651" i="4"/>
  <c r="J651" i="4"/>
  <c r="I651" i="4"/>
  <c r="H651" i="4"/>
  <c r="G651" i="4"/>
  <c r="F651" i="4"/>
  <c r="E651" i="4"/>
  <c r="N651" i="4" s="1"/>
  <c r="D651" i="4"/>
  <c r="C651" i="4"/>
  <c r="O651" i="4" s="1"/>
  <c r="B651" i="4"/>
  <c r="A651" i="4"/>
  <c r="S650" i="4"/>
  <c r="Q650" i="4"/>
  <c r="P650" i="4"/>
  <c r="R650" i="4" s="1"/>
  <c r="L650" i="4"/>
  <c r="K650" i="4"/>
  <c r="J650" i="4"/>
  <c r="I650" i="4"/>
  <c r="H650" i="4"/>
  <c r="G650" i="4"/>
  <c r="F650" i="4"/>
  <c r="E650" i="4"/>
  <c r="D650" i="4"/>
  <c r="C650" i="4"/>
  <c r="O650" i="4" s="1"/>
  <c r="B650" i="4"/>
  <c r="A650" i="4"/>
  <c r="U649" i="4"/>
  <c r="S649" i="4"/>
  <c r="Q649" i="4"/>
  <c r="P649" i="4"/>
  <c r="L649" i="4"/>
  <c r="K649" i="4"/>
  <c r="J649" i="4"/>
  <c r="I649" i="4"/>
  <c r="H649" i="4"/>
  <c r="G649" i="4"/>
  <c r="F649" i="4"/>
  <c r="E649" i="4"/>
  <c r="D649" i="4"/>
  <c r="C649" i="4"/>
  <c r="O649" i="4" s="1"/>
  <c r="B649" i="4"/>
  <c r="A649" i="4"/>
  <c r="S648" i="4"/>
  <c r="Q648" i="4"/>
  <c r="P648" i="4"/>
  <c r="L648" i="4"/>
  <c r="K648" i="4"/>
  <c r="J648" i="4"/>
  <c r="I648" i="4"/>
  <c r="H648" i="4"/>
  <c r="G648" i="4"/>
  <c r="F648" i="4"/>
  <c r="E648" i="4"/>
  <c r="D648" i="4"/>
  <c r="C648" i="4"/>
  <c r="O648" i="4" s="1"/>
  <c r="B648" i="4"/>
  <c r="A648" i="4"/>
  <c r="S647" i="4"/>
  <c r="Q647" i="4"/>
  <c r="P647" i="4"/>
  <c r="L647" i="4"/>
  <c r="K647" i="4"/>
  <c r="J647" i="4"/>
  <c r="I647" i="4"/>
  <c r="H647" i="4"/>
  <c r="G647" i="4"/>
  <c r="F647" i="4"/>
  <c r="E647" i="4"/>
  <c r="D647" i="4"/>
  <c r="C647" i="4"/>
  <c r="O647" i="4" s="1"/>
  <c r="B647" i="4"/>
  <c r="A647" i="4"/>
  <c r="S646" i="4"/>
  <c r="Q646" i="4"/>
  <c r="P646" i="4"/>
  <c r="L646" i="4"/>
  <c r="K646" i="4"/>
  <c r="J646" i="4"/>
  <c r="I646" i="4"/>
  <c r="H646" i="4"/>
  <c r="G646" i="4"/>
  <c r="F646" i="4"/>
  <c r="E646" i="4"/>
  <c r="U646" i="4" s="1"/>
  <c r="D646" i="4"/>
  <c r="C646" i="4"/>
  <c r="O646" i="4" s="1"/>
  <c r="B646" i="4"/>
  <c r="A646" i="4"/>
  <c r="S645" i="4"/>
  <c r="Q645" i="4"/>
  <c r="R645" i="4" s="1"/>
  <c r="P645" i="4"/>
  <c r="L645" i="4"/>
  <c r="K645" i="4"/>
  <c r="J645" i="4"/>
  <c r="I645" i="4"/>
  <c r="H645" i="4"/>
  <c r="G645" i="4"/>
  <c r="F645" i="4"/>
  <c r="E645" i="4"/>
  <c r="D645" i="4"/>
  <c r="C645" i="4"/>
  <c r="O645" i="4" s="1"/>
  <c r="B645" i="4"/>
  <c r="A645" i="4"/>
  <c r="S644" i="4"/>
  <c r="Q644" i="4"/>
  <c r="P644" i="4"/>
  <c r="L644" i="4"/>
  <c r="K644" i="4"/>
  <c r="J644" i="4"/>
  <c r="I644" i="4"/>
  <c r="H644" i="4"/>
  <c r="G644" i="4"/>
  <c r="F644" i="4"/>
  <c r="E644" i="4"/>
  <c r="D644" i="4"/>
  <c r="C644" i="4"/>
  <c r="O644" i="4" s="1"/>
  <c r="B644" i="4"/>
  <c r="A644" i="4"/>
  <c r="S643" i="4"/>
  <c r="Q643" i="4"/>
  <c r="P643" i="4"/>
  <c r="L643" i="4"/>
  <c r="K643" i="4"/>
  <c r="J643" i="4"/>
  <c r="I643" i="4"/>
  <c r="H643" i="4"/>
  <c r="G643" i="4"/>
  <c r="F643" i="4"/>
  <c r="E643" i="4"/>
  <c r="D643" i="4"/>
  <c r="C643" i="4"/>
  <c r="O643" i="4" s="1"/>
  <c r="B643" i="4"/>
  <c r="A643" i="4"/>
  <c r="S642" i="4"/>
  <c r="Q642" i="4"/>
  <c r="P642" i="4"/>
  <c r="N642" i="4"/>
  <c r="M642" i="4"/>
  <c r="L642" i="4"/>
  <c r="K642" i="4"/>
  <c r="J642" i="4"/>
  <c r="I642" i="4"/>
  <c r="H642" i="4"/>
  <c r="G642" i="4"/>
  <c r="F642" i="4"/>
  <c r="T642" i="4" s="1"/>
  <c r="E642" i="4"/>
  <c r="U642" i="4" s="1"/>
  <c r="D642" i="4"/>
  <c r="C642" i="4"/>
  <c r="O642" i="4" s="1"/>
  <c r="B642" i="4"/>
  <c r="A642" i="4"/>
  <c r="S641" i="4"/>
  <c r="Q641" i="4"/>
  <c r="P641" i="4"/>
  <c r="L641" i="4"/>
  <c r="K641" i="4"/>
  <c r="J641" i="4"/>
  <c r="I641" i="4"/>
  <c r="H641" i="4"/>
  <c r="G641" i="4"/>
  <c r="F641" i="4"/>
  <c r="T641" i="4" s="1"/>
  <c r="E641" i="4"/>
  <c r="D641" i="4"/>
  <c r="C641" i="4"/>
  <c r="O641" i="4" s="1"/>
  <c r="B641" i="4"/>
  <c r="A641" i="4"/>
  <c r="S640" i="4"/>
  <c r="Q640" i="4"/>
  <c r="P640" i="4"/>
  <c r="L640" i="4"/>
  <c r="K640" i="4"/>
  <c r="J640" i="4"/>
  <c r="I640" i="4"/>
  <c r="H640" i="4"/>
  <c r="G640" i="4"/>
  <c r="F640" i="4"/>
  <c r="E640" i="4"/>
  <c r="D640" i="4"/>
  <c r="C640" i="4"/>
  <c r="O640" i="4" s="1"/>
  <c r="B640" i="4"/>
  <c r="A640" i="4"/>
  <c r="S639" i="4"/>
  <c r="Q639" i="4"/>
  <c r="P639" i="4"/>
  <c r="R639" i="4" s="1"/>
  <c r="N639" i="4"/>
  <c r="L639" i="4"/>
  <c r="K639" i="4"/>
  <c r="J639" i="4"/>
  <c r="I639" i="4"/>
  <c r="H639" i="4"/>
  <c r="G639" i="4"/>
  <c r="F639" i="4"/>
  <c r="T639" i="4" s="1"/>
  <c r="E639" i="4"/>
  <c r="U639" i="4" s="1"/>
  <c r="D639" i="4"/>
  <c r="C639" i="4"/>
  <c r="O639" i="4" s="1"/>
  <c r="B639" i="4"/>
  <c r="A639" i="4"/>
  <c r="S638" i="4"/>
  <c r="Q638" i="4"/>
  <c r="P638" i="4"/>
  <c r="L638" i="4"/>
  <c r="K638" i="4"/>
  <c r="J638" i="4"/>
  <c r="I638" i="4"/>
  <c r="H638" i="4"/>
  <c r="G638" i="4"/>
  <c r="F638" i="4"/>
  <c r="E638" i="4"/>
  <c r="N638" i="4" s="1"/>
  <c r="D638" i="4"/>
  <c r="C638" i="4"/>
  <c r="O638" i="4" s="1"/>
  <c r="B638" i="4"/>
  <c r="A638" i="4"/>
  <c r="S637" i="4"/>
  <c r="Q637" i="4"/>
  <c r="P637" i="4"/>
  <c r="M637" i="4"/>
  <c r="L637" i="4"/>
  <c r="K637" i="4"/>
  <c r="J637" i="4"/>
  <c r="I637" i="4"/>
  <c r="H637" i="4"/>
  <c r="G637" i="4"/>
  <c r="F637" i="4"/>
  <c r="E637" i="4"/>
  <c r="U637" i="4" s="1"/>
  <c r="D637" i="4"/>
  <c r="C637" i="4"/>
  <c r="O637" i="4" s="1"/>
  <c r="B637" i="4"/>
  <c r="A637" i="4"/>
  <c r="S636" i="4"/>
  <c r="Q636" i="4"/>
  <c r="P636" i="4"/>
  <c r="L636" i="4"/>
  <c r="K636" i="4"/>
  <c r="J636" i="4"/>
  <c r="I636" i="4"/>
  <c r="H636" i="4"/>
  <c r="G636" i="4"/>
  <c r="F636" i="4"/>
  <c r="T636" i="4" s="1"/>
  <c r="E636" i="4"/>
  <c r="D636" i="4"/>
  <c r="C636" i="4"/>
  <c r="O636" i="4" s="1"/>
  <c r="B636" i="4"/>
  <c r="A636" i="4"/>
  <c r="S635" i="4"/>
  <c r="R635" i="4"/>
  <c r="Q635" i="4"/>
  <c r="P635" i="4"/>
  <c r="O635" i="4"/>
  <c r="L635" i="4"/>
  <c r="K635" i="4"/>
  <c r="J635" i="4"/>
  <c r="I635" i="4"/>
  <c r="H635" i="4"/>
  <c r="G635" i="4"/>
  <c r="F635" i="4"/>
  <c r="E635" i="4"/>
  <c r="N635" i="4" s="1"/>
  <c r="D635" i="4"/>
  <c r="C635" i="4"/>
  <c r="B635" i="4"/>
  <c r="A635" i="4"/>
  <c r="T634" i="4"/>
  <c r="S634" i="4"/>
  <c r="Q634" i="4"/>
  <c r="P634" i="4"/>
  <c r="R634" i="4" s="1"/>
  <c r="L634" i="4"/>
  <c r="K634" i="4"/>
  <c r="J634" i="4"/>
  <c r="I634" i="4"/>
  <c r="H634" i="4"/>
  <c r="G634" i="4"/>
  <c r="F634" i="4"/>
  <c r="E634" i="4"/>
  <c r="M634" i="4" s="1"/>
  <c r="D634" i="4"/>
  <c r="C634" i="4"/>
  <c r="O634" i="4" s="1"/>
  <c r="B634" i="4"/>
  <c r="A634" i="4"/>
  <c r="S633" i="4"/>
  <c r="Q633" i="4"/>
  <c r="P633" i="4"/>
  <c r="L633" i="4"/>
  <c r="K633" i="4"/>
  <c r="J633" i="4"/>
  <c r="I633" i="4"/>
  <c r="H633" i="4"/>
  <c r="G633" i="4"/>
  <c r="F633" i="4"/>
  <c r="E633" i="4"/>
  <c r="D633" i="4"/>
  <c r="C633" i="4"/>
  <c r="O633" i="4" s="1"/>
  <c r="B633" i="4"/>
  <c r="A633" i="4"/>
  <c r="S632" i="4"/>
  <c r="Q632" i="4"/>
  <c r="R632" i="4" s="1"/>
  <c r="P632" i="4"/>
  <c r="L632" i="4"/>
  <c r="K632" i="4"/>
  <c r="J632" i="4"/>
  <c r="I632" i="4"/>
  <c r="H632" i="4"/>
  <c r="G632" i="4"/>
  <c r="F632" i="4"/>
  <c r="T632" i="4" s="1"/>
  <c r="E632" i="4"/>
  <c r="U632" i="4" s="1"/>
  <c r="D632" i="4"/>
  <c r="C632" i="4"/>
  <c r="O632" i="4" s="1"/>
  <c r="B632" i="4"/>
  <c r="A632" i="4"/>
  <c r="S631" i="4"/>
  <c r="Q631" i="4"/>
  <c r="P631" i="4"/>
  <c r="L631" i="4"/>
  <c r="K631" i="4"/>
  <c r="J631" i="4"/>
  <c r="I631" i="4"/>
  <c r="H631" i="4"/>
  <c r="G631" i="4"/>
  <c r="F631" i="4"/>
  <c r="T631" i="4" s="1"/>
  <c r="E631" i="4"/>
  <c r="M631" i="4" s="1"/>
  <c r="D631" i="4"/>
  <c r="C631" i="4"/>
  <c r="O631" i="4" s="1"/>
  <c r="B631" i="4"/>
  <c r="A631" i="4"/>
  <c r="S630" i="4"/>
  <c r="Q630" i="4"/>
  <c r="P630" i="4"/>
  <c r="L630" i="4"/>
  <c r="K630" i="4"/>
  <c r="J630" i="4"/>
  <c r="I630" i="4"/>
  <c r="H630" i="4"/>
  <c r="G630" i="4"/>
  <c r="F630" i="4"/>
  <c r="E630" i="4"/>
  <c r="N630" i="4" s="1"/>
  <c r="D630" i="4"/>
  <c r="C630" i="4"/>
  <c r="O630" i="4" s="1"/>
  <c r="B630" i="4"/>
  <c r="A630" i="4"/>
  <c r="S629" i="4"/>
  <c r="Q629" i="4"/>
  <c r="P629" i="4"/>
  <c r="L629" i="4"/>
  <c r="K629" i="4"/>
  <c r="J629" i="4"/>
  <c r="I629" i="4"/>
  <c r="H629" i="4"/>
  <c r="G629" i="4"/>
  <c r="F629" i="4"/>
  <c r="T629" i="4" s="1"/>
  <c r="E629" i="4"/>
  <c r="U629" i="4" s="1"/>
  <c r="D629" i="4"/>
  <c r="C629" i="4"/>
  <c r="O629" i="4" s="1"/>
  <c r="B629" i="4"/>
  <c r="A629" i="4"/>
  <c r="S628" i="4"/>
  <c r="Q628" i="4"/>
  <c r="P628" i="4"/>
  <c r="L628" i="4"/>
  <c r="K628" i="4"/>
  <c r="J628" i="4"/>
  <c r="I628" i="4"/>
  <c r="H628" i="4"/>
  <c r="G628" i="4"/>
  <c r="F628" i="4"/>
  <c r="E628" i="4"/>
  <c r="D628" i="4"/>
  <c r="C628" i="4"/>
  <c r="O628" i="4" s="1"/>
  <c r="B628" i="4"/>
  <c r="A628" i="4"/>
  <c r="S627" i="4"/>
  <c r="Q627" i="4"/>
  <c r="P627" i="4"/>
  <c r="L627" i="4"/>
  <c r="K627" i="4"/>
  <c r="J627" i="4"/>
  <c r="I627" i="4"/>
  <c r="H627" i="4"/>
  <c r="G627" i="4"/>
  <c r="F627" i="4"/>
  <c r="E627" i="4"/>
  <c r="D627" i="4"/>
  <c r="C627" i="4"/>
  <c r="O627" i="4" s="1"/>
  <c r="B627" i="4"/>
  <c r="A627" i="4"/>
  <c r="S626" i="4"/>
  <c r="Q626" i="4"/>
  <c r="P626" i="4"/>
  <c r="L626" i="4"/>
  <c r="K626" i="4"/>
  <c r="J626" i="4"/>
  <c r="I626" i="4"/>
  <c r="H626" i="4"/>
  <c r="G626" i="4"/>
  <c r="F626" i="4"/>
  <c r="E626" i="4"/>
  <c r="D626" i="4"/>
  <c r="C626" i="4"/>
  <c r="O626" i="4" s="1"/>
  <c r="B626" i="4"/>
  <c r="A626" i="4"/>
  <c r="S625" i="4"/>
  <c r="Q625" i="4"/>
  <c r="P625" i="4"/>
  <c r="L625" i="4"/>
  <c r="K625" i="4"/>
  <c r="J625" i="4"/>
  <c r="I625" i="4"/>
  <c r="H625" i="4"/>
  <c r="G625" i="4"/>
  <c r="F625" i="4"/>
  <c r="T625" i="4" s="1"/>
  <c r="E625" i="4"/>
  <c r="U625" i="4" s="1"/>
  <c r="D625" i="4"/>
  <c r="C625" i="4"/>
  <c r="O625" i="4" s="1"/>
  <c r="B625" i="4"/>
  <c r="A625" i="4"/>
  <c r="S624" i="4"/>
  <c r="R624" i="4"/>
  <c r="Q624" i="4"/>
  <c r="P624" i="4"/>
  <c r="L624" i="4"/>
  <c r="K624" i="4"/>
  <c r="J624" i="4"/>
  <c r="I624" i="4"/>
  <c r="H624" i="4"/>
  <c r="G624" i="4"/>
  <c r="F624" i="4"/>
  <c r="E624" i="4"/>
  <c r="D624" i="4"/>
  <c r="C624" i="4"/>
  <c r="O624" i="4" s="1"/>
  <c r="B624" i="4"/>
  <c r="A624" i="4"/>
  <c r="S623" i="4"/>
  <c r="Q623" i="4"/>
  <c r="P623" i="4"/>
  <c r="L623" i="4"/>
  <c r="K623" i="4"/>
  <c r="J623" i="4"/>
  <c r="I623" i="4"/>
  <c r="H623" i="4"/>
  <c r="G623" i="4"/>
  <c r="F623" i="4"/>
  <c r="E623" i="4"/>
  <c r="D623" i="4"/>
  <c r="C623" i="4"/>
  <c r="O623" i="4" s="1"/>
  <c r="B623" i="4"/>
  <c r="A623" i="4"/>
  <c r="S622" i="4"/>
  <c r="Q622" i="4"/>
  <c r="P622" i="4"/>
  <c r="L622" i="4"/>
  <c r="K622" i="4"/>
  <c r="J622" i="4"/>
  <c r="I622" i="4"/>
  <c r="H622" i="4"/>
  <c r="G622" i="4"/>
  <c r="F622" i="4"/>
  <c r="E622" i="4"/>
  <c r="N622" i="4" s="1"/>
  <c r="D622" i="4"/>
  <c r="C622" i="4"/>
  <c r="O622" i="4" s="1"/>
  <c r="B622" i="4"/>
  <c r="A622" i="4"/>
  <c r="S621" i="4"/>
  <c r="Q621" i="4"/>
  <c r="P621" i="4"/>
  <c r="N621" i="4"/>
  <c r="L621" i="4"/>
  <c r="K621" i="4"/>
  <c r="J621" i="4"/>
  <c r="I621" i="4"/>
  <c r="H621" i="4"/>
  <c r="G621" i="4"/>
  <c r="F621" i="4"/>
  <c r="T621" i="4" s="1"/>
  <c r="E621" i="4"/>
  <c r="U621" i="4" s="1"/>
  <c r="D621" i="4"/>
  <c r="C621" i="4"/>
  <c r="O621" i="4" s="1"/>
  <c r="B621" i="4"/>
  <c r="A621" i="4"/>
  <c r="S620" i="4"/>
  <c r="Q620" i="4"/>
  <c r="P620" i="4"/>
  <c r="L620" i="4"/>
  <c r="K620" i="4"/>
  <c r="J620" i="4"/>
  <c r="I620" i="4"/>
  <c r="H620" i="4"/>
  <c r="G620" i="4"/>
  <c r="F620" i="4"/>
  <c r="T620" i="4" s="1"/>
  <c r="E620" i="4"/>
  <c r="M620" i="4" s="1"/>
  <c r="D620" i="4"/>
  <c r="C620" i="4"/>
  <c r="O620" i="4" s="1"/>
  <c r="B620" i="4"/>
  <c r="A620" i="4"/>
  <c r="S619" i="4"/>
  <c r="Q619" i="4"/>
  <c r="P619" i="4"/>
  <c r="O619" i="4"/>
  <c r="L619" i="4"/>
  <c r="K619" i="4"/>
  <c r="J619" i="4"/>
  <c r="I619" i="4"/>
  <c r="H619" i="4"/>
  <c r="G619" i="4"/>
  <c r="F619" i="4"/>
  <c r="T619" i="4" s="1"/>
  <c r="E619" i="4"/>
  <c r="U619" i="4" s="1"/>
  <c r="D619" i="4"/>
  <c r="C619" i="4"/>
  <c r="B619" i="4"/>
  <c r="A619" i="4"/>
  <c r="S618" i="4"/>
  <c r="Q618" i="4"/>
  <c r="P618" i="4"/>
  <c r="L618" i="4"/>
  <c r="K618" i="4"/>
  <c r="J618" i="4"/>
  <c r="I618" i="4"/>
  <c r="H618" i="4"/>
  <c r="G618" i="4"/>
  <c r="F618" i="4"/>
  <c r="E618" i="4"/>
  <c r="M618" i="4" s="1"/>
  <c r="D618" i="4"/>
  <c r="C618" i="4"/>
  <c r="O618" i="4" s="1"/>
  <c r="B618" i="4"/>
  <c r="A618" i="4"/>
  <c r="S617" i="4"/>
  <c r="Q617" i="4"/>
  <c r="P617" i="4"/>
  <c r="L617" i="4"/>
  <c r="K617" i="4"/>
  <c r="J617" i="4"/>
  <c r="I617" i="4"/>
  <c r="H617" i="4"/>
  <c r="G617" i="4"/>
  <c r="F617" i="4"/>
  <c r="E617" i="4"/>
  <c r="N617" i="4" s="1"/>
  <c r="D617" i="4"/>
  <c r="C617" i="4"/>
  <c r="O617" i="4" s="1"/>
  <c r="B617" i="4"/>
  <c r="A617" i="4"/>
  <c r="S616" i="4"/>
  <c r="Q616" i="4"/>
  <c r="P616" i="4"/>
  <c r="L616" i="4"/>
  <c r="K616" i="4"/>
  <c r="J616" i="4"/>
  <c r="I616" i="4"/>
  <c r="H616" i="4"/>
  <c r="G616" i="4"/>
  <c r="F616" i="4"/>
  <c r="T616" i="4" s="1"/>
  <c r="E616" i="4"/>
  <c r="N616" i="4" s="1"/>
  <c r="D616" i="4"/>
  <c r="C616" i="4"/>
  <c r="O616" i="4" s="1"/>
  <c r="B616" i="4"/>
  <c r="A616" i="4"/>
  <c r="S615" i="4"/>
  <c r="Q615" i="4"/>
  <c r="P615" i="4"/>
  <c r="L615" i="4"/>
  <c r="K615" i="4"/>
  <c r="J615" i="4"/>
  <c r="I615" i="4"/>
  <c r="H615" i="4"/>
  <c r="G615" i="4"/>
  <c r="F615" i="4"/>
  <c r="E615" i="4"/>
  <c r="D615" i="4"/>
  <c r="C615" i="4"/>
  <c r="O615" i="4" s="1"/>
  <c r="B615" i="4"/>
  <c r="A615" i="4"/>
  <c r="S614" i="4"/>
  <c r="Q614" i="4"/>
  <c r="P614" i="4"/>
  <c r="L614" i="4"/>
  <c r="K614" i="4"/>
  <c r="J614" i="4"/>
  <c r="I614" i="4"/>
  <c r="H614" i="4"/>
  <c r="G614" i="4"/>
  <c r="F614" i="4"/>
  <c r="E614" i="4"/>
  <c r="U614" i="4" s="1"/>
  <c r="D614" i="4"/>
  <c r="C614" i="4"/>
  <c r="O614" i="4" s="1"/>
  <c r="B614" i="4"/>
  <c r="A614" i="4"/>
  <c r="S613" i="4"/>
  <c r="R613" i="4"/>
  <c r="Q613" i="4"/>
  <c r="P613" i="4"/>
  <c r="O613" i="4"/>
  <c r="L613" i="4"/>
  <c r="K613" i="4"/>
  <c r="J613" i="4"/>
  <c r="I613" i="4"/>
  <c r="H613" i="4"/>
  <c r="G613" i="4"/>
  <c r="F613" i="4"/>
  <c r="E613" i="4"/>
  <c r="D613" i="4"/>
  <c r="C613" i="4"/>
  <c r="B613" i="4"/>
  <c r="A613" i="4"/>
  <c r="S612" i="4"/>
  <c r="Q612" i="4"/>
  <c r="P612" i="4"/>
  <c r="N612" i="4"/>
  <c r="L612" i="4"/>
  <c r="K612" i="4"/>
  <c r="J612" i="4"/>
  <c r="I612" i="4"/>
  <c r="H612" i="4"/>
  <c r="G612" i="4"/>
  <c r="F612" i="4"/>
  <c r="E612" i="4"/>
  <c r="U612" i="4" s="1"/>
  <c r="D612" i="4"/>
  <c r="C612" i="4"/>
  <c r="O612" i="4" s="1"/>
  <c r="B612" i="4"/>
  <c r="A612" i="4"/>
  <c r="S611" i="4"/>
  <c r="Q611" i="4"/>
  <c r="P611" i="4"/>
  <c r="O611" i="4"/>
  <c r="L611" i="4"/>
  <c r="K611" i="4"/>
  <c r="J611" i="4"/>
  <c r="I611" i="4"/>
  <c r="H611" i="4"/>
  <c r="G611" i="4"/>
  <c r="F611" i="4"/>
  <c r="T611" i="4" s="1"/>
  <c r="E611" i="4"/>
  <c r="N611" i="4" s="1"/>
  <c r="D611" i="4"/>
  <c r="C611" i="4"/>
  <c r="B611" i="4"/>
  <c r="A611" i="4"/>
  <c r="S610" i="4"/>
  <c r="Q610" i="4"/>
  <c r="P610" i="4"/>
  <c r="L610" i="4"/>
  <c r="K610" i="4"/>
  <c r="J610" i="4"/>
  <c r="I610" i="4"/>
  <c r="H610" i="4"/>
  <c r="G610" i="4"/>
  <c r="F610" i="4"/>
  <c r="E610" i="4"/>
  <c r="U610" i="4" s="1"/>
  <c r="D610" i="4"/>
  <c r="C610" i="4"/>
  <c r="O610" i="4" s="1"/>
  <c r="B610" i="4"/>
  <c r="A610" i="4"/>
  <c r="S609" i="4"/>
  <c r="Q609" i="4"/>
  <c r="P609" i="4"/>
  <c r="L609" i="4"/>
  <c r="K609" i="4"/>
  <c r="J609" i="4"/>
  <c r="I609" i="4"/>
  <c r="H609" i="4"/>
  <c r="G609" i="4"/>
  <c r="F609" i="4"/>
  <c r="E609" i="4"/>
  <c r="T609" i="4" s="1"/>
  <c r="D609" i="4"/>
  <c r="C609" i="4"/>
  <c r="O609" i="4" s="1"/>
  <c r="B609" i="4"/>
  <c r="A609" i="4"/>
  <c r="S608" i="4"/>
  <c r="R608" i="4"/>
  <c r="Q608" i="4"/>
  <c r="P608" i="4"/>
  <c r="L608" i="4"/>
  <c r="K608" i="4"/>
  <c r="J608" i="4"/>
  <c r="I608" i="4"/>
  <c r="H608" i="4"/>
  <c r="G608" i="4"/>
  <c r="F608" i="4"/>
  <c r="E608" i="4"/>
  <c r="D608" i="4"/>
  <c r="C608" i="4"/>
  <c r="O608" i="4" s="1"/>
  <c r="B608" i="4"/>
  <c r="A608" i="4"/>
  <c r="S607" i="4"/>
  <c r="Q607" i="4"/>
  <c r="P607" i="4"/>
  <c r="L607" i="4"/>
  <c r="K607" i="4"/>
  <c r="J607" i="4"/>
  <c r="I607" i="4"/>
  <c r="H607" i="4"/>
  <c r="G607" i="4"/>
  <c r="F607" i="4"/>
  <c r="T607" i="4" s="1"/>
  <c r="E607" i="4"/>
  <c r="U607" i="4" s="1"/>
  <c r="D607" i="4"/>
  <c r="C607" i="4"/>
  <c r="O607" i="4" s="1"/>
  <c r="B607" i="4"/>
  <c r="A607" i="4"/>
  <c r="U606" i="4"/>
  <c r="S606" i="4"/>
  <c r="Q606" i="4"/>
  <c r="P606" i="4"/>
  <c r="L606" i="4"/>
  <c r="K606" i="4"/>
  <c r="J606" i="4"/>
  <c r="I606" i="4"/>
  <c r="H606" i="4"/>
  <c r="G606" i="4"/>
  <c r="F606" i="4"/>
  <c r="T606" i="4" s="1"/>
  <c r="E606" i="4"/>
  <c r="N606" i="4" s="1"/>
  <c r="D606" i="4"/>
  <c r="C606" i="4"/>
  <c r="O606" i="4" s="1"/>
  <c r="B606" i="4"/>
  <c r="A606" i="4"/>
  <c r="S605" i="4"/>
  <c r="Q605" i="4"/>
  <c r="P605" i="4"/>
  <c r="L605" i="4"/>
  <c r="K605" i="4"/>
  <c r="J605" i="4"/>
  <c r="I605" i="4"/>
  <c r="H605" i="4"/>
  <c r="G605" i="4"/>
  <c r="F605" i="4"/>
  <c r="T605" i="4" s="1"/>
  <c r="E605" i="4"/>
  <c r="U605" i="4" s="1"/>
  <c r="D605" i="4"/>
  <c r="C605" i="4"/>
  <c r="O605" i="4" s="1"/>
  <c r="B605" i="4"/>
  <c r="A605" i="4"/>
  <c r="S604" i="4"/>
  <c r="Q604" i="4"/>
  <c r="P604" i="4"/>
  <c r="L604" i="4"/>
  <c r="K604" i="4"/>
  <c r="J604" i="4"/>
  <c r="I604" i="4"/>
  <c r="H604" i="4"/>
  <c r="G604" i="4"/>
  <c r="F604" i="4"/>
  <c r="E604" i="4"/>
  <c r="D604" i="4"/>
  <c r="C604" i="4"/>
  <c r="O604" i="4" s="1"/>
  <c r="B604" i="4"/>
  <c r="A604" i="4"/>
  <c r="S603" i="4"/>
  <c r="Q603" i="4"/>
  <c r="P603" i="4"/>
  <c r="O603" i="4"/>
  <c r="L603" i="4"/>
  <c r="K603" i="4"/>
  <c r="J603" i="4"/>
  <c r="I603" i="4"/>
  <c r="H603" i="4"/>
  <c r="G603" i="4"/>
  <c r="F603" i="4"/>
  <c r="E603" i="4"/>
  <c r="N603" i="4" s="1"/>
  <c r="D603" i="4"/>
  <c r="C603" i="4"/>
  <c r="B603" i="4"/>
  <c r="A603" i="4"/>
  <c r="U602" i="4"/>
  <c r="S602" i="4"/>
  <c r="Q602" i="4"/>
  <c r="R602" i="4" s="1"/>
  <c r="P602" i="4"/>
  <c r="L602" i="4"/>
  <c r="K602" i="4"/>
  <c r="J602" i="4"/>
  <c r="I602" i="4"/>
  <c r="H602" i="4"/>
  <c r="G602" i="4"/>
  <c r="F602" i="4"/>
  <c r="T602" i="4" s="1"/>
  <c r="E602" i="4"/>
  <c r="M602" i="4" s="1"/>
  <c r="D602" i="4"/>
  <c r="C602" i="4"/>
  <c r="O602" i="4" s="1"/>
  <c r="B602" i="4"/>
  <c r="A602" i="4"/>
  <c r="U601" i="4"/>
  <c r="S601" i="4"/>
  <c r="Q601" i="4"/>
  <c r="P601" i="4"/>
  <c r="L601" i="4"/>
  <c r="K601" i="4"/>
  <c r="J601" i="4"/>
  <c r="I601" i="4"/>
  <c r="H601" i="4"/>
  <c r="G601" i="4"/>
  <c r="F601" i="4"/>
  <c r="E601" i="4"/>
  <c r="D601" i="4"/>
  <c r="C601" i="4"/>
  <c r="O601" i="4" s="1"/>
  <c r="B601" i="4"/>
  <c r="A601" i="4"/>
  <c r="T600" i="4"/>
  <c r="S600" i="4"/>
  <c r="Q600" i="4"/>
  <c r="P600" i="4"/>
  <c r="M600" i="4"/>
  <c r="L600" i="4"/>
  <c r="K600" i="4"/>
  <c r="J600" i="4"/>
  <c r="I600" i="4"/>
  <c r="H600" i="4"/>
  <c r="G600" i="4"/>
  <c r="F600" i="4"/>
  <c r="E600" i="4"/>
  <c r="U600" i="4" s="1"/>
  <c r="D600" i="4"/>
  <c r="C600" i="4"/>
  <c r="O600" i="4" s="1"/>
  <c r="B600" i="4"/>
  <c r="A600" i="4"/>
  <c r="S599" i="4"/>
  <c r="Q599" i="4"/>
  <c r="P599" i="4"/>
  <c r="L599" i="4"/>
  <c r="K599" i="4"/>
  <c r="J599" i="4"/>
  <c r="I599" i="4"/>
  <c r="H599" i="4"/>
  <c r="G599" i="4"/>
  <c r="F599" i="4"/>
  <c r="E599" i="4"/>
  <c r="M599" i="4" s="1"/>
  <c r="D599" i="4"/>
  <c r="C599" i="4"/>
  <c r="O599" i="4" s="1"/>
  <c r="B599" i="4"/>
  <c r="A599" i="4"/>
  <c r="S598" i="4"/>
  <c r="Q598" i="4"/>
  <c r="P598" i="4"/>
  <c r="R598" i="4" s="1"/>
  <c r="N598" i="4"/>
  <c r="M598" i="4"/>
  <c r="L598" i="4"/>
  <c r="K598" i="4"/>
  <c r="J598" i="4"/>
  <c r="I598" i="4"/>
  <c r="H598" i="4"/>
  <c r="G598" i="4"/>
  <c r="F598" i="4"/>
  <c r="T598" i="4" s="1"/>
  <c r="E598" i="4"/>
  <c r="U598" i="4" s="1"/>
  <c r="D598" i="4"/>
  <c r="C598" i="4"/>
  <c r="O598" i="4" s="1"/>
  <c r="B598" i="4"/>
  <c r="A598" i="4"/>
  <c r="U597" i="4"/>
  <c r="S597" i="4"/>
  <c r="Q597" i="4"/>
  <c r="R597" i="4" s="1"/>
  <c r="P597" i="4"/>
  <c r="L597" i="4"/>
  <c r="K597" i="4"/>
  <c r="J597" i="4"/>
  <c r="I597" i="4"/>
  <c r="H597" i="4"/>
  <c r="G597" i="4"/>
  <c r="F597" i="4"/>
  <c r="T597" i="4" s="1"/>
  <c r="E597" i="4"/>
  <c r="D597" i="4"/>
  <c r="C597" i="4"/>
  <c r="O597" i="4" s="1"/>
  <c r="B597" i="4"/>
  <c r="A597" i="4"/>
  <c r="S596" i="4"/>
  <c r="Q596" i="4"/>
  <c r="P596" i="4"/>
  <c r="O596" i="4"/>
  <c r="L596" i="4"/>
  <c r="K596" i="4"/>
  <c r="J596" i="4"/>
  <c r="I596" i="4"/>
  <c r="H596" i="4"/>
  <c r="G596" i="4"/>
  <c r="F596" i="4"/>
  <c r="E596" i="4"/>
  <c r="D596" i="4"/>
  <c r="C596" i="4"/>
  <c r="B596" i="4"/>
  <c r="A596" i="4"/>
  <c r="U595" i="4"/>
  <c r="S595" i="4"/>
  <c r="Q595" i="4"/>
  <c r="P595" i="4"/>
  <c r="L595" i="4"/>
  <c r="K595" i="4"/>
  <c r="J595" i="4"/>
  <c r="I595" i="4"/>
  <c r="H595" i="4"/>
  <c r="G595" i="4"/>
  <c r="F595" i="4"/>
  <c r="E595" i="4"/>
  <c r="N595" i="4" s="1"/>
  <c r="D595" i="4"/>
  <c r="C595" i="4"/>
  <c r="O595" i="4" s="1"/>
  <c r="B595" i="4"/>
  <c r="A595" i="4"/>
  <c r="S594" i="4"/>
  <c r="Q594" i="4"/>
  <c r="P594" i="4"/>
  <c r="L594" i="4"/>
  <c r="K594" i="4"/>
  <c r="J594" i="4"/>
  <c r="I594" i="4"/>
  <c r="H594" i="4"/>
  <c r="G594" i="4"/>
  <c r="F594" i="4"/>
  <c r="E594" i="4"/>
  <c r="U594" i="4" s="1"/>
  <c r="D594" i="4"/>
  <c r="C594" i="4"/>
  <c r="O594" i="4" s="1"/>
  <c r="B594" i="4"/>
  <c r="A594" i="4"/>
  <c r="S593" i="4"/>
  <c r="Q593" i="4"/>
  <c r="P593" i="4"/>
  <c r="R593" i="4" s="1"/>
  <c r="L593" i="4"/>
  <c r="K593" i="4"/>
  <c r="J593" i="4"/>
  <c r="I593" i="4"/>
  <c r="H593" i="4"/>
  <c r="G593" i="4"/>
  <c r="F593" i="4"/>
  <c r="E593" i="4"/>
  <c r="N593" i="4" s="1"/>
  <c r="D593" i="4"/>
  <c r="C593" i="4"/>
  <c r="O593" i="4" s="1"/>
  <c r="B593" i="4"/>
  <c r="A593" i="4"/>
  <c r="S592" i="4"/>
  <c r="Q592" i="4"/>
  <c r="R592" i="4" s="1"/>
  <c r="P592" i="4"/>
  <c r="L592" i="4"/>
  <c r="K592" i="4"/>
  <c r="J592" i="4"/>
  <c r="I592" i="4"/>
  <c r="H592" i="4"/>
  <c r="G592" i="4"/>
  <c r="F592" i="4"/>
  <c r="E592" i="4"/>
  <c r="U592" i="4" s="1"/>
  <c r="D592" i="4"/>
  <c r="C592" i="4"/>
  <c r="O592" i="4" s="1"/>
  <c r="B592" i="4"/>
  <c r="A592" i="4"/>
  <c r="S591" i="4"/>
  <c r="Q591" i="4"/>
  <c r="P591" i="4"/>
  <c r="L591" i="4"/>
  <c r="K591" i="4"/>
  <c r="J591" i="4"/>
  <c r="I591" i="4"/>
  <c r="H591" i="4"/>
  <c r="G591" i="4"/>
  <c r="F591" i="4"/>
  <c r="E591" i="4"/>
  <c r="D591" i="4"/>
  <c r="C591" i="4"/>
  <c r="O591" i="4" s="1"/>
  <c r="B591" i="4"/>
  <c r="A591" i="4"/>
  <c r="S590" i="4"/>
  <c r="Q590" i="4"/>
  <c r="P590" i="4"/>
  <c r="L590" i="4"/>
  <c r="K590" i="4"/>
  <c r="J590" i="4"/>
  <c r="I590" i="4"/>
  <c r="H590" i="4"/>
  <c r="G590" i="4"/>
  <c r="F590" i="4"/>
  <c r="E590" i="4"/>
  <c r="D590" i="4"/>
  <c r="C590" i="4"/>
  <c r="O590" i="4" s="1"/>
  <c r="B590" i="4"/>
  <c r="A590" i="4"/>
  <c r="S589" i="4"/>
  <c r="Q589" i="4"/>
  <c r="P589" i="4"/>
  <c r="O589" i="4"/>
  <c r="N589" i="4"/>
  <c r="M589" i="4"/>
  <c r="L589" i="4"/>
  <c r="K589" i="4"/>
  <c r="J589" i="4"/>
  <c r="I589" i="4"/>
  <c r="H589" i="4"/>
  <c r="G589" i="4"/>
  <c r="F589" i="4"/>
  <c r="T589" i="4" s="1"/>
  <c r="E589" i="4"/>
  <c r="U589" i="4" s="1"/>
  <c r="D589" i="4"/>
  <c r="C589" i="4"/>
  <c r="B589" i="4"/>
  <c r="A589" i="4"/>
  <c r="S588" i="4"/>
  <c r="Q588" i="4"/>
  <c r="P588" i="4"/>
  <c r="L588" i="4"/>
  <c r="K588" i="4"/>
  <c r="J588" i="4"/>
  <c r="I588" i="4"/>
  <c r="H588" i="4"/>
  <c r="G588" i="4"/>
  <c r="F588" i="4"/>
  <c r="E588" i="4"/>
  <c r="M588" i="4" s="1"/>
  <c r="D588" i="4"/>
  <c r="C588" i="4"/>
  <c r="O588" i="4" s="1"/>
  <c r="B588" i="4"/>
  <c r="A588" i="4"/>
  <c r="S587" i="4"/>
  <c r="Q587" i="4"/>
  <c r="R587" i="4" s="1"/>
  <c r="P587" i="4"/>
  <c r="O587" i="4"/>
  <c r="L587" i="4"/>
  <c r="K587" i="4"/>
  <c r="J587" i="4"/>
  <c r="I587" i="4"/>
  <c r="H587" i="4"/>
  <c r="G587" i="4"/>
  <c r="F587" i="4"/>
  <c r="E587" i="4"/>
  <c r="U587" i="4" s="1"/>
  <c r="D587" i="4"/>
  <c r="C587" i="4"/>
  <c r="B587" i="4"/>
  <c r="A587" i="4"/>
  <c r="S586" i="4"/>
  <c r="Q586" i="4"/>
  <c r="R586" i="4" s="1"/>
  <c r="P586" i="4"/>
  <c r="L586" i="4"/>
  <c r="K586" i="4"/>
  <c r="J586" i="4"/>
  <c r="I586" i="4"/>
  <c r="H586" i="4"/>
  <c r="G586" i="4"/>
  <c r="F586" i="4"/>
  <c r="E586" i="4"/>
  <c r="D586" i="4"/>
  <c r="C586" i="4"/>
  <c r="O586" i="4" s="1"/>
  <c r="B586" i="4"/>
  <c r="A586" i="4"/>
  <c r="S585" i="4"/>
  <c r="Q585" i="4"/>
  <c r="P585" i="4"/>
  <c r="M585" i="4"/>
  <c r="L585" i="4"/>
  <c r="K585" i="4"/>
  <c r="J585" i="4"/>
  <c r="I585" i="4"/>
  <c r="H585" i="4"/>
  <c r="G585" i="4"/>
  <c r="F585" i="4"/>
  <c r="E585" i="4"/>
  <c r="N585" i="4" s="1"/>
  <c r="D585" i="4"/>
  <c r="C585" i="4"/>
  <c r="O585" i="4" s="1"/>
  <c r="B585" i="4"/>
  <c r="A585" i="4"/>
  <c r="S584" i="4"/>
  <c r="R584" i="4"/>
  <c r="Q584" i="4"/>
  <c r="P584" i="4"/>
  <c r="O584" i="4"/>
  <c r="M584" i="4"/>
  <c r="L584" i="4"/>
  <c r="K584" i="4"/>
  <c r="J584" i="4"/>
  <c r="I584" i="4"/>
  <c r="H584" i="4"/>
  <c r="G584" i="4"/>
  <c r="F584" i="4"/>
  <c r="E584" i="4"/>
  <c r="D584" i="4"/>
  <c r="C584" i="4"/>
  <c r="B584" i="4"/>
  <c r="A584" i="4"/>
  <c r="S583" i="4"/>
  <c r="Q583" i="4"/>
  <c r="P583" i="4"/>
  <c r="L583" i="4"/>
  <c r="K583" i="4"/>
  <c r="J583" i="4"/>
  <c r="I583" i="4"/>
  <c r="H583" i="4"/>
  <c r="G583" i="4"/>
  <c r="F583" i="4"/>
  <c r="E583" i="4"/>
  <c r="N583" i="4" s="1"/>
  <c r="D583" i="4"/>
  <c r="C583" i="4"/>
  <c r="O583" i="4" s="1"/>
  <c r="B583" i="4"/>
  <c r="A583" i="4"/>
  <c r="S582" i="4"/>
  <c r="Q582" i="4"/>
  <c r="P582" i="4"/>
  <c r="O582" i="4"/>
  <c r="L582" i="4"/>
  <c r="K582" i="4"/>
  <c r="J582" i="4"/>
  <c r="I582" i="4"/>
  <c r="H582" i="4"/>
  <c r="G582" i="4"/>
  <c r="F582" i="4"/>
  <c r="E582" i="4"/>
  <c r="U582" i="4" s="1"/>
  <c r="D582" i="4"/>
  <c r="C582" i="4"/>
  <c r="B582" i="4"/>
  <c r="A582" i="4"/>
  <c r="S581" i="4"/>
  <c r="R581" i="4"/>
  <c r="Q581" i="4"/>
  <c r="P581" i="4"/>
  <c r="L581" i="4"/>
  <c r="K581" i="4"/>
  <c r="J581" i="4"/>
  <c r="I581" i="4"/>
  <c r="H581" i="4"/>
  <c r="G581" i="4"/>
  <c r="F581" i="4"/>
  <c r="E581" i="4"/>
  <c r="M581" i="4" s="1"/>
  <c r="D581" i="4"/>
  <c r="C581" i="4"/>
  <c r="O581" i="4" s="1"/>
  <c r="B581" i="4"/>
  <c r="A581" i="4"/>
  <c r="S580" i="4"/>
  <c r="R580" i="4"/>
  <c r="Q580" i="4"/>
  <c r="P580" i="4"/>
  <c r="L580" i="4"/>
  <c r="K580" i="4"/>
  <c r="J580" i="4"/>
  <c r="I580" i="4"/>
  <c r="H580" i="4"/>
  <c r="G580" i="4"/>
  <c r="F580" i="4"/>
  <c r="E580" i="4"/>
  <c r="U580" i="4" s="1"/>
  <c r="D580" i="4"/>
  <c r="C580" i="4"/>
  <c r="O580" i="4" s="1"/>
  <c r="B580" i="4"/>
  <c r="A580" i="4"/>
  <c r="T579" i="4"/>
  <c r="S579" i="4"/>
  <c r="Q579" i="4"/>
  <c r="P579" i="4"/>
  <c r="L579" i="4"/>
  <c r="K579" i="4"/>
  <c r="J579" i="4"/>
  <c r="I579" i="4"/>
  <c r="H579" i="4"/>
  <c r="G579" i="4"/>
  <c r="F579" i="4"/>
  <c r="E579" i="4"/>
  <c r="U579" i="4" s="1"/>
  <c r="D579" i="4"/>
  <c r="C579" i="4"/>
  <c r="O579" i="4" s="1"/>
  <c r="B579" i="4"/>
  <c r="A579" i="4"/>
  <c r="T578" i="4"/>
  <c r="S578" i="4"/>
  <c r="Q578" i="4"/>
  <c r="P578" i="4"/>
  <c r="L578" i="4"/>
  <c r="K578" i="4"/>
  <c r="J578" i="4"/>
  <c r="I578" i="4"/>
  <c r="H578" i="4"/>
  <c r="G578" i="4"/>
  <c r="F578" i="4"/>
  <c r="E578" i="4"/>
  <c r="U578" i="4" s="1"/>
  <c r="D578" i="4"/>
  <c r="C578" i="4"/>
  <c r="O578" i="4" s="1"/>
  <c r="B578" i="4"/>
  <c r="A578" i="4"/>
  <c r="S577" i="4"/>
  <c r="Q577" i="4"/>
  <c r="R577" i="4" s="1"/>
  <c r="P577" i="4"/>
  <c r="L577" i="4"/>
  <c r="K577" i="4"/>
  <c r="J577" i="4"/>
  <c r="I577" i="4"/>
  <c r="H577" i="4"/>
  <c r="G577" i="4"/>
  <c r="F577" i="4"/>
  <c r="E577" i="4"/>
  <c r="D577" i="4"/>
  <c r="C577" i="4"/>
  <c r="O577" i="4" s="1"/>
  <c r="B577" i="4"/>
  <c r="A577" i="4"/>
  <c r="S576" i="4"/>
  <c r="Q576" i="4"/>
  <c r="P576" i="4"/>
  <c r="O576" i="4"/>
  <c r="L576" i="4"/>
  <c r="K576" i="4"/>
  <c r="J576" i="4"/>
  <c r="I576" i="4"/>
  <c r="H576" i="4"/>
  <c r="G576" i="4"/>
  <c r="F576" i="4"/>
  <c r="T576" i="4" s="1"/>
  <c r="E576" i="4"/>
  <c r="D576" i="4"/>
  <c r="C576" i="4"/>
  <c r="B576" i="4"/>
  <c r="A576" i="4"/>
  <c r="S575" i="4"/>
  <c r="Q575" i="4"/>
  <c r="P575" i="4"/>
  <c r="L575" i="4"/>
  <c r="K575" i="4"/>
  <c r="J575" i="4"/>
  <c r="I575" i="4"/>
  <c r="H575" i="4"/>
  <c r="G575" i="4"/>
  <c r="F575" i="4"/>
  <c r="E575" i="4"/>
  <c r="N575" i="4" s="1"/>
  <c r="D575" i="4"/>
  <c r="C575" i="4"/>
  <c r="O575" i="4" s="1"/>
  <c r="B575" i="4"/>
  <c r="A575" i="4"/>
  <c r="S574" i="4"/>
  <c r="Q574" i="4"/>
  <c r="P574" i="4"/>
  <c r="R574" i="4" s="1"/>
  <c r="L574" i="4"/>
  <c r="K574" i="4"/>
  <c r="J574" i="4"/>
  <c r="I574" i="4"/>
  <c r="H574" i="4"/>
  <c r="G574" i="4"/>
  <c r="F574" i="4"/>
  <c r="E574" i="4"/>
  <c r="D574" i="4"/>
  <c r="C574" i="4"/>
  <c r="O574" i="4" s="1"/>
  <c r="B574" i="4"/>
  <c r="A574" i="4"/>
  <c r="S573" i="4"/>
  <c r="Q573" i="4"/>
  <c r="P573" i="4"/>
  <c r="O573" i="4"/>
  <c r="N573" i="4"/>
  <c r="M573" i="4"/>
  <c r="L573" i="4"/>
  <c r="K573" i="4"/>
  <c r="J573" i="4"/>
  <c r="I573" i="4"/>
  <c r="H573" i="4"/>
  <c r="G573" i="4"/>
  <c r="F573" i="4"/>
  <c r="T573" i="4" s="1"/>
  <c r="E573" i="4"/>
  <c r="U573" i="4" s="1"/>
  <c r="D573" i="4"/>
  <c r="C573" i="4"/>
  <c r="B573" i="4"/>
  <c r="A573" i="4"/>
  <c r="U572" i="4"/>
  <c r="S572" i="4"/>
  <c r="Q572" i="4"/>
  <c r="P572" i="4"/>
  <c r="L572" i="4"/>
  <c r="K572" i="4"/>
  <c r="J572" i="4"/>
  <c r="I572" i="4"/>
  <c r="H572" i="4"/>
  <c r="G572" i="4"/>
  <c r="F572" i="4"/>
  <c r="E572" i="4"/>
  <c r="D572" i="4"/>
  <c r="C572" i="4"/>
  <c r="O572" i="4" s="1"/>
  <c r="B572" i="4"/>
  <c r="A572" i="4"/>
  <c r="S571" i="4"/>
  <c r="Q571" i="4"/>
  <c r="P571" i="4"/>
  <c r="O571" i="4"/>
  <c r="M571" i="4"/>
  <c r="L571" i="4"/>
  <c r="K571" i="4"/>
  <c r="J571" i="4"/>
  <c r="I571" i="4"/>
  <c r="H571" i="4"/>
  <c r="G571" i="4"/>
  <c r="F571" i="4"/>
  <c r="T571" i="4" s="1"/>
  <c r="E571" i="4"/>
  <c r="U571" i="4" s="1"/>
  <c r="D571" i="4"/>
  <c r="C571" i="4"/>
  <c r="B571" i="4"/>
  <c r="A571" i="4"/>
  <c r="S570" i="4"/>
  <c r="Q570" i="4"/>
  <c r="P570" i="4"/>
  <c r="N570" i="4"/>
  <c r="L570" i="4"/>
  <c r="K570" i="4"/>
  <c r="J570" i="4"/>
  <c r="I570" i="4"/>
  <c r="H570" i="4"/>
  <c r="G570" i="4"/>
  <c r="F570" i="4"/>
  <c r="T570" i="4" s="1"/>
  <c r="E570" i="4"/>
  <c r="M570" i="4" s="1"/>
  <c r="D570" i="4"/>
  <c r="C570" i="4"/>
  <c r="O570" i="4" s="1"/>
  <c r="B570" i="4"/>
  <c r="A570" i="4"/>
  <c r="S569" i="4"/>
  <c r="Q569" i="4"/>
  <c r="P569" i="4"/>
  <c r="N569" i="4"/>
  <c r="M569" i="4"/>
  <c r="L569" i="4"/>
  <c r="K569" i="4"/>
  <c r="J569" i="4"/>
  <c r="I569" i="4"/>
  <c r="H569" i="4"/>
  <c r="G569" i="4"/>
  <c r="F569" i="4"/>
  <c r="E569" i="4"/>
  <c r="U569" i="4" s="1"/>
  <c r="D569" i="4"/>
  <c r="C569" i="4"/>
  <c r="O569" i="4" s="1"/>
  <c r="B569" i="4"/>
  <c r="A569" i="4"/>
  <c r="S568" i="4"/>
  <c r="Q568" i="4"/>
  <c r="P568" i="4"/>
  <c r="R568" i="4" s="1"/>
  <c r="L568" i="4"/>
  <c r="K568" i="4"/>
  <c r="J568" i="4"/>
  <c r="I568" i="4"/>
  <c r="H568" i="4"/>
  <c r="G568" i="4"/>
  <c r="F568" i="4"/>
  <c r="E568" i="4"/>
  <c r="U568" i="4" s="1"/>
  <c r="D568" i="4"/>
  <c r="C568" i="4"/>
  <c r="O568" i="4" s="1"/>
  <c r="B568" i="4"/>
  <c r="A568" i="4"/>
  <c r="U567" i="4"/>
  <c r="S567" i="4"/>
  <c r="Q567" i="4"/>
  <c r="P567" i="4"/>
  <c r="L567" i="4"/>
  <c r="K567" i="4"/>
  <c r="J567" i="4"/>
  <c r="I567" i="4"/>
  <c r="H567" i="4"/>
  <c r="G567" i="4"/>
  <c r="F567" i="4"/>
  <c r="E567" i="4"/>
  <c r="N567" i="4" s="1"/>
  <c r="D567" i="4"/>
  <c r="C567" i="4"/>
  <c r="O567" i="4" s="1"/>
  <c r="B567" i="4"/>
  <c r="A567" i="4"/>
  <c r="S566" i="4"/>
  <c r="Q566" i="4"/>
  <c r="P566" i="4"/>
  <c r="R566" i="4" s="1"/>
  <c r="L566" i="4"/>
  <c r="K566" i="4"/>
  <c r="J566" i="4"/>
  <c r="I566" i="4"/>
  <c r="H566" i="4"/>
  <c r="G566" i="4"/>
  <c r="F566" i="4"/>
  <c r="E566" i="4"/>
  <c r="U566" i="4" s="1"/>
  <c r="D566" i="4"/>
  <c r="C566" i="4"/>
  <c r="O566" i="4" s="1"/>
  <c r="B566" i="4"/>
  <c r="A566" i="4"/>
  <c r="S565" i="4"/>
  <c r="Q565" i="4"/>
  <c r="P565" i="4"/>
  <c r="R565" i="4" s="1"/>
  <c r="L565" i="4"/>
  <c r="K565" i="4"/>
  <c r="J565" i="4"/>
  <c r="I565" i="4"/>
  <c r="H565" i="4"/>
  <c r="G565" i="4"/>
  <c r="F565" i="4"/>
  <c r="E565" i="4"/>
  <c r="M565" i="4" s="1"/>
  <c r="D565" i="4"/>
  <c r="C565" i="4"/>
  <c r="O565" i="4" s="1"/>
  <c r="B565" i="4"/>
  <c r="A565" i="4"/>
  <c r="S564" i="4"/>
  <c r="Q564" i="4"/>
  <c r="P564" i="4"/>
  <c r="L564" i="4"/>
  <c r="K564" i="4"/>
  <c r="J564" i="4"/>
  <c r="I564" i="4"/>
  <c r="H564" i="4"/>
  <c r="G564" i="4"/>
  <c r="F564" i="4"/>
  <c r="E564" i="4"/>
  <c r="U564" i="4" s="1"/>
  <c r="D564" i="4"/>
  <c r="C564" i="4"/>
  <c r="O564" i="4" s="1"/>
  <c r="B564" i="4"/>
  <c r="A564" i="4"/>
  <c r="S563" i="4"/>
  <c r="Q563" i="4"/>
  <c r="P563" i="4"/>
  <c r="L563" i="4"/>
  <c r="K563" i="4"/>
  <c r="J563" i="4"/>
  <c r="I563" i="4"/>
  <c r="H563" i="4"/>
  <c r="G563" i="4"/>
  <c r="F563" i="4"/>
  <c r="E563" i="4"/>
  <c r="D563" i="4"/>
  <c r="C563" i="4"/>
  <c r="O563" i="4" s="1"/>
  <c r="B563" i="4"/>
  <c r="A563" i="4"/>
  <c r="S562" i="4"/>
  <c r="Q562" i="4"/>
  <c r="P562" i="4"/>
  <c r="N562" i="4"/>
  <c r="L562" i="4"/>
  <c r="K562" i="4"/>
  <c r="J562" i="4"/>
  <c r="I562" i="4"/>
  <c r="H562" i="4"/>
  <c r="G562" i="4"/>
  <c r="F562" i="4"/>
  <c r="E562" i="4"/>
  <c r="U562" i="4" s="1"/>
  <c r="D562" i="4"/>
  <c r="C562" i="4"/>
  <c r="O562" i="4" s="1"/>
  <c r="B562" i="4"/>
  <c r="A562" i="4"/>
  <c r="S561" i="4"/>
  <c r="Q561" i="4"/>
  <c r="P561" i="4"/>
  <c r="R561" i="4" s="1"/>
  <c r="L561" i="4"/>
  <c r="K561" i="4"/>
  <c r="J561" i="4"/>
  <c r="I561" i="4"/>
  <c r="H561" i="4"/>
  <c r="G561" i="4"/>
  <c r="F561" i="4"/>
  <c r="E561" i="4"/>
  <c r="M561" i="4" s="1"/>
  <c r="D561" i="4"/>
  <c r="C561" i="4"/>
  <c r="O561" i="4" s="1"/>
  <c r="B561" i="4"/>
  <c r="A561" i="4"/>
  <c r="S560" i="4"/>
  <c r="Q560" i="4"/>
  <c r="P560" i="4"/>
  <c r="L560" i="4"/>
  <c r="K560" i="4"/>
  <c r="J560" i="4"/>
  <c r="I560" i="4"/>
  <c r="H560" i="4"/>
  <c r="G560" i="4"/>
  <c r="F560" i="4"/>
  <c r="E560" i="4"/>
  <c r="M560" i="4" s="1"/>
  <c r="D560" i="4"/>
  <c r="C560" i="4"/>
  <c r="O560" i="4" s="1"/>
  <c r="B560" i="4"/>
  <c r="A560" i="4"/>
  <c r="S559" i="4"/>
  <c r="Q559" i="4"/>
  <c r="P559" i="4"/>
  <c r="L559" i="4"/>
  <c r="K559" i="4"/>
  <c r="J559" i="4"/>
  <c r="I559" i="4"/>
  <c r="H559" i="4"/>
  <c r="G559" i="4"/>
  <c r="F559" i="4"/>
  <c r="E559" i="4"/>
  <c r="D559" i="4"/>
  <c r="C559" i="4"/>
  <c r="O559" i="4" s="1"/>
  <c r="B559" i="4"/>
  <c r="A559" i="4"/>
  <c r="S558" i="4"/>
  <c r="Q558" i="4"/>
  <c r="P558" i="4"/>
  <c r="L558" i="4"/>
  <c r="K558" i="4"/>
  <c r="J558" i="4"/>
  <c r="I558" i="4"/>
  <c r="H558" i="4"/>
  <c r="G558" i="4"/>
  <c r="F558" i="4"/>
  <c r="E558" i="4"/>
  <c r="D558" i="4"/>
  <c r="C558" i="4"/>
  <c r="O558" i="4" s="1"/>
  <c r="B558" i="4"/>
  <c r="A558" i="4"/>
  <c r="S557" i="4"/>
  <c r="Q557" i="4"/>
  <c r="P557" i="4"/>
  <c r="L557" i="4"/>
  <c r="K557" i="4"/>
  <c r="J557" i="4"/>
  <c r="I557" i="4"/>
  <c r="H557" i="4"/>
  <c r="G557" i="4"/>
  <c r="F557" i="4"/>
  <c r="E557" i="4"/>
  <c r="D557" i="4"/>
  <c r="C557" i="4"/>
  <c r="O557" i="4" s="1"/>
  <c r="B557" i="4"/>
  <c r="A557" i="4"/>
  <c r="S556" i="4"/>
  <c r="Q556" i="4"/>
  <c r="R556" i="4" s="1"/>
  <c r="P556" i="4"/>
  <c r="L556" i="4"/>
  <c r="K556" i="4"/>
  <c r="J556" i="4"/>
  <c r="I556" i="4"/>
  <c r="H556" i="4"/>
  <c r="G556" i="4"/>
  <c r="F556" i="4"/>
  <c r="E556" i="4"/>
  <c r="D556" i="4"/>
  <c r="C556" i="4"/>
  <c r="O556" i="4" s="1"/>
  <c r="B556" i="4"/>
  <c r="A556" i="4"/>
  <c r="S555" i="4"/>
  <c r="Q555" i="4"/>
  <c r="R555" i="4" s="1"/>
  <c r="P555" i="4"/>
  <c r="L555" i="4"/>
  <c r="K555" i="4"/>
  <c r="J555" i="4"/>
  <c r="I555" i="4"/>
  <c r="H555" i="4"/>
  <c r="G555" i="4"/>
  <c r="F555" i="4"/>
  <c r="E555" i="4"/>
  <c r="U555" i="4" s="1"/>
  <c r="D555" i="4"/>
  <c r="C555" i="4"/>
  <c r="O555" i="4" s="1"/>
  <c r="B555" i="4"/>
  <c r="A555" i="4"/>
  <c r="S554" i="4"/>
  <c r="Q554" i="4"/>
  <c r="P554" i="4"/>
  <c r="L554" i="4"/>
  <c r="K554" i="4"/>
  <c r="J554" i="4"/>
  <c r="I554" i="4"/>
  <c r="H554" i="4"/>
  <c r="G554" i="4"/>
  <c r="F554" i="4"/>
  <c r="E554" i="4"/>
  <c r="M554" i="4" s="1"/>
  <c r="D554" i="4"/>
  <c r="C554" i="4"/>
  <c r="O554" i="4" s="1"/>
  <c r="B554" i="4"/>
  <c r="A554" i="4"/>
  <c r="S553" i="4"/>
  <c r="Q553" i="4"/>
  <c r="P553" i="4"/>
  <c r="R553" i="4" s="1"/>
  <c r="L553" i="4"/>
  <c r="K553" i="4"/>
  <c r="J553" i="4"/>
  <c r="I553" i="4"/>
  <c r="H553" i="4"/>
  <c r="G553" i="4"/>
  <c r="F553" i="4"/>
  <c r="E553" i="4"/>
  <c r="U553" i="4" s="1"/>
  <c r="D553" i="4"/>
  <c r="C553" i="4"/>
  <c r="O553" i="4" s="1"/>
  <c r="B553" i="4"/>
  <c r="A553" i="4"/>
  <c r="S552" i="4"/>
  <c r="Q552" i="4"/>
  <c r="P552" i="4"/>
  <c r="L552" i="4"/>
  <c r="K552" i="4"/>
  <c r="J552" i="4"/>
  <c r="I552" i="4"/>
  <c r="H552" i="4"/>
  <c r="G552" i="4"/>
  <c r="F552" i="4"/>
  <c r="E552" i="4"/>
  <c r="D552" i="4"/>
  <c r="C552" i="4"/>
  <c r="O552" i="4" s="1"/>
  <c r="B552" i="4"/>
  <c r="A552" i="4"/>
  <c r="S551" i="4"/>
  <c r="Q551" i="4"/>
  <c r="P551" i="4"/>
  <c r="R551" i="4" s="1"/>
  <c r="L551" i="4"/>
  <c r="K551" i="4"/>
  <c r="J551" i="4"/>
  <c r="I551" i="4"/>
  <c r="H551" i="4"/>
  <c r="G551" i="4"/>
  <c r="F551" i="4"/>
  <c r="E551" i="4"/>
  <c r="D551" i="4"/>
  <c r="C551" i="4"/>
  <c r="O551" i="4" s="1"/>
  <c r="B551" i="4"/>
  <c r="A551" i="4"/>
  <c r="S550" i="4"/>
  <c r="Q550" i="4"/>
  <c r="P550" i="4"/>
  <c r="O550" i="4"/>
  <c r="L550" i="4"/>
  <c r="K550" i="4"/>
  <c r="J550" i="4"/>
  <c r="I550" i="4"/>
  <c r="H550" i="4"/>
  <c r="G550" i="4"/>
  <c r="F550" i="4"/>
  <c r="E550" i="4"/>
  <c r="U550" i="4" s="1"/>
  <c r="D550" i="4"/>
  <c r="C550" i="4"/>
  <c r="B550" i="4"/>
  <c r="A550" i="4"/>
  <c r="S549" i="4"/>
  <c r="Q549" i="4"/>
  <c r="P549" i="4"/>
  <c r="L549" i="4"/>
  <c r="K549" i="4"/>
  <c r="J549" i="4"/>
  <c r="I549" i="4"/>
  <c r="H549" i="4"/>
  <c r="G549" i="4"/>
  <c r="F549" i="4"/>
  <c r="E549" i="4"/>
  <c r="D549" i="4"/>
  <c r="C549" i="4"/>
  <c r="O549" i="4" s="1"/>
  <c r="B549" i="4"/>
  <c r="A549" i="4"/>
  <c r="S548" i="4"/>
  <c r="Q548" i="4"/>
  <c r="P548" i="4"/>
  <c r="N548" i="4"/>
  <c r="M548" i="4"/>
  <c r="L548" i="4"/>
  <c r="K548" i="4"/>
  <c r="J548" i="4"/>
  <c r="I548" i="4"/>
  <c r="H548" i="4"/>
  <c r="G548" i="4"/>
  <c r="F548" i="4"/>
  <c r="E548" i="4"/>
  <c r="U548" i="4" s="1"/>
  <c r="D548" i="4"/>
  <c r="C548" i="4"/>
  <c r="O548" i="4" s="1"/>
  <c r="B548" i="4"/>
  <c r="A548" i="4"/>
  <c r="U547" i="4"/>
  <c r="T547" i="4"/>
  <c r="S547" i="4"/>
  <c r="Q547" i="4"/>
  <c r="P547" i="4"/>
  <c r="L547" i="4"/>
  <c r="K547" i="4"/>
  <c r="J547" i="4"/>
  <c r="I547" i="4"/>
  <c r="H547" i="4"/>
  <c r="G547" i="4"/>
  <c r="F547" i="4"/>
  <c r="E547" i="4"/>
  <c r="D547" i="4"/>
  <c r="C547" i="4"/>
  <c r="O547" i="4" s="1"/>
  <c r="B547" i="4"/>
  <c r="A547" i="4"/>
  <c r="S546" i="4"/>
  <c r="Q546" i="4"/>
  <c r="P546" i="4"/>
  <c r="L546" i="4"/>
  <c r="K546" i="4"/>
  <c r="J546" i="4"/>
  <c r="I546" i="4"/>
  <c r="H546" i="4"/>
  <c r="G546" i="4"/>
  <c r="F546" i="4"/>
  <c r="E546" i="4"/>
  <c r="U546" i="4" s="1"/>
  <c r="D546" i="4"/>
  <c r="C546" i="4"/>
  <c r="O546" i="4" s="1"/>
  <c r="B546" i="4"/>
  <c r="A546" i="4"/>
  <c r="S545" i="4"/>
  <c r="Q545" i="4"/>
  <c r="R545" i="4" s="1"/>
  <c r="P545" i="4"/>
  <c r="L545" i="4"/>
  <c r="K545" i="4"/>
  <c r="J545" i="4"/>
  <c r="I545" i="4"/>
  <c r="H545" i="4"/>
  <c r="G545" i="4"/>
  <c r="F545" i="4"/>
  <c r="E545" i="4"/>
  <c r="D545" i="4"/>
  <c r="C545" i="4"/>
  <c r="O545" i="4" s="1"/>
  <c r="B545" i="4"/>
  <c r="A545" i="4"/>
  <c r="S544" i="4"/>
  <c r="Q544" i="4"/>
  <c r="R544" i="4" s="1"/>
  <c r="P544" i="4"/>
  <c r="L544" i="4"/>
  <c r="K544" i="4"/>
  <c r="J544" i="4"/>
  <c r="I544" i="4"/>
  <c r="H544" i="4"/>
  <c r="G544" i="4"/>
  <c r="F544" i="4"/>
  <c r="E544" i="4"/>
  <c r="D544" i="4"/>
  <c r="C544" i="4"/>
  <c r="O544" i="4" s="1"/>
  <c r="B544" i="4"/>
  <c r="A544" i="4"/>
  <c r="S543" i="4"/>
  <c r="Q543" i="4"/>
  <c r="P543" i="4"/>
  <c r="L543" i="4"/>
  <c r="K543" i="4"/>
  <c r="J543" i="4"/>
  <c r="I543" i="4"/>
  <c r="H543" i="4"/>
  <c r="G543" i="4"/>
  <c r="F543" i="4"/>
  <c r="E543" i="4"/>
  <c r="D543" i="4"/>
  <c r="C543" i="4"/>
  <c r="O543" i="4" s="1"/>
  <c r="B543" i="4"/>
  <c r="A543" i="4"/>
  <c r="S542" i="4"/>
  <c r="Q542" i="4"/>
  <c r="P542" i="4"/>
  <c r="M542" i="4"/>
  <c r="L542" i="4"/>
  <c r="K542" i="4"/>
  <c r="J542" i="4"/>
  <c r="I542" i="4"/>
  <c r="H542" i="4"/>
  <c r="G542" i="4"/>
  <c r="F542" i="4"/>
  <c r="E542" i="4"/>
  <c r="N542" i="4" s="1"/>
  <c r="D542" i="4"/>
  <c r="C542" i="4"/>
  <c r="O542" i="4" s="1"/>
  <c r="B542" i="4"/>
  <c r="A542" i="4"/>
  <c r="S541" i="4"/>
  <c r="Q541" i="4"/>
  <c r="P541" i="4"/>
  <c r="N541" i="4"/>
  <c r="L541" i="4"/>
  <c r="K541" i="4"/>
  <c r="J541" i="4"/>
  <c r="I541" i="4"/>
  <c r="H541" i="4"/>
  <c r="G541" i="4"/>
  <c r="F541" i="4"/>
  <c r="T541" i="4" s="1"/>
  <c r="E541" i="4"/>
  <c r="U541" i="4" s="1"/>
  <c r="D541" i="4"/>
  <c r="C541" i="4"/>
  <c r="O541" i="4" s="1"/>
  <c r="B541" i="4"/>
  <c r="A541" i="4"/>
  <c r="S540" i="4"/>
  <c r="Q540" i="4"/>
  <c r="P540" i="4"/>
  <c r="R540" i="4" s="1"/>
  <c r="L540" i="4"/>
  <c r="K540" i="4"/>
  <c r="J540" i="4"/>
  <c r="I540" i="4"/>
  <c r="H540" i="4"/>
  <c r="G540" i="4"/>
  <c r="F540" i="4"/>
  <c r="E540" i="4"/>
  <c r="D540" i="4"/>
  <c r="C540" i="4"/>
  <c r="O540" i="4" s="1"/>
  <c r="B540" i="4"/>
  <c r="A540" i="4"/>
  <c r="S539" i="4"/>
  <c r="Q539" i="4"/>
  <c r="P539" i="4"/>
  <c r="R539" i="4" s="1"/>
  <c r="L539" i="4"/>
  <c r="K539" i="4"/>
  <c r="J539" i="4"/>
  <c r="I539" i="4"/>
  <c r="H539" i="4"/>
  <c r="G539" i="4"/>
  <c r="F539" i="4"/>
  <c r="T539" i="4" s="1"/>
  <c r="E539" i="4"/>
  <c r="U539" i="4" s="1"/>
  <c r="D539" i="4"/>
  <c r="C539" i="4"/>
  <c r="O539" i="4" s="1"/>
  <c r="B539" i="4"/>
  <c r="A539" i="4"/>
  <c r="S538" i="4"/>
  <c r="Q538" i="4"/>
  <c r="P538" i="4"/>
  <c r="L538" i="4"/>
  <c r="K538" i="4"/>
  <c r="J538" i="4"/>
  <c r="I538" i="4"/>
  <c r="H538" i="4"/>
  <c r="G538" i="4"/>
  <c r="F538" i="4"/>
  <c r="E538" i="4"/>
  <c r="M538" i="4" s="1"/>
  <c r="D538" i="4"/>
  <c r="C538" i="4"/>
  <c r="O538" i="4" s="1"/>
  <c r="B538" i="4"/>
  <c r="A538" i="4"/>
  <c r="S537" i="4"/>
  <c r="Q537" i="4"/>
  <c r="P537" i="4"/>
  <c r="O537" i="4"/>
  <c r="L537" i="4"/>
  <c r="K537" i="4"/>
  <c r="J537" i="4"/>
  <c r="I537" i="4"/>
  <c r="H537" i="4"/>
  <c r="G537" i="4"/>
  <c r="F537" i="4"/>
  <c r="E537" i="4"/>
  <c r="D537" i="4"/>
  <c r="C537" i="4"/>
  <c r="B537" i="4"/>
  <c r="A537" i="4"/>
  <c r="S536" i="4"/>
  <c r="Q536" i="4"/>
  <c r="P536" i="4"/>
  <c r="O536" i="4"/>
  <c r="N536" i="4"/>
  <c r="L536" i="4"/>
  <c r="K536" i="4"/>
  <c r="J536" i="4"/>
  <c r="I536" i="4"/>
  <c r="H536" i="4"/>
  <c r="G536" i="4"/>
  <c r="F536" i="4"/>
  <c r="T536" i="4" s="1"/>
  <c r="E536" i="4"/>
  <c r="U536" i="4" s="1"/>
  <c r="D536" i="4"/>
  <c r="C536" i="4"/>
  <c r="B536" i="4"/>
  <c r="A536" i="4"/>
  <c r="S535" i="4"/>
  <c r="Q535" i="4"/>
  <c r="P535" i="4"/>
  <c r="L535" i="4"/>
  <c r="K535" i="4"/>
  <c r="J535" i="4"/>
  <c r="I535" i="4"/>
  <c r="H535" i="4"/>
  <c r="G535" i="4"/>
  <c r="F535" i="4"/>
  <c r="E535" i="4"/>
  <c r="M535" i="4" s="1"/>
  <c r="D535" i="4"/>
  <c r="C535" i="4"/>
  <c r="O535" i="4" s="1"/>
  <c r="B535" i="4"/>
  <c r="A535" i="4"/>
  <c r="S534" i="4"/>
  <c r="Q534" i="4"/>
  <c r="P534" i="4"/>
  <c r="M534" i="4"/>
  <c r="L534" i="4"/>
  <c r="K534" i="4"/>
  <c r="J534" i="4"/>
  <c r="I534" i="4"/>
  <c r="H534" i="4"/>
  <c r="G534" i="4"/>
  <c r="F534" i="4"/>
  <c r="E534" i="4"/>
  <c r="N534" i="4" s="1"/>
  <c r="D534" i="4"/>
  <c r="C534" i="4"/>
  <c r="O534" i="4" s="1"/>
  <c r="B534" i="4"/>
  <c r="A534" i="4"/>
  <c r="S533" i="4"/>
  <c r="R533" i="4"/>
  <c r="Q533" i="4"/>
  <c r="P533" i="4"/>
  <c r="L533" i="4"/>
  <c r="K533" i="4"/>
  <c r="J533" i="4"/>
  <c r="I533" i="4"/>
  <c r="H533" i="4"/>
  <c r="G533" i="4"/>
  <c r="F533" i="4"/>
  <c r="E533" i="4"/>
  <c r="M533" i="4" s="1"/>
  <c r="D533" i="4"/>
  <c r="C533" i="4"/>
  <c r="O533" i="4" s="1"/>
  <c r="B533" i="4"/>
  <c r="A533" i="4"/>
  <c r="S532" i="4"/>
  <c r="Q532" i="4"/>
  <c r="P532" i="4"/>
  <c r="L532" i="4"/>
  <c r="K532" i="4"/>
  <c r="J532" i="4"/>
  <c r="I532" i="4"/>
  <c r="H532" i="4"/>
  <c r="G532" i="4"/>
  <c r="F532" i="4"/>
  <c r="T532" i="4" s="1"/>
  <c r="E532" i="4"/>
  <c r="U532" i="4" s="1"/>
  <c r="D532" i="4"/>
  <c r="C532" i="4"/>
  <c r="O532" i="4" s="1"/>
  <c r="B532" i="4"/>
  <c r="A532" i="4"/>
  <c r="U531" i="4"/>
  <c r="T531" i="4"/>
  <c r="S531" i="4"/>
  <c r="Q531" i="4"/>
  <c r="P531" i="4"/>
  <c r="L531" i="4"/>
  <c r="K531" i="4"/>
  <c r="J531" i="4"/>
  <c r="I531" i="4"/>
  <c r="H531" i="4"/>
  <c r="G531" i="4"/>
  <c r="F531" i="4"/>
  <c r="E531" i="4"/>
  <c r="D531" i="4"/>
  <c r="C531" i="4"/>
  <c r="O531" i="4" s="1"/>
  <c r="B531" i="4"/>
  <c r="A531" i="4"/>
  <c r="T530" i="4"/>
  <c r="S530" i="4"/>
  <c r="Q530" i="4"/>
  <c r="P530" i="4"/>
  <c r="L530" i="4"/>
  <c r="K530" i="4"/>
  <c r="J530" i="4"/>
  <c r="I530" i="4"/>
  <c r="H530" i="4"/>
  <c r="G530" i="4"/>
  <c r="F530" i="4"/>
  <c r="E530" i="4"/>
  <c r="U530" i="4" s="1"/>
  <c r="D530" i="4"/>
  <c r="C530" i="4"/>
  <c r="O530" i="4" s="1"/>
  <c r="B530" i="4"/>
  <c r="A530" i="4"/>
  <c r="S529" i="4"/>
  <c r="Q529" i="4"/>
  <c r="P529" i="4"/>
  <c r="N529" i="4"/>
  <c r="L529" i="4"/>
  <c r="K529" i="4"/>
  <c r="J529" i="4"/>
  <c r="I529" i="4"/>
  <c r="H529" i="4"/>
  <c r="G529" i="4"/>
  <c r="F529" i="4"/>
  <c r="E529" i="4"/>
  <c r="M529" i="4" s="1"/>
  <c r="D529" i="4"/>
  <c r="C529" i="4"/>
  <c r="O529" i="4" s="1"/>
  <c r="B529" i="4"/>
  <c r="A529" i="4"/>
  <c r="S528" i="4"/>
  <c r="Q528" i="4"/>
  <c r="P528" i="4"/>
  <c r="L528" i="4"/>
  <c r="K528" i="4"/>
  <c r="J528" i="4"/>
  <c r="I528" i="4"/>
  <c r="H528" i="4"/>
  <c r="G528" i="4"/>
  <c r="F528" i="4"/>
  <c r="T528" i="4" s="1"/>
  <c r="E528" i="4"/>
  <c r="M528" i="4" s="1"/>
  <c r="D528" i="4"/>
  <c r="C528" i="4"/>
  <c r="O528" i="4" s="1"/>
  <c r="B528" i="4"/>
  <c r="A528" i="4"/>
  <c r="S527" i="4"/>
  <c r="Q527" i="4"/>
  <c r="P527" i="4"/>
  <c r="L527" i="4"/>
  <c r="K527" i="4"/>
  <c r="J527" i="4"/>
  <c r="I527" i="4"/>
  <c r="H527" i="4"/>
  <c r="G527" i="4"/>
  <c r="F527" i="4"/>
  <c r="E527" i="4"/>
  <c r="U527" i="4" s="1"/>
  <c r="D527" i="4"/>
  <c r="C527" i="4"/>
  <c r="O527" i="4" s="1"/>
  <c r="B527" i="4"/>
  <c r="A527" i="4"/>
  <c r="S526" i="4"/>
  <c r="Q526" i="4"/>
  <c r="P526" i="4"/>
  <c r="L526" i="4"/>
  <c r="K526" i="4"/>
  <c r="J526" i="4"/>
  <c r="I526" i="4"/>
  <c r="H526" i="4"/>
  <c r="G526" i="4"/>
  <c r="F526" i="4"/>
  <c r="E526" i="4"/>
  <c r="N526" i="4" s="1"/>
  <c r="D526" i="4"/>
  <c r="C526" i="4"/>
  <c r="O526" i="4" s="1"/>
  <c r="B526" i="4"/>
  <c r="A526" i="4"/>
  <c r="S525" i="4"/>
  <c r="Q525" i="4"/>
  <c r="P525" i="4"/>
  <c r="L525" i="4"/>
  <c r="K525" i="4"/>
  <c r="J525" i="4"/>
  <c r="I525" i="4"/>
  <c r="H525" i="4"/>
  <c r="G525" i="4"/>
  <c r="F525" i="4"/>
  <c r="E525" i="4"/>
  <c r="U525" i="4" s="1"/>
  <c r="D525" i="4"/>
  <c r="C525" i="4"/>
  <c r="O525" i="4" s="1"/>
  <c r="B525" i="4"/>
  <c r="A525" i="4"/>
  <c r="S524" i="4"/>
  <c r="Q524" i="4"/>
  <c r="R524" i="4" s="1"/>
  <c r="P524" i="4"/>
  <c r="L524" i="4"/>
  <c r="K524" i="4"/>
  <c r="J524" i="4"/>
  <c r="I524" i="4"/>
  <c r="H524" i="4"/>
  <c r="G524" i="4"/>
  <c r="F524" i="4"/>
  <c r="E524" i="4"/>
  <c r="D524" i="4"/>
  <c r="C524" i="4"/>
  <c r="O524" i="4" s="1"/>
  <c r="B524" i="4"/>
  <c r="A524" i="4"/>
  <c r="T523" i="4"/>
  <c r="S523" i="4"/>
  <c r="Q523" i="4"/>
  <c r="R523" i="4" s="1"/>
  <c r="P523" i="4"/>
  <c r="L523" i="4"/>
  <c r="K523" i="4"/>
  <c r="J523" i="4"/>
  <c r="I523" i="4"/>
  <c r="H523" i="4"/>
  <c r="G523" i="4"/>
  <c r="F523" i="4"/>
  <c r="E523" i="4"/>
  <c r="U523" i="4" s="1"/>
  <c r="D523" i="4"/>
  <c r="C523" i="4"/>
  <c r="O523" i="4" s="1"/>
  <c r="B523" i="4"/>
  <c r="A523" i="4"/>
  <c r="S522" i="4"/>
  <c r="Q522" i="4"/>
  <c r="P522" i="4"/>
  <c r="R522" i="4" s="1"/>
  <c r="L522" i="4"/>
  <c r="K522" i="4"/>
  <c r="J522" i="4"/>
  <c r="I522" i="4"/>
  <c r="H522" i="4"/>
  <c r="G522" i="4"/>
  <c r="F522" i="4"/>
  <c r="T522" i="4" s="1"/>
  <c r="E522" i="4"/>
  <c r="N522" i="4" s="1"/>
  <c r="D522" i="4"/>
  <c r="C522" i="4"/>
  <c r="O522" i="4" s="1"/>
  <c r="B522" i="4"/>
  <c r="A522" i="4"/>
  <c r="S521" i="4"/>
  <c r="Q521" i="4"/>
  <c r="P521" i="4"/>
  <c r="L521" i="4"/>
  <c r="K521" i="4"/>
  <c r="J521" i="4"/>
  <c r="I521" i="4"/>
  <c r="H521" i="4"/>
  <c r="G521" i="4"/>
  <c r="F521" i="4"/>
  <c r="E521" i="4"/>
  <c r="D521" i="4"/>
  <c r="C521" i="4"/>
  <c r="O521" i="4" s="1"/>
  <c r="B521" i="4"/>
  <c r="A521" i="4"/>
  <c r="S520" i="4"/>
  <c r="Q520" i="4"/>
  <c r="R520" i="4" s="1"/>
  <c r="P520" i="4"/>
  <c r="L520" i="4"/>
  <c r="K520" i="4"/>
  <c r="J520" i="4"/>
  <c r="I520" i="4"/>
  <c r="H520" i="4"/>
  <c r="G520" i="4"/>
  <c r="F520" i="4"/>
  <c r="E520" i="4"/>
  <c r="U520" i="4" s="1"/>
  <c r="D520" i="4"/>
  <c r="C520" i="4"/>
  <c r="O520" i="4" s="1"/>
  <c r="B520" i="4"/>
  <c r="A520" i="4"/>
  <c r="S519" i="4"/>
  <c r="Q519" i="4"/>
  <c r="P519" i="4"/>
  <c r="L519" i="4"/>
  <c r="K519" i="4"/>
  <c r="J519" i="4"/>
  <c r="I519" i="4"/>
  <c r="H519" i="4"/>
  <c r="G519" i="4"/>
  <c r="F519" i="4"/>
  <c r="E519" i="4"/>
  <c r="N519" i="4" s="1"/>
  <c r="D519" i="4"/>
  <c r="C519" i="4"/>
  <c r="O519" i="4" s="1"/>
  <c r="B519" i="4"/>
  <c r="A519" i="4"/>
  <c r="S518" i="4"/>
  <c r="Q518" i="4"/>
  <c r="P518" i="4"/>
  <c r="N518" i="4"/>
  <c r="L518" i="4"/>
  <c r="K518" i="4"/>
  <c r="J518" i="4"/>
  <c r="I518" i="4"/>
  <c r="H518" i="4"/>
  <c r="G518" i="4"/>
  <c r="F518" i="4"/>
  <c r="T518" i="4" s="1"/>
  <c r="E518" i="4"/>
  <c r="U518" i="4" s="1"/>
  <c r="D518" i="4"/>
  <c r="C518" i="4"/>
  <c r="O518" i="4" s="1"/>
  <c r="B518" i="4"/>
  <c r="A518" i="4"/>
  <c r="U517" i="4"/>
  <c r="S517" i="4"/>
  <c r="Q517" i="4"/>
  <c r="P517" i="4"/>
  <c r="L517" i="4"/>
  <c r="K517" i="4"/>
  <c r="J517" i="4"/>
  <c r="I517" i="4"/>
  <c r="H517" i="4"/>
  <c r="G517" i="4"/>
  <c r="F517" i="4"/>
  <c r="E517" i="4"/>
  <c r="M517" i="4" s="1"/>
  <c r="D517" i="4"/>
  <c r="C517" i="4"/>
  <c r="O517" i="4" s="1"/>
  <c r="B517" i="4"/>
  <c r="A517" i="4"/>
  <c r="S516" i="4"/>
  <c r="Q516" i="4"/>
  <c r="P516" i="4"/>
  <c r="R516" i="4" s="1"/>
  <c r="L516" i="4"/>
  <c r="K516" i="4"/>
  <c r="J516" i="4"/>
  <c r="I516" i="4"/>
  <c r="H516" i="4"/>
  <c r="G516" i="4"/>
  <c r="F516" i="4"/>
  <c r="T516" i="4" s="1"/>
  <c r="E516" i="4"/>
  <c r="U516" i="4" s="1"/>
  <c r="D516" i="4"/>
  <c r="C516" i="4"/>
  <c r="O516" i="4" s="1"/>
  <c r="B516" i="4"/>
  <c r="A516" i="4"/>
  <c r="S515" i="4"/>
  <c r="Q515" i="4"/>
  <c r="P515" i="4"/>
  <c r="L515" i="4"/>
  <c r="K515" i="4"/>
  <c r="J515" i="4"/>
  <c r="I515" i="4"/>
  <c r="H515" i="4"/>
  <c r="G515" i="4"/>
  <c r="F515" i="4"/>
  <c r="E515" i="4"/>
  <c r="U515" i="4" s="1"/>
  <c r="D515" i="4"/>
  <c r="C515" i="4"/>
  <c r="O515" i="4" s="1"/>
  <c r="B515" i="4"/>
  <c r="A515" i="4"/>
  <c r="S514" i="4"/>
  <c r="Q514" i="4"/>
  <c r="P514" i="4"/>
  <c r="L514" i="4"/>
  <c r="K514" i="4"/>
  <c r="J514" i="4"/>
  <c r="I514" i="4"/>
  <c r="H514" i="4"/>
  <c r="G514" i="4"/>
  <c r="F514" i="4"/>
  <c r="T514" i="4" s="1"/>
  <c r="E514" i="4"/>
  <c r="D514" i="4"/>
  <c r="C514" i="4"/>
  <c r="O514" i="4" s="1"/>
  <c r="B514" i="4"/>
  <c r="A514" i="4"/>
  <c r="S513" i="4"/>
  <c r="Q513" i="4"/>
  <c r="P513" i="4"/>
  <c r="R513" i="4" s="1"/>
  <c r="L513" i="4"/>
  <c r="K513" i="4"/>
  <c r="J513" i="4"/>
  <c r="I513" i="4"/>
  <c r="H513" i="4"/>
  <c r="G513" i="4"/>
  <c r="F513" i="4"/>
  <c r="E513" i="4"/>
  <c r="M513" i="4" s="1"/>
  <c r="D513" i="4"/>
  <c r="C513" i="4"/>
  <c r="O513" i="4" s="1"/>
  <c r="B513" i="4"/>
  <c r="A513" i="4"/>
  <c r="S512" i="4"/>
  <c r="Q512" i="4"/>
  <c r="R512" i="4" s="1"/>
  <c r="P512" i="4"/>
  <c r="L512" i="4"/>
  <c r="K512" i="4"/>
  <c r="J512" i="4"/>
  <c r="I512" i="4"/>
  <c r="H512" i="4"/>
  <c r="G512" i="4"/>
  <c r="F512" i="4"/>
  <c r="E512" i="4"/>
  <c r="D512" i="4"/>
  <c r="C512" i="4"/>
  <c r="O512" i="4" s="1"/>
  <c r="B512" i="4"/>
  <c r="A512" i="4"/>
  <c r="S511" i="4"/>
  <c r="Q511" i="4"/>
  <c r="P511" i="4"/>
  <c r="L511" i="4"/>
  <c r="K511" i="4"/>
  <c r="J511" i="4"/>
  <c r="I511" i="4"/>
  <c r="H511" i="4"/>
  <c r="G511" i="4"/>
  <c r="F511" i="4"/>
  <c r="E511" i="4"/>
  <c r="D511" i="4"/>
  <c r="C511" i="4"/>
  <c r="O511" i="4" s="1"/>
  <c r="B511" i="4"/>
  <c r="A511" i="4"/>
  <c r="S510" i="4"/>
  <c r="Q510" i="4"/>
  <c r="P510" i="4"/>
  <c r="L510" i="4"/>
  <c r="K510" i="4"/>
  <c r="J510" i="4"/>
  <c r="I510" i="4"/>
  <c r="H510" i="4"/>
  <c r="G510" i="4"/>
  <c r="F510" i="4"/>
  <c r="E510" i="4"/>
  <c r="N510" i="4" s="1"/>
  <c r="D510" i="4"/>
  <c r="C510" i="4"/>
  <c r="O510" i="4" s="1"/>
  <c r="B510" i="4"/>
  <c r="A510" i="4"/>
  <c r="S509" i="4"/>
  <c r="Q509" i="4"/>
  <c r="P509" i="4"/>
  <c r="L509" i="4"/>
  <c r="K509" i="4"/>
  <c r="J509" i="4"/>
  <c r="I509" i="4"/>
  <c r="H509" i="4"/>
  <c r="G509" i="4"/>
  <c r="F509" i="4"/>
  <c r="T509" i="4" s="1"/>
  <c r="E509" i="4"/>
  <c r="U509" i="4" s="1"/>
  <c r="D509" i="4"/>
  <c r="C509" i="4"/>
  <c r="O509" i="4" s="1"/>
  <c r="B509" i="4"/>
  <c r="A509" i="4"/>
  <c r="S508" i="4"/>
  <c r="Q508" i="4"/>
  <c r="P508" i="4"/>
  <c r="R508" i="4" s="1"/>
  <c r="L508" i="4"/>
  <c r="K508" i="4"/>
  <c r="J508" i="4"/>
  <c r="I508" i="4"/>
  <c r="H508" i="4"/>
  <c r="G508" i="4"/>
  <c r="F508" i="4"/>
  <c r="E508" i="4"/>
  <c r="D508" i="4"/>
  <c r="C508" i="4"/>
  <c r="O508" i="4" s="1"/>
  <c r="B508" i="4"/>
  <c r="A508" i="4"/>
  <c r="S507" i="4"/>
  <c r="Q507" i="4"/>
  <c r="P507" i="4"/>
  <c r="L507" i="4"/>
  <c r="K507" i="4"/>
  <c r="J507" i="4"/>
  <c r="I507" i="4"/>
  <c r="H507" i="4"/>
  <c r="G507" i="4"/>
  <c r="F507" i="4"/>
  <c r="E507" i="4"/>
  <c r="N507" i="4" s="1"/>
  <c r="D507" i="4"/>
  <c r="C507" i="4"/>
  <c r="O507" i="4" s="1"/>
  <c r="B507" i="4"/>
  <c r="A507" i="4"/>
  <c r="S506" i="4"/>
  <c r="Q506" i="4"/>
  <c r="P506" i="4"/>
  <c r="L506" i="4"/>
  <c r="K506" i="4"/>
  <c r="J506" i="4"/>
  <c r="I506" i="4"/>
  <c r="H506" i="4"/>
  <c r="G506" i="4"/>
  <c r="F506" i="4"/>
  <c r="E506" i="4"/>
  <c r="N506" i="4" s="1"/>
  <c r="D506" i="4"/>
  <c r="C506" i="4"/>
  <c r="O506" i="4" s="1"/>
  <c r="B506" i="4"/>
  <c r="A506" i="4"/>
  <c r="S505" i="4"/>
  <c r="Q505" i="4"/>
  <c r="P505" i="4"/>
  <c r="R505" i="4" s="1"/>
  <c r="L505" i="4"/>
  <c r="K505" i="4"/>
  <c r="J505" i="4"/>
  <c r="I505" i="4"/>
  <c r="H505" i="4"/>
  <c r="G505" i="4"/>
  <c r="F505" i="4"/>
  <c r="E505" i="4"/>
  <c r="D505" i="4"/>
  <c r="C505" i="4"/>
  <c r="O505" i="4" s="1"/>
  <c r="B505" i="4"/>
  <c r="A505" i="4"/>
  <c r="S504" i="4"/>
  <c r="Q504" i="4"/>
  <c r="P504" i="4"/>
  <c r="L504" i="4"/>
  <c r="K504" i="4"/>
  <c r="J504" i="4"/>
  <c r="I504" i="4"/>
  <c r="H504" i="4"/>
  <c r="G504" i="4"/>
  <c r="F504" i="4"/>
  <c r="E504" i="4"/>
  <c r="D504" i="4"/>
  <c r="C504" i="4"/>
  <c r="O504" i="4" s="1"/>
  <c r="B504" i="4"/>
  <c r="A504" i="4"/>
  <c r="S503" i="4"/>
  <c r="Q503" i="4"/>
  <c r="P503" i="4"/>
  <c r="N503" i="4"/>
  <c r="L503" i="4"/>
  <c r="K503" i="4"/>
  <c r="J503" i="4"/>
  <c r="I503" i="4"/>
  <c r="H503" i="4"/>
  <c r="G503" i="4"/>
  <c r="F503" i="4"/>
  <c r="E503" i="4"/>
  <c r="U503" i="4" s="1"/>
  <c r="D503" i="4"/>
  <c r="C503" i="4"/>
  <c r="O503" i="4" s="1"/>
  <c r="B503" i="4"/>
  <c r="A503" i="4"/>
  <c r="S502" i="4"/>
  <c r="Q502" i="4"/>
  <c r="P502" i="4"/>
  <c r="L502" i="4"/>
  <c r="K502" i="4"/>
  <c r="J502" i="4"/>
  <c r="I502" i="4"/>
  <c r="H502" i="4"/>
  <c r="G502" i="4"/>
  <c r="F502" i="4"/>
  <c r="E502" i="4"/>
  <c r="M502" i="4" s="1"/>
  <c r="D502" i="4"/>
  <c r="C502" i="4"/>
  <c r="O502" i="4" s="1"/>
  <c r="B502" i="4"/>
  <c r="A502" i="4"/>
  <c r="S501" i="4"/>
  <c r="Q501" i="4"/>
  <c r="P501" i="4"/>
  <c r="L501" i="4"/>
  <c r="K501" i="4"/>
  <c r="J501" i="4"/>
  <c r="I501" i="4"/>
  <c r="H501" i="4"/>
  <c r="G501" i="4"/>
  <c r="F501" i="4"/>
  <c r="E501" i="4"/>
  <c r="M501" i="4" s="1"/>
  <c r="D501" i="4"/>
  <c r="C501" i="4"/>
  <c r="O501" i="4" s="1"/>
  <c r="B501" i="4"/>
  <c r="A501" i="4"/>
  <c r="S500" i="4"/>
  <c r="Q500" i="4"/>
  <c r="P500" i="4"/>
  <c r="L500" i="4"/>
  <c r="K500" i="4"/>
  <c r="J500" i="4"/>
  <c r="I500" i="4"/>
  <c r="H500" i="4"/>
  <c r="G500" i="4"/>
  <c r="F500" i="4"/>
  <c r="T500" i="4" s="1"/>
  <c r="E500" i="4"/>
  <c r="D500" i="4"/>
  <c r="C500" i="4"/>
  <c r="O500" i="4" s="1"/>
  <c r="B500" i="4"/>
  <c r="A500" i="4"/>
  <c r="S499" i="4"/>
  <c r="Q499" i="4"/>
  <c r="P499" i="4"/>
  <c r="L499" i="4"/>
  <c r="K499" i="4"/>
  <c r="J499" i="4"/>
  <c r="I499" i="4"/>
  <c r="H499" i="4"/>
  <c r="G499" i="4"/>
  <c r="F499" i="4"/>
  <c r="E499" i="4"/>
  <c r="N499" i="4" s="1"/>
  <c r="D499" i="4"/>
  <c r="C499" i="4"/>
  <c r="O499" i="4" s="1"/>
  <c r="B499" i="4"/>
  <c r="A499" i="4"/>
  <c r="S498" i="4"/>
  <c r="Q498" i="4"/>
  <c r="P498" i="4"/>
  <c r="L498" i="4"/>
  <c r="K498" i="4"/>
  <c r="J498" i="4"/>
  <c r="I498" i="4"/>
  <c r="H498" i="4"/>
  <c r="G498" i="4"/>
  <c r="F498" i="4"/>
  <c r="E498" i="4"/>
  <c r="U498" i="4" s="1"/>
  <c r="D498" i="4"/>
  <c r="C498" i="4"/>
  <c r="O498" i="4" s="1"/>
  <c r="B498" i="4"/>
  <c r="A498" i="4"/>
  <c r="S497" i="4"/>
  <c r="Q497" i="4"/>
  <c r="P497" i="4"/>
  <c r="O497" i="4"/>
  <c r="L497" i="4"/>
  <c r="K497" i="4"/>
  <c r="J497" i="4"/>
  <c r="I497" i="4"/>
  <c r="H497" i="4"/>
  <c r="G497" i="4"/>
  <c r="F497" i="4"/>
  <c r="E497" i="4"/>
  <c r="D497" i="4"/>
  <c r="C497" i="4"/>
  <c r="B497" i="4"/>
  <c r="A497" i="4"/>
  <c r="S496" i="4"/>
  <c r="Q496" i="4"/>
  <c r="P496" i="4"/>
  <c r="R496" i="4" s="1"/>
  <c r="L496" i="4"/>
  <c r="K496" i="4"/>
  <c r="J496" i="4"/>
  <c r="I496" i="4"/>
  <c r="H496" i="4"/>
  <c r="G496" i="4"/>
  <c r="F496" i="4"/>
  <c r="E496" i="4"/>
  <c r="M496" i="4" s="1"/>
  <c r="D496" i="4"/>
  <c r="C496" i="4"/>
  <c r="O496" i="4" s="1"/>
  <c r="B496" i="4"/>
  <c r="A496" i="4"/>
  <c r="S495" i="4"/>
  <c r="Q495" i="4"/>
  <c r="P495" i="4"/>
  <c r="N495" i="4"/>
  <c r="L495" i="4"/>
  <c r="K495" i="4"/>
  <c r="J495" i="4"/>
  <c r="I495" i="4"/>
  <c r="H495" i="4"/>
  <c r="G495" i="4"/>
  <c r="F495" i="4"/>
  <c r="T495" i="4" s="1"/>
  <c r="E495" i="4"/>
  <c r="D495" i="4"/>
  <c r="C495" i="4"/>
  <c r="O495" i="4" s="1"/>
  <c r="B495" i="4"/>
  <c r="A495" i="4"/>
  <c r="S494" i="4"/>
  <c r="Q494" i="4"/>
  <c r="P494" i="4"/>
  <c r="L494" i="4"/>
  <c r="K494" i="4"/>
  <c r="J494" i="4"/>
  <c r="I494" i="4"/>
  <c r="H494" i="4"/>
  <c r="G494" i="4"/>
  <c r="F494" i="4"/>
  <c r="E494" i="4"/>
  <c r="D494" i="4"/>
  <c r="C494" i="4"/>
  <c r="O494" i="4" s="1"/>
  <c r="B494" i="4"/>
  <c r="A494" i="4"/>
  <c r="S493" i="4"/>
  <c r="Q493" i="4"/>
  <c r="P493" i="4"/>
  <c r="N493" i="4"/>
  <c r="L493" i="4"/>
  <c r="K493" i="4"/>
  <c r="J493" i="4"/>
  <c r="I493" i="4"/>
  <c r="H493" i="4"/>
  <c r="G493" i="4"/>
  <c r="F493" i="4"/>
  <c r="T493" i="4" s="1"/>
  <c r="E493" i="4"/>
  <c r="U493" i="4" s="1"/>
  <c r="D493" i="4"/>
  <c r="C493" i="4"/>
  <c r="O493" i="4" s="1"/>
  <c r="B493" i="4"/>
  <c r="A493" i="4"/>
  <c r="S492" i="4"/>
  <c r="Q492" i="4"/>
  <c r="P492" i="4"/>
  <c r="L492" i="4"/>
  <c r="K492" i="4"/>
  <c r="J492" i="4"/>
  <c r="I492" i="4"/>
  <c r="H492" i="4"/>
  <c r="G492" i="4"/>
  <c r="F492" i="4"/>
  <c r="E492" i="4"/>
  <c r="M492" i="4" s="1"/>
  <c r="D492" i="4"/>
  <c r="C492" i="4"/>
  <c r="O492" i="4" s="1"/>
  <c r="B492" i="4"/>
  <c r="A492" i="4"/>
  <c r="S491" i="4"/>
  <c r="Q491" i="4"/>
  <c r="P491" i="4"/>
  <c r="R491" i="4" s="1"/>
  <c r="L491" i="4"/>
  <c r="K491" i="4"/>
  <c r="J491" i="4"/>
  <c r="I491" i="4"/>
  <c r="H491" i="4"/>
  <c r="G491" i="4"/>
  <c r="F491" i="4"/>
  <c r="E491" i="4"/>
  <c r="N491" i="4" s="1"/>
  <c r="D491" i="4"/>
  <c r="C491" i="4"/>
  <c r="O491" i="4" s="1"/>
  <c r="B491" i="4"/>
  <c r="A491" i="4"/>
  <c r="S490" i="4"/>
  <c r="Q490" i="4"/>
  <c r="P490" i="4"/>
  <c r="R490" i="4" s="1"/>
  <c r="L490" i="4"/>
  <c r="K490" i="4"/>
  <c r="J490" i="4"/>
  <c r="I490" i="4"/>
  <c r="H490" i="4"/>
  <c r="G490" i="4"/>
  <c r="F490" i="4"/>
  <c r="T490" i="4" s="1"/>
  <c r="E490" i="4"/>
  <c r="D490" i="4"/>
  <c r="C490" i="4"/>
  <c r="O490" i="4" s="1"/>
  <c r="B490" i="4"/>
  <c r="A490" i="4"/>
  <c r="S489" i="4"/>
  <c r="R489" i="4"/>
  <c r="Q489" i="4"/>
  <c r="P489" i="4"/>
  <c r="L489" i="4"/>
  <c r="K489" i="4"/>
  <c r="J489" i="4"/>
  <c r="I489" i="4"/>
  <c r="H489" i="4"/>
  <c r="G489" i="4"/>
  <c r="F489" i="4"/>
  <c r="T489" i="4" s="1"/>
  <c r="E489" i="4"/>
  <c r="U489" i="4" s="1"/>
  <c r="D489" i="4"/>
  <c r="C489" i="4"/>
  <c r="O489" i="4" s="1"/>
  <c r="B489" i="4"/>
  <c r="A489" i="4"/>
  <c r="S488" i="4"/>
  <c r="Q488" i="4"/>
  <c r="P488" i="4"/>
  <c r="L488" i="4"/>
  <c r="K488" i="4"/>
  <c r="J488" i="4"/>
  <c r="I488" i="4"/>
  <c r="H488" i="4"/>
  <c r="G488" i="4"/>
  <c r="F488" i="4"/>
  <c r="E488" i="4"/>
  <c r="M488" i="4" s="1"/>
  <c r="D488" i="4"/>
  <c r="C488" i="4"/>
  <c r="O488" i="4" s="1"/>
  <c r="B488" i="4"/>
  <c r="A488" i="4"/>
  <c r="S487" i="4"/>
  <c r="Q487" i="4"/>
  <c r="P487" i="4"/>
  <c r="L487" i="4"/>
  <c r="K487" i="4"/>
  <c r="J487" i="4"/>
  <c r="I487" i="4"/>
  <c r="H487" i="4"/>
  <c r="G487" i="4"/>
  <c r="F487" i="4"/>
  <c r="E487" i="4"/>
  <c r="D487" i="4"/>
  <c r="C487" i="4"/>
  <c r="O487" i="4" s="1"/>
  <c r="B487" i="4"/>
  <c r="A487" i="4"/>
  <c r="S486" i="4"/>
  <c r="Q486" i="4"/>
  <c r="P486" i="4"/>
  <c r="O486" i="4"/>
  <c r="L486" i="4"/>
  <c r="K486" i="4"/>
  <c r="J486" i="4"/>
  <c r="I486" i="4"/>
  <c r="H486" i="4"/>
  <c r="G486" i="4"/>
  <c r="F486" i="4"/>
  <c r="T486" i="4" s="1"/>
  <c r="E486" i="4"/>
  <c r="D486" i="4"/>
  <c r="C486" i="4"/>
  <c r="B486" i="4"/>
  <c r="A486" i="4"/>
  <c r="S485" i="4"/>
  <c r="Q485" i="4"/>
  <c r="P485" i="4"/>
  <c r="R485" i="4" s="1"/>
  <c r="N485" i="4"/>
  <c r="L485" i="4"/>
  <c r="K485" i="4"/>
  <c r="J485" i="4"/>
  <c r="I485" i="4"/>
  <c r="H485" i="4"/>
  <c r="G485" i="4"/>
  <c r="F485" i="4"/>
  <c r="T485" i="4" s="1"/>
  <c r="E485" i="4"/>
  <c r="M485" i="4" s="1"/>
  <c r="D485" i="4"/>
  <c r="C485" i="4"/>
  <c r="O485" i="4" s="1"/>
  <c r="B485" i="4"/>
  <c r="A485" i="4"/>
  <c r="S484" i="4"/>
  <c r="Q484" i="4"/>
  <c r="P484" i="4"/>
  <c r="R484" i="4" s="1"/>
  <c r="N484" i="4"/>
  <c r="M484" i="4"/>
  <c r="L484" i="4"/>
  <c r="K484" i="4"/>
  <c r="J484" i="4"/>
  <c r="I484" i="4"/>
  <c r="H484" i="4"/>
  <c r="G484" i="4"/>
  <c r="F484" i="4"/>
  <c r="E484" i="4"/>
  <c r="U484" i="4" s="1"/>
  <c r="D484" i="4"/>
  <c r="C484" i="4"/>
  <c r="O484" i="4" s="1"/>
  <c r="B484" i="4"/>
  <c r="A484" i="4"/>
  <c r="S483" i="4"/>
  <c r="Q483" i="4"/>
  <c r="P483" i="4"/>
  <c r="M483" i="4"/>
  <c r="L483" i="4"/>
  <c r="K483" i="4"/>
  <c r="J483" i="4"/>
  <c r="I483" i="4"/>
  <c r="H483" i="4"/>
  <c r="G483" i="4"/>
  <c r="F483" i="4"/>
  <c r="T483" i="4" s="1"/>
  <c r="E483" i="4"/>
  <c r="N483" i="4" s="1"/>
  <c r="D483" i="4"/>
  <c r="C483" i="4"/>
  <c r="O483" i="4" s="1"/>
  <c r="B483" i="4"/>
  <c r="A483" i="4"/>
  <c r="S482" i="4"/>
  <c r="Q482" i="4"/>
  <c r="P482" i="4"/>
  <c r="L482" i="4"/>
  <c r="K482" i="4"/>
  <c r="J482" i="4"/>
  <c r="I482" i="4"/>
  <c r="H482" i="4"/>
  <c r="G482" i="4"/>
  <c r="F482" i="4"/>
  <c r="T482" i="4" s="1"/>
  <c r="E482" i="4"/>
  <c r="U482" i="4" s="1"/>
  <c r="D482" i="4"/>
  <c r="C482" i="4"/>
  <c r="O482" i="4" s="1"/>
  <c r="B482" i="4"/>
  <c r="A482" i="4"/>
  <c r="S481" i="4"/>
  <c r="Q481" i="4"/>
  <c r="P481" i="4"/>
  <c r="L481" i="4"/>
  <c r="K481" i="4"/>
  <c r="J481" i="4"/>
  <c r="I481" i="4"/>
  <c r="H481" i="4"/>
  <c r="G481" i="4"/>
  <c r="F481" i="4"/>
  <c r="E481" i="4"/>
  <c r="U481" i="4" s="1"/>
  <c r="D481" i="4"/>
  <c r="C481" i="4"/>
  <c r="O481" i="4" s="1"/>
  <c r="B481" i="4"/>
  <c r="A481" i="4"/>
  <c r="U480" i="4"/>
  <c r="S480" i="4"/>
  <c r="Q480" i="4"/>
  <c r="P480" i="4"/>
  <c r="L480" i="4"/>
  <c r="K480" i="4"/>
  <c r="J480" i="4"/>
  <c r="I480" i="4"/>
  <c r="H480" i="4"/>
  <c r="G480" i="4"/>
  <c r="F480" i="4"/>
  <c r="T480" i="4" s="1"/>
  <c r="E480" i="4"/>
  <c r="N480" i="4" s="1"/>
  <c r="D480" i="4"/>
  <c r="C480" i="4"/>
  <c r="O480" i="4" s="1"/>
  <c r="B480" i="4"/>
  <c r="A480" i="4"/>
  <c r="S479" i="4"/>
  <c r="Q479" i="4"/>
  <c r="P479" i="4"/>
  <c r="R479" i="4" s="1"/>
  <c r="L479" i="4"/>
  <c r="K479" i="4"/>
  <c r="J479" i="4"/>
  <c r="I479" i="4"/>
  <c r="H479" i="4"/>
  <c r="G479" i="4"/>
  <c r="F479" i="4"/>
  <c r="E479" i="4"/>
  <c r="U479" i="4" s="1"/>
  <c r="D479" i="4"/>
  <c r="C479" i="4"/>
  <c r="O479" i="4" s="1"/>
  <c r="B479" i="4"/>
  <c r="A479" i="4"/>
  <c r="S478" i="4"/>
  <c r="Q478" i="4"/>
  <c r="P478" i="4"/>
  <c r="L478" i="4"/>
  <c r="K478" i="4"/>
  <c r="J478" i="4"/>
  <c r="I478" i="4"/>
  <c r="H478" i="4"/>
  <c r="G478" i="4"/>
  <c r="F478" i="4"/>
  <c r="E478" i="4"/>
  <c r="D478" i="4"/>
  <c r="C478" i="4"/>
  <c r="O478" i="4" s="1"/>
  <c r="B478" i="4"/>
  <c r="A478" i="4"/>
  <c r="S477" i="4"/>
  <c r="Q477" i="4"/>
  <c r="P477" i="4"/>
  <c r="R477" i="4" s="1"/>
  <c r="L477" i="4"/>
  <c r="K477" i="4"/>
  <c r="J477" i="4"/>
  <c r="I477" i="4"/>
  <c r="H477" i="4"/>
  <c r="G477" i="4"/>
  <c r="F477" i="4"/>
  <c r="E477" i="4"/>
  <c r="N477" i="4" s="1"/>
  <c r="D477" i="4"/>
  <c r="C477" i="4"/>
  <c r="O477" i="4" s="1"/>
  <c r="B477" i="4"/>
  <c r="A477" i="4"/>
  <c r="S476" i="4"/>
  <c r="Q476" i="4"/>
  <c r="R476" i="4" s="1"/>
  <c r="P476" i="4"/>
  <c r="L476" i="4"/>
  <c r="K476" i="4"/>
  <c r="J476" i="4"/>
  <c r="I476" i="4"/>
  <c r="H476" i="4"/>
  <c r="G476" i="4"/>
  <c r="F476" i="4"/>
  <c r="E476" i="4"/>
  <c r="D476" i="4"/>
  <c r="C476" i="4"/>
  <c r="O476" i="4" s="1"/>
  <c r="B476" i="4"/>
  <c r="A476" i="4"/>
  <c r="S475" i="4"/>
  <c r="Q475" i="4"/>
  <c r="P475" i="4"/>
  <c r="L475" i="4"/>
  <c r="K475" i="4"/>
  <c r="J475" i="4"/>
  <c r="I475" i="4"/>
  <c r="H475" i="4"/>
  <c r="G475" i="4"/>
  <c r="F475" i="4"/>
  <c r="E475" i="4"/>
  <c r="U475" i="4" s="1"/>
  <c r="D475" i="4"/>
  <c r="C475" i="4"/>
  <c r="O475" i="4" s="1"/>
  <c r="B475" i="4"/>
  <c r="A475" i="4"/>
  <c r="S474" i="4"/>
  <c r="R474" i="4"/>
  <c r="Q474" i="4"/>
  <c r="P474" i="4"/>
  <c r="N474" i="4"/>
  <c r="M474" i="4"/>
  <c r="L474" i="4"/>
  <c r="K474" i="4"/>
  <c r="J474" i="4"/>
  <c r="I474" i="4"/>
  <c r="H474" i="4"/>
  <c r="G474" i="4"/>
  <c r="F474" i="4"/>
  <c r="E474" i="4"/>
  <c r="U474" i="4" s="1"/>
  <c r="D474" i="4"/>
  <c r="C474" i="4"/>
  <c r="O474" i="4" s="1"/>
  <c r="B474" i="4"/>
  <c r="A474" i="4"/>
  <c r="S473" i="4"/>
  <c r="Q473" i="4"/>
  <c r="P473" i="4"/>
  <c r="R473" i="4" s="1"/>
  <c r="N473" i="4"/>
  <c r="L473" i="4"/>
  <c r="K473" i="4"/>
  <c r="J473" i="4"/>
  <c r="I473" i="4"/>
  <c r="H473" i="4"/>
  <c r="G473" i="4"/>
  <c r="F473" i="4"/>
  <c r="E473" i="4"/>
  <c r="M473" i="4" s="1"/>
  <c r="D473" i="4"/>
  <c r="C473" i="4"/>
  <c r="O473" i="4" s="1"/>
  <c r="B473" i="4"/>
  <c r="A473" i="4"/>
  <c r="S472" i="4"/>
  <c r="Q472" i="4"/>
  <c r="P472" i="4"/>
  <c r="L472" i="4"/>
  <c r="K472" i="4"/>
  <c r="J472" i="4"/>
  <c r="I472" i="4"/>
  <c r="H472" i="4"/>
  <c r="G472" i="4"/>
  <c r="F472" i="4"/>
  <c r="E472" i="4"/>
  <c r="D472" i="4"/>
  <c r="C472" i="4"/>
  <c r="O472" i="4" s="1"/>
  <c r="B472" i="4"/>
  <c r="A472" i="4"/>
  <c r="S471" i="4"/>
  <c r="Q471" i="4"/>
  <c r="P471" i="4"/>
  <c r="L471" i="4"/>
  <c r="K471" i="4"/>
  <c r="J471" i="4"/>
  <c r="I471" i="4"/>
  <c r="H471" i="4"/>
  <c r="G471" i="4"/>
  <c r="F471" i="4"/>
  <c r="T471" i="4" s="1"/>
  <c r="E471" i="4"/>
  <c r="U471" i="4" s="1"/>
  <c r="D471" i="4"/>
  <c r="C471" i="4"/>
  <c r="O471" i="4" s="1"/>
  <c r="B471" i="4"/>
  <c r="A471" i="4"/>
  <c r="S470" i="4"/>
  <c r="Q470" i="4"/>
  <c r="P470" i="4"/>
  <c r="L470" i="4"/>
  <c r="K470" i="4"/>
  <c r="J470" i="4"/>
  <c r="I470" i="4"/>
  <c r="H470" i="4"/>
  <c r="G470" i="4"/>
  <c r="F470" i="4"/>
  <c r="T470" i="4" s="1"/>
  <c r="E470" i="4"/>
  <c r="M470" i="4" s="1"/>
  <c r="D470" i="4"/>
  <c r="C470" i="4"/>
  <c r="O470" i="4" s="1"/>
  <c r="B470" i="4"/>
  <c r="A470" i="4"/>
  <c r="S469" i="4"/>
  <c r="Q469" i="4"/>
  <c r="P469" i="4"/>
  <c r="R469" i="4" s="1"/>
  <c r="O469" i="4"/>
  <c r="L469" i="4"/>
  <c r="K469" i="4"/>
  <c r="J469" i="4"/>
  <c r="I469" i="4"/>
  <c r="H469" i="4"/>
  <c r="G469" i="4"/>
  <c r="F469" i="4"/>
  <c r="E469" i="4"/>
  <c r="U469" i="4" s="1"/>
  <c r="D469" i="4"/>
  <c r="C469" i="4"/>
  <c r="B469" i="4"/>
  <c r="A469" i="4"/>
  <c r="S468" i="4"/>
  <c r="Q468" i="4"/>
  <c r="P468" i="4"/>
  <c r="R468" i="4" s="1"/>
  <c r="L468" i="4"/>
  <c r="K468" i="4"/>
  <c r="J468" i="4"/>
  <c r="I468" i="4"/>
  <c r="H468" i="4"/>
  <c r="G468" i="4"/>
  <c r="F468" i="4"/>
  <c r="T468" i="4" s="1"/>
  <c r="E468" i="4"/>
  <c r="M468" i="4" s="1"/>
  <c r="D468" i="4"/>
  <c r="C468" i="4"/>
  <c r="O468" i="4" s="1"/>
  <c r="B468" i="4"/>
  <c r="A468" i="4"/>
  <c r="S467" i="4"/>
  <c r="Q467" i="4"/>
  <c r="P467" i="4"/>
  <c r="R467" i="4" s="1"/>
  <c r="L467" i="4"/>
  <c r="K467" i="4"/>
  <c r="J467" i="4"/>
  <c r="I467" i="4"/>
  <c r="H467" i="4"/>
  <c r="G467" i="4"/>
  <c r="F467" i="4"/>
  <c r="E467" i="4"/>
  <c r="U467" i="4" s="1"/>
  <c r="D467" i="4"/>
  <c r="C467" i="4"/>
  <c r="O467" i="4" s="1"/>
  <c r="B467" i="4"/>
  <c r="A467" i="4"/>
  <c r="S466" i="4"/>
  <c r="Q466" i="4"/>
  <c r="P466" i="4"/>
  <c r="L466" i="4"/>
  <c r="K466" i="4"/>
  <c r="J466" i="4"/>
  <c r="I466" i="4"/>
  <c r="H466" i="4"/>
  <c r="G466" i="4"/>
  <c r="F466" i="4"/>
  <c r="E466" i="4"/>
  <c r="N466" i="4" s="1"/>
  <c r="D466" i="4"/>
  <c r="C466" i="4"/>
  <c r="O466" i="4" s="1"/>
  <c r="B466" i="4"/>
  <c r="A466" i="4"/>
  <c r="S465" i="4"/>
  <c r="Q465" i="4"/>
  <c r="P465" i="4"/>
  <c r="N465" i="4"/>
  <c r="M465" i="4"/>
  <c r="L465" i="4"/>
  <c r="K465" i="4"/>
  <c r="J465" i="4"/>
  <c r="I465" i="4"/>
  <c r="H465" i="4"/>
  <c r="G465" i="4"/>
  <c r="F465" i="4"/>
  <c r="E465" i="4"/>
  <c r="U465" i="4" s="1"/>
  <c r="D465" i="4"/>
  <c r="C465" i="4"/>
  <c r="O465" i="4" s="1"/>
  <c r="B465" i="4"/>
  <c r="A465" i="4"/>
  <c r="S464" i="4"/>
  <c r="Q464" i="4"/>
  <c r="P464" i="4"/>
  <c r="L464" i="4"/>
  <c r="K464" i="4"/>
  <c r="J464" i="4"/>
  <c r="I464" i="4"/>
  <c r="H464" i="4"/>
  <c r="G464" i="4"/>
  <c r="F464" i="4"/>
  <c r="E464" i="4"/>
  <c r="D464" i="4"/>
  <c r="C464" i="4"/>
  <c r="O464" i="4" s="1"/>
  <c r="B464" i="4"/>
  <c r="A464" i="4"/>
  <c r="U463" i="4"/>
  <c r="S463" i="4"/>
  <c r="Q463" i="4"/>
  <c r="P463" i="4"/>
  <c r="O463" i="4"/>
  <c r="L463" i="4"/>
  <c r="K463" i="4"/>
  <c r="J463" i="4"/>
  <c r="I463" i="4"/>
  <c r="H463" i="4"/>
  <c r="G463" i="4"/>
  <c r="F463" i="4"/>
  <c r="T463" i="4" s="1"/>
  <c r="E463" i="4"/>
  <c r="D463" i="4"/>
  <c r="C463" i="4"/>
  <c r="B463" i="4"/>
  <c r="A463" i="4"/>
  <c r="S462" i="4"/>
  <c r="Q462" i="4"/>
  <c r="P462" i="4"/>
  <c r="N462" i="4"/>
  <c r="L462" i="4"/>
  <c r="K462" i="4"/>
  <c r="J462" i="4"/>
  <c r="I462" i="4"/>
  <c r="H462" i="4"/>
  <c r="G462" i="4"/>
  <c r="F462" i="4"/>
  <c r="E462" i="4"/>
  <c r="U462" i="4" s="1"/>
  <c r="D462" i="4"/>
  <c r="C462" i="4"/>
  <c r="O462" i="4" s="1"/>
  <c r="B462" i="4"/>
  <c r="A462" i="4"/>
  <c r="S461" i="4"/>
  <c r="Q461" i="4"/>
  <c r="P461" i="4"/>
  <c r="L461" i="4"/>
  <c r="K461" i="4"/>
  <c r="J461" i="4"/>
  <c r="I461" i="4"/>
  <c r="H461" i="4"/>
  <c r="G461" i="4"/>
  <c r="F461" i="4"/>
  <c r="E461" i="4"/>
  <c r="N461" i="4" s="1"/>
  <c r="D461" i="4"/>
  <c r="C461" i="4"/>
  <c r="O461" i="4" s="1"/>
  <c r="B461" i="4"/>
  <c r="A461" i="4"/>
  <c r="S460" i="4"/>
  <c r="Q460" i="4"/>
  <c r="R460" i="4" s="1"/>
  <c r="P460" i="4"/>
  <c r="L460" i="4"/>
  <c r="K460" i="4"/>
  <c r="J460" i="4"/>
  <c r="I460" i="4"/>
  <c r="H460" i="4"/>
  <c r="G460" i="4"/>
  <c r="F460" i="4"/>
  <c r="E460" i="4"/>
  <c r="U460" i="4" s="1"/>
  <c r="D460" i="4"/>
  <c r="C460" i="4"/>
  <c r="O460" i="4" s="1"/>
  <c r="B460" i="4"/>
  <c r="A460" i="4"/>
  <c r="S459" i="4"/>
  <c r="Q459" i="4"/>
  <c r="P459" i="4"/>
  <c r="L459" i="4"/>
  <c r="K459" i="4"/>
  <c r="J459" i="4"/>
  <c r="I459" i="4"/>
  <c r="H459" i="4"/>
  <c r="G459" i="4"/>
  <c r="F459" i="4"/>
  <c r="E459" i="4"/>
  <c r="U459" i="4" s="1"/>
  <c r="D459" i="4"/>
  <c r="C459" i="4"/>
  <c r="O459" i="4" s="1"/>
  <c r="B459" i="4"/>
  <c r="A459" i="4"/>
  <c r="S458" i="4"/>
  <c r="Q458" i="4"/>
  <c r="R458" i="4" s="1"/>
  <c r="P458" i="4"/>
  <c r="L458" i="4"/>
  <c r="K458" i="4"/>
  <c r="J458" i="4"/>
  <c r="I458" i="4"/>
  <c r="H458" i="4"/>
  <c r="G458" i="4"/>
  <c r="F458" i="4"/>
  <c r="E458" i="4"/>
  <c r="D458" i="4"/>
  <c r="C458" i="4"/>
  <c r="O458" i="4" s="1"/>
  <c r="B458" i="4"/>
  <c r="A458" i="4"/>
  <c r="S457" i="4"/>
  <c r="Q457" i="4"/>
  <c r="P457" i="4"/>
  <c r="L457" i="4"/>
  <c r="K457" i="4"/>
  <c r="J457" i="4"/>
  <c r="I457" i="4"/>
  <c r="H457" i="4"/>
  <c r="G457" i="4"/>
  <c r="F457" i="4"/>
  <c r="E457" i="4"/>
  <c r="D457" i="4"/>
  <c r="C457" i="4"/>
  <c r="O457" i="4" s="1"/>
  <c r="B457" i="4"/>
  <c r="A457" i="4"/>
  <c r="S456" i="4"/>
  <c r="Q456" i="4"/>
  <c r="P456" i="4"/>
  <c r="O456" i="4"/>
  <c r="L456" i="4"/>
  <c r="K456" i="4"/>
  <c r="J456" i="4"/>
  <c r="I456" i="4"/>
  <c r="H456" i="4"/>
  <c r="G456" i="4"/>
  <c r="F456" i="4"/>
  <c r="E456" i="4"/>
  <c r="N456" i="4" s="1"/>
  <c r="D456" i="4"/>
  <c r="C456" i="4"/>
  <c r="B456" i="4"/>
  <c r="A456" i="4"/>
  <c r="S455" i="4"/>
  <c r="Q455" i="4"/>
  <c r="P455" i="4"/>
  <c r="O455" i="4"/>
  <c r="L455" i="4"/>
  <c r="K455" i="4"/>
  <c r="J455" i="4"/>
  <c r="I455" i="4"/>
  <c r="H455" i="4"/>
  <c r="G455" i="4"/>
  <c r="F455" i="4"/>
  <c r="E455" i="4"/>
  <c r="U455" i="4" s="1"/>
  <c r="D455" i="4"/>
  <c r="C455" i="4"/>
  <c r="B455" i="4"/>
  <c r="A455" i="4"/>
  <c r="S454" i="4"/>
  <c r="Q454" i="4"/>
  <c r="P454" i="4"/>
  <c r="L454" i="4"/>
  <c r="K454" i="4"/>
  <c r="J454" i="4"/>
  <c r="I454" i="4"/>
  <c r="H454" i="4"/>
  <c r="G454" i="4"/>
  <c r="F454" i="4"/>
  <c r="E454" i="4"/>
  <c r="M454" i="4" s="1"/>
  <c r="D454" i="4"/>
  <c r="C454" i="4"/>
  <c r="O454" i="4" s="1"/>
  <c r="B454" i="4"/>
  <c r="A454" i="4"/>
  <c r="S453" i="4"/>
  <c r="Q453" i="4"/>
  <c r="P453" i="4"/>
  <c r="R453" i="4" s="1"/>
  <c r="L453" i="4"/>
  <c r="K453" i="4"/>
  <c r="J453" i="4"/>
  <c r="I453" i="4"/>
  <c r="H453" i="4"/>
  <c r="G453" i="4"/>
  <c r="F453" i="4"/>
  <c r="E453" i="4"/>
  <c r="U453" i="4" s="1"/>
  <c r="D453" i="4"/>
  <c r="C453" i="4"/>
  <c r="O453" i="4" s="1"/>
  <c r="B453" i="4"/>
  <c r="A453" i="4"/>
  <c r="S452" i="4"/>
  <c r="Q452" i="4"/>
  <c r="P452" i="4"/>
  <c r="L452" i="4"/>
  <c r="K452" i="4"/>
  <c r="J452" i="4"/>
  <c r="I452" i="4"/>
  <c r="H452" i="4"/>
  <c r="G452" i="4"/>
  <c r="F452" i="4"/>
  <c r="E452" i="4"/>
  <c r="M452" i="4" s="1"/>
  <c r="D452" i="4"/>
  <c r="C452" i="4"/>
  <c r="O452" i="4" s="1"/>
  <c r="B452" i="4"/>
  <c r="A452" i="4"/>
  <c r="S451" i="4"/>
  <c r="Q451" i="4"/>
  <c r="P451" i="4"/>
  <c r="L451" i="4"/>
  <c r="K451" i="4"/>
  <c r="J451" i="4"/>
  <c r="I451" i="4"/>
  <c r="H451" i="4"/>
  <c r="G451" i="4"/>
  <c r="F451" i="4"/>
  <c r="E451" i="4"/>
  <c r="N451" i="4" s="1"/>
  <c r="D451" i="4"/>
  <c r="C451" i="4"/>
  <c r="O451" i="4" s="1"/>
  <c r="B451" i="4"/>
  <c r="A451" i="4"/>
  <c r="S450" i="4"/>
  <c r="Q450" i="4"/>
  <c r="P450" i="4"/>
  <c r="L450" i="4"/>
  <c r="K450" i="4"/>
  <c r="J450" i="4"/>
  <c r="I450" i="4"/>
  <c r="H450" i="4"/>
  <c r="G450" i="4"/>
  <c r="F450" i="4"/>
  <c r="E450" i="4"/>
  <c r="N450" i="4" s="1"/>
  <c r="D450" i="4"/>
  <c r="C450" i="4"/>
  <c r="O450" i="4" s="1"/>
  <c r="B450" i="4"/>
  <c r="A450" i="4"/>
  <c r="S449" i="4"/>
  <c r="Q449" i="4"/>
  <c r="P449" i="4"/>
  <c r="L449" i="4"/>
  <c r="K449" i="4"/>
  <c r="J449" i="4"/>
  <c r="I449" i="4"/>
  <c r="H449" i="4"/>
  <c r="G449" i="4"/>
  <c r="F449" i="4"/>
  <c r="E449" i="4"/>
  <c r="U449" i="4" s="1"/>
  <c r="D449" i="4"/>
  <c r="C449" i="4"/>
  <c r="O449" i="4" s="1"/>
  <c r="B449" i="4"/>
  <c r="A449" i="4"/>
  <c r="U448" i="4"/>
  <c r="S448" i="4"/>
  <c r="Q448" i="4"/>
  <c r="P448" i="4"/>
  <c r="L448" i="4"/>
  <c r="K448" i="4"/>
  <c r="J448" i="4"/>
  <c r="I448" i="4"/>
  <c r="H448" i="4"/>
  <c r="G448" i="4"/>
  <c r="F448" i="4"/>
  <c r="E448" i="4"/>
  <c r="N448" i="4" s="1"/>
  <c r="D448" i="4"/>
  <c r="C448" i="4"/>
  <c r="O448" i="4" s="1"/>
  <c r="B448" i="4"/>
  <c r="A448" i="4"/>
  <c r="S447" i="4"/>
  <c r="Q447" i="4"/>
  <c r="P447" i="4"/>
  <c r="L447" i="4"/>
  <c r="K447" i="4"/>
  <c r="J447" i="4"/>
  <c r="I447" i="4"/>
  <c r="H447" i="4"/>
  <c r="G447" i="4"/>
  <c r="F447" i="4"/>
  <c r="T447" i="4" s="1"/>
  <c r="E447" i="4"/>
  <c r="D447" i="4"/>
  <c r="C447" i="4"/>
  <c r="O447" i="4" s="1"/>
  <c r="B447" i="4"/>
  <c r="A447" i="4"/>
  <c r="S446" i="4"/>
  <c r="Q446" i="4"/>
  <c r="P446" i="4"/>
  <c r="L446" i="4"/>
  <c r="K446" i="4"/>
  <c r="J446" i="4"/>
  <c r="I446" i="4"/>
  <c r="H446" i="4"/>
  <c r="G446" i="4"/>
  <c r="F446" i="4"/>
  <c r="E446" i="4"/>
  <c r="U446" i="4" s="1"/>
  <c r="D446" i="4"/>
  <c r="C446" i="4"/>
  <c r="O446" i="4" s="1"/>
  <c r="B446" i="4"/>
  <c r="A446" i="4"/>
  <c r="S445" i="4"/>
  <c r="Q445" i="4"/>
  <c r="P445" i="4"/>
  <c r="L445" i="4"/>
  <c r="K445" i="4"/>
  <c r="J445" i="4"/>
  <c r="I445" i="4"/>
  <c r="H445" i="4"/>
  <c r="G445" i="4"/>
  <c r="F445" i="4"/>
  <c r="T445" i="4" s="1"/>
  <c r="E445" i="4"/>
  <c r="N445" i="4" s="1"/>
  <c r="D445" i="4"/>
  <c r="C445" i="4"/>
  <c r="O445" i="4" s="1"/>
  <c r="B445" i="4"/>
  <c r="A445" i="4"/>
  <c r="S444" i="4"/>
  <c r="Q444" i="4"/>
  <c r="P444" i="4"/>
  <c r="R444" i="4" s="1"/>
  <c r="N444" i="4"/>
  <c r="M444" i="4"/>
  <c r="L444" i="4"/>
  <c r="K444" i="4"/>
  <c r="J444" i="4"/>
  <c r="I444" i="4"/>
  <c r="H444" i="4"/>
  <c r="G444" i="4"/>
  <c r="F444" i="4"/>
  <c r="T444" i="4" s="1"/>
  <c r="E444" i="4"/>
  <c r="U444" i="4" s="1"/>
  <c r="D444" i="4"/>
  <c r="C444" i="4"/>
  <c r="O444" i="4" s="1"/>
  <c r="B444" i="4"/>
  <c r="A444" i="4"/>
  <c r="S443" i="4"/>
  <c r="Q443" i="4"/>
  <c r="P443" i="4"/>
  <c r="L443" i="4"/>
  <c r="K443" i="4"/>
  <c r="J443" i="4"/>
  <c r="I443" i="4"/>
  <c r="H443" i="4"/>
  <c r="G443" i="4"/>
  <c r="F443" i="4"/>
  <c r="E443" i="4"/>
  <c r="U443" i="4" s="1"/>
  <c r="D443" i="4"/>
  <c r="C443" i="4"/>
  <c r="O443" i="4" s="1"/>
  <c r="B443" i="4"/>
  <c r="A443" i="4"/>
  <c r="S442" i="4"/>
  <c r="Q442" i="4"/>
  <c r="R442" i="4" s="1"/>
  <c r="P442" i="4"/>
  <c r="N442" i="4"/>
  <c r="L442" i="4"/>
  <c r="K442" i="4"/>
  <c r="J442" i="4"/>
  <c r="I442" i="4"/>
  <c r="H442" i="4"/>
  <c r="G442" i="4"/>
  <c r="F442" i="4"/>
  <c r="T442" i="4" s="1"/>
  <c r="E442" i="4"/>
  <c r="U442" i="4" s="1"/>
  <c r="D442" i="4"/>
  <c r="C442" i="4"/>
  <c r="O442" i="4" s="1"/>
  <c r="B442" i="4"/>
  <c r="A442" i="4"/>
  <c r="S441" i="4"/>
  <c r="Q441" i="4"/>
  <c r="P441" i="4"/>
  <c r="N441" i="4"/>
  <c r="L441" i="4"/>
  <c r="K441" i="4"/>
  <c r="J441" i="4"/>
  <c r="I441" i="4"/>
  <c r="H441" i="4"/>
  <c r="G441" i="4"/>
  <c r="F441" i="4"/>
  <c r="T441" i="4" s="1"/>
  <c r="E441" i="4"/>
  <c r="M441" i="4" s="1"/>
  <c r="D441" i="4"/>
  <c r="C441" i="4"/>
  <c r="O441" i="4" s="1"/>
  <c r="B441" i="4"/>
  <c r="A441" i="4"/>
  <c r="S440" i="4"/>
  <c r="Q440" i="4"/>
  <c r="P440" i="4"/>
  <c r="O440" i="4"/>
  <c r="N440" i="4"/>
  <c r="L440" i="4"/>
  <c r="K440" i="4"/>
  <c r="J440" i="4"/>
  <c r="I440" i="4"/>
  <c r="H440" i="4"/>
  <c r="G440" i="4"/>
  <c r="F440" i="4"/>
  <c r="E440" i="4"/>
  <c r="M440" i="4" s="1"/>
  <c r="D440" i="4"/>
  <c r="C440" i="4"/>
  <c r="B440" i="4"/>
  <c r="A440" i="4"/>
  <c r="S439" i="4"/>
  <c r="Q439" i="4"/>
  <c r="P439" i="4"/>
  <c r="R439" i="4" s="1"/>
  <c r="L439" i="4"/>
  <c r="K439" i="4"/>
  <c r="J439" i="4"/>
  <c r="I439" i="4"/>
  <c r="H439" i="4"/>
  <c r="G439" i="4"/>
  <c r="F439" i="4"/>
  <c r="E439" i="4"/>
  <c r="N439" i="4" s="1"/>
  <c r="D439" i="4"/>
  <c r="C439" i="4"/>
  <c r="O439" i="4" s="1"/>
  <c r="B439" i="4"/>
  <c r="A439" i="4"/>
  <c r="S438" i="4"/>
  <c r="Q438" i="4"/>
  <c r="P438" i="4"/>
  <c r="R438" i="4" s="1"/>
  <c r="N438" i="4"/>
  <c r="L438" i="4"/>
  <c r="K438" i="4"/>
  <c r="J438" i="4"/>
  <c r="I438" i="4"/>
  <c r="H438" i="4"/>
  <c r="G438" i="4"/>
  <c r="F438" i="4"/>
  <c r="E438" i="4"/>
  <c r="M438" i="4" s="1"/>
  <c r="D438" i="4"/>
  <c r="C438" i="4"/>
  <c r="O438" i="4" s="1"/>
  <c r="B438" i="4"/>
  <c r="A438" i="4"/>
  <c r="U437" i="4"/>
  <c r="S437" i="4"/>
  <c r="Q437" i="4"/>
  <c r="P437" i="4"/>
  <c r="R437" i="4" s="1"/>
  <c r="L437" i="4"/>
  <c r="K437" i="4"/>
  <c r="J437" i="4"/>
  <c r="I437" i="4"/>
  <c r="H437" i="4"/>
  <c r="G437" i="4"/>
  <c r="F437" i="4"/>
  <c r="E437" i="4"/>
  <c r="N437" i="4" s="1"/>
  <c r="D437" i="4"/>
  <c r="C437" i="4"/>
  <c r="O437" i="4" s="1"/>
  <c r="B437" i="4"/>
  <c r="A437" i="4"/>
  <c r="S436" i="4"/>
  <c r="R436" i="4"/>
  <c r="Q436" i="4"/>
  <c r="P436" i="4"/>
  <c r="L436" i="4"/>
  <c r="K436" i="4"/>
  <c r="J436" i="4"/>
  <c r="I436" i="4"/>
  <c r="H436" i="4"/>
  <c r="G436" i="4"/>
  <c r="F436" i="4"/>
  <c r="E436" i="4"/>
  <c r="D436" i="4"/>
  <c r="C436" i="4"/>
  <c r="O436" i="4" s="1"/>
  <c r="B436" i="4"/>
  <c r="A436" i="4"/>
  <c r="S435" i="4"/>
  <c r="Q435" i="4"/>
  <c r="P435" i="4"/>
  <c r="L435" i="4"/>
  <c r="K435" i="4"/>
  <c r="J435" i="4"/>
  <c r="I435" i="4"/>
  <c r="H435" i="4"/>
  <c r="G435" i="4"/>
  <c r="F435" i="4"/>
  <c r="E435" i="4"/>
  <c r="N435" i="4" s="1"/>
  <c r="D435" i="4"/>
  <c r="C435" i="4"/>
  <c r="O435" i="4" s="1"/>
  <c r="B435" i="4"/>
  <c r="A435" i="4"/>
  <c r="S434" i="4"/>
  <c r="Q434" i="4"/>
  <c r="R434" i="4" s="1"/>
  <c r="P434" i="4"/>
  <c r="L434" i="4"/>
  <c r="K434" i="4"/>
  <c r="J434" i="4"/>
  <c r="I434" i="4"/>
  <c r="H434" i="4"/>
  <c r="G434" i="4"/>
  <c r="F434" i="4"/>
  <c r="E434" i="4"/>
  <c r="D434" i="4"/>
  <c r="C434" i="4"/>
  <c r="O434" i="4" s="1"/>
  <c r="B434" i="4"/>
  <c r="A434" i="4"/>
  <c r="S433" i="4"/>
  <c r="Q433" i="4"/>
  <c r="P433" i="4"/>
  <c r="L433" i="4"/>
  <c r="K433" i="4"/>
  <c r="J433" i="4"/>
  <c r="I433" i="4"/>
  <c r="H433" i="4"/>
  <c r="G433" i="4"/>
  <c r="F433" i="4"/>
  <c r="E433" i="4"/>
  <c r="M433" i="4" s="1"/>
  <c r="D433" i="4"/>
  <c r="C433" i="4"/>
  <c r="O433" i="4" s="1"/>
  <c r="B433" i="4"/>
  <c r="A433" i="4"/>
  <c r="S432" i="4"/>
  <c r="Q432" i="4"/>
  <c r="P432" i="4"/>
  <c r="L432" i="4"/>
  <c r="K432" i="4"/>
  <c r="J432" i="4"/>
  <c r="I432" i="4"/>
  <c r="H432" i="4"/>
  <c r="G432" i="4"/>
  <c r="F432" i="4"/>
  <c r="E432" i="4"/>
  <c r="N432" i="4" s="1"/>
  <c r="D432" i="4"/>
  <c r="C432" i="4"/>
  <c r="O432" i="4" s="1"/>
  <c r="B432" i="4"/>
  <c r="A432" i="4"/>
  <c r="S431" i="4"/>
  <c r="Q431" i="4"/>
  <c r="P431" i="4"/>
  <c r="L431" i="4"/>
  <c r="K431" i="4"/>
  <c r="J431" i="4"/>
  <c r="I431" i="4"/>
  <c r="H431" i="4"/>
  <c r="G431" i="4"/>
  <c r="F431" i="4"/>
  <c r="E431" i="4"/>
  <c r="N431" i="4" s="1"/>
  <c r="D431" i="4"/>
  <c r="C431" i="4"/>
  <c r="O431" i="4" s="1"/>
  <c r="B431" i="4"/>
  <c r="A431" i="4"/>
  <c r="S430" i="4"/>
  <c r="Q430" i="4"/>
  <c r="P430" i="4"/>
  <c r="R430" i="4" s="1"/>
  <c r="L430" i="4"/>
  <c r="K430" i="4"/>
  <c r="J430" i="4"/>
  <c r="I430" i="4"/>
  <c r="H430" i="4"/>
  <c r="G430" i="4"/>
  <c r="F430" i="4"/>
  <c r="E430" i="4"/>
  <c r="N430" i="4" s="1"/>
  <c r="D430" i="4"/>
  <c r="C430" i="4"/>
  <c r="O430" i="4" s="1"/>
  <c r="B430" i="4"/>
  <c r="A430" i="4"/>
  <c r="S429" i="4"/>
  <c r="R429" i="4"/>
  <c r="Q429" i="4"/>
  <c r="P429" i="4"/>
  <c r="L429" i="4"/>
  <c r="K429" i="4"/>
  <c r="J429" i="4"/>
  <c r="I429" i="4"/>
  <c r="H429" i="4"/>
  <c r="G429" i="4"/>
  <c r="F429" i="4"/>
  <c r="E429" i="4"/>
  <c r="N429" i="4" s="1"/>
  <c r="D429" i="4"/>
  <c r="C429" i="4"/>
  <c r="O429" i="4" s="1"/>
  <c r="B429" i="4"/>
  <c r="A429" i="4"/>
  <c r="S428" i="4"/>
  <c r="R428" i="4"/>
  <c r="Q428" i="4"/>
  <c r="P428" i="4"/>
  <c r="L428" i="4"/>
  <c r="K428" i="4"/>
  <c r="J428" i="4"/>
  <c r="I428" i="4"/>
  <c r="H428" i="4"/>
  <c r="G428" i="4"/>
  <c r="F428" i="4"/>
  <c r="E428" i="4"/>
  <c r="D428" i="4"/>
  <c r="C428" i="4"/>
  <c r="O428" i="4" s="1"/>
  <c r="B428" i="4"/>
  <c r="A428" i="4"/>
  <c r="S427" i="4"/>
  <c r="Q427" i="4"/>
  <c r="P427" i="4"/>
  <c r="L427" i="4"/>
  <c r="K427" i="4"/>
  <c r="J427" i="4"/>
  <c r="I427" i="4"/>
  <c r="H427" i="4"/>
  <c r="G427" i="4"/>
  <c r="F427" i="4"/>
  <c r="E427" i="4"/>
  <c r="N427" i="4" s="1"/>
  <c r="D427" i="4"/>
  <c r="C427" i="4"/>
  <c r="O427" i="4" s="1"/>
  <c r="B427" i="4"/>
  <c r="A427" i="4"/>
  <c r="S426" i="4"/>
  <c r="Q426" i="4"/>
  <c r="P426" i="4"/>
  <c r="O426" i="4"/>
  <c r="L426" i="4"/>
  <c r="K426" i="4"/>
  <c r="J426" i="4"/>
  <c r="I426" i="4"/>
  <c r="H426" i="4"/>
  <c r="G426" i="4"/>
  <c r="F426" i="4"/>
  <c r="T426" i="4" s="1"/>
  <c r="E426" i="4"/>
  <c r="U426" i="4" s="1"/>
  <c r="D426" i="4"/>
  <c r="C426" i="4"/>
  <c r="B426" i="4"/>
  <c r="A426" i="4"/>
  <c r="S425" i="4"/>
  <c r="Q425" i="4"/>
  <c r="P425" i="4"/>
  <c r="L425" i="4"/>
  <c r="K425" i="4"/>
  <c r="J425" i="4"/>
  <c r="I425" i="4"/>
  <c r="H425" i="4"/>
  <c r="G425" i="4"/>
  <c r="F425" i="4"/>
  <c r="E425" i="4"/>
  <c r="M425" i="4" s="1"/>
  <c r="D425" i="4"/>
  <c r="C425" i="4"/>
  <c r="O425" i="4" s="1"/>
  <c r="B425" i="4"/>
  <c r="A425" i="4"/>
  <c r="S424" i="4"/>
  <c r="Q424" i="4"/>
  <c r="P424" i="4"/>
  <c r="O424" i="4"/>
  <c r="L424" i="4"/>
  <c r="K424" i="4"/>
  <c r="J424" i="4"/>
  <c r="I424" i="4"/>
  <c r="H424" i="4"/>
  <c r="G424" i="4"/>
  <c r="F424" i="4"/>
  <c r="E424" i="4"/>
  <c r="U424" i="4" s="1"/>
  <c r="D424" i="4"/>
  <c r="C424" i="4"/>
  <c r="B424" i="4"/>
  <c r="A424" i="4"/>
  <c r="S423" i="4"/>
  <c r="Q423" i="4"/>
  <c r="P423" i="4"/>
  <c r="L423" i="4"/>
  <c r="K423" i="4"/>
  <c r="J423" i="4"/>
  <c r="I423" i="4"/>
  <c r="H423" i="4"/>
  <c r="G423" i="4"/>
  <c r="F423" i="4"/>
  <c r="E423" i="4"/>
  <c r="U423" i="4" s="1"/>
  <c r="D423" i="4"/>
  <c r="C423" i="4"/>
  <c r="O423" i="4" s="1"/>
  <c r="B423" i="4"/>
  <c r="A423" i="4"/>
  <c r="S422" i="4"/>
  <c r="Q422" i="4"/>
  <c r="P422" i="4"/>
  <c r="L422" i="4"/>
  <c r="K422" i="4"/>
  <c r="J422" i="4"/>
  <c r="I422" i="4"/>
  <c r="H422" i="4"/>
  <c r="G422" i="4"/>
  <c r="F422" i="4"/>
  <c r="E422" i="4"/>
  <c r="N422" i="4" s="1"/>
  <c r="D422" i="4"/>
  <c r="C422" i="4"/>
  <c r="O422" i="4" s="1"/>
  <c r="B422" i="4"/>
  <c r="A422" i="4"/>
  <c r="S421" i="4"/>
  <c r="Q421" i="4"/>
  <c r="R421" i="4" s="1"/>
  <c r="P421" i="4"/>
  <c r="L421" i="4"/>
  <c r="K421" i="4"/>
  <c r="J421" i="4"/>
  <c r="I421" i="4"/>
  <c r="H421" i="4"/>
  <c r="G421" i="4"/>
  <c r="F421" i="4"/>
  <c r="E421" i="4"/>
  <c r="U421" i="4" s="1"/>
  <c r="D421" i="4"/>
  <c r="C421" i="4"/>
  <c r="O421" i="4" s="1"/>
  <c r="B421" i="4"/>
  <c r="A421" i="4"/>
  <c r="S420" i="4"/>
  <c r="Q420" i="4"/>
  <c r="P420" i="4"/>
  <c r="L420" i="4"/>
  <c r="K420" i="4"/>
  <c r="J420" i="4"/>
  <c r="I420" i="4"/>
  <c r="H420" i="4"/>
  <c r="G420" i="4"/>
  <c r="F420" i="4"/>
  <c r="E420" i="4"/>
  <c r="M420" i="4" s="1"/>
  <c r="D420" i="4"/>
  <c r="C420" i="4"/>
  <c r="O420" i="4" s="1"/>
  <c r="B420" i="4"/>
  <c r="A420" i="4"/>
  <c r="S419" i="4"/>
  <c r="Q419" i="4"/>
  <c r="P419" i="4"/>
  <c r="L419" i="4"/>
  <c r="K419" i="4"/>
  <c r="J419" i="4"/>
  <c r="I419" i="4"/>
  <c r="H419" i="4"/>
  <c r="G419" i="4"/>
  <c r="F419" i="4"/>
  <c r="E419" i="4"/>
  <c r="N419" i="4" s="1"/>
  <c r="D419" i="4"/>
  <c r="C419" i="4"/>
  <c r="O419" i="4" s="1"/>
  <c r="B419" i="4"/>
  <c r="A419" i="4"/>
  <c r="S418" i="4"/>
  <c r="Q418" i="4"/>
  <c r="P418" i="4"/>
  <c r="L418" i="4"/>
  <c r="K418" i="4"/>
  <c r="J418" i="4"/>
  <c r="I418" i="4"/>
  <c r="H418" i="4"/>
  <c r="G418" i="4"/>
  <c r="F418" i="4"/>
  <c r="E418" i="4"/>
  <c r="D418" i="4"/>
  <c r="C418" i="4"/>
  <c r="O418" i="4" s="1"/>
  <c r="B418" i="4"/>
  <c r="A418" i="4"/>
  <c r="S417" i="4"/>
  <c r="Q417" i="4"/>
  <c r="P417" i="4"/>
  <c r="L417" i="4"/>
  <c r="K417" i="4"/>
  <c r="J417" i="4"/>
  <c r="I417" i="4"/>
  <c r="H417" i="4"/>
  <c r="G417" i="4"/>
  <c r="F417" i="4"/>
  <c r="E417" i="4"/>
  <c r="D417" i="4"/>
  <c r="C417" i="4"/>
  <c r="O417" i="4" s="1"/>
  <c r="B417" i="4"/>
  <c r="A417" i="4"/>
  <c r="S416" i="4"/>
  <c r="Q416" i="4"/>
  <c r="P416" i="4"/>
  <c r="O416" i="4"/>
  <c r="L416" i="4"/>
  <c r="K416" i="4"/>
  <c r="J416" i="4"/>
  <c r="I416" i="4"/>
  <c r="H416" i="4"/>
  <c r="G416" i="4"/>
  <c r="F416" i="4"/>
  <c r="E416" i="4"/>
  <c r="D416" i="4"/>
  <c r="C416" i="4"/>
  <c r="B416" i="4"/>
  <c r="A416" i="4"/>
  <c r="U415" i="4"/>
  <c r="S415" i="4"/>
  <c r="Q415" i="4"/>
  <c r="P415" i="4"/>
  <c r="L415" i="4"/>
  <c r="K415" i="4"/>
  <c r="J415" i="4"/>
  <c r="I415" i="4"/>
  <c r="H415" i="4"/>
  <c r="G415" i="4"/>
  <c r="F415" i="4"/>
  <c r="T415" i="4" s="1"/>
  <c r="E415" i="4"/>
  <c r="N415" i="4" s="1"/>
  <c r="D415" i="4"/>
  <c r="C415" i="4"/>
  <c r="O415" i="4" s="1"/>
  <c r="B415" i="4"/>
  <c r="A415" i="4"/>
  <c r="S414" i="4"/>
  <c r="Q414" i="4"/>
  <c r="P414" i="4"/>
  <c r="N414" i="4"/>
  <c r="L414" i="4"/>
  <c r="K414" i="4"/>
  <c r="J414" i="4"/>
  <c r="I414" i="4"/>
  <c r="H414" i="4"/>
  <c r="G414" i="4"/>
  <c r="F414" i="4"/>
  <c r="T414" i="4" s="1"/>
  <c r="E414" i="4"/>
  <c r="U414" i="4" s="1"/>
  <c r="D414" i="4"/>
  <c r="C414" i="4"/>
  <c r="O414" i="4" s="1"/>
  <c r="B414" i="4"/>
  <c r="A414" i="4"/>
  <c r="U413" i="4"/>
  <c r="S413" i="4"/>
  <c r="Q413" i="4"/>
  <c r="P413" i="4"/>
  <c r="L413" i="4"/>
  <c r="K413" i="4"/>
  <c r="J413" i="4"/>
  <c r="I413" i="4"/>
  <c r="H413" i="4"/>
  <c r="G413" i="4"/>
  <c r="F413" i="4"/>
  <c r="E413" i="4"/>
  <c r="N413" i="4" s="1"/>
  <c r="D413" i="4"/>
  <c r="C413" i="4"/>
  <c r="O413" i="4" s="1"/>
  <c r="B413" i="4"/>
  <c r="A413" i="4"/>
  <c r="S412" i="4"/>
  <c r="Q412" i="4"/>
  <c r="P412" i="4"/>
  <c r="M412" i="4"/>
  <c r="L412" i="4"/>
  <c r="K412" i="4"/>
  <c r="J412" i="4"/>
  <c r="I412" i="4"/>
  <c r="H412" i="4"/>
  <c r="G412" i="4"/>
  <c r="F412" i="4"/>
  <c r="E412" i="4"/>
  <c r="U412" i="4" s="1"/>
  <c r="D412" i="4"/>
  <c r="C412" i="4"/>
  <c r="O412" i="4" s="1"/>
  <c r="B412" i="4"/>
  <c r="A412" i="4"/>
  <c r="U411" i="4"/>
  <c r="S411" i="4"/>
  <c r="Q411" i="4"/>
  <c r="P411" i="4"/>
  <c r="L411" i="4"/>
  <c r="K411" i="4"/>
  <c r="J411" i="4"/>
  <c r="I411" i="4"/>
  <c r="H411" i="4"/>
  <c r="G411" i="4"/>
  <c r="F411" i="4"/>
  <c r="T411" i="4" s="1"/>
  <c r="E411" i="4"/>
  <c r="D411" i="4"/>
  <c r="C411" i="4"/>
  <c r="O411" i="4" s="1"/>
  <c r="B411" i="4"/>
  <c r="A411" i="4"/>
  <c r="S410" i="4"/>
  <c r="Q410" i="4"/>
  <c r="P410" i="4"/>
  <c r="L410" i="4"/>
  <c r="K410" i="4"/>
  <c r="J410" i="4"/>
  <c r="I410" i="4"/>
  <c r="H410" i="4"/>
  <c r="G410" i="4"/>
  <c r="F410" i="4"/>
  <c r="T410" i="4" s="1"/>
  <c r="E410" i="4"/>
  <c r="D410" i="4"/>
  <c r="C410" i="4"/>
  <c r="O410" i="4" s="1"/>
  <c r="B410" i="4"/>
  <c r="A410" i="4"/>
  <c r="U409" i="4"/>
  <c r="S409" i="4"/>
  <c r="Q409" i="4"/>
  <c r="P409" i="4"/>
  <c r="R409" i="4" s="1"/>
  <c r="L409" i="4"/>
  <c r="K409" i="4"/>
  <c r="J409" i="4"/>
  <c r="I409" i="4"/>
  <c r="H409" i="4"/>
  <c r="G409" i="4"/>
  <c r="F409" i="4"/>
  <c r="E409" i="4"/>
  <c r="M409" i="4" s="1"/>
  <c r="D409" i="4"/>
  <c r="C409" i="4"/>
  <c r="O409" i="4" s="1"/>
  <c r="B409" i="4"/>
  <c r="A409" i="4"/>
  <c r="S408" i="4"/>
  <c r="Q408" i="4"/>
  <c r="P408" i="4"/>
  <c r="L408" i="4"/>
  <c r="K408" i="4"/>
  <c r="J408" i="4"/>
  <c r="I408" i="4"/>
  <c r="H408" i="4"/>
  <c r="G408" i="4"/>
  <c r="F408" i="4"/>
  <c r="E408" i="4"/>
  <c r="U408" i="4" s="1"/>
  <c r="D408" i="4"/>
  <c r="C408" i="4"/>
  <c r="O408" i="4" s="1"/>
  <c r="B408" i="4"/>
  <c r="A408" i="4"/>
  <c r="S407" i="4"/>
  <c r="Q407" i="4"/>
  <c r="P407" i="4"/>
  <c r="L407" i="4"/>
  <c r="K407" i="4"/>
  <c r="J407" i="4"/>
  <c r="I407" i="4"/>
  <c r="H407" i="4"/>
  <c r="G407" i="4"/>
  <c r="F407" i="4"/>
  <c r="E407" i="4"/>
  <c r="U407" i="4" s="1"/>
  <c r="D407" i="4"/>
  <c r="C407" i="4"/>
  <c r="O407" i="4" s="1"/>
  <c r="B407" i="4"/>
  <c r="A407" i="4"/>
  <c r="S406" i="4"/>
  <c r="Q406" i="4"/>
  <c r="P406" i="4"/>
  <c r="R406" i="4" s="1"/>
  <c r="N406" i="4"/>
  <c r="L406" i="4"/>
  <c r="K406" i="4"/>
  <c r="J406" i="4"/>
  <c r="I406" i="4"/>
  <c r="H406" i="4"/>
  <c r="G406" i="4"/>
  <c r="F406" i="4"/>
  <c r="E406" i="4"/>
  <c r="U406" i="4" s="1"/>
  <c r="D406" i="4"/>
  <c r="C406" i="4"/>
  <c r="O406" i="4" s="1"/>
  <c r="B406" i="4"/>
  <c r="A406" i="4"/>
  <c r="S405" i="4"/>
  <c r="Q405" i="4"/>
  <c r="P405" i="4"/>
  <c r="N405" i="4"/>
  <c r="L405" i="4"/>
  <c r="K405" i="4"/>
  <c r="J405" i="4"/>
  <c r="I405" i="4"/>
  <c r="H405" i="4"/>
  <c r="G405" i="4"/>
  <c r="F405" i="4"/>
  <c r="E405" i="4"/>
  <c r="U405" i="4" s="1"/>
  <c r="D405" i="4"/>
  <c r="C405" i="4"/>
  <c r="O405" i="4" s="1"/>
  <c r="B405" i="4"/>
  <c r="A405" i="4"/>
  <c r="S404" i="4"/>
  <c r="Q404" i="4"/>
  <c r="P404" i="4"/>
  <c r="R404" i="4" s="1"/>
  <c r="L404" i="4"/>
  <c r="K404" i="4"/>
  <c r="J404" i="4"/>
  <c r="I404" i="4"/>
  <c r="H404" i="4"/>
  <c r="G404" i="4"/>
  <c r="F404" i="4"/>
  <c r="E404" i="4"/>
  <c r="M404" i="4" s="1"/>
  <c r="D404" i="4"/>
  <c r="C404" i="4"/>
  <c r="O404" i="4" s="1"/>
  <c r="B404" i="4"/>
  <c r="A404" i="4"/>
  <c r="U403" i="4"/>
  <c r="S403" i="4"/>
  <c r="Q403" i="4"/>
  <c r="P403" i="4"/>
  <c r="L403" i="4"/>
  <c r="K403" i="4"/>
  <c r="J403" i="4"/>
  <c r="I403" i="4"/>
  <c r="H403" i="4"/>
  <c r="G403" i="4"/>
  <c r="F403" i="4"/>
  <c r="E403" i="4"/>
  <c r="N403" i="4" s="1"/>
  <c r="D403" i="4"/>
  <c r="C403" i="4"/>
  <c r="O403" i="4" s="1"/>
  <c r="B403" i="4"/>
  <c r="A403" i="4"/>
  <c r="S402" i="4"/>
  <c r="Q402" i="4"/>
  <c r="P402" i="4"/>
  <c r="L402" i="4"/>
  <c r="K402" i="4"/>
  <c r="J402" i="4"/>
  <c r="I402" i="4"/>
  <c r="H402" i="4"/>
  <c r="G402" i="4"/>
  <c r="F402" i="4"/>
  <c r="E402" i="4"/>
  <c r="N402" i="4" s="1"/>
  <c r="D402" i="4"/>
  <c r="C402" i="4"/>
  <c r="O402" i="4" s="1"/>
  <c r="B402" i="4"/>
  <c r="A402" i="4"/>
  <c r="S401" i="4"/>
  <c r="Q401" i="4"/>
  <c r="P401" i="4"/>
  <c r="N401" i="4"/>
  <c r="L401" i="4"/>
  <c r="K401" i="4"/>
  <c r="J401" i="4"/>
  <c r="I401" i="4"/>
  <c r="H401" i="4"/>
  <c r="G401" i="4"/>
  <c r="F401" i="4"/>
  <c r="E401" i="4"/>
  <c r="U401" i="4" s="1"/>
  <c r="D401" i="4"/>
  <c r="C401" i="4"/>
  <c r="O401" i="4" s="1"/>
  <c r="B401" i="4"/>
  <c r="A401" i="4"/>
  <c r="S400" i="4"/>
  <c r="Q400" i="4"/>
  <c r="P400" i="4"/>
  <c r="O400" i="4"/>
  <c r="N400" i="4"/>
  <c r="L400" i="4"/>
  <c r="K400" i="4"/>
  <c r="J400" i="4"/>
  <c r="I400" i="4"/>
  <c r="H400" i="4"/>
  <c r="G400" i="4"/>
  <c r="F400" i="4"/>
  <c r="E400" i="4"/>
  <c r="M400" i="4" s="1"/>
  <c r="D400" i="4"/>
  <c r="C400" i="4"/>
  <c r="B400" i="4"/>
  <c r="A400" i="4"/>
  <c r="S399" i="4"/>
  <c r="Q399" i="4"/>
  <c r="P399" i="4"/>
  <c r="O399" i="4"/>
  <c r="L399" i="4"/>
  <c r="K399" i="4"/>
  <c r="J399" i="4"/>
  <c r="I399" i="4"/>
  <c r="H399" i="4"/>
  <c r="G399" i="4"/>
  <c r="F399" i="4"/>
  <c r="E399" i="4"/>
  <c r="D399" i="4"/>
  <c r="C399" i="4"/>
  <c r="B399" i="4"/>
  <c r="A399" i="4"/>
  <c r="S398" i="4"/>
  <c r="Q398" i="4"/>
  <c r="P398" i="4"/>
  <c r="L398" i="4"/>
  <c r="K398" i="4"/>
  <c r="J398" i="4"/>
  <c r="I398" i="4"/>
  <c r="H398" i="4"/>
  <c r="G398" i="4"/>
  <c r="F398" i="4"/>
  <c r="E398" i="4"/>
  <c r="D398" i="4"/>
  <c r="C398" i="4"/>
  <c r="O398" i="4" s="1"/>
  <c r="B398" i="4"/>
  <c r="A398" i="4"/>
  <c r="S397" i="4"/>
  <c r="Q397" i="4"/>
  <c r="P397" i="4"/>
  <c r="R397" i="4" s="1"/>
  <c r="L397" i="4"/>
  <c r="K397" i="4"/>
  <c r="J397" i="4"/>
  <c r="I397" i="4"/>
  <c r="H397" i="4"/>
  <c r="G397" i="4"/>
  <c r="F397" i="4"/>
  <c r="E397" i="4"/>
  <c r="D397" i="4"/>
  <c r="C397" i="4"/>
  <c r="O397" i="4" s="1"/>
  <c r="B397" i="4"/>
  <c r="A397" i="4"/>
  <c r="S396" i="4"/>
  <c r="Q396" i="4"/>
  <c r="P396" i="4"/>
  <c r="L396" i="4"/>
  <c r="K396" i="4"/>
  <c r="J396" i="4"/>
  <c r="I396" i="4"/>
  <c r="H396" i="4"/>
  <c r="G396" i="4"/>
  <c r="F396" i="4"/>
  <c r="E396" i="4"/>
  <c r="U396" i="4" s="1"/>
  <c r="D396" i="4"/>
  <c r="C396" i="4"/>
  <c r="O396" i="4" s="1"/>
  <c r="B396" i="4"/>
  <c r="A396" i="4"/>
  <c r="S395" i="4"/>
  <c r="Q395" i="4"/>
  <c r="P395" i="4"/>
  <c r="R395" i="4" s="1"/>
  <c r="L395" i="4"/>
  <c r="K395" i="4"/>
  <c r="J395" i="4"/>
  <c r="I395" i="4"/>
  <c r="H395" i="4"/>
  <c r="G395" i="4"/>
  <c r="F395" i="4"/>
  <c r="T395" i="4" s="1"/>
  <c r="E395" i="4"/>
  <c r="N395" i="4" s="1"/>
  <c r="D395" i="4"/>
  <c r="C395" i="4"/>
  <c r="O395" i="4" s="1"/>
  <c r="B395" i="4"/>
  <c r="A395" i="4"/>
  <c r="S394" i="4"/>
  <c r="Q394" i="4"/>
  <c r="P394" i="4"/>
  <c r="R394" i="4" s="1"/>
  <c r="L394" i="4"/>
  <c r="K394" i="4"/>
  <c r="J394" i="4"/>
  <c r="I394" i="4"/>
  <c r="H394" i="4"/>
  <c r="G394" i="4"/>
  <c r="F394" i="4"/>
  <c r="E394" i="4"/>
  <c r="D394" i="4"/>
  <c r="C394" i="4"/>
  <c r="O394" i="4" s="1"/>
  <c r="B394" i="4"/>
  <c r="A394" i="4"/>
  <c r="S393" i="4"/>
  <c r="Q393" i="4"/>
  <c r="P393" i="4"/>
  <c r="L393" i="4"/>
  <c r="K393" i="4"/>
  <c r="J393" i="4"/>
  <c r="I393" i="4"/>
  <c r="H393" i="4"/>
  <c r="G393" i="4"/>
  <c r="F393" i="4"/>
  <c r="E393" i="4"/>
  <c r="D393" i="4"/>
  <c r="C393" i="4"/>
  <c r="O393" i="4" s="1"/>
  <c r="B393" i="4"/>
  <c r="A393" i="4"/>
  <c r="S392" i="4"/>
  <c r="Q392" i="4"/>
  <c r="P392" i="4"/>
  <c r="L392" i="4"/>
  <c r="K392" i="4"/>
  <c r="J392" i="4"/>
  <c r="I392" i="4"/>
  <c r="H392" i="4"/>
  <c r="G392" i="4"/>
  <c r="F392" i="4"/>
  <c r="E392" i="4"/>
  <c r="D392" i="4"/>
  <c r="C392" i="4"/>
  <c r="O392" i="4" s="1"/>
  <c r="B392" i="4"/>
  <c r="A392" i="4"/>
  <c r="S391" i="4"/>
  <c r="Q391" i="4"/>
  <c r="R391" i="4" s="1"/>
  <c r="P391" i="4"/>
  <c r="N391" i="4"/>
  <c r="M391" i="4"/>
  <c r="L391" i="4"/>
  <c r="K391" i="4"/>
  <c r="J391" i="4"/>
  <c r="I391" i="4"/>
  <c r="H391" i="4"/>
  <c r="G391" i="4"/>
  <c r="F391" i="4"/>
  <c r="E391" i="4"/>
  <c r="U391" i="4" s="1"/>
  <c r="D391" i="4"/>
  <c r="C391" i="4"/>
  <c r="O391" i="4" s="1"/>
  <c r="B391" i="4"/>
  <c r="A391" i="4"/>
  <c r="S390" i="4"/>
  <c r="Q390" i="4"/>
  <c r="P390" i="4"/>
  <c r="R390" i="4" s="1"/>
  <c r="L390" i="4"/>
  <c r="K390" i="4"/>
  <c r="J390" i="4"/>
  <c r="I390" i="4"/>
  <c r="H390" i="4"/>
  <c r="G390" i="4"/>
  <c r="F390" i="4"/>
  <c r="E390" i="4"/>
  <c r="U390" i="4" s="1"/>
  <c r="D390" i="4"/>
  <c r="C390" i="4"/>
  <c r="O390" i="4" s="1"/>
  <c r="B390" i="4"/>
  <c r="A390" i="4"/>
  <c r="S389" i="4"/>
  <c r="Q389" i="4"/>
  <c r="P389" i="4"/>
  <c r="M389" i="4"/>
  <c r="L389" i="4"/>
  <c r="K389" i="4"/>
  <c r="J389" i="4"/>
  <c r="I389" i="4"/>
  <c r="H389" i="4"/>
  <c r="G389" i="4"/>
  <c r="F389" i="4"/>
  <c r="E389" i="4"/>
  <c r="U389" i="4" s="1"/>
  <c r="D389" i="4"/>
  <c r="C389" i="4"/>
  <c r="O389" i="4" s="1"/>
  <c r="B389" i="4"/>
  <c r="A389" i="4"/>
  <c r="T388" i="4"/>
  <c r="S388" i="4"/>
  <c r="Q388" i="4"/>
  <c r="P388" i="4"/>
  <c r="L388" i="4"/>
  <c r="K388" i="4"/>
  <c r="J388" i="4"/>
  <c r="I388" i="4"/>
  <c r="H388" i="4"/>
  <c r="G388" i="4"/>
  <c r="F388" i="4"/>
  <c r="E388" i="4"/>
  <c r="N388" i="4" s="1"/>
  <c r="D388" i="4"/>
  <c r="C388" i="4"/>
  <c r="O388" i="4" s="1"/>
  <c r="B388" i="4"/>
  <c r="A388" i="4"/>
  <c r="S387" i="4"/>
  <c r="Q387" i="4"/>
  <c r="P387" i="4"/>
  <c r="N387" i="4"/>
  <c r="L387" i="4"/>
  <c r="K387" i="4"/>
  <c r="J387" i="4"/>
  <c r="I387" i="4"/>
  <c r="H387" i="4"/>
  <c r="G387" i="4"/>
  <c r="F387" i="4"/>
  <c r="T387" i="4" s="1"/>
  <c r="E387" i="4"/>
  <c r="U387" i="4" s="1"/>
  <c r="D387" i="4"/>
  <c r="C387" i="4"/>
  <c r="O387" i="4" s="1"/>
  <c r="B387" i="4"/>
  <c r="A387" i="4"/>
  <c r="S386" i="4"/>
  <c r="Q386" i="4"/>
  <c r="P386" i="4"/>
  <c r="L386" i="4"/>
  <c r="K386" i="4"/>
  <c r="J386" i="4"/>
  <c r="I386" i="4"/>
  <c r="H386" i="4"/>
  <c r="G386" i="4"/>
  <c r="F386" i="4"/>
  <c r="E386" i="4"/>
  <c r="M386" i="4" s="1"/>
  <c r="D386" i="4"/>
  <c r="C386" i="4"/>
  <c r="O386" i="4" s="1"/>
  <c r="B386" i="4"/>
  <c r="A386" i="4"/>
  <c r="S385" i="4"/>
  <c r="Q385" i="4"/>
  <c r="P385" i="4"/>
  <c r="L385" i="4"/>
  <c r="K385" i="4"/>
  <c r="J385" i="4"/>
  <c r="I385" i="4"/>
  <c r="H385" i="4"/>
  <c r="G385" i="4"/>
  <c r="F385" i="4"/>
  <c r="T385" i="4" s="1"/>
  <c r="E385" i="4"/>
  <c r="D385" i="4"/>
  <c r="C385" i="4"/>
  <c r="O385" i="4" s="1"/>
  <c r="B385" i="4"/>
  <c r="A385" i="4"/>
  <c r="S384" i="4"/>
  <c r="Q384" i="4"/>
  <c r="P384" i="4"/>
  <c r="R384" i="4" s="1"/>
  <c r="L384" i="4"/>
  <c r="K384" i="4"/>
  <c r="J384" i="4"/>
  <c r="I384" i="4"/>
  <c r="H384" i="4"/>
  <c r="G384" i="4"/>
  <c r="F384" i="4"/>
  <c r="E384" i="4"/>
  <c r="U384" i="4" s="1"/>
  <c r="D384" i="4"/>
  <c r="C384" i="4"/>
  <c r="O384" i="4" s="1"/>
  <c r="B384" i="4"/>
  <c r="A384" i="4"/>
  <c r="S383" i="4"/>
  <c r="Q383" i="4"/>
  <c r="P383" i="4"/>
  <c r="L383" i="4"/>
  <c r="K383" i="4"/>
  <c r="J383" i="4"/>
  <c r="I383" i="4"/>
  <c r="H383" i="4"/>
  <c r="G383" i="4"/>
  <c r="F383" i="4"/>
  <c r="E383" i="4"/>
  <c r="U383" i="4" s="1"/>
  <c r="D383" i="4"/>
  <c r="C383" i="4"/>
  <c r="O383" i="4" s="1"/>
  <c r="B383" i="4"/>
  <c r="A383" i="4"/>
  <c r="S382" i="4"/>
  <c r="Q382" i="4"/>
  <c r="P382" i="4"/>
  <c r="L382" i="4"/>
  <c r="K382" i="4"/>
  <c r="J382" i="4"/>
  <c r="I382" i="4"/>
  <c r="H382" i="4"/>
  <c r="G382" i="4"/>
  <c r="F382" i="4"/>
  <c r="E382" i="4"/>
  <c r="U382" i="4" s="1"/>
  <c r="D382" i="4"/>
  <c r="C382" i="4"/>
  <c r="O382" i="4" s="1"/>
  <c r="B382" i="4"/>
  <c r="A382" i="4"/>
  <c r="S381" i="4"/>
  <c r="Q381" i="4"/>
  <c r="P381" i="4"/>
  <c r="L381" i="4"/>
  <c r="K381" i="4"/>
  <c r="J381" i="4"/>
  <c r="I381" i="4"/>
  <c r="H381" i="4"/>
  <c r="G381" i="4"/>
  <c r="F381" i="4"/>
  <c r="E381" i="4"/>
  <c r="N381" i="4" s="1"/>
  <c r="D381" i="4"/>
  <c r="C381" i="4"/>
  <c r="O381" i="4" s="1"/>
  <c r="B381" i="4"/>
  <c r="A381" i="4"/>
  <c r="S380" i="4"/>
  <c r="Q380" i="4"/>
  <c r="P380" i="4"/>
  <c r="R380" i="4" s="1"/>
  <c r="L380" i="4"/>
  <c r="K380" i="4"/>
  <c r="J380" i="4"/>
  <c r="I380" i="4"/>
  <c r="H380" i="4"/>
  <c r="G380" i="4"/>
  <c r="F380" i="4"/>
  <c r="T380" i="4" s="1"/>
  <c r="E380" i="4"/>
  <c r="D380" i="4"/>
  <c r="C380" i="4"/>
  <c r="O380" i="4" s="1"/>
  <c r="B380" i="4"/>
  <c r="A380" i="4"/>
  <c r="S379" i="4"/>
  <c r="Q379" i="4"/>
  <c r="P379" i="4"/>
  <c r="L379" i="4"/>
  <c r="K379" i="4"/>
  <c r="J379" i="4"/>
  <c r="I379" i="4"/>
  <c r="H379" i="4"/>
  <c r="G379" i="4"/>
  <c r="F379" i="4"/>
  <c r="E379" i="4"/>
  <c r="N379" i="4" s="1"/>
  <c r="D379" i="4"/>
  <c r="C379" i="4"/>
  <c r="O379" i="4" s="1"/>
  <c r="B379" i="4"/>
  <c r="A379" i="4"/>
  <c r="S378" i="4"/>
  <c r="Q378" i="4"/>
  <c r="P378" i="4"/>
  <c r="R378" i="4" s="1"/>
  <c r="L378" i="4"/>
  <c r="K378" i="4"/>
  <c r="J378" i="4"/>
  <c r="I378" i="4"/>
  <c r="H378" i="4"/>
  <c r="G378" i="4"/>
  <c r="F378" i="4"/>
  <c r="E378" i="4"/>
  <c r="D378" i="4"/>
  <c r="C378" i="4"/>
  <c r="O378" i="4" s="1"/>
  <c r="B378" i="4"/>
  <c r="A378" i="4"/>
  <c r="S377" i="4"/>
  <c r="Q377" i="4"/>
  <c r="P377" i="4"/>
  <c r="L377" i="4"/>
  <c r="K377" i="4"/>
  <c r="J377" i="4"/>
  <c r="I377" i="4"/>
  <c r="H377" i="4"/>
  <c r="G377" i="4"/>
  <c r="F377" i="4"/>
  <c r="E377" i="4"/>
  <c r="U377" i="4" s="1"/>
  <c r="D377" i="4"/>
  <c r="C377" i="4"/>
  <c r="O377" i="4" s="1"/>
  <c r="B377" i="4"/>
  <c r="A377" i="4"/>
  <c r="S376" i="4"/>
  <c r="Q376" i="4"/>
  <c r="P376" i="4"/>
  <c r="R376" i="4" s="1"/>
  <c r="O376" i="4"/>
  <c r="L376" i="4"/>
  <c r="K376" i="4"/>
  <c r="J376" i="4"/>
  <c r="I376" i="4"/>
  <c r="H376" i="4"/>
  <c r="G376" i="4"/>
  <c r="F376" i="4"/>
  <c r="E376" i="4"/>
  <c r="U376" i="4" s="1"/>
  <c r="D376" i="4"/>
  <c r="C376" i="4"/>
  <c r="B376" i="4"/>
  <c r="A376" i="4"/>
  <c r="S375" i="4"/>
  <c r="Q375" i="4"/>
  <c r="P375" i="4"/>
  <c r="R375" i="4" s="1"/>
  <c r="M375" i="4"/>
  <c r="L375" i="4"/>
  <c r="K375" i="4"/>
  <c r="J375" i="4"/>
  <c r="I375" i="4"/>
  <c r="H375" i="4"/>
  <c r="G375" i="4"/>
  <c r="F375" i="4"/>
  <c r="T375" i="4" s="1"/>
  <c r="E375" i="4"/>
  <c r="D375" i="4"/>
  <c r="C375" i="4"/>
  <c r="O375" i="4" s="1"/>
  <c r="B375" i="4"/>
  <c r="A375" i="4"/>
  <c r="S374" i="4"/>
  <c r="Q374" i="4"/>
  <c r="P374" i="4"/>
  <c r="R374" i="4" s="1"/>
  <c r="N374" i="4"/>
  <c r="L374" i="4"/>
  <c r="K374" i="4"/>
  <c r="J374" i="4"/>
  <c r="I374" i="4"/>
  <c r="H374" i="4"/>
  <c r="G374" i="4"/>
  <c r="F374" i="4"/>
  <c r="E374" i="4"/>
  <c r="M374" i="4" s="1"/>
  <c r="D374" i="4"/>
  <c r="C374" i="4"/>
  <c r="O374" i="4" s="1"/>
  <c r="B374" i="4"/>
  <c r="A374" i="4"/>
  <c r="S373" i="4"/>
  <c r="Q373" i="4"/>
  <c r="P373" i="4"/>
  <c r="L373" i="4"/>
  <c r="K373" i="4"/>
  <c r="J373" i="4"/>
  <c r="I373" i="4"/>
  <c r="H373" i="4"/>
  <c r="G373" i="4"/>
  <c r="F373" i="4"/>
  <c r="E373" i="4"/>
  <c r="D373" i="4"/>
  <c r="C373" i="4"/>
  <c r="O373" i="4" s="1"/>
  <c r="B373" i="4"/>
  <c r="A373" i="4"/>
  <c r="S372" i="4"/>
  <c r="Q372" i="4"/>
  <c r="P372" i="4"/>
  <c r="L372" i="4"/>
  <c r="K372" i="4"/>
  <c r="J372" i="4"/>
  <c r="I372" i="4"/>
  <c r="H372" i="4"/>
  <c r="G372" i="4"/>
  <c r="F372" i="4"/>
  <c r="T372" i="4" s="1"/>
  <c r="E372" i="4"/>
  <c r="N372" i="4" s="1"/>
  <c r="D372" i="4"/>
  <c r="C372" i="4"/>
  <c r="O372" i="4" s="1"/>
  <c r="B372" i="4"/>
  <c r="A372" i="4"/>
  <c r="S371" i="4"/>
  <c r="Q371" i="4"/>
  <c r="P371" i="4"/>
  <c r="L371" i="4"/>
  <c r="K371" i="4"/>
  <c r="J371" i="4"/>
  <c r="I371" i="4"/>
  <c r="H371" i="4"/>
  <c r="G371" i="4"/>
  <c r="F371" i="4"/>
  <c r="E371" i="4"/>
  <c r="U371" i="4" s="1"/>
  <c r="D371" i="4"/>
  <c r="C371" i="4"/>
  <c r="O371" i="4" s="1"/>
  <c r="B371" i="4"/>
  <c r="A371" i="4"/>
  <c r="S370" i="4"/>
  <c r="Q370" i="4"/>
  <c r="P370" i="4"/>
  <c r="L370" i="4"/>
  <c r="K370" i="4"/>
  <c r="J370" i="4"/>
  <c r="I370" i="4"/>
  <c r="H370" i="4"/>
  <c r="G370" i="4"/>
  <c r="F370" i="4"/>
  <c r="E370" i="4"/>
  <c r="M370" i="4" s="1"/>
  <c r="D370" i="4"/>
  <c r="C370" i="4"/>
  <c r="O370" i="4" s="1"/>
  <c r="B370" i="4"/>
  <c r="A370" i="4"/>
  <c r="S369" i="4"/>
  <c r="Q369" i="4"/>
  <c r="P369" i="4"/>
  <c r="L369" i="4"/>
  <c r="K369" i="4"/>
  <c r="J369" i="4"/>
  <c r="I369" i="4"/>
  <c r="H369" i="4"/>
  <c r="G369" i="4"/>
  <c r="F369" i="4"/>
  <c r="E369" i="4"/>
  <c r="M369" i="4" s="1"/>
  <c r="D369" i="4"/>
  <c r="C369" i="4"/>
  <c r="O369" i="4" s="1"/>
  <c r="B369" i="4"/>
  <c r="A369" i="4"/>
  <c r="S368" i="4"/>
  <c r="Q368" i="4"/>
  <c r="P368" i="4"/>
  <c r="L368" i="4"/>
  <c r="K368" i="4"/>
  <c r="J368" i="4"/>
  <c r="I368" i="4"/>
  <c r="H368" i="4"/>
  <c r="G368" i="4"/>
  <c r="F368" i="4"/>
  <c r="E368" i="4"/>
  <c r="U368" i="4" s="1"/>
  <c r="D368" i="4"/>
  <c r="C368" i="4"/>
  <c r="O368" i="4" s="1"/>
  <c r="B368" i="4"/>
  <c r="A368" i="4"/>
  <c r="S367" i="4"/>
  <c r="Q367" i="4"/>
  <c r="P367" i="4"/>
  <c r="R367" i="4" s="1"/>
  <c r="L367" i="4"/>
  <c r="K367" i="4"/>
  <c r="J367" i="4"/>
  <c r="I367" i="4"/>
  <c r="H367" i="4"/>
  <c r="G367" i="4"/>
  <c r="F367" i="4"/>
  <c r="E367" i="4"/>
  <c r="D367" i="4"/>
  <c r="C367" i="4"/>
  <c r="O367" i="4" s="1"/>
  <c r="B367" i="4"/>
  <c r="A367" i="4"/>
  <c r="S366" i="4"/>
  <c r="Q366" i="4"/>
  <c r="P366" i="4"/>
  <c r="L366" i="4"/>
  <c r="K366" i="4"/>
  <c r="J366" i="4"/>
  <c r="I366" i="4"/>
  <c r="H366" i="4"/>
  <c r="G366" i="4"/>
  <c r="F366" i="4"/>
  <c r="E366" i="4"/>
  <c r="D366" i="4"/>
  <c r="C366" i="4"/>
  <c r="O366" i="4" s="1"/>
  <c r="B366" i="4"/>
  <c r="A366" i="4"/>
  <c r="S365" i="4"/>
  <c r="Q365" i="4"/>
  <c r="R365" i="4" s="1"/>
  <c r="P365" i="4"/>
  <c r="L365" i="4"/>
  <c r="K365" i="4"/>
  <c r="J365" i="4"/>
  <c r="I365" i="4"/>
  <c r="H365" i="4"/>
  <c r="G365" i="4"/>
  <c r="F365" i="4"/>
  <c r="E365" i="4"/>
  <c r="N365" i="4" s="1"/>
  <c r="D365" i="4"/>
  <c r="C365" i="4"/>
  <c r="O365" i="4" s="1"/>
  <c r="B365" i="4"/>
  <c r="A365" i="4"/>
  <c r="T364" i="4"/>
  <c r="S364" i="4"/>
  <c r="Q364" i="4"/>
  <c r="P364" i="4"/>
  <c r="L364" i="4"/>
  <c r="K364" i="4"/>
  <c r="J364" i="4"/>
  <c r="I364" i="4"/>
  <c r="H364" i="4"/>
  <c r="G364" i="4"/>
  <c r="F364" i="4"/>
  <c r="E364" i="4"/>
  <c r="D364" i="4"/>
  <c r="C364" i="4"/>
  <c r="O364" i="4" s="1"/>
  <c r="B364" i="4"/>
  <c r="A364" i="4"/>
  <c r="S363" i="4"/>
  <c r="Q363" i="4"/>
  <c r="P363" i="4"/>
  <c r="L363" i="4"/>
  <c r="K363" i="4"/>
  <c r="J363" i="4"/>
  <c r="I363" i="4"/>
  <c r="H363" i="4"/>
  <c r="G363" i="4"/>
  <c r="F363" i="4"/>
  <c r="E363" i="4"/>
  <c r="N363" i="4" s="1"/>
  <c r="D363" i="4"/>
  <c r="C363" i="4"/>
  <c r="O363" i="4" s="1"/>
  <c r="B363" i="4"/>
  <c r="A363" i="4"/>
  <c r="S362" i="4"/>
  <c r="Q362" i="4"/>
  <c r="P362" i="4"/>
  <c r="L362" i="4"/>
  <c r="K362" i="4"/>
  <c r="J362" i="4"/>
  <c r="I362" i="4"/>
  <c r="H362" i="4"/>
  <c r="G362" i="4"/>
  <c r="F362" i="4"/>
  <c r="E362" i="4"/>
  <c r="D362" i="4"/>
  <c r="C362" i="4"/>
  <c r="O362" i="4" s="1"/>
  <c r="B362" i="4"/>
  <c r="A362" i="4"/>
  <c r="T361" i="4"/>
  <c r="S361" i="4"/>
  <c r="Q361" i="4"/>
  <c r="P361" i="4"/>
  <c r="N361" i="4"/>
  <c r="L361" i="4"/>
  <c r="K361" i="4"/>
  <c r="J361" i="4"/>
  <c r="I361" i="4"/>
  <c r="H361" i="4"/>
  <c r="G361" i="4"/>
  <c r="F361" i="4"/>
  <c r="E361" i="4"/>
  <c r="U361" i="4" s="1"/>
  <c r="D361" i="4"/>
  <c r="C361" i="4"/>
  <c r="O361" i="4" s="1"/>
  <c r="B361" i="4"/>
  <c r="A361" i="4"/>
  <c r="S360" i="4"/>
  <c r="Q360" i="4"/>
  <c r="P360" i="4"/>
  <c r="M360" i="4"/>
  <c r="L360" i="4"/>
  <c r="K360" i="4"/>
  <c r="J360" i="4"/>
  <c r="I360" i="4"/>
  <c r="H360" i="4"/>
  <c r="G360" i="4"/>
  <c r="F360" i="4"/>
  <c r="E360" i="4"/>
  <c r="N360" i="4" s="1"/>
  <c r="D360" i="4"/>
  <c r="C360" i="4"/>
  <c r="O360" i="4" s="1"/>
  <c r="B360" i="4"/>
  <c r="A360" i="4"/>
  <c r="S359" i="4"/>
  <c r="Q359" i="4"/>
  <c r="P359" i="4"/>
  <c r="R359" i="4" s="1"/>
  <c r="L359" i="4"/>
  <c r="K359" i="4"/>
  <c r="J359" i="4"/>
  <c r="I359" i="4"/>
  <c r="H359" i="4"/>
  <c r="G359" i="4"/>
  <c r="F359" i="4"/>
  <c r="E359" i="4"/>
  <c r="U359" i="4" s="1"/>
  <c r="D359" i="4"/>
  <c r="C359" i="4"/>
  <c r="O359" i="4" s="1"/>
  <c r="B359" i="4"/>
  <c r="A359" i="4"/>
  <c r="S358" i="4"/>
  <c r="Q358" i="4"/>
  <c r="P358" i="4"/>
  <c r="R358" i="4" s="1"/>
  <c r="L358" i="4"/>
  <c r="K358" i="4"/>
  <c r="J358" i="4"/>
  <c r="I358" i="4"/>
  <c r="H358" i="4"/>
  <c r="G358" i="4"/>
  <c r="F358" i="4"/>
  <c r="E358" i="4"/>
  <c r="U358" i="4" s="1"/>
  <c r="D358" i="4"/>
  <c r="C358" i="4"/>
  <c r="O358" i="4" s="1"/>
  <c r="B358" i="4"/>
  <c r="A358" i="4"/>
  <c r="U357" i="4"/>
  <c r="S357" i="4"/>
  <c r="Q357" i="4"/>
  <c r="P357" i="4"/>
  <c r="R357" i="4" s="1"/>
  <c r="L357" i="4"/>
  <c r="K357" i="4"/>
  <c r="J357" i="4"/>
  <c r="I357" i="4"/>
  <c r="H357" i="4"/>
  <c r="G357" i="4"/>
  <c r="F357" i="4"/>
  <c r="E357" i="4"/>
  <c r="D357" i="4"/>
  <c r="C357" i="4"/>
  <c r="O357" i="4" s="1"/>
  <c r="B357" i="4"/>
  <c r="A357" i="4"/>
  <c r="S356" i="4"/>
  <c r="Q356" i="4"/>
  <c r="P356" i="4"/>
  <c r="L356" i="4"/>
  <c r="K356" i="4"/>
  <c r="J356" i="4"/>
  <c r="I356" i="4"/>
  <c r="H356" i="4"/>
  <c r="G356" i="4"/>
  <c r="F356" i="4"/>
  <c r="T356" i="4" s="1"/>
  <c r="E356" i="4"/>
  <c r="N356" i="4" s="1"/>
  <c r="D356" i="4"/>
  <c r="C356" i="4"/>
  <c r="O356" i="4" s="1"/>
  <c r="B356" i="4"/>
  <c r="A356" i="4"/>
  <c r="S355" i="4"/>
  <c r="Q355" i="4"/>
  <c r="P355" i="4"/>
  <c r="L355" i="4"/>
  <c r="K355" i="4"/>
  <c r="J355" i="4"/>
  <c r="I355" i="4"/>
  <c r="H355" i="4"/>
  <c r="G355" i="4"/>
  <c r="F355" i="4"/>
  <c r="E355" i="4"/>
  <c r="D355" i="4"/>
  <c r="C355" i="4"/>
  <c r="O355" i="4" s="1"/>
  <c r="B355" i="4"/>
  <c r="A355" i="4"/>
  <c r="S354" i="4"/>
  <c r="Q354" i="4"/>
  <c r="P354" i="4"/>
  <c r="R354" i="4" s="1"/>
  <c r="L354" i="4"/>
  <c r="K354" i="4"/>
  <c r="J354" i="4"/>
  <c r="I354" i="4"/>
  <c r="H354" i="4"/>
  <c r="G354" i="4"/>
  <c r="F354" i="4"/>
  <c r="E354" i="4"/>
  <c r="D354" i="4"/>
  <c r="C354" i="4"/>
  <c r="O354" i="4" s="1"/>
  <c r="B354" i="4"/>
  <c r="A354" i="4"/>
  <c r="S353" i="4"/>
  <c r="Q353" i="4"/>
  <c r="P353" i="4"/>
  <c r="L353" i="4"/>
  <c r="K353" i="4"/>
  <c r="J353" i="4"/>
  <c r="I353" i="4"/>
  <c r="H353" i="4"/>
  <c r="G353" i="4"/>
  <c r="F353" i="4"/>
  <c r="E353" i="4"/>
  <c r="M353" i="4" s="1"/>
  <c r="D353" i="4"/>
  <c r="C353" i="4"/>
  <c r="O353" i="4" s="1"/>
  <c r="B353" i="4"/>
  <c r="A353" i="4"/>
  <c r="S352" i="4"/>
  <c r="Q352" i="4"/>
  <c r="P352" i="4"/>
  <c r="R352" i="4" s="1"/>
  <c r="L352" i="4"/>
  <c r="K352" i="4"/>
  <c r="J352" i="4"/>
  <c r="I352" i="4"/>
  <c r="H352" i="4"/>
  <c r="G352" i="4"/>
  <c r="F352" i="4"/>
  <c r="E352" i="4"/>
  <c r="D352" i="4"/>
  <c r="C352" i="4"/>
  <c r="O352" i="4" s="1"/>
  <c r="B352" i="4"/>
  <c r="A352" i="4"/>
  <c r="S351" i="4"/>
  <c r="Q351" i="4"/>
  <c r="P351" i="4"/>
  <c r="L351" i="4"/>
  <c r="K351" i="4"/>
  <c r="J351" i="4"/>
  <c r="I351" i="4"/>
  <c r="H351" i="4"/>
  <c r="G351" i="4"/>
  <c r="F351" i="4"/>
  <c r="E351" i="4"/>
  <c r="D351" i="4"/>
  <c r="C351" i="4"/>
  <c r="O351" i="4" s="1"/>
  <c r="B351" i="4"/>
  <c r="A351" i="4"/>
  <c r="S350" i="4"/>
  <c r="Q350" i="4"/>
  <c r="P350" i="4"/>
  <c r="L350" i="4"/>
  <c r="K350" i="4"/>
  <c r="J350" i="4"/>
  <c r="I350" i="4"/>
  <c r="H350" i="4"/>
  <c r="G350" i="4"/>
  <c r="F350" i="4"/>
  <c r="E350" i="4"/>
  <c r="M350" i="4" s="1"/>
  <c r="D350" i="4"/>
  <c r="C350" i="4"/>
  <c r="O350" i="4" s="1"/>
  <c r="B350" i="4"/>
  <c r="A350" i="4"/>
  <c r="S349" i="4"/>
  <c r="Q349" i="4"/>
  <c r="P349" i="4"/>
  <c r="L349" i="4"/>
  <c r="K349" i="4"/>
  <c r="J349" i="4"/>
  <c r="I349" i="4"/>
  <c r="H349" i="4"/>
  <c r="G349" i="4"/>
  <c r="F349" i="4"/>
  <c r="E349" i="4"/>
  <c r="D349" i="4"/>
  <c r="C349" i="4"/>
  <c r="O349" i="4" s="1"/>
  <c r="B349" i="4"/>
  <c r="A349" i="4"/>
  <c r="S348" i="4"/>
  <c r="Q348" i="4"/>
  <c r="P348" i="4"/>
  <c r="L348" i="4"/>
  <c r="K348" i="4"/>
  <c r="J348" i="4"/>
  <c r="I348" i="4"/>
  <c r="H348" i="4"/>
  <c r="G348" i="4"/>
  <c r="F348" i="4"/>
  <c r="T348" i="4" s="1"/>
  <c r="E348" i="4"/>
  <c r="D348" i="4"/>
  <c r="C348" i="4"/>
  <c r="O348" i="4" s="1"/>
  <c r="B348" i="4"/>
  <c r="A348" i="4"/>
  <c r="S347" i="4"/>
  <c r="Q347" i="4"/>
  <c r="P347" i="4"/>
  <c r="L347" i="4"/>
  <c r="K347" i="4"/>
  <c r="J347" i="4"/>
  <c r="I347" i="4"/>
  <c r="H347" i="4"/>
  <c r="G347" i="4"/>
  <c r="F347" i="4"/>
  <c r="E347" i="4"/>
  <c r="N347" i="4" s="1"/>
  <c r="D347" i="4"/>
  <c r="C347" i="4"/>
  <c r="O347" i="4" s="1"/>
  <c r="B347" i="4"/>
  <c r="A347" i="4"/>
  <c r="S346" i="4"/>
  <c r="Q346" i="4"/>
  <c r="P346" i="4"/>
  <c r="R346" i="4" s="1"/>
  <c r="L346" i="4"/>
  <c r="K346" i="4"/>
  <c r="J346" i="4"/>
  <c r="I346" i="4"/>
  <c r="H346" i="4"/>
  <c r="G346" i="4"/>
  <c r="F346" i="4"/>
  <c r="E346" i="4"/>
  <c r="U346" i="4" s="1"/>
  <c r="D346" i="4"/>
  <c r="C346" i="4"/>
  <c r="O346" i="4" s="1"/>
  <c r="B346" i="4"/>
  <c r="A346" i="4"/>
  <c r="S345" i="4"/>
  <c r="Q345" i="4"/>
  <c r="P345" i="4"/>
  <c r="O345" i="4"/>
  <c r="M345" i="4"/>
  <c r="L345" i="4"/>
  <c r="K345" i="4"/>
  <c r="J345" i="4"/>
  <c r="I345" i="4"/>
  <c r="H345" i="4"/>
  <c r="G345" i="4"/>
  <c r="F345" i="4"/>
  <c r="T345" i="4" s="1"/>
  <c r="E345" i="4"/>
  <c r="U345" i="4" s="1"/>
  <c r="D345" i="4"/>
  <c r="C345" i="4"/>
  <c r="B345" i="4"/>
  <c r="A345" i="4"/>
  <c r="S344" i="4"/>
  <c r="Q344" i="4"/>
  <c r="P344" i="4"/>
  <c r="O344" i="4"/>
  <c r="L344" i="4"/>
  <c r="K344" i="4"/>
  <c r="J344" i="4"/>
  <c r="I344" i="4"/>
  <c r="H344" i="4"/>
  <c r="G344" i="4"/>
  <c r="F344" i="4"/>
  <c r="E344" i="4"/>
  <c r="N344" i="4" s="1"/>
  <c r="D344" i="4"/>
  <c r="C344" i="4"/>
  <c r="B344" i="4"/>
  <c r="A344" i="4"/>
  <c r="S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T343" i="4" s="1"/>
  <c r="E343" i="4"/>
  <c r="U343" i="4" s="1"/>
  <c r="D343" i="4"/>
  <c r="C343" i="4"/>
  <c r="B343" i="4"/>
  <c r="A343" i="4"/>
  <c r="S342" i="4"/>
  <c r="Q342" i="4"/>
  <c r="P342" i="4"/>
  <c r="L342" i="4"/>
  <c r="K342" i="4"/>
  <c r="J342" i="4"/>
  <c r="I342" i="4"/>
  <c r="H342" i="4"/>
  <c r="G342" i="4"/>
  <c r="F342" i="4"/>
  <c r="E342" i="4"/>
  <c r="U342" i="4" s="1"/>
  <c r="D342" i="4"/>
  <c r="C342" i="4"/>
  <c r="O342" i="4" s="1"/>
  <c r="B342" i="4"/>
  <c r="A342" i="4"/>
  <c r="S341" i="4"/>
  <c r="Q341" i="4"/>
  <c r="P341" i="4"/>
  <c r="R341" i="4" s="1"/>
  <c r="L341" i="4"/>
  <c r="K341" i="4"/>
  <c r="J341" i="4"/>
  <c r="I341" i="4"/>
  <c r="H341" i="4"/>
  <c r="G341" i="4"/>
  <c r="F341" i="4"/>
  <c r="E341" i="4"/>
  <c r="T341" i="4" s="1"/>
  <c r="D341" i="4"/>
  <c r="C341" i="4"/>
  <c r="O341" i="4" s="1"/>
  <c r="B341" i="4"/>
  <c r="A341" i="4"/>
  <c r="S340" i="4"/>
  <c r="Q340" i="4"/>
  <c r="P340" i="4"/>
  <c r="L340" i="4"/>
  <c r="K340" i="4"/>
  <c r="J340" i="4"/>
  <c r="I340" i="4"/>
  <c r="H340" i="4"/>
  <c r="G340" i="4"/>
  <c r="F340" i="4"/>
  <c r="E340" i="4"/>
  <c r="U340" i="4" s="1"/>
  <c r="D340" i="4"/>
  <c r="C340" i="4"/>
  <c r="O340" i="4" s="1"/>
  <c r="B340" i="4"/>
  <c r="A340" i="4"/>
  <c r="S339" i="4"/>
  <c r="Q339" i="4"/>
  <c r="P339" i="4"/>
  <c r="L339" i="4"/>
  <c r="K339" i="4"/>
  <c r="J339" i="4"/>
  <c r="I339" i="4"/>
  <c r="H339" i="4"/>
  <c r="G339" i="4"/>
  <c r="F339" i="4"/>
  <c r="T339" i="4" s="1"/>
  <c r="E339" i="4"/>
  <c r="D339" i="4"/>
  <c r="C339" i="4"/>
  <c r="O339" i="4" s="1"/>
  <c r="B339" i="4"/>
  <c r="A339" i="4"/>
  <c r="S338" i="4"/>
  <c r="R338" i="4"/>
  <c r="Q338" i="4"/>
  <c r="P338" i="4"/>
  <c r="O338" i="4"/>
  <c r="L338" i="4"/>
  <c r="K338" i="4"/>
  <c r="J338" i="4"/>
  <c r="I338" i="4"/>
  <c r="H338" i="4"/>
  <c r="G338" i="4"/>
  <c r="F338" i="4"/>
  <c r="E338" i="4"/>
  <c r="D338" i="4"/>
  <c r="C338" i="4"/>
  <c r="B338" i="4"/>
  <c r="A338" i="4"/>
  <c r="S337" i="4"/>
  <c r="Q337" i="4"/>
  <c r="P337" i="4"/>
  <c r="L337" i="4"/>
  <c r="K337" i="4"/>
  <c r="J337" i="4"/>
  <c r="I337" i="4"/>
  <c r="H337" i="4"/>
  <c r="G337" i="4"/>
  <c r="F337" i="4"/>
  <c r="E337" i="4"/>
  <c r="M337" i="4" s="1"/>
  <c r="D337" i="4"/>
  <c r="C337" i="4"/>
  <c r="O337" i="4" s="1"/>
  <c r="B337" i="4"/>
  <c r="A337" i="4"/>
  <c r="S336" i="4"/>
  <c r="Q336" i="4"/>
  <c r="P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O336" i="4" s="1"/>
  <c r="B336" i="4"/>
  <c r="A336" i="4"/>
  <c r="S335" i="4"/>
  <c r="Q335" i="4"/>
  <c r="P335" i="4"/>
  <c r="L335" i="4"/>
  <c r="K335" i="4"/>
  <c r="J335" i="4"/>
  <c r="I335" i="4"/>
  <c r="H335" i="4"/>
  <c r="G335" i="4"/>
  <c r="F335" i="4"/>
  <c r="T335" i="4" s="1"/>
  <c r="E335" i="4"/>
  <c r="M335" i="4" s="1"/>
  <c r="D335" i="4"/>
  <c r="C335" i="4"/>
  <c r="O335" i="4" s="1"/>
  <c r="B335" i="4"/>
  <c r="A335" i="4"/>
  <c r="S334" i="4"/>
  <c r="Q334" i="4"/>
  <c r="P334" i="4"/>
  <c r="R334" i="4" s="1"/>
  <c r="O334" i="4"/>
  <c r="L334" i="4"/>
  <c r="K334" i="4"/>
  <c r="J334" i="4"/>
  <c r="I334" i="4"/>
  <c r="H334" i="4"/>
  <c r="G334" i="4"/>
  <c r="F334" i="4"/>
  <c r="E334" i="4"/>
  <c r="D334" i="4"/>
  <c r="C334" i="4"/>
  <c r="B334" i="4"/>
  <c r="A334" i="4"/>
  <c r="S333" i="4"/>
  <c r="Q333" i="4"/>
  <c r="P333" i="4"/>
  <c r="L333" i="4"/>
  <c r="K333" i="4"/>
  <c r="J333" i="4"/>
  <c r="I333" i="4"/>
  <c r="H333" i="4"/>
  <c r="G333" i="4"/>
  <c r="F333" i="4"/>
  <c r="E333" i="4"/>
  <c r="N333" i="4" s="1"/>
  <c r="D333" i="4"/>
  <c r="C333" i="4"/>
  <c r="O333" i="4" s="1"/>
  <c r="B333" i="4"/>
  <c r="A333" i="4"/>
  <c r="S332" i="4"/>
  <c r="Q332" i="4"/>
  <c r="P332" i="4"/>
  <c r="O332" i="4"/>
  <c r="L332" i="4"/>
  <c r="K332" i="4"/>
  <c r="J332" i="4"/>
  <c r="I332" i="4"/>
  <c r="H332" i="4"/>
  <c r="G332" i="4"/>
  <c r="F332" i="4"/>
  <c r="E332" i="4"/>
  <c r="U332" i="4" s="1"/>
  <c r="D332" i="4"/>
  <c r="C332" i="4"/>
  <c r="B332" i="4"/>
  <c r="A332" i="4"/>
  <c r="S331" i="4"/>
  <c r="Q331" i="4"/>
  <c r="P331" i="4"/>
  <c r="O331" i="4"/>
  <c r="L331" i="4"/>
  <c r="K331" i="4"/>
  <c r="J331" i="4"/>
  <c r="I331" i="4"/>
  <c r="H331" i="4"/>
  <c r="G331" i="4"/>
  <c r="F331" i="4"/>
  <c r="E331" i="4"/>
  <c r="U331" i="4" s="1"/>
  <c r="D331" i="4"/>
  <c r="C331" i="4"/>
  <c r="B331" i="4"/>
  <c r="A331" i="4"/>
  <c r="S330" i="4"/>
  <c r="Q330" i="4"/>
  <c r="P330" i="4"/>
  <c r="N330" i="4"/>
  <c r="L330" i="4"/>
  <c r="K330" i="4"/>
  <c r="J330" i="4"/>
  <c r="I330" i="4"/>
  <c r="H330" i="4"/>
  <c r="G330" i="4"/>
  <c r="F330" i="4"/>
  <c r="T330" i="4" s="1"/>
  <c r="E330" i="4"/>
  <c r="D330" i="4"/>
  <c r="C330" i="4"/>
  <c r="O330" i="4" s="1"/>
  <c r="B330" i="4"/>
  <c r="A330" i="4"/>
  <c r="S329" i="4"/>
  <c r="Q329" i="4"/>
  <c r="R329" i="4" s="1"/>
  <c r="P329" i="4"/>
  <c r="L329" i="4"/>
  <c r="K329" i="4"/>
  <c r="J329" i="4"/>
  <c r="I329" i="4"/>
  <c r="H329" i="4"/>
  <c r="G329" i="4"/>
  <c r="F329" i="4"/>
  <c r="E329" i="4"/>
  <c r="D329" i="4"/>
  <c r="C329" i="4"/>
  <c r="O329" i="4" s="1"/>
  <c r="B329" i="4"/>
  <c r="A329" i="4"/>
  <c r="S328" i="4"/>
  <c r="Q328" i="4"/>
  <c r="P328" i="4"/>
  <c r="L328" i="4"/>
  <c r="K328" i="4"/>
  <c r="J328" i="4"/>
  <c r="I328" i="4"/>
  <c r="H328" i="4"/>
  <c r="G328" i="4"/>
  <c r="F328" i="4"/>
  <c r="E328" i="4"/>
  <c r="M328" i="4" s="1"/>
  <c r="D328" i="4"/>
  <c r="C328" i="4"/>
  <c r="O328" i="4" s="1"/>
  <c r="B328" i="4"/>
  <c r="A328" i="4"/>
  <c r="S327" i="4"/>
  <c r="Q327" i="4"/>
  <c r="P327" i="4"/>
  <c r="N327" i="4"/>
  <c r="L327" i="4"/>
  <c r="K327" i="4"/>
  <c r="J327" i="4"/>
  <c r="I327" i="4"/>
  <c r="H327" i="4"/>
  <c r="G327" i="4"/>
  <c r="F327" i="4"/>
  <c r="E327" i="4"/>
  <c r="U327" i="4" s="1"/>
  <c r="D327" i="4"/>
  <c r="C327" i="4"/>
  <c r="O327" i="4" s="1"/>
  <c r="B327" i="4"/>
  <c r="A327" i="4"/>
  <c r="S326" i="4"/>
  <c r="Q326" i="4"/>
  <c r="P326" i="4"/>
  <c r="R326" i="4" s="1"/>
  <c r="N326" i="4"/>
  <c r="L326" i="4"/>
  <c r="K326" i="4"/>
  <c r="J326" i="4"/>
  <c r="I326" i="4"/>
  <c r="H326" i="4"/>
  <c r="G326" i="4"/>
  <c r="F326" i="4"/>
  <c r="E326" i="4"/>
  <c r="U326" i="4" s="1"/>
  <c r="D326" i="4"/>
  <c r="C326" i="4"/>
  <c r="O326" i="4" s="1"/>
  <c r="B326" i="4"/>
  <c r="A326" i="4"/>
  <c r="S325" i="4"/>
  <c r="Q325" i="4"/>
  <c r="P325" i="4"/>
  <c r="R325" i="4" s="1"/>
  <c r="N325" i="4"/>
  <c r="L325" i="4"/>
  <c r="K325" i="4"/>
  <c r="J325" i="4"/>
  <c r="I325" i="4"/>
  <c r="H325" i="4"/>
  <c r="G325" i="4"/>
  <c r="F325" i="4"/>
  <c r="T325" i="4" s="1"/>
  <c r="E325" i="4"/>
  <c r="U325" i="4" s="1"/>
  <c r="D325" i="4"/>
  <c r="C325" i="4"/>
  <c r="O325" i="4" s="1"/>
  <c r="B325" i="4"/>
  <c r="A325" i="4"/>
  <c r="T324" i="4"/>
  <c r="S324" i="4"/>
  <c r="Q324" i="4"/>
  <c r="R324" i="4" s="1"/>
  <c r="P324" i="4"/>
  <c r="L324" i="4"/>
  <c r="K324" i="4"/>
  <c r="J324" i="4"/>
  <c r="I324" i="4"/>
  <c r="H324" i="4"/>
  <c r="G324" i="4"/>
  <c r="F324" i="4"/>
  <c r="E324" i="4"/>
  <c r="U324" i="4" s="1"/>
  <c r="D324" i="4"/>
  <c r="C324" i="4"/>
  <c r="O324" i="4" s="1"/>
  <c r="B324" i="4"/>
  <c r="A324" i="4"/>
  <c r="S323" i="4"/>
  <c r="Q323" i="4"/>
  <c r="P323" i="4"/>
  <c r="R323" i="4" s="1"/>
  <c r="L323" i="4"/>
  <c r="K323" i="4"/>
  <c r="J323" i="4"/>
  <c r="I323" i="4"/>
  <c r="H323" i="4"/>
  <c r="G323" i="4"/>
  <c r="F323" i="4"/>
  <c r="E323" i="4"/>
  <c r="D323" i="4"/>
  <c r="C323" i="4"/>
  <c r="O323" i="4" s="1"/>
  <c r="B323" i="4"/>
  <c r="A323" i="4"/>
  <c r="U322" i="4"/>
  <c r="S322" i="4"/>
  <c r="Q322" i="4"/>
  <c r="P322" i="4"/>
  <c r="L322" i="4"/>
  <c r="K322" i="4"/>
  <c r="J322" i="4"/>
  <c r="I322" i="4"/>
  <c r="H322" i="4"/>
  <c r="G322" i="4"/>
  <c r="F322" i="4"/>
  <c r="E322" i="4"/>
  <c r="M322" i="4" s="1"/>
  <c r="D322" i="4"/>
  <c r="C322" i="4"/>
  <c r="O322" i="4" s="1"/>
  <c r="B322" i="4"/>
  <c r="A322" i="4"/>
  <c r="S321" i="4"/>
  <c r="Q321" i="4"/>
  <c r="P321" i="4"/>
  <c r="R321" i="4" s="1"/>
  <c r="L321" i="4"/>
  <c r="K321" i="4"/>
  <c r="J321" i="4"/>
  <c r="I321" i="4"/>
  <c r="H321" i="4"/>
  <c r="G321" i="4"/>
  <c r="F321" i="4"/>
  <c r="E321" i="4"/>
  <c r="U321" i="4" s="1"/>
  <c r="D321" i="4"/>
  <c r="C321" i="4"/>
  <c r="O321" i="4" s="1"/>
  <c r="B321" i="4"/>
  <c r="A321" i="4"/>
  <c r="S320" i="4"/>
  <c r="Q320" i="4"/>
  <c r="P320" i="4"/>
  <c r="L320" i="4"/>
  <c r="K320" i="4"/>
  <c r="J320" i="4"/>
  <c r="I320" i="4"/>
  <c r="H320" i="4"/>
  <c r="G320" i="4"/>
  <c r="F320" i="4"/>
  <c r="E320" i="4"/>
  <c r="D320" i="4"/>
  <c r="C320" i="4"/>
  <c r="O320" i="4" s="1"/>
  <c r="B320" i="4"/>
  <c r="A320" i="4"/>
  <c r="S319" i="4"/>
  <c r="Q319" i="4"/>
  <c r="P319" i="4"/>
  <c r="L319" i="4"/>
  <c r="K319" i="4"/>
  <c r="J319" i="4"/>
  <c r="I319" i="4"/>
  <c r="H319" i="4"/>
  <c r="G319" i="4"/>
  <c r="F319" i="4"/>
  <c r="E319" i="4"/>
  <c r="N319" i="4" s="1"/>
  <c r="D319" i="4"/>
  <c r="C319" i="4"/>
  <c r="O319" i="4" s="1"/>
  <c r="B319" i="4"/>
  <c r="A319" i="4"/>
  <c r="U318" i="4"/>
  <c r="S318" i="4"/>
  <c r="Q318" i="4"/>
  <c r="P318" i="4"/>
  <c r="O318" i="4"/>
  <c r="L318" i="4"/>
  <c r="K318" i="4"/>
  <c r="J318" i="4"/>
  <c r="I318" i="4"/>
  <c r="H318" i="4"/>
  <c r="G318" i="4"/>
  <c r="F318" i="4"/>
  <c r="E318" i="4"/>
  <c r="M318" i="4" s="1"/>
  <c r="D318" i="4"/>
  <c r="C318" i="4"/>
  <c r="B318" i="4"/>
  <c r="A318" i="4"/>
  <c r="S317" i="4"/>
  <c r="Q317" i="4"/>
  <c r="P317" i="4"/>
  <c r="R317" i="4" s="1"/>
  <c r="L317" i="4"/>
  <c r="K317" i="4"/>
  <c r="J317" i="4"/>
  <c r="I317" i="4"/>
  <c r="H317" i="4"/>
  <c r="G317" i="4"/>
  <c r="F317" i="4"/>
  <c r="E317" i="4"/>
  <c r="N317" i="4" s="1"/>
  <c r="D317" i="4"/>
  <c r="C317" i="4"/>
  <c r="O317" i="4" s="1"/>
  <c r="B317" i="4"/>
  <c r="A317" i="4"/>
  <c r="T316" i="4"/>
  <c r="S316" i="4"/>
  <c r="Q316" i="4"/>
  <c r="P316" i="4"/>
  <c r="M316" i="4"/>
  <c r="L316" i="4"/>
  <c r="K316" i="4"/>
  <c r="J316" i="4"/>
  <c r="I316" i="4"/>
  <c r="H316" i="4"/>
  <c r="G316" i="4"/>
  <c r="F316" i="4"/>
  <c r="E316" i="4"/>
  <c r="U316" i="4" s="1"/>
  <c r="D316" i="4"/>
  <c r="C316" i="4"/>
  <c r="O316" i="4" s="1"/>
  <c r="B316" i="4"/>
  <c r="A316" i="4"/>
  <c r="S315" i="4"/>
  <c r="Q315" i="4"/>
  <c r="P315" i="4"/>
  <c r="O315" i="4"/>
  <c r="L315" i="4"/>
  <c r="K315" i="4"/>
  <c r="J315" i="4"/>
  <c r="I315" i="4"/>
  <c r="H315" i="4"/>
  <c r="G315" i="4"/>
  <c r="F315" i="4"/>
  <c r="E315" i="4"/>
  <c r="D315" i="4"/>
  <c r="C315" i="4"/>
  <c r="B315" i="4"/>
  <c r="A315" i="4"/>
  <c r="S314" i="4"/>
  <c r="Q314" i="4"/>
  <c r="P314" i="4"/>
  <c r="O314" i="4"/>
  <c r="L314" i="4"/>
  <c r="K314" i="4"/>
  <c r="J314" i="4"/>
  <c r="I314" i="4"/>
  <c r="H314" i="4"/>
  <c r="G314" i="4"/>
  <c r="F314" i="4"/>
  <c r="E314" i="4"/>
  <c r="U314" i="4" s="1"/>
  <c r="D314" i="4"/>
  <c r="C314" i="4"/>
  <c r="B314" i="4"/>
  <c r="A314" i="4"/>
  <c r="S313" i="4"/>
  <c r="Q313" i="4"/>
  <c r="P313" i="4"/>
  <c r="R313" i="4" s="1"/>
  <c r="L313" i="4"/>
  <c r="K313" i="4"/>
  <c r="J313" i="4"/>
  <c r="I313" i="4"/>
  <c r="H313" i="4"/>
  <c r="G313" i="4"/>
  <c r="F313" i="4"/>
  <c r="E313" i="4"/>
  <c r="N313" i="4" s="1"/>
  <c r="D313" i="4"/>
  <c r="C313" i="4"/>
  <c r="O313" i="4" s="1"/>
  <c r="B313" i="4"/>
  <c r="A313" i="4"/>
  <c r="S312" i="4"/>
  <c r="Q312" i="4"/>
  <c r="P312" i="4"/>
  <c r="O312" i="4"/>
  <c r="L312" i="4"/>
  <c r="K312" i="4"/>
  <c r="J312" i="4"/>
  <c r="I312" i="4"/>
  <c r="H312" i="4"/>
  <c r="G312" i="4"/>
  <c r="F312" i="4"/>
  <c r="E312" i="4"/>
  <c r="N312" i="4" s="1"/>
  <c r="D312" i="4"/>
  <c r="C312" i="4"/>
  <c r="B312" i="4"/>
  <c r="A312" i="4"/>
  <c r="S311" i="4"/>
  <c r="Q311" i="4"/>
  <c r="P311" i="4"/>
  <c r="L311" i="4"/>
  <c r="K311" i="4"/>
  <c r="J311" i="4"/>
  <c r="I311" i="4"/>
  <c r="H311" i="4"/>
  <c r="G311" i="4"/>
  <c r="F311" i="4"/>
  <c r="T311" i="4" s="1"/>
  <c r="E311" i="4"/>
  <c r="D311" i="4"/>
  <c r="C311" i="4"/>
  <c r="O311" i="4" s="1"/>
  <c r="B311" i="4"/>
  <c r="A311" i="4"/>
  <c r="S310" i="4"/>
  <c r="Q310" i="4"/>
  <c r="R310" i="4" s="1"/>
  <c r="P310" i="4"/>
  <c r="L310" i="4"/>
  <c r="K310" i="4"/>
  <c r="J310" i="4"/>
  <c r="I310" i="4"/>
  <c r="H310" i="4"/>
  <c r="G310" i="4"/>
  <c r="F310" i="4"/>
  <c r="T310" i="4" s="1"/>
  <c r="E310" i="4"/>
  <c r="D310" i="4"/>
  <c r="C310" i="4"/>
  <c r="O310" i="4" s="1"/>
  <c r="B310" i="4"/>
  <c r="A310" i="4"/>
  <c r="S309" i="4"/>
  <c r="Q309" i="4"/>
  <c r="P309" i="4"/>
  <c r="L309" i="4"/>
  <c r="K309" i="4"/>
  <c r="J309" i="4"/>
  <c r="I309" i="4"/>
  <c r="H309" i="4"/>
  <c r="G309" i="4"/>
  <c r="F309" i="4"/>
  <c r="E309" i="4"/>
  <c r="N309" i="4" s="1"/>
  <c r="D309" i="4"/>
  <c r="C309" i="4"/>
  <c r="O309" i="4" s="1"/>
  <c r="B309" i="4"/>
  <c r="A309" i="4"/>
  <c r="S308" i="4"/>
  <c r="Q308" i="4"/>
  <c r="P308" i="4"/>
  <c r="R308" i="4" s="1"/>
  <c r="L308" i="4"/>
  <c r="K308" i="4"/>
  <c r="J308" i="4"/>
  <c r="I308" i="4"/>
  <c r="H308" i="4"/>
  <c r="G308" i="4"/>
  <c r="F308" i="4"/>
  <c r="T308" i="4" s="1"/>
  <c r="E308" i="4"/>
  <c r="U308" i="4" s="1"/>
  <c r="D308" i="4"/>
  <c r="C308" i="4"/>
  <c r="O308" i="4" s="1"/>
  <c r="B308" i="4"/>
  <c r="A308" i="4"/>
  <c r="S307" i="4"/>
  <c r="R307" i="4"/>
  <c r="Q307" i="4"/>
  <c r="P307" i="4"/>
  <c r="O307" i="4"/>
  <c r="M307" i="4"/>
  <c r="L307" i="4"/>
  <c r="K307" i="4"/>
  <c r="J307" i="4"/>
  <c r="I307" i="4"/>
  <c r="H307" i="4"/>
  <c r="G307" i="4"/>
  <c r="F307" i="4"/>
  <c r="E307" i="4"/>
  <c r="U307" i="4" s="1"/>
  <c r="D307" i="4"/>
  <c r="C307" i="4"/>
  <c r="B307" i="4"/>
  <c r="A307" i="4"/>
  <c r="S306" i="4"/>
  <c r="Q306" i="4"/>
  <c r="P306" i="4"/>
  <c r="O306" i="4"/>
  <c r="L306" i="4"/>
  <c r="K306" i="4"/>
  <c r="J306" i="4"/>
  <c r="I306" i="4"/>
  <c r="H306" i="4"/>
  <c r="G306" i="4"/>
  <c r="F306" i="4"/>
  <c r="E306" i="4"/>
  <c r="U306" i="4" s="1"/>
  <c r="D306" i="4"/>
  <c r="C306" i="4"/>
  <c r="B306" i="4"/>
  <c r="A306" i="4"/>
  <c r="S305" i="4"/>
  <c r="Q305" i="4"/>
  <c r="P305" i="4"/>
  <c r="O305" i="4"/>
  <c r="L305" i="4"/>
  <c r="K305" i="4"/>
  <c r="J305" i="4"/>
  <c r="I305" i="4"/>
  <c r="H305" i="4"/>
  <c r="G305" i="4"/>
  <c r="F305" i="4"/>
  <c r="E305" i="4"/>
  <c r="D305" i="4"/>
  <c r="C305" i="4"/>
  <c r="B305" i="4"/>
  <c r="A305" i="4"/>
  <c r="S304" i="4"/>
  <c r="Q304" i="4"/>
  <c r="P304" i="4"/>
  <c r="R304" i="4" s="1"/>
  <c r="L304" i="4"/>
  <c r="K304" i="4"/>
  <c r="J304" i="4"/>
  <c r="I304" i="4"/>
  <c r="H304" i="4"/>
  <c r="G304" i="4"/>
  <c r="F304" i="4"/>
  <c r="E304" i="4"/>
  <c r="U304" i="4" s="1"/>
  <c r="D304" i="4"/>
  <c r="C304" i="4"/>
  <c r="O304" i="4" s="1"/>
  <c r="B304" i="4"/>
  <c r="A304" i="4"/>
  <c r="U303" i="4"/>
  <c r="S303" i="4"/>
  <c r="Q303" i="4"/>
  <c r="P303" i="4"/>
  <c r="N303" i="4"/>
  <c r="L303" i="4"/>
  <c r="K303" i="4"/>
  <c r="J303" i="4"/>
  <c r="I303" i="4"/>
  <c r="H303" i="4"/>
  <c r="G303" i="4"/>
  <c r="F303" i="4"/>
  <c r="T303" i="4" s="1"/>
  <c r="E303" i="4"/>
  <c r="M303" i="4" s="1"/>
  <c r="D303" i="4"/>
  <c r="C303" i="4"/>
  <c r="O303" i="4" s="1"/>
  <c r="B303" i="4"/>
  <c r="A303" i="4"/>
  <c r="S302" i="4"/>
  <c r="Q302" i="4"/>
  <c r="R302" i="4" s="1"/>
  <c r="P302" i="4"/>
  <c r="L302" i="4"/>
  <c r="K302" i="4"/>
  <c r="J302" i="4"/>
  <c r="I302" i="4"/>
  <c r="H302" i="4"/>
  <c r="G302" i="4"/>
  <c r="F302" i="4"/>
  <c r="E302" i="4"/>
  <c r="N302" i="4" s="1"/>
  <c r="D302" i="4"/>
  <c r="C302" i="4"/>
  <c r="O302" i="4" s="1"/>
  <c r="B302" i="4"/>
  <c r="A302" i="4"/>
  <c r="S301" i="4"/>
  <c r="Q301" i="4"/>
  <c r="P301" i="4"/>
  <c r="L301" i="4"/>
  <c r="K301" i="4"/>
  <c r="J301" i="4"/>
  <c r="I301" i="4"/>
  <c r="H301" i="4"/>
  <c r="G301" i="4"/>
  <c r="F301" i="4"/>
  <c r="E301" i="4"/>
  <c r="D301" i="4"/>
  <c r="C301" i="4"/>
  <c r="O301" i="4" s="1"/>
  <c r="B301" i="4"/>
  <c r="A301" i="4"/>
  <c r="S300" i="4"/>
  <c r="Q300" i="4"/>
  <c r="P300" i="4"/>
  <c r="N300" i="4"/>
  <c r="L300" i="4"/>
  <c r="K300" i="4"/>
  <c r="J300" i="4"/>
  <c r="I300" i="4"/>
  <c r="H300" i="4"/>
  <c r="G300" i="4"/>
  <c r="F300" i="4"/>
  <c r="E300" i="4"/>
  <c r="U300" i="4" s="1"/>
  <c r="D300" i="4"/>
  <c r="C300" i="4"/>
  <c r="O300" i="4" s="1"/>
  <c r="B300" i="4"/>
  <c r="A300" i="4"/>
  <c r="S299" i="4"/>
  <c r="Q299" i="4"/>
  <c r="P299" i="4"/>
  <c r="L299" i="4"/>
  <c r="K299" i="4"/>
  <c r="J299" i="4"/>
  <c r="I299" i="4"/>
  <c r="H299" i="4"/>
  <c r="G299" i="4"/>
  <c r="F299" i="4"/>
  <c r="E299" i="4"/>
  <c r="U299" i="4" s="1"/>
  <c r="D299" i="4"/>
  <c r="C299" i="4"/>
  <c r="O299" i="4" s="1"/>
  <c r="B299" i="4"/>
  <c r="A299" i="4"/>
  <c r="S298" i="4"/>
  <c r="Q298" i="4"/>
  <c r="P298" i="4"/>
  <c r="L298" i="4"/>
  <c r="K298" i="4"/>
  <c r="J298" i="4"/>
  <c r="I298" i="4"/>
  <c r="H298" i="4"/>
  <c r="G298" i="4"/>
  <c r="F298" i="4"/>
  <c r="E298" i="4"/>
  <c r="U298" i="4" s="1"/>
  <c r="D298" i="4"/>
  <c r="C298" i="4"/>
  <c r="O298" i="4" s="1"/>
  <c r="B298" i="4"/>
  <c r="A298" i="4"/>
  <c r="S297" i="4"/>
  <c r="Q297" i="4"/>
  <c r="P297" i="4"/>
  <c r="L297" i="4"/>
  <c r="K297" i="4"/>
  <c r="J297" i="4"/>
  <c r="I297" i="4"/>
  <c r="H297" i="4"/>
  <c r="G297" i="4"/>
  <c r="F297" i="4"/>
  <c r="E297" i="4"/>
  <c r="M297" i="4" s="1"/>
  <c r="D297" i="4"/>
  <c r="C297" i="4"/>
  <c r="O297" i="4" s="1"/>
  <c r="B297" i="4"/>
  <c r="A297" i="4"/>
  <c r="S296" i="4"/>
  <c r="Q296" i="4"/>
  <c r="P296" i="4"/>
  <c r="R296" i="4" s="1"/>
  <c r="L296" i="4"/>
  <c r="K296" i="4"/>
  <c r="J296" i="4"/>
  <c r="I296" i="4"/>
  <c r="H296" i="4"/>
  <c r="G296" i="4"/>
  <c r="F296" i="4"/>
  <c r="E296" i="4"/>
  <c r="U296" i="4" s="1"/>
  <c r="D296" i="4"/>
  <c r="C296" i="4"/>
  <c r="O296" i="4" s="1"/>
  <c r="B296" i="4"/>
  <c r="A296" i="4"/>
  <c r="S295" i="4"/>
  <c r="Q295" i="4"/>
  <c r="P295" i="4"/>
  <c r="L295" i="4"/>
  <c r="K295" i="4"/>
  <c r="J295" i="4"/>
  <c r="I295" i="4"/>
  <c r="H295" i="4"/>
  <c r="G295" i="4"/>
  <c r="F295" i="4"/>
  <c r="E295" i="4"/>
  <c r="U295" i="4" s="1"/>
  <c r="D295" i="4"/>
  <c r="C295" i="4"/>
  <c r="O295" i="4" s="1"/>
  <c r="B295" i="4"/>
  <c r="A295" i="4"/>
  <c r="S294" i="4"/>
  <c r="Q294" i="4"/>
  <c r="P294" i="4"/>
  <c r="R294" i="4" s="1"/>
  <c r="L294" i="4"/>
  <c r="K294" i="4"/>
  <c r="J294" i="4"/>
  <c r="I294" i="4"/>
  <c r="H294" i="4"/>
  <c r="G294" i="4"/>
  <c r="F294" i="4"/>
  <c r="E294" i="4"/>
  <c r="N294" i="4" s="1"/>
  <c r="D294" i="4"/>
  <c r="C294" i="4"/>
  <c r="O294" i="4" s="1"/>
  <c r="B294" i="4"/>
  <c r="A294" i="4"/>
  <c r="S293" i="4"/>
  <c r="Q293" i="4"/>
  <c r="P293" i="4"/>
  <c r="L293" i="4"/>
  <c r="K293" i="4"/>
  <c r="J293" i="4"/>
  <c r="I293" i="4"/>
  <c r="H293" i="4"/>
  <c r="G293" i="4"/>
  <c r="F293" i="4"/>
  <c r="E293" i="4"/>
  <c r="N293" i="4" s="1"/>
  <c r="D293" i="4"/>
  <c r="C293" i="4"/>
  <c r="O293" i="4" s="1"/>
  <c r="B293" i="4"/>
  <c r="A293" i="4"/>
  <c r="S292" i="4"/>
  <c r="Q292" i="4"/>
  <c r="P292" i="4"/>
  <c r="R292" i="4" s="1"/>
  <c r="L292" i="4"/>
  <c r="K292" i="4"/>
  <c r="J292" i="4"/>
  <c r="I292" i="4"/>
  <c r="H292" i="4"/>
  <c r="G292" i="4"/>
  <c r="F292" i="4"/>
  <c r="E292" i="4"/>
  <c r="U292" i="4" s="1"/>
  <c r="D292" i="4"/>
  <c r="C292" i="4"/>
  <c r="O292" i="4" s="1"/>
  <c r="B292" i="4"/>
  <c r="A292" i="4"/>
  <c r="S291" i="4"/>
  <c r="Q291" i="4"/>
  <c r="P291" i="4"/>
  <c r="L291" i="4"/>
  <c r="K291" i="4"/>
  <c r="J291" i="4"/>
  <c r="I291" i="4"/>
  <c r="H291" i="4"/>
  <c r="G291" i="4"/>
  <c r="F291" i="4"/>
  <c r="E291" i="4"/>
  <c r="U291" i="4" s="1"/>
  <c r="D291" i="4"/>
  <c r="C291" i="4"/>
  <c r="O291" i="4" s="1"/>
  <c r="B291" i="4"/>
  <c r="A291" i="4"/>
  <c r="S290" i="4"/>
  <c r="Q290" i="4"/>
  <c r="P290" i="4"/>
  <c r="L290" i="4"/>
  <c r="K290" i="4"/>
  <c r="J290" i="4"/>
  <c r="I290" i="4"/>
  <c r="H290" i="4"/>
  <c r="G290" i="4"/>
  <c r="F290" i="4"/>
  <c r="T290" i="4" s="1"/>
  <c r="E290" i="4"/>
  <c r="N290" i="4" s="1"/>
  <c r="D290" i="4"/>
  <c r="C290" i="4"/>
  <c r="O290" i="4" s="1"/>
  <c r="B290" i="4"/>
  <c r="A290" i="4"/>
  <c r="S289" i="4"/>
  <c r="Q289" i="4"/>
  <c r="P289" i="4"/>
  <c r="L289" i="4"/>
  <c r="K289" i="4"/>
  <c r="J289" i="4"/>
  <c r="I289" i="4"/>
  <c r="H289" i="4"/>
  <c r="G289" i="4"/>
  <c r="F289" i="4"/>
  <c r="E289" i="4"/>
  <c r="D289" i="4"/>
  <c r="C289" i="4"/>
  <c r="O289" i="4" s="1"/>
  <c r="B289" i="4"/>
  <c r="A289" i="4"/>
  <c r="S288" i="4"/>
  <c r="Q288" i="4"/>
  <c r="P288" i="4"/>
  <c r="R288" i="4" s="1"/>
  <c r="L288" i="4"/>
  <c r="K288" i="4"/>
  <c r="J288" i="4"/>
  <c r="I288" i="4"/>
  <c r="H288" i="4"/>
  <c r="G288" i="4"/>
  <c r="F288" i="4"/>
  <c r="E288" i="4"/>
  <c r="U288" i="4" s="1"/>
  <c r="D288" i="4"/>
  <c r="C288" i="4"/>
  <c r="O288" i="4" s="1"/>
  <c r="B288" i="4"/>
  <c r="A288" i="4"/>
  <c r="S287" i="4"/>
  <c r="Q287" i="4"/>
  <c r="R287" i="4" s="1"/>
  <c r="P287" i="4"/>
  <c r="L287" i="4"/>
  <c r="K287" i="4"/>
  <c r="J287" i="4"/>
  <c r="I287" i="4"/>
  <c r="H287" i="4"/>
  <c r="G287" i="4"/>
  <c r="F287" i="4"/>
  <c r="E287" i="4"/>
  <c r="U287" i="4" s="1"/>
  <c r="D287" i="4"/>
  <c r="C287" i="4"/>
  <c r="O287" i="4" s="1"/>
  <c r="B287" i="4"/>
  <c r="A287" i="4"/>
  <c r="S286" i="4"/>
  <c r="Q286" i="4"/>
  <c r="P286" i="4"/>
  <c r="L286" i="4"/>
  <c r="K286" i="4"/>
  <c r="J286" i="4"/>
  <c r="I286" i="4"/>
  <c r="H286" i="4"/>
  <c r="G286" i="4"/>
  <c r="F286" i="4"/>
  <c r="T286" i="4" s="1"/>
  <c r="E286" i="4"/>
  <c r="D286" i="4"/>
  <c r="C286" i="4"/>
  <c r="O286" i="4" s="1"/>
  <c r="B286" i="4"/>
  <c r="A286" i="4"/>
  <c r="S285" i="4"/>
  <c r="Q285" i="4"/>
  <c r="P285" i="4"/>
  <c r="L285" i="4"/>
  <c r="K285" i="4"/>
  <c r="J285" i="4"/>
  <c r="I285" i="4"/>
  <c r="H285" i="4"/>
  <c r="G285" i="4"/>
  <c r="F285" i="4"/>
  <c r="E285" i="4"/>
  <c r="U285" i="4" s="1"/>
  <c r="D285" i="4"/>
  <c r="C285" i="4"/>
  <c r="O285" i="4" s="1"/>
  <c r="B285" i="4"/>
  <c r="A285" i="4"/>
  <c r="S284" i="4"/>
  <c r="Q284" i="4"/>
  <c r="P284" i="4"/>
  <c r="L284" i="4"/>
  <c r="K284" i="4"/>
  <c r="J284" i="4"/>
  <c r="I284" i="4"/>
  <c r="H284" i="4"/>
  <c r="G284" i="4"/>
  <c r="F284" i="4"/>
  <c r="E284" i="4"/>
  <c r="D284" i="4"/>
  <c r="C284" i="4"/>
  <c r="O284" i="4" s="1"/>
  <c r="B284" i="4"/>
  <c r="A284" i="4"/>
  <c r="S283" i="4"/>
  <c r="Q283" i="4"/>
  <c r="P283" i="4"/>
  <c r="O283" i="4"/>
  <c r="L283" i="4"/>
  <c r="K283" i="4"/>
  <c r="J283" i="4"/>
  <c r="I283" i="4"/>
  <c r="H283" i="4"/>
  <c r="G283" i="4"/>
  <c r="F283" i="4"/>
  <c r="E283" i="4"/>
  <c r="N283" i="4" s="1"/>
  <c r="D283" i="4"/>
  <c r="C283" i="4"/>
  <c r="B283" i="4"/>
  <c r="A283" i="4"/>
  <c r="S282" i="4"/>
  <c r="Q282" i="4"/>
  <c r="P282" i="4"/>
  <c r="O282" i="4"/>
  <c r="M282" i="4"/>
  <c r="L282" i="4"/>
  <c r="K282" i="4"/>
  <c r="J282" i="4"/>
  <c r="I282" i="4"/>
  <c r="H282" i="4"/>
  <c r="G282" i="4"/>
  <c r="F282" i="4"/>
  <c r="T282" i="4" s="1"/>
  <c r="E282" i="4"/>
  <c r="U282" i="4" s="1"/>
  <c r="D282" i="4"/>
  <c r="C282" i="4"/>
  <c r="B282" i="4"/>
  <c r="A282" i="4"/>
  <c r="S281" i="4"/>
  <c r="Q281" i="4"/>
  <c r="P281" i="4"/>
  <c r="L281" i="4"/>
  <c r="K281" i="4"/>
  <c r="J281" i="4"/>
  <c r="I281" i="4"/>
  <c r="H281" i="4"/>
  <c r="G281" i="4"/>
  <c r="F281" i="4"/>
  <c r="E281" i="4"/>
  <c r="U281" i="4" s="1"/>
  <c r="D281" i="4"/>
  <c r="C281" i="4"/>
  <c r="O281" i="4" s="1"/>
  <c r="B281" i="4"/>
  <c r="A281" i="4"/>
  <c r="S280" i="4"/>
  <c r="Q280" i="4"/>
  <c r="P280" i="4"/>
  <c r="R280" i="4" s="1"/>
  <c r="L280" i="4"/>
  <c r="K280" i="4"/>
  <c r="J280" i="4"/>
  <c r="I280" i="4"/>
  <c r="H280" i="4"/>
  <c r="G280" i="4"/>
  <c r="F280" i="4"/>
  <c r="E280" i="4"/>
  <c r="N280" i="4" s="1"/>
  <c r="D280" i="4"/>
  <c r="C280" i="4"/>
  <c r="O280" i="4" s="1"/>
  <c r="B280" i="4"/>
  <c r="A280" i="4"/>
  <c r="S279" i="4"/>
  <c r="Q279" i="4"/>
  <c r="R279" i="4" s="1"/>
  <c r="P279" i="4"/>
  <c r="N279" i="4"/>
  <c r="L279" i="4"/>
  <c r="K279" i="4"/>
  <c r="J279" i="4"/>
  <c r="I279" i="4"/>
  <c r="H279" i="4"/>
  <c r="G279" i="4"/>
  <c r="F279" i="4"/>
  <c r="T279" i="4" s="1"/>
  <c r="E279" i="4"/>
  <c r="D279" i="4"/>
  <c r="C279" i="4"/>
  <c r="O279" i="4" s="1"/>
  <c r="B279" i="4"/>
  <c r="A279" i="4"/>
  <c r="S278" i="4"/>
  <c r="Q278" i="4"/>
  <c r="P278" i="4"/>
  <c r="L278" i="4"/>
  <c r="K278" i="4"/>
  <c r="J278" i="4"/>
  <c r="I278" i="4"/>
  <c r="H278" i="4"/>
  <c r="G278" i="4"/>
  <c r="F278" i="4"/>
  <c r="T278" i="4" s="1"/>
  <c r="E278" i="4"/>
  <c r="U278" i="4" s="1"/>
  <c r="D278" i="4"/>
  <c r="C278" i="4"/>
  <c r="O278" i="4" s="1"/>
  <c r="B278" i="4"/>
  <c r="A278" i="4"/>
  <c r="S277" i="4"/>
  <c r="Q277" i="4"/>
  <c r="P277" i="4"/>
  <c r="L277" i="4"/>
  <c r="K277" i="4"/>
  <c r="J277" i="4"/>
  <c r="I277" i="4"/>
  <c r="H277" i="4"/>
  <c r="G277" i="4"/>
  <c r="F277" i="4"/>
  <c r="E277" i="4"/>
  <c r="U277" i="4" s="1"/>
  <c r="D277" i="4"/>
  <c r="C277" i="4"/>
  <c r="O277" i="4" s="1"/>
  <c r="B277" i="4"/>
  <c r="A277" i="4"/>
  <c r="S276" i="4"/>
  <c r="Q276" i="4"/>
  <c r="P276" i="4"/>
  <c r="R276" i="4" s="1"/>
  <c r="L276" i="4"/>
  <c r="K276" i="4"/>
  <c r="J276" i="4"/>
  <c r="I276" i="4"/>
  <c r="H276" i="4"/>
  <c r="G276" i="4"/>
  <c r="F276" i="4"/>
  <c r="E276" i="4"/>
  <c r="D276" i="4"/>
  <c r="C276" i="4"/>
  <c r="O276" i="4" s="1"/>
  <c r="B276" i="4"/>
  <c r="A276" i="4"/>
  <c r="S275" i="4"/>
  <c r="Q275" i="4"/>
  <c r="P275" i="4"/>
  <c r="O275" i="4"/>
  <c r="L275" i="4"/>
  <c r="K275" i="4"/>
  <c r="J275" i="4"/>
  <c r="I275" i="4"/>
  <c r="H275" i="4"/>
  <c r="G275" i="4"/>
  <c r="F275" i="4"/>
  <c r="E275" i="4"/>
  <c r="M275" i="4" s="1"/>
  <c r="D275" i="4"/>
  <c r="C275" i="4"/>
  <c r="B275" i="4"/>
  <c r="A275" i="4"/>
  <c r="S274" i="4"/>
  <c r="Q274" i="4"/>
  <c r="P274" i="4"/>
  <c r="R274" i="4" s="1"/>
  <c r="L274" i="4"/>
  <c r="K274" i="4"/>
  <c r="J274" i="4"/>
  <c r="I274" i="4"/>
  <c r="H274" i="4"/>
  <c r="G274" i="4"/>
  <c r="F274" i="4"/>
  <c r="E274" i="4"/>
  <c r="N274" i="4" s="1"/>
  <c r="D274" i="4"/>
  <c r="C274" i="4"/>
  <c r="O274" i="4" s="1"/>
  <c r="B274" i="4"/>
  <c r="A274" i="4"/>
  <c r="S273" i="4"/>
  <c r="Q273" i="4"/>
  <c r="P273" i="4"/>
  <c r="M273" i="4"/>
  <c r="L273" i="4"/>
  <c r="K273" i="4"/>
  <c r="J273" i="4"/>
  <c r="I273" i="4"/>
  <c r="H273" i="4"/>
  <c r="G273" i="4"/>
  <c r="F273" i="4"/>
  <c r="T273" i="4" s="1"/>
  <c r="E273" i="4"/>
  <c r="U273" i="4" s="1"/>
  <c r="D273" i="4"/>
  <c r="C273" i="4"/>
  <c r="O273" i="4" s="1"/>
  <c r="B273" i="4"/>
  <c r="A273" i="4"/>
  <c r="S272" i="4"/>
  <c r="Q272" i="4"/>
  <c r="P272" i="4"/>
  <c r="L272" i="4"/>
  <c r="K272" i="4"/>
  <c r="J272" i="4"/>
  <c r="I272" i="4"/>
  <c r="H272" i="4"/>
  <c r="G272" i="4"/>
  <c r="F272" i="4"/>
  <c r="E272" i="4"/>
  <c r="U272" i="4" s="1"/>
  <c r="D272" i="4"/>
  <c r="C272" i="4"/>
  <c r="O272" i="4" s="1"/>
  <c r="B272" i="4"/>
  <c r="A272" i="4"/>
  <c r="S271" i="4"/>
  <c r="Q271" i="4"/>
  <c r="P271" i="4"/>
  <c r="O271" i="4"/>
  <c r="L271" i="4"/>
  <c r="K271" i="4"/>
  <c r="J271" i="4"/>
  <c r="I271" i="4"/>
  <c r="H271" i="4"/>
  <c r="G271" i="4"/>
  <c r="F271" i="4"/>
  <c r="E271" i="4"/>
  <c r="U271" i="4" s="1"/>
  <c r="D271" i="4"/>
  <c r="C271" i="4"/>
  <c r="B271" i="4"/>
  <c r="A271" i="4"/>
  <c r="S270" i="4"/>
  <c r="Q270" i="4"/>
  <c r="P270" i="4"/>
  <c r="L270" i="4"/>
  <c r="K270" i="4"/>
  <c r="J270" i="4"/>
  <c r="I270" i="4"/>
  <c r="H270" i="4"/>
  <c r="G270" i="4"/>
  <c r="F270" i="4"/>
  <c r="E270" i="4"/>
  <c r="N270" i="4" s="1"/>
  <c r="D270" i="4"/>
  <c r="C270" i="4"/>
  <c r="O270" i="4" s="1"/>
  <c r="B270" i="4"/>
  <c r="A270" i="4"/>
  <c r="T269" i="4"/>
  <c r="S269" i="4"/>
  <c r="Q269" i="4"/>
  <c r="P269" i="4"/>
  <c r="M269" i="4"/>
  <c r="L269" i="4"/>
  <c r="K269" i="4"/>
  <c r="J269" i="4"/>
  <c r="I269" i="4"/>
  <c r="H269" i="4"/>
  <c r="G269" i="4"/>
  <c r="F269" i="4"/>
  <c r="E269" i="4"/>
  <c r="U269" i="4" s="1"/>
  <c r="D269" i="4"/>
  <c r="C269" i="4"/>
  <c r="O269" i="4" s="1"/>
  <c r="B269" i="4"/>
  <c r="A269" i="4"/>
  <c r="S268" i="4"/>
  <c r="Q268" i="4"/>
  <c r="P268" i="4"/>
  <c r="R268" i="4" s="1"/>
  <c r="L268" i="4"/>
  <c r="K268" i="4"/>
  <c r="J268" i="4"/>
  <c r="I268" i="4"/>
  <c r="H268" i="4"/>
  <c r="G268" i="4"/>
  <c r="F268" i="4"/>
  <c r="T268" i="4" s="1"/>
  <c r="E268" i="4"/>
  <c r="M268" i="4" s="1"/>
  <c r="D268" i="4"/>
  <c r="C268" i="4"/>
  <c r="O268" i="4" s="1"/>
  <c r="B268" i="4"/>
  <c r="A268" i="4"/>
  <c r="S267" i="4"/>
  <c r="Q267" i="4"/>
  <c r="R267" i="4" s="1"/>
  <c r="P267" i="4"/>
  <c r="O267" i="4"/>
  <c r="L267" i="4"/>
  <c r="K267" i="4"/>
  <c r="J267" i="4"/>
  <c r="I267" i="4"/>
  <c r="H267" i="4"/>
  <c r="G267" i="4"/>
  <c r="F267" i="4"/>
  <c r="T267" i="4" s="1"/>
  <c r="E267" i="4"/>
  <c r="N267" i="4" s="1"/>
  <c r="D267" i="4"/>
  <c r="C267" i="4"/>
  <c r="B267" i="4"/>
  <c r="A267" i="4"/>
  <c r="S266" i="4"/>
  <c r="R266" i="4"/>
  <c r="Q266" i="4"/>
  <c r="P266" i="4"/>
  <c r="L266" i="4"/>
  <c r="K266" i="4"/>
  <c r="J266" i="4"/>
  <c r="I266" i="4"/>
  <c r="H266" i="4"/>
  <c r="G266" i="4"/>
  <c r="F266" i="4"/>
  <c r="T266" i="4" s="1"/>
  <c r="E266" i="4"/>
  <c r="D266" i="4"/>
  <c r="C266" i="4"/>
  <c r="O266" i="4" s="1"/>
  <c r="B266" i="4"/>
  <c r="A266" i="4"/>
  <c r="S265" i="4"/>
  <c r="Q265" i="4"/>
  <c r="P265" i="4"/>
  <c r="L265" i="4"/>
  <c r="K265" i="4"/>
  <c r="J265" i="4"/>
  <c r="I265" i="4"/>
  <c r="H265" i="4"/>
  <c r="G265" i="4"/>
  <c r="F265" i="4"/>
  <c r="E265" i="4"/>
  <c r="U265" i="4" s="1"/>
  <c r="D265" i="4"/>
  <c r="C265" i="4"/>
  <c r="O265" i="4" s="1"/>
  <c r="B265" i="4"/>
  <c r="A265" i="4"/>
  <c r="S264" i="4"/>
  <c r="Q264" i="4"/>
  <c r="R264" i="4" s="1"/>
  <c r="P264" i="4"/>
  <c r="L264" i="4"/>
  <c r="K264" i="4"/>
  <c r="J264" i="4"/>
  <c r="I264" i="4"/>
  <c r="H264" i="4"/>
  <c r="G264" i="4"/>
  <c r="F264" i="4"/>
  <c r="E264" i="4"/>
  <c r="U264" i="4" s="1"/>
  <c r="D264" i="4"/>
  <c r="C264" i="4"/>
  <c r="O264" i="4" s="1"/>
  <c r="B264" i="4"/>
  <c r="A264" i="4"/>
  <c r="S263" i="4"/>
  <c r="Q263" i="4"/>
  <c r="P263" i="4"/>
  <c r="N263" i="4"/>
  <c r="L263" i="4"/>
  <c r="K263" i="4"/>
  <c r="J263" i="4"/>
  <c r="I263" i="4"/>
  <c r="H263" i="4"/>
  <c r="G263" i="4"/>
  <c r="F263" i="4"/>
  <c r="E263" i="4"/>
  <c r="U263" i="4" s="1"/>
  <c r="D263" i="4"/>
  <c r="C263" i="4"/>
  <c r="O263" i="4" s="1"/>
  <c r="B263" i="4"/>
  <c r="A263" i="4"/>
  <c r="S262" i="4"/>
  <c r="Q262" i="4"/>
  <c r="P262" i="4"/>
  <c r="L262" i="4"/>
  <c r="K262" i="4"/>
  <c r="J262" i="4"/>
  <c r="I262" i="4"/>
  <c r="H262" i="4"/>
  <c r="G262" i="4"/>
  <c r="F262" i="4"/>
  <c r="T262" i="4" s="1"/>
  <c r="E262" i="4"/>
  <c r="U262" i="4" s="1"/>
  <c r="D262" i="4"/>
  <c r="C262" i="4"/>
  <c r="O262" i="4" s="1"/>
  <c r="B262" i="4"/>
  <c r="A262" i="4"/>
  <c r="S261" i="4"/>
  <c r="Q261" i="4"/>
  <c r="P261" i="4"/>
  <c r="O261" i="4"/>
  <c r="L261" i="4"/>
  <c r="K261" i="4"/>
  <c r="J261" i="4"/>
  <c r="I261" i="4"/>
  <c r="H261" i="4"/>
  <c r="G261" i="4"/>
  <c r="F261" i="4"/>
  <c r="E261" i="4"/>
  <c r="U261" i="4" s="1"/>
  <c r="D261" i="4"/>
  <c r="C261" i="4"/>
  <c r="B261" i="4"/>
  <c r="A261" i="4"/>
  <c r="S260" i="4"/>
  <c r="R260" i="4"/>
  <c r="Q260" i="4"/>
  <c r="P260" i="4"/>
  <c r="N260" i="4"/>
  <c r="M260" i="4"/>
  <c r="L260" i="4"/>
  <c r="K260" i="4"/>
  <c r="J260" i="4"/>
  <c r="I260" i="4"/>
  <c r="H260" i="4"/>
  <c r="G260" i="4"/>
  <c r="F260" i="4"/>
  <c r="E260" i="4"/>
  <c r="U260" i="4" s="1"/>
  <c r="D260" i="4"/>
  <c r="C260" i="4"/>
  <c r="O260" i="4" s="1"/>
  <c r="B260" i="4"/>
  <c r="A260" i="4"/>
  <c r="S259" i="4"/>
  <c r="Q259" i="4"/>
  <c r="P259" i="4"/>
  <c r="L259" i="4"/>
  <c r="K259" i="4"/>
  <c r="J259" i="4"/>
  <c r="I259" i="4"/>
  <c r="H259" i="4"/>
  <c r="G259" i="4"/>
  <c r="F259" i="4"/>
  <c r="E259" i="4"/>
  <c r="D259" i="4"/>
  <c r="C259" i="4"/>
  <c r="O259" i="4" s="1"/>
  <c r="B259" i="4"/>
  <c r="A259" i="4"/>
  <c r="U258" i="4"/>
  <c r="S258" i="4"/>
  <c r="Q258" i="4"/>
  <c r="P258" i="4"/>
  <c r="O258" i="4"/>
  <c r="L258" i="4"/>
  <c r="K258" i="4"/>
  <c r="J258" i="4"/>
  <c r="I258" i="4"/>
  <c r="H258" i="4"/>
  <c r="G258" i="4"/>
  <c r="F258" i="4"/>
  <c r="E258" i="4"/>
  <c r="D258" i="4"/>
  <c r="C258" i="4"/>
  <c r="B258" i="4"/>
  <c r="A258" i="4"/>
  <c r="S257" i="4"/>
  <c r="Q257" i="4"/>
  <c r="P257" i="4"/>
  <c r="N257" i="4"/>
  <c r="L257" i="4"/>
  <c r="K257" i="4"/>
  <c r="J257" i="4"/>
  <c r="I257" i="4"/>
  <c r="H257" i="4"/>
  <c r="G257" i="4"/>
  <c r="F257" i="4"/>
  <c r="T257" i="4" s="1"/>
  <c r="E257" i="4"/>
  <c r="U257" i="4" s="1"/>
  <c r="D257" i="4"/>
  <c r="C257" i="4"/>
  <c r="O257" i="4" s="1"/>
  <c r="B257" i="4"/>
  <c r="A257" i="4"/>
  <c r="S256" i="4"/>
  <c r="Q256" i="4"/>
  <c r="P256" i="4"/>
  <c r="R256" i="4" s="1"/>
  <c r="L256" i="4"/>
  <c r="K256" i="4"/>
  <c r="J256" i="4"/>
  <c r="I256" i="4"/>
  <c r="H256" i="4"/>
  <c r="G256" i="4"/>
  <c r="F256" i="4"/>
  <c r="T256" i="4" s="1"/>
  <c r="E256" i="4"/>
  <c r="U256" i="4" s="1"/>
  <c r="D256" i="4"/>
  <c r="C256" i="4"/>
  <c r="O256" i="4" s="1"/>
  <c r="B256" i="4"/>
  <c r="A256" i="4"/>
  <c r="S255" i="4"/>
  <c r="Q255" i="4"/>
  <c r="P255" i="4"/>
  <c r="L255" i="4"/>
  <c r="K255" i="4"/>
  <c r="J255" i="4"/>
  <c r="I255" i="4"/>
  <c r="H255" i="4"/>
  <c r="G255" i="4"/>
  <c r="F255" i="4"/>
  <c r="E255" i="4"/>
  <c r="U255" i="4" s="1"/>
  <c r="D255" i="4"/>
  <c r="C255" i="4"/>
  <c r="O255" i="4" s="1"/>
  <c r="B255" i="4"/>
  <c r="A255" i="4"/>
  <c r="S254" i="4"/>
  <c r="Q254" i="4"/>
  <c r="P254" i="4"/>
  <c r="R254" i="4" s="1"/>
  <c r="L254" i="4"/>
  <c r="K254" i="4"/>
  <c r="J254" i="4"/>
  <c r="I254" i="4"/>
  <c r="H254" i="4"/>
  <c r="G254" i="4"/>
  <c r="F254" i="4"/>
  <c r="E254" i="4"/>
  <c r="N254" i="4" s="1"/>
  <c r="D254" i="4"/>
  <c r="C254" i="4"/>
  <c r="O254" i="4" s="1"/>
  <c r="B254" i="4"/>
  <c r="A254" i="4"/>
  <c r="S253" i="4"/>
  <c r="Q253" i="4"/>
  <c r="P253" i="4"/>
  <c r="L253" i="4"/>
  <c r="K253" i="4"/>
  <c r="J253" i="4"/>
  <c r="I253" i="4"/>
  <c r="H253" i="4"/>
  <c r="G253" i="4"/>
  <c r="F253" i="4"/>
  <c r="E253" i="4"/>
  <c r="T253" i="4" s="1"/>
  <c r="D253" i="4"/>
  <c r="C253" i="4"/>
  <c r="O253" i="4" s="1"/>
  <c r="B253" i="4"/>
  <c r="A253" i="4"/>
  <c r="S252" i="4"/>
  <c r="Q252" i="4"/>
  <c r="P252" i="4"/>
  <c r="L252" i="4"/>
  <c r="K252" i="4"/>
  <c r="J252" i="4"/>
  <c r="I252" i="4"/>
  <c r="H252" i="4"/>
  <c r="G252" i="4"/>
  <c r="F252" i="4"/>
  <c r="E252" i="4"/>
  <c r="M252" i="4" s="1"/>
  <c r="D252" i="4"/>
  <c r="C252" i="4"/>
  <c r="O252" i="4" s="1"/>
  <c r="B252" i="4"/>
  <c r="A252" i="4"/>
  <c r="S251" i="4"/>
  <c r="Q251" i="4"/>
  <c r="R251" i="4" s="1"/>
  <c r="P251" i="4"/>
  <c r="O251" i="4"/>
  <c r="L251" i="4"/>
  <c r="K251" i="4"/>
  <c r="J251" i="4"/>
  <c r="I251" i="4"/>
  <c r="H251" i="4"/>
  <c r="G251" i="4"/>
  <c r="F251" i="4"/>
  <c r="E251" i="4"/>
  <c r="N251" i="4" s="1"/>
  <c r="D251" i="4"/>
  <c r="C251" i="4"/>
  <c r="B251" i="4"/>
  <c r="A251" i="4"/>
  <c r="T250" i="4"/>
  <c r="S250" i="4"/>
  <c r="Q250" i="4"/>
  <c r="P250" i="4"/>
  <c r="R250" i="4" s="1"/>
  <c r="L250" i="4"/>
  <c r="K250" i="4"/>
  <c r="J250" i="4"/>
  <c r="I250" i="4"/>
  <c r="H250" i="4"/>
  <c r="G250" i="4"/>
  <c r="F250" i="4"/>
  <c r="E250" i="4"/>
  <c r="D250" i="4"/>
  <c r="C250" i="4"/>
  <c r="O250" i="4" s="1"/>
  <c r="B250" i="4"/>
  <c r="A250" i="4"/>
  <c r="S249" i="4"/>
  <c r="Q249" i="4"/>
  <c r="P249" i="4"/>
  <c r="L249" i="4"/>
  <c r="K249" i="4"/>
  <c r="J249" i="4"/>
  <c r="I249" i="4"/>
  <c r="H249" i="4"/>
  <c r="G249" i="4"/>
  <c r="F249" i="4"/>
  <c r="E249" i="4"/>
  <c r="D249" i="4"/>
  <c r="C249" i="4"/>
  <c r="O249" i="4" s="1"/>
  <c r="B249" i="4"/>
  <c r="A249" i="4"/>
  <c r="S248" i="4"/>
  <c r="Q248" i="4"/>
  <c r="P248" i="4"/>
  <c r="L248" i="4"/>
  <c r="K248" i="4"/>
  <c r="J248" i="4"/>
  <c r="I248" i="4"/>
  <c r="H248" i="4"/>
  <c r="G248" i="4"/>
  <c r="F248" i="4"/>
  <c r="E248" i="4"/>
  <c r="D248" i="4"/>
  <c r="C248" i="4"/>
  <c r="O248" i="4" s="1"/>
  <c r="B248" i="4"/>
  <c r="A248" i="4"/>
  <c r="S247" i="4"/>
  <c r="Q247" i="4"/>
  <c r="P247" i="4"/>
  <c r="L247" i="4"/>
  <c r="K247" i="4"/>
  <c r="J247" i="4"/>
  <c r="I247" i="4"/>
  <c r="H247" i="4"/>
  <c r="G247" i="4"/>
  <c r="F247" i="4"/>
  <c r="E247" i="4"/>
  <c r="D247" i="4"/>
  <c r="C247" i="4"/>
  <c r="O247" i="4" s="1"/>
  <c r="B247" i="4"/>
  <c r="A247" i="4"/>
  <c r="S246" i="4"/>
  <c r="Q246" i="4"/>
  <c r="P246" i="4"/>
  <c r="L246" i="4"/>
  <c r="K246" i="4"/>
  <c r="J246" i="4"/>
  <c r="I246" i="4"/>
  <c r="H246" i="4"/>
  <c r="G246" i="4"/>
  <c r="F246" i="4"/>
  <c r="E246" i="4"/>
  <c r="M246" i="4" s="1"/>
  <c r="D246" i="4"/>
  <c r="C246" i="4"/>
  <c r="O246" i="4" s="1"/>
  <c r="B246" i="4"/>
  <c r="A246" i="4"/>
  <c r="S245" i="4"/>
  <c r="Q245" i="4"/>
  <c r="P245" i="4"/>
  <c r="R245" i="4" s="1"/>
  <c r="L245" i="4"/>
  <c r="K245" i="4"/>
  <c r="J245" i="4"/>
  <c r="I245" i="4"/>
  <c r="H245" i="4"/>
  <c r="G245" i="4"/>
  <c r="F245" i="4"/>
  <c r="E245" i="4"/>
  <c r="U245" i="4" s="1"/>
  <c r="D245" i="4"/>
  <c r="C245" i="4"/>
  <c r="O245" i="4" s="1"/>
  <c r="B245" i="4"/>
  <c r="A245" i="4"/>
  <c r="S244" i="4"/>
  <c r="Q244" i="4"/>
  <c r="P244" i="4"/>
  <c r="N244" i="4"/>
  <c r="L244" i="4"/>
  <c r="K244" i="4"/>
  <c r="J244" i="4"/>
  <c r="I244" i="4"/>
  <c r="H244" i="4"/>
  <c r="G244" i="4"/>
  <c r="F244" i="4"/>
  <c r="E244" i="4"/>
  <c r="U244" i="4" s="1"/>
  <c r="D244" i="4"/>
  <c r="C244" i="4"/>
  <c r="O244" i="4" s="1"/>
  <c r="B244" i="4"/>
  <c r="A244" i="4"/>
  <c r="S243" i="4"/>
  <c r="Q243" i="4"/>
  <c r="P243" i="4"/>
  <c r="R243" i="4" s="1"/>
  <c r="L243" i="4"/>
  <c r="K243" i="4"/>
  <c r="J243" i="4"/>
  <c r="I243" i="4"/>
  <c r="H243" i="4"/>
  <c r="G243" i="4"/>
  <c r="F243" i="4"/>
  <c r="E243" i="4"/>
  <c r="U243" i="4" s="1"/>
  <c r="D243" i="4"/>
  <c r="C243" i="4"/>
  <c r="O243" i="4" s="1"/>
  <c r="B243" i="4"/>
  <c r="A243" i="4"/>
  <c r="S242" i="4"/>
  <c r="Q242" i="4"/>
  <c r="P242" i="4"/>
  <c r="L242" i="4"/>
  <c r="K242" i="4"/>
  <c r="J242" i="4"/>
  <c r="I242" i="4"/>
  <c r="H242" i="4"/>
  <c r="G242" i="4"/>
  <c r="F242" i="4"/>
  <c r="E242" i="4"/>
  <c r="U242" i="4" s="1"/>
  <c r="D242" i="4"/>
  <c r="C242" i="4"/>
  <c r="O242" i="4" s="1"/>
  <c r="B242" i="4"/>
  <c r="A242" i="4"/>
  <c r="S241" i="4"/>
  <c r="Q241" i="4"/>
  <c r="P241" i="4"/>
  <c r="M241" i="4"/>
  <c r="L241" i="4"/>
  <c r="K241" i="4"/>
  <c r="J241" i="4"/>
  <c r="I241" i="4"/>
  <c r="H241" i="4"/>
  <c r="G241" i="4"/>
  <c r="F241" i="4"/>
  <c r="T241" i="4" s="1"/>
  <c r="E241" i="4"/>
  <c r="U241" i="4" s="1"/>
  <c r="D241" i="4"/>
  <c r="C241" i="4"/>
  <c r="O241" i="4" s="1"/>
  <c r="B241" i="4"/>
  <c r="A241" i="4"/>
  <c r="T240" i="4"/>
  <c r="S240" i="4"/>
  <c r="Q240" i="4"/>
  <c r="P240" i="4"/>
  <c r="R240" i="4" s="1"/>
  <c r="L240" i="4"/>
  <c r="K240" i="4"/>
  <c r="J240" i="4"/>
  <c r="I240" i="4"/>
  <c r="H240" i="4"/>
  <c r="G240" i="4"/>
  <c r="F240" i="4"/>
  <c r="E240" i="4"/>
  <c r="M240" i="4" s="1"/>
  <c r="D240" i="4"/>
  <c r="C240" i="4"/>
  <c r="O240" i="4" s="1"/>
  <c r="B240" i="4"/>
  <c r="A240" i="4"/>
  <c r="S239" i="4"/>
  <c r="Q239" i="4"/>
  <c r="P239" i="4"/>
  <c r="O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S238" i="4"/>
  <c r="Q238" i="4"/>
  <c r="P238" i="4"/>
  <c r="R238" i="4" s="1"/>
  <c r="L238" i="4"/>
  <c r="K238" i="4"/>
  <c r="J238" i="4"/>
  <c r="I238" i="4"/>
  <c r="H238" i="4"/>
  <c r="G238" i="4"/>
  <c r="F238" i="4"/>
  <c r="E238" i="4"/>
  <c r="N238" i="4" s="1"/>
  <c r="D238" i="4"/>
  <c r="C238" i="4"/>
  <c r="O238" i="4" s="1"/>
  <c r="B238" i="4"/>
  <c r="A238" i="4"/>
  <c r="S237" i="4"/>
  <c r="Q237" i="4"/>
  <c r="P237" i="4"/>
  <c r="L237" i="4"/>
  <c r="K237" i="4"/>
  <c r="J237" i="4"/>
  <c r="I237" i="4"/>
  <c r="H237" i="4"/>
  <c r="G237" i="4"/>
  <c r="F237" i="4"/>
  <c r="E237" i="4"/>
  <c r="U237" i="4" s="1"/>
  <c r="D237" i="4"/>
  <c r="C237" i="4"/>
  <c r="O237" i="4" s="1"/>
  <c r="B237" i="4"/>
  <c r="A237" i="4"/>
  <c r="S236" i="4"/>
  <c r="Q236" i="4"/>
  <c r="P236" i="4"/>
  <c r="O236" i="4"/>
  <c r="L236" i="4"/>
  <c r="K236" i="4"/>
  <c r="J236" i="4"/>
  <c r="I236" i="4"/>
  <c r="H236" i="4"/>
  <c r="G236" i="4"/>
  <c r="F236" i="4"/>
  <c r="E236" i="4"/>
  <c r="M236" i="4" s="1"/>
  <c r="D236" i="4"/>
  <c r="C236" i="4"/>
  <c r="B236" i="4"/>
  <c r="A236" i="4"/>
  <c r="S235" i="4"/>
  <c r="Q235" i="4"/>
  <c r="P235" i="4"/>
  <c r="L235" i="4"/>
  <c r="K235" i="4"/>
  <c r="J235" i="4"/>
  <c r="I235" i="4"/>
  <c r="H235" i="4"/>
  <c r="G235" i="4"/>
  <c r="F235" i="4"/>
  <c r="E235" i="4"/>
  <c r="D235" i="4"/>
  <c r="C235" i="4"/>
  <c r="O235" i="4" s="1"/>
  <c r="B235" i="4"/>
  <c r="A235" i="4"/>
  <c r="S234" i="4"/>
  <c r="Q234" i="4"/>
  <c r="P234" i="4"/>
  <c r="R234" i="4" s="1"/>
  <c r="L234" i="4"/>
  <c r="K234" i="4"/>
  <c r="J234" i="4"/>
  <c r="I234" i="4"/>
  <c r="H234" i="4"/>
  <c r="G234" i="4"/>
  <c r="F234" i="4"/>
  <c r="T234" i="4" s="1"/>
  <c r="E234" i="4"/>
  <c r="U234" i="4" s="1"/>
  <c r="D234" i="4"/>
  <c r="C234" i="4"/>
  <c r="O234" i="4" s="1"/>
  <c r="B234" i="4"/>
  <c r="A234" i="4"/>
  <c r="S233" i="4"/>
  <c r="Q233" i="4"/>
  <c r="P233" i="4"/>
  <c r="L233" i="4"/>
  <c r="K233" i="4"/>
  <c r="J233" i="4"/>
  <c r="I233" i="4"/>
  <c r="H233" i="4"/>
  <c r="G233" i="4"/>
  <c r="F233" i="4"/>
  <c r="E233" i="4"/>
  <c r="U233" i="4" s="1"/>
  <c r="D233" i="4"/>
  <c r="C233" i="4"/>
  <c r="O233" i="4" s="1"/>
  <c r="B233" i="4"/>
  <c r="A233" i="4"/>
  <c r="S232" i="4"/>
  <c r="Q232" i="4"/>
  <c r="P232" i="4"/>
  <c r="L232" i="4"/>
  <c r="K232" i="4"/>
  <c r="J232" i="4"/>
  <c r="I232" i="4"/>
  <c r="H232" i="4"/>
  <c r="G232" i="4"/>
  <c r="F232" i="4"/>
  <c r="E232" i="4"/>
  <c r="D232" i="4"/>
  <c r="C232" i="4"/>
  <c r="O232" i="4" s="1"/>
  <c r="B232" i="4"/>
  <c r="A232" i="4"/>
  <c r="S231" i="4"/>
  <c r="Q231" i="4"/>
  <c r="P231" i="4"/>
  <c r="L231" i="4"/>
  <c r="K231" i="4"/>
  <c r="J231" i="4"/>
  <c r="I231" i="4"/>
  <c r="H231" i="4"/>
  <c r="G231" i="4"/>
  <c r="F231" i="4"/>
  <c r="E231" i="4"/>
  <c r="T231" i="4" s="1"/>
  <c r="D231" i="4"/>
  <c r="C231" i="4"/>
  <c r="O231" i="4" s="1"/>
  <c r="B231" i="4"/>
  <c r="A231" i="4"/>
  <c r="S230" i="4"/>
  <c r="Q230" i="4"/>
  <c r="P230" i="4"/>
  <c r="R230" i="4" s="1"/>
  <c r="L230" i="4"/>
  <c r="K230" i="4"/>
  <c r="J230" i="4"/>
  <c r="I230" i="4"/>
  <c r="H230" i="4"/>
  <c r="G230" i="4"/>
  <c r="F230" i="4"/>
  <c r="E230" i="4"/>
  <c r="U230" i="4" s="1"/>
  <c r="D230" i="4"/>
  <c r="C230" i="4"/>
  <c r="O230" i="4" s="1"/>
  <c r="B230" i="4"/>
  <c r="A230" i="4"/>
  <c r="S229" i="4"/>
  <c r="Q229" i="4"/>
  <c r="P229" i="4"/>
  <c r="L229" i="4"/>
  <c r="K229" i="4"/>
  <c r="J229" i="4"/>
  <c r="I229" i="4"/>
  <c r="H229" i="4"/>
  <c r="G229" i="4"/>
  <c r="F229" i="4"/>
  <c r="E229" i="4"/>
  <c r="D229" i="4"/>
  <c r="C229" i="4"/>
  <c r="O229" i="4" s="1"/>
  <c r="B229" i="4"/>
  <c r="A229" i="4"/>
  <c r="S228" i="4"/>
  <c r="Q228" i="4"/>
  <c r="R228" i="4" s="1"/>
  <c r="P228" i="4"/>
  <c r="L228" i="4"/>
  <c r="K228" i="4"/>
  <c r="J228" i="4"/>
  <c r="I228" i="4"/>
  <c r="H228" i="4"/>
  <c r="G228" i="4"/>
  <c r="F228" i="4"/>
  <c r="E228" i="4"/>
  <c r="U228" i="4" s="1"/>
  <c r="D228" i="4"/>
  <c r="C228" i="4"/>
  <c r="O228" i="4" s="1"/>
  <c r="B228" i="4"/>
  <c r="A228" i="4"/>
  <c r="S227" i="4"/>
  <c r="Q227" i="4"/>
  <c r="P227" i="4"/>
  <c r="L227" i="4"/>
  <c r="K227" i="4"/>
  <c r="J227" i="4"/>
  <c r="I227" i="4"/>
  <c r="H227" i="4"/>
  <c r="G227" i="4"/>
  <c r="F227" i="4"/>
  <c r="E227" i="4"/>
  <c r="D227" i="4"/>
  <c r="C227" i="4"/>
  <c r="O227" i="4" s="1"/>
  <c r="B227" i="4"/>
  <c r="A227" i="4"/>
  <c r="S226" i="4"/>
  <c r="Q226" i="4"/>
  <c r="P226" i="4"/>
  <c r="O226" i="4"/>
  <c r="L226" i="4"/>
  <c r="K226" i="4"/>
  <c r="J226" i="4"/>
  <c r="I226" i="4"/>
  <c r="H226" i="4"/>
  <c r="G226" i="4"/>
  <c r="F226" i="4"/>
  <c r="E226" i="4"/>
  <c r="U226" i="4" s="1"/>
  <c r="D226" i="4"/>
  <c r="C226" i="4"/>
  <c r="B226" i="4"/>
  <c r="A226" i="4"/>
  <c r="S225" i="4"/>
  <c r="Q225" i="4"/>
  <c r="P225" i="4"/>
  <c r="O225" i="4"/>
  <c r="M225" i="4"/>
  <c r="L225" i="4"/>
  <c r="K225" i="4"/>
  <c r="J225" i="4"/>
  <c r="I225" i="4"/>
  <c r="H225" i="4"/>
  <c r="G225" i="4"/>
  <c r="F225" i="4"/>
  <c r="T225" i="4" s="1"/>
  <c r="E225" i="4"/>
  <c r="U225" i="4" s="1"/>
  <c r="D225" i="4"/>
  <c r="C225" i="4"/>
  <c r="B225" i="4"/>
  <c r="A225" i="4"/>
  <c r="S224" i="4"/>
  <c r="Q224" i="4"/>
  <c r="R224" i="4" s="1"/>
  <c r="P224" i="4"/>
  <c r="N224" i="4"/>
  <c r="L224" i="4"/>
  <c r="K224" i="4"/>
  <c r="J224" i="4"/>
  <c r="I224" i="4"/>
  <c r="H224" i="4"/>
  <c r="G224" i="4"/>
  <c r="F224" i="4"/>
  <c r="E224" i="4"/>
  <c r="M224" i="4" s="1"/>
  <c r="D224" i="4"/>
  <c r="C224" i="4"/>
  <c r="O224" i="4" s="1"/>
  <c r="B224" i="4"/>
  <c r="A224" i="4"/>
  <c r="S223" i="4"/>
  <c r="Q223" i="4"/>
  <c r="P223" i="4"/>
  <c r="O223" i="4"/>
  <c r="L223" i="4"/>
  <c r="K223" i="4"/>
  <c r="J223" i="4"/>
  <c r="I223" i="4"/>
  <c r="H223" i="4"/>
  <c r="G223" i="4"/>
  <c r="F223" i="4"/>
  <c r="E223" i="4"/>
  <c r="N223" i="4" s="1"/>
  <c r="D223" i="4"/>
  <c r="C223" i="4"/>
  <c r="B223" i="4"/>
  <c r="A223" i="4"/>
  <c r="S222" i="4"/>
  <c r="Q222" i="4"/>
  <c r="P222" i="4"/>
  <c r="L222" i="4"/>
  <c r="K222" i="4"/>
  <c r="J222" i="4"/>
  <c r="I222" i="4"/>
  <c r="H222" i="4"/>
  <c r="G222" i="4"/>
  <c r="F222" i="4"/>
  <c r="T222" i="4" s="1"/>
  <c r="E222" i="4"/>
  <c r="N222" i="4" s="1"/>
  <c r="D222" i="4"/>
  <c r="C222" i="4"/>
  <c r="O222" i="4" s="1"/>
  <c r="B222" i="4"/>
  <c r="A222" i="4"/>
  <c r="S221" i="4"/>
  <c r="Q221" i="4"/>
  <c r="P221" i="4"/>
  <c r="L221" i="4"/>
  <c r="K221" i="4"/>
  <c r="J221" i="4"/>
  <c r="I221" i="4"/>
  <c r="H221" i="4"/>
  <c r="G221" i="4"/>
  <c r="F221" i="4"/>
  <c r="E221" i="4"/>
  <c r="U221" i="4" s="1"/>
  <c r="D221" i="4"/>
  <c r="C221" i="4"/>
  <c r="O221" i="4" s="1"/>
  <c r="B221" i="4"/>
  <c r="A221" i="4"/>
  <c r="S220" i="4"/>
  <c r="Q220" i="4"/>
  <c r="P220" i="4"/>
  <c r="O220" i="4"/>
  <c r="L220" i="4"/>
  <c r="K220" i="4"/>
  <c r="J220" i="4"/>
  <c r="I220" i="4"/>
  <c r="H220" i="4"/>
  <c r="G220" i="4"/>
  <c r="F220" i="4"/>
  <c r="E220" i="4"/>
  <c r="M220" i="4" s="1"/>
  <c r="D220" i="4"/>
  <c r="C220" i="4"/>
  <c r="B220" i="4"/>
  <c r="A220" i="4"/>
  <c r="U219" i="4"/>
  <c r="S219" i="4"/>
  <c r="Q219" i="4"/>
  <c r="P219" i="4"/>
  <c r="L219" i="4"/>
  <c r="K219" i="4"/>
  <c r="J219" i="4"/>
  <c r="I219" i="4"/>
  <c r="H219" i="4"/>
  <c r="G219" i="4"/>
  <c r="F219" i="4"/>
  <c r="E219" i="4"/>
  <c r="N219" i="4" s="1"/>
  <c r="D219" i="4"/>
  <c r="C219" i="4"/>
  <c r="O219" i="4" s="1"/>
  <c r="B219" i="4"/>
  <c r="A219" i="4"/>
  <c r="T218" i="4"/>
  <c r="S218" i="4"/>
  <c r="Q218" i="4"/>
  <c r="P218" i="4"/>
  <c r="R218" i="4" s="1"/>
  <c r="L218" i="4"/>
  <c r="K218" i="4"/>
  <c r="J218" i="4"/>
  <c r="I218" i="4"/>
  <c r="H218" i="4"/>
  <c r="G218" i="4"/>
  <c r="F218" i="4"/>
  <c r="E218" i="4"/>
  <c r="U218" i="4" s="1"/>
  <c r="D218" i="4"/>
  <c r="C218" i="4"/>
  <c r="O218" i="4" s="1"/>
  <c r="B218" i="4"/>
  <c r="A218" i="4"/>
  <c r="S217" i="4"/>
  <c r="Q217" i="4"/>
  <c r="P217" i="4"/>
  <c r="R217" i="4" s="1"/>
  <c r="L217" i="4"/>
  <c r="K217" i="4"/>
  <c r="J217" i="4"/>
  <c r="I217" i="4"/>
  <c r="H217" i="4"/>
  <c r="G217" i="4"/>
  <c r="F217" i="4"/>
  <c r="E217" i="4"/>
  <c r="D217" i="4"/>
  <c r="C217" i="4"/>
  <c r="O217" i="4" s="1"/>
  <c r="B217" i="4"/>
  <c r="A217" i="4"/>
  <c r="S216" i="4"/>
  <c r="Q216" i="4"/>
  <c r="P216" i="4"/>
  <c r="L216" i="4"/>
  <c r="K216" i="4"/>
  <c r="J216" i="4"/>
  <c r="I216" i="4"/>
  <c r="H216" i="4"/>
  <c r="G216" i="4"/>
  <c r="F216" i="4"/>
  <c r="T216" i="4" s="1"/>
  <c r="E216" i="4"/>
  <c r="U216" i="4" s="1"/>
  <c r="D216" i="4"/>
  <c r="C216" i="4"/>
  <c r="O216" i="4" s="1"/>
  <c r="B216" i="4"/>
  <c r="A216" i="4"/>
  <c r="S215" i="4"/>
  <c r="Q215" i="4"/>
  <c r="R215" i="4" s="1"/>
  <c r="P215" i="4"/>
  <c r="L215" i="4"/>
  <c r="K215" i="4"/>
  <c r="J215" i="4"/>
  <c r="I215" i="4"/>
  <c r="H215" i="4"/>
  <c r="G215" i="4"/>
  <c r="F215" i="4"/>
  <c r="E215" i="4"/>
  <c r="D215" i="4"/>
  <c r="C215" i="4"/>
  <c r="O215" i="4" s="1"/>
  <c r="B215" i="4"/>
  <c r="A215" i="4"/>
  <c r="U214" i="4"/>
  <c r="S214" i="4"/>
  <c r="Q214" i="4"/>
  <c r="P214" i="4"/>
  <c r="L214" i="4"/>
  <c r="K214" i="4"/>
  <c r="J214" i="4"/>
  <c r="I214" i="4"/>
  <c r="H214" i="4"/>
  <c r="G214" i="4"/>
  <c r="F214" i="4"/>
  <c r="T214" i="4" s="1"/>
  <c r="E214" i="4"/>
  <c r="M214" i="4" s="1"/>
  <c r="D214" i="4"/>
  <c r="C214" i="4"/>
  <c r="O214" i="4" s="1"/>
  <c r="B214" i="4"/>
  <c r="A214" i="4"/>
  <c r="S213" i="4"/>
  <c r="Q213" i="4"/>
  <c r="P213" i="4"/>
  <c r="L213" i="4"/>
  <c r="K213" i="4"/>
  <c r="J213" i="4"/>
  <c r="I213" i="4"/>
  <c r="H213" i="4"/>
  <c r="G213" i="4"/>
  <c r="F213" i="4"/>
  <c r="E213" i="4"/>
  <c r="U213" i="4" s="1"/>
  <c r="D213" i="4"/>
  <c r="C213" i="4"/>
  <c r="O213" i="4" s="1"/>
  <c r="B213" i="4"/>
  <c r="A213" i="4"/>
  <c r="S212" i="4"/>
  <c r="Q212" i="4"/>
  <c r="P212" i="4"/>
  <c r="O212" i="4"/>
  <c r="L212" i="4"/>
  <c r="K212" i="4"/>
  <c r="J212" i="4"/>
  <c r="I212" i="4"/>
  <c r="H212" i="4"/>
  <c r="G212" i="4"/>
  <c r="F212" i="4"/>
  <c r="E212" i="4"/>
  <c r="U212" i="4" s="1"/>
  <c r="D212" i="4"/>
  <c r="C212" i="4"/>
  <c r="B212" i="4"/>
  <c r="A212" i="4"/>
  <c r="U211" i="4"/>
  <c r="S211" i="4"/>
  <c r="Q211" i="4"/>
  <c r="P211" i="4"/>
  <c r="L211" i="4"/>
  <c r="K211" i="4"/>
  <c r="J211" i="4"/>
  <c r="I211" i="4"/>
  <c r="H211" i="4"/>
  <c r="G211" i="4"/>
  <c r="F211" i="4"/>
  <c r="E211" i="4"/>
  <c r="N211" i="4" s="1"/>
  <c r="D211" i="4"/>
  <c r="C211" i="4"/>
  <c r="O211" i="4" s="1"/>
  <c r="B211" i="4"/>
  <c r="A211" i="4"/>
  <c r="S210" i="4"/>
  <c r="Q210" i="4"/>
  <c r="P210" i="4"/>
  <c r="R210" i="4" s="1"/>
  <c r="L210" i="4"/>
  <c r="K210" i="4"/>
  <c r="J210" i="4"/>
  <c r="I210" i="4"/>
  <c r="H210" i="4"/>
  <c r="G210" i="4"/>
  <c r="F210" i="4"/>
  <c r="E210" i="4"/>
  <c r="N210" i="4" s="1"/>
  <c r="D210" i="4"/>
  <c r="C210" i="4"/>
  <c r="O210" i="4" s="1"/>
  <c r="B210" i="4"/>
  <c r="A210" i="4"/>
  <c r="S209" i="4"/>
  <c r="Q209" i="4"/>
  <c r="P209" i="4"/>
  <c r="M209" i="4"/>
  <c r="L209" i="4"/>
  <c r="K209" i="4"/>
  <c r="J209" i="4"/>
  <c r="I209" i="4"/>
  <c r="H209" i="4"/>
  <c r="G209" i="4"/>
  <c r="F209" i="4"/>
  <c r="T209" i="4" s="1"/>
  <c r="E209" i="4"/>
  <c r="U209" i="4" s="1"/>
  <c r="D209" i="4"/>
  <c r="C209" i="4"/>
  <c r="O209" i="4" s="1"/>
  <c r="B209" i="4"/>
  <c r="A209" i="4"/>
  <c r="S208" i="4"/>
  <c r="Q208" i="4"/>
  <c r="P208" i="4"/>
  <c r="L208" i="4"/>
  <c r="K208" i="4"/>
  <c r="J208" i="4"/>
  <c r="I208" i="4"/>
  <c r="H208" i="4"/>
  <c r="G208" i="4"/>
  <c r="F208" i="4"/>
  <c r="E208" i="4"/>
  <c r="M208" i="4" s="1"/>
  <c r="D208" i="4"/>
  <c r="C208" i="4"/>
  <c r="O208" i="4" s="1"/>
  <c r="B208" i="4"/>
  <c r="A208" i="4"/>
  <c r="S207" i="4"/>
  <c r="Q207" i="4"/>
  <c r="P207" i="4"/>
  <c r="R207" i="4" s="1"/>
  <c r="L207" i="4"/>
  <c r="K207" i="4"/>
  <c r="J207" i="4"/>
  <c r="I207" i="4"/>
  <c r="H207" i="4"/>
  <c r="G207" i="4"/>
  <c r="F207" i="4"/>
  <c r="E207" i="4"/>
  <c r="N207" i="4" s="1"/>
  <c r="D207" i="4"/>
  <c r="C207" i="4"/>
  <c r="O207" i="4" s="1"/>
  <c r="B207" i="4"/>
  <c r="A207" i="4"/>
  <c r="S206" i="4"/>
  <c r="Q206" i="4"/>
  <c r="P206" i="4"/>
  <c r="L206" i="4"/>
  <c r="K206" i="4"/>
  <c r="J206" i="4"/>
  <c r="I206" i="4"/>
  <c r="H206" i="4"/>
  <c r="G206" i="4"/>
  <c r="F206" i="4"/>
  <c r="E206" i="4"/>
  <c r="N206" i="4" s="1"/>
  <c r="D206" i="4"/>
  <c r="C206" i="4"/>
  <c r="O206" i="4" s="1"/>
  <c r="B206" i="4"/>
  <c r="A206" i="4"/>
  <c r="S205" i="4"/>
  <c r="Q205" i="4"/>
  <c r="P205" i="4"/>
  <c r="L205" i="4"/>
  <c r="K205" i="4"/>
  <c r="J205" i="4"/>
  <c r="I205" i="4"/>
  <c r="H205" i="4"/>
  <c r="G205" i="4"/>
  <c r="F205" i="4"/>
  <c r="E205" i="4"/>
  <c r="D205" i="4"/>
  <c r="C205" i="4"/>
  <c r="O205" i="4" s="1"/>
  <c r="B205" i="4"/>
  <c r="A205" i="4"/>
  <c r="S204" i="4"/>
  <c r="Q204" i="4"/>
  <c r="P204" i="4"/>
  <c r="L204" i="4"/>
  <c r="K204" i="4"/>
  <c r="J204" i="4"/>
  <c r="I204" i="4"/>
  <c r="H204" i="4"/>
  <c r="G204" i="4"/>
  <c r="F204" i="4"/>
  <c r="T204" i="4" s="1"/>
  <c r="E204" i="4"/>
  <c r="M204" i="4" s="1"/>
  <c r="D204" i="4"/>
  <c r="C204" i="4"/>
  <c r="O204" i="4" s="1"/>
  <c r="B204" i="4"/>
  <c r="A204" i="4"/>
  <c r="S203" i="4"/>
  <c r="Q203" i="4"/>
  <c r="P203" i="4"/>
  <c r="R203" i="4" s="1"/>
  <c r="N203" i="4"/>
  <c r="L203" i="4"/>
  <c r="K203" i="4"/>
  <c r="J203" i="4"/>
  <c r="I203" i="4"/>
  <c r="H203" i="4"/>
  <c r="G203" i="4"/>
  <c r="F203" i="4"/>
  <c r="E203" i="4"/>
  <c r="U203" i="4" s="1"/>
  <c r="D203" i="4"/>
  <c r="C203" i="4"/>
  <c r="O203" i="4" s="1"/>
  <c r="B203" i="4"/>
  <c r="A203" i="4"/>
  <c r="U202" i="4"/>
  <c r="S202" i="4"/>
  <c r="Q202" i="4"/>
  <c r="P202" i="4"/>
  <c r="O202" i="4"/>
  <c r="L202" i="4"/>
  <c r="K202" i="4"/>
  <c r="J202" i="4"/>
  <c r="I202" i="4"/>
  <c r="H202" i="4"/>
  <c r="G202" i="4"/>
  <c r="F202" i="4"/>
  <c r="T202" i="4" s="1"/>
  <c r="E202" i="4"/>
  <c r="D202" i="4"/>
  <c r="C202" i="4"/>
  <c r="B202" i="4"/>
  <c r="A202" i="4"/>
  <c r="S201" i="4"/>
  <c r="Q201" i="4"/>
  <c r="P201" i="4"/>
  <c r="L201" i="4"/>
  <c r="K201" i="4"/>
  <c r="J201" i="4"/>
  <c r="I201" i="4"/>
  <c r="H201" i="4"/>
  <c r="G201" i="4"/>
  <c r="F201" i="4"/>
  <c r="E201" i="4"/>
  <c r="U201" i="4" s="1"/>
  <c r="D201" i="4"/>
  <c r="C201" i="4"/>
  <c r="O201" i="4" s="1"/>
  <c r="B201" i="4"/>
  <c r="A201" i="4"/>
  <c r="S200" i="4"/>
  <c r="Q200" i="4"/>
  <c r="P200" i="4"/>
  <c r="R200" i="4" s="1"/>
  <c r="M200" i="4"/>
  <c r="L200" i="4"/>
  <c r="K200" i="4"/>
  <c r="J200" i="4"/>
  <c r="I200" i="4"/>
  <c r="H200" i="4"/>
  <c r="G200" i="4"/>
  <c r="F200" i="4"/>
  <c r="T200" i="4" s="1"/>
  <c r="E200" i="4"/>
  <c r="U200" i="4" s="1"/>
  <c r="D200" i="4"/>
  <c r="C200" i="4"/>
  <c r="O200" i="4" s="1"/>
  <c r="B200" i="4"/>
  <c r="A200" i="4"/>
  <c r="S199" i="4"/>
  <c r="Q199" i="4"/>
  <c r="R199" i="4" s="1"/>
  <c r="P199" i="4"/>
  <c r="L199" i="4"/>
  <c r="K199" i="4"/>
  <c r="J199" i="4"/>
  <c r="I199" i="4"/>
  <c r="H199" i="4"/>
  <c r="G199" i="4"/>
  <c r="F199" i="4"/>
  <c r="E199" i="4"/>
  <c r="N199" i="4" s="1"/>
  <c r="D199" i="4"/>
  <c r="C199" i="4"/>
  <c r="O199" i="4" s="1"/>
  <c r="B199" i="4"/>
  <c r="A199" i="4"/>
  <c r="S198" i="4"/>
  <c r="Q198" i="4"/>
  <c r="P198" i="4"/>
  <c r="L198" i="4"/>
  <c r="K198" i="4"/>
  <c r="J198" i="4"/>
  <c r="I198" i="4"/>
  <c r="H198" i="4"/>
  <c r="G198" i="4"/>
  <c r="F198" i="4"/>
  <c r="E198" i="4"/>
  <c r="M198" i="4" s="1"/>
  <c r="D198" i="4"/>
  <c r="C198" i="4"/>
  <c r="O198" i="4" s="1"/>
  <c r="B198" i="4"/>
  <c r="A198" i="4"/>
  <c r="S197" i="4"/>
  <c r="Q197" i="4"/>
  <c r="P197" i="4"/>
  <c r="L197" i="4"/>
  <c r="K197" i="4"/>
  <c r="J197" i="4"/>
  <c r="I197" i="4"/>
  <c r="H197" i="4"/>
  <c r="G197" i="4"/>
  <c r="F197" i="4"/>
  <c r="E197" i="4"/>
  <c r="U197" i="4" s="1"/>
  <c r="D197" i="4"/>
  <c r="C197" i="4"/>
  <c r="O197" i="4" s="1"/>
  <c r="B197" i="4"/>
  <c r="A197" i="4"/>
  <c r="S196" i="4"/>
  <c r="Q196" i="4"/>
  <c r="P196" i="4"/>
  <c r="R196" i="4" s="1"/>
  <c r="L196" i="4"/>
  <c r="K196" i="4"/>
  <c r="J196" i="4"/>
  <c r="I196" i="4"/>
  <c r="H196" i="4"/>
  <c r="G196" i="4"/>
  <c r="F196" i="4"/>
  <c r="E196" i="4"/>
  <c r="U196" i="4" s="1"/>
  <c r="D196" i="4"/>
  <c r="C196" i="4"/>
  <c r="O196" i="4" s="1"/>
  <c r="B196" i="4"/>
  <c r="A196" i="4"/>
  <c r="S195" i="4"/>
  <c r="Q195" i="4"/>
  <c r="P195" i="4"/>
  <c r="L195" i="4"/>
  <c r="K195" i="4"/>
  <c r="J195" i="4"/>
  <c r="I195" i="4"/>
  <c r="H195" i="4"/>
  <c r="G195" i="4"/>
  <c r="F195" i="4"/>
  <c r="E195" i="4"/>
  <c r="D195" i="4"/>
  <c r="C195" i="4"/>
  <c r="O195" i="4" s="1"/>
  <c r="B195" i="4"/>
  <c r="A195" i="4"/>
  <c r="S194" i="4"/>
  <c r="Q194" i="4"/>
  <c r="P194" i="4"/>
  <c r="L194" i="4"/>
  <c r="K194" i="4"/>
  <c r="J194" i="4"/>
  <c r="I194" i="4"/>
  <c r="H194" i="4"/>
  <c r="G194" i="4"/>
  <c r="F194" i="4"/>
  <c r="E194" i="4"/>
  <c r="D194" i="4"/>
  <c r="C194" i="4"/>
  <c r="O194" i="4" s="1"/>
  <c r="B194" i="4"/>
  <c r="A194" i="4"/>
  <c r="S193" i="4"/>
  <c r="Q193" i="4"/>
  <c r="P193" i="4"/>
  <c r="R193" i="4" s="1"/>
  <c r="L193" i="4"/>
  <c r="K193" i="4"/>
  <c r="J193" i="4"/>
  <c r="I193" i="4"/>
  <c r="H193" i="4"/>
  <c r="G193" i="4"/>
  <c r="F193" i="4"/>
  <c r="E193" i="4"/>
  <c r="D193" i="4"/>
  <c r="C193" i="4"/>
  <c r="O193" i="4" s="1"/>
  <c r="B193" i="4"/>
  <c r="A193" i="4"/>
  <c r="S192" i="4"/>
  <c r="Q192" i="4"/>
  <c r="P192" i="4"/>
  <c r="N192" i="4"/>
  <c r="L192" i="4"/>
  <c r="K192" i="4"/>
  <c r="J192" i="4"/>
  <c r="I192" i="4"/>
  <c r="H192" i="4"/>
  <c r="G192" i="4"/>
  <c r="F192" i="4"/>
  <c r="T192" i="4" s="1"/>
  <c r="E192" i="4"/>
  <c r="M192" i="4" s="1"/>
  <c r="D192" i="4"/>
  <c r="C192" i="4"/>
  <c r="O192" i="4" s="1"/>
  <c r="B192" i="4"/>
  <c r="A192" i="4"/>
  <c r="S191" i="4"/>
  <c r="Q191" i="4"/>
  <c r="P191" i="4"/>
  <c r="N191" i="4"/>
  <c r="L191" i="4"/>
  <c r="K191" i="4"/>
  <c r="J191" i="4"/>
  <c r="I191" i="4"/>
  <c r="H191" i="4"/>
  <c r="G191" i="4"/>
  <c r="F191" i="4"/>
  <c r="E191" i="4"/>
  <c r="U191" i="4" s="1"/>
  <c r="D191" i="4"/>
  <c r="C191" i="4"/>
  <c r="O191" i="4" s="1"/>
  <c r="B191" i="4"/>
  <c r="A191" i="4"/>
  <c r="S190" i="4"/>
  <c r="Q190" i="4"/>
  <c r="P190" i="4"/>
  <c r="L190" i="4"/>
  <c r="K190" i="4"/>
  <c r="J190" i="4"/>
  <c r="I190" i="4"/>
  <c r="H190" i="4"/>
  <c r="G190" i="4"/>
  <c r="F190" i="4"/>
  <c r="E190" i="4"/>
  <c r="U190" i="4" s="1"/>
  <c r="D190" i="4"/>
  <c r="C190" i="4"/>
  <c r="O190" i="4" s="1"/>
  <c r="B190" i="4"/>
  <c r="A190" i="4"/>
  <c r="S189" i="4"/>
  <c r="Q189" i="4"/>
  <c r="P189" i="4"/>
  <c r="L189" i="4"/>
  <c r="K189" i="4"/>
  <c r="J189" i="4"/>
  <c r="I189" i="4"/>
  <c r="H189" i="4"/>
  <c r="G189" i="4"/>
  <c r="F189" i="4"/>
  <c r="E189" i="4"/>
  <c r="N189" i="4" s="1"/>
  <c r="D189" i="4"/>
  <c r="C189" i="4"/>
  <c r="O189" i="4" s="1"/>
  <c r="B189" i="4"/>
  <c r="A189" i="4"/>
  <c r="S188" i="4"/>
  <c r="Q188" i="4"/>
  <c r="P188" i="4"/>
  <c r="L188" i="4"/>
  <c r="K188" i="4"/>
  <c r="J188" i="4"/>
  <c r="I188" i="4"/>
  <c r="H188" i="4"/>
  <c r="G188" i="4"/>
  <c r="F188" i="4"/>
  <c r="E188" i="4"/>
  <c r="M188" i="4" s="1"/>
  <c r="D188" i="4"/>
  <c r="C188" i="4"/>
  <c r="O188" i="4" s="1"/>
  <c r="B188" i="4"/>
  <c r="A188" i="4"/>
  <c r="S187" i="4"/>
  <c r="Q187" i="4"/>
  <c r="P187" i="4"/>
  <c r="L187" i="4"/>
  <c r="K187" i="4"/>
  <c r="J187" i="4"/>
  <c r="I187" i="4"/>
  <c r="H187" i="4"/>
  <c r="G187" i="4"/>
  <c r="F187" i="4"/>
  <c r="E187" i="4"/>
  <c r="D187" i="4"/>
  <c r="C187" i="4"/>
  <c r="O187" i="4" s="1"/>
  <c r="B187" i="4"/>
  <c r="A187" i="4"/>
  <c r="S186" i="4"/>
  <c r="Q186" i="4"/>
  <c r="P186" i="4"/>
  <c r="O186" i="4"/>
  <c r="L186" i="4"/>
  <c r="K186" i="4"/>
  <c r="J186" i="4"/>
  <c r="I186" i="4"/>
  <c r="H186" i="4"/>
  <c r="G186" i="4"/>
  <c r="F186" i="4"/>
  <c r="E186" i="4"/>
  <c r="U186" i="4" s="1"/>
  <c r="D186" i="4"/>
  <c r="C186" i="4"/>
  <c r="B186" i="4"/>
  <c r="A186" i="4"/>
  <c r="S185" i="4"/>
  <c r="Q185" i="4"/>
  <c r="P185" i="4"/>
  <c r="O185" i="4"/>
  <c r="L185" i="4"/>
  <c r="K185" i="4"/>
  <c r="J185" i="4"/>
  <c r="I185" i="4"/>
  <c r="H185" i="4"/>
  <c r="G185" i="4"/>
  <c r="F185" i="4"/>
  <c r="E185" i="4"/>
  <c r="U185" i="4" s="1"/>
  <c r="D185" i="4"/>
  <c r="C185" i="4"/>
  <c r="B185" i="4"/>
  <c r="A185" i="4"/>
  <c r="S184" i="4"/>
  <c r="Q184" i="4"/>
  <c r="P184" i="4"/>
  <c r="L184" i="4"/>
  <c r="K184" i="4"/>
  <c r="J184" i="4"/>
  <c r="I184" i="4"/>
  <c r="H184" i="4"/>
  <c r="G184" i="4"/>
  <c r="F184" i="4"/>
  <c r="E184" i="4"/>
  <c r="U184" i="4" s="1"/>
  <c r="D184" i="4"/>
  <c r="C184" i="4"/>
  <c r="O184" i="4" s="1"/>
  <c r="B184" i="4"/>
  <c r="A184" i="4"/>
  <c r="U183" i="4"/>
  <c r="S183" i="4"/>
  <c r="Q183" i="4"/>
  <c r="P183" i="4"/>
  <c r="R183" i="4" s="1"/>
  <c r="O183" i="4"/>
  <c r="L183" i="4"/>
  <c r="K183" i="4"/>
  <c r="J183" i="4"/>
  <c r="I183" i="4"/>
  <c r="H183" i="4"/>
  <c r="G183" i="4"/>
  <c r="F183" i="4"/>
  <c r="T183" i="4" s="1"/>
  <c r="E183" i="4"/>
  <c r="D183" i="4"/>
  <c r="C183" i="4"/>
  <c r="B183" i="4"/>
  <c r="A183" i="4"/>
  <c r="S182" i="4"/>
  <c r="Q182" i="4"/>
  <c r="P182" i="4"/>
  <c r="L182" i="4"/>
  <c r="K182" i="4"/>
  <c r="J182" i="4"/>
  <c r="I182" i="4"/>
  <c r="H182" i="4"/>
  <c r="G182" i="4"/>
  <c r="F182" i="4"/>
  <c r="E182" i="4"/>
  <c r="M182" i="4" s="1"/>
  <c r="D182" i="4"/>
  <c r="C182" i="4"/>
  <c r="O182" i="4" s="1"/>
  <c r="B182" i="4"/>
  <c r="A182" i="4"/>
  <c r="S181" i="4"/>
  <c r="Q181" i="4"/>
  <c r="P181" i="4"/>
  <c r="L181" i="4"/>
  <c r="K181" i="4"/>
  <c r="J181" i="4"/>
  <c r="I181" i="4"/>
  <c r="H181" i="4"/>
  <c r="G181" i="4"/>
  <c r="F181" i="4"/>
  <c r="E181" i="4"/>
  <c r="D181" i="4"/>
  <c r="C181" i="4"/>
  <c r="O181" i="4" s="1"/>
  <c r="B181" i="4"/>
  <c r="A181" i="4"/>
  <c r="S180" i="4"/>
  <c r="Q180" i="4"/>
  <c r="P180" i="4"/>
  <c r="R180" i="4" s="1"/>
  <c r="L180" i="4"/>
  <c r="K180" i="4"/>
  <c r="J180" i="4"/>
  <c r="I180" i="4"/>
  <c r="H180" i="4"/>
  <c r="G180" i="4"/>
  <c r="F180" i="4"/>
  <c r="T180" i="4" s="1"/>
  <c r="E180" i="4"/>
  <c r="D180" i="4"/>
  <c r="C180" i="4"/>
  <c r="O180" i="4" s="1"/>
  <c r="B180" i="4"/>
  <c r="A180" i="4"/>
  <c r="S179" i="4"/>
  <c r="Q179" i="4"/>
  <c r="P179" i="4"/>
  <c r="L179" i="4"/>
  <c r="K179" i="4"/>
  <c r="J179" i="4"/>
  <c r="I179" i="4"/>
  <c r="H179" i="4"/>
  <c r="G179" i="4"/>
  <c r="F179" i="4"/>
  <c r="E179" i="4"/>
  <c r="D179" i="4"/>
  <c r="C179" i="4"/>
  <c r="O179" i="4" s="1"/>
  <c r="B179" i="4"/>
  <c r="A179" i="4"/>
  <c r="S178" i="4"/>
  <c r="Q178" i="4"/>
  <c r="P178" i="4"/>
  <c r="L178" i="4"/>
  <c r="K178" i="4"/>
  <c r="J178" i="4"/>
  <c r="I178" i="4"/>
  <c r="H178" i="4"/>
  <c r="G178" i="4"/>
  <c r="F178" i="4"/>
  <c r="E178" i="4"/>
  <c r="N178" i="4" s="1"/>
  <c r="D178" i="4"/>
  <c r="C178" i="4"/>
  <c r="O178" i="4" s="1"/>
  <c r="B178" i="4"/>
  <c r="A178" i="4"/>
  <c r="S177" i="4"/>
  <c r="Q177" i="4"/>
  <c r="P177" i="4"/>
  <c r="L177" i="4"/>
  <c r="K177" i="4"/>
  <c r="J177" i="4"/>
  <c r="I177" i="4"/>
  <c r="H177" i="4"/>
  <c r="G177" i="4"/>
  <c r="F177" i="4"/>
  <c r="E177" i="4"/>
  <c r="D177" i="4"/>
  <c r="C177" i="4"/>
  <c r="O177" i="4" s="1"/>
  <c r="B177" i="4"/>
  <c r="A177" i="4"/>
  <c r="S176" i="4"/>
  <c r="Q176" i="4"/>
  <c r="P176" i="4"/>
  <c r="L176" i="4"/>
  <c r="K176" i="4"/>
  <c r="J176" i="4"/>
  <c r="I176" i="4"/>
  <c r="H176" i="4"/>
  <c r="G176" i="4"/>
  <c r="F176" i="4"/>
  <c r="T176" i="4" s="1"/>
  <c r="E176" i="4"/>
  <c r="M176" i="4" s="1"/>
  <c r="D176" i="4"/>
  <c r="C176" i="4"/>
  <c r="O176" i="4" s="1"/>
  <c r="B176" i="4"/>
  <c r="A176" i="4"/>
  <c r="S175" i="4"/>
  <c r="Q175" i="4"/>
  <c r="P175" i="4"/>
  <c r="L175" i="4"/>
  <c r="K175" i="4"/>
  <c r="J175" i="4"/>
  <c r="I175" i="4"/>
  <c r="H175" i="4"/>
  <c r="G175" i="4"/>
  <c r="F175" i="4"/>
  <c r="E175" i="4"/>
  <c r="D175" i="4"/>
  <c r="C175" i="4"/>
  <c r="O175" i="4" s="1"/>
  <c r="B175" i="4"/>
  <c r="A175" i="4"/>
  <c r="S174" i="4"/>
  <c r="Q174" i="4"/>
  <c r="P174" i="4"/>
  <c r="L174" i="4"/>
  <c r="K174" i="4"/>
  <c r="J174" i="4"/>
  <c r="I174" i="4"/>
  <c r="H174" i="4"/>
  <c r="G174" i="4"/>
  <c r="F174" i="4"/>
  <c r="E174" i="4"/>
  <c r="D174" i="4"/>
  <c r="C174" i="4"/>
  <c r="O174" i="4" s="1"/>
  <c r="B174" i="4"/>
  <c r="A174" i="4"/>
  <c r="S173" i="4"/>
  <c r="Q173" i="4"/>
  <c r="P173" i="4"/>
  <c r="R173" i="4" s="1"/>
  <c r="L173" i="4"/>
  <c r="K173" i="4"/>
  <c r="J173" i="4"/>
  <c r="I173" i="4"/>
  <c r="H173" i="4"/>
  <c r="G173" i="4"/>
  <c r="F173" i="4"/>
  <c r="T173" i="4" s="1"/>
  <c r="E173" i="4"/>
  <c r="U173" i="4" s="1"/>
  <c r="D173" i="4"/>
  <c r="C173" i="4"/>
  <c r="O173" i="4" s="1"/>
  <c r="B173" i="4"/>
  <c r="A173" i="4"/>
  <c r="S172" i="4"/>
  <c r="Q172" i="4"/>
  <c r="P172" i="4"/>
  <c r="L172" i="4"/>
  <c r="K172" i="4"/>
  <c r="J172" i="4"/>
  <c r="I172" i="4"/>
  <c r="H172" i="4"/>
  <c r="G172" i="4"/>
  <c r="F172" i="4"/>
  <c r="E172" i="4"/>
  <c r="D172" i="4"/>
  <c r="C172" i="4"/>
  <c r="O172" i="4" s="1"/>
  <c r="B172" i="4"/>
  <c r="A172" i="4"/>
  <c r="S171" i="4"/>
  <c r="Q171" i="4"/>
  <c r="P171" i="4"/>
  <c r="L171" i="4"/>
  <c r="K171" i="4"/>
  <c r="J171" i="4"/>
  <c r="I171" i="4"/>
  <c r="H171" i="4"/>
  <c r="G171" i="4"/>
  <c r="F171" i="4"/>
  <c r="T171" i="4" s="1"/>
  <c r="E171" i="4"/>
  <c r="U171" i="4" s="1"/>
  <c r="D171" i="4"/>
  <c r="C171" i="4"/>
  <c r="O171" i="4" s="1"/>
  <c r="B171" i="4"/>
  <c r="A171" i="4"/>
  <c r="S170" i="4"/>
  <c r="Q170" i="4"/>
  <c r="R170" i="4" s="1"/>
  <c r="P170" i="4"/>
  <c r="O170" i="4"/>
  <c r="M170" i="4"/>
  <c r="L170" i="4"/>
  <c r="K170" i="4"/>
  <c r="J170" i="4"/>
  <c r="I170" i="4"/>
  <c r="H170" i="4"/>
  <c r="G170" i="4"/>
  <c r="F170" i="4"/>
  <c r="E170" i="4"/>
  <c r="U170" i="4" s="1"/>
  <c r="D170" i="4"/>
  <c r="C170" i="4"/>
  <c r="B170" i="4"/>
  <c r="A170" i="4"/>
  <c r="S169" i="4"/>
  <c r="Q169" i="4"/>
  <c r="P169" i="4"/>
  <c r="O169" i="4"/>
  <c r="L169" i="4"/>
  <c r="K169" i="4"/>
  <c r="J169" i="4"/>
  <c r="I169" i="4"/>
  <c r="H169" i="4"/>
  <c r="G169" i="4"/>
  <c r="F169" i="4"/>
  <c r="E169" i="4"/>
  <c r="U169" i="4" s="1"/>
  <c r="D169" i="4"/>
  <c r="C169" i="4"/>
  <c r="B169" i="4"/>
  <c r="A169" i="4"/>
  <c r="S168" i="4"/>
  <c r="Q168" i="4"/>
  <c r="P168" i="4"/>
  <c r="L168" i="4"/>
  <c r="K168" i="4"/>
  <c r="J168" i="4"/>
  <c r="I168" i="4"/>
  <c r="H168" i="4"/>
  <c r="G168" i="4"/>
  <c r="F168" i="4"/>
  <c r="E168" i="4"/>
  <c r="N168" i="4" s="1"/>
  <c r="D168" i="4"/>
  <c r="C168" i="4"/>
  <c r="O168" i="4" s="1"/>
  <c r="B168" i="4"/>
  <c r="A168" i="4"/>
  <c r="S167" i="4"/>
  <c r="Q167" i="4"/>
  <c r="P167" i="4"/>
  <c r="R167" i="4" s="1"/>
  <c r="L167" i="4"/>
  <c r="K167" i="4"/>
  <c r="J167" i="4"/>
  <c r="I167" i="4"/>
  <c r="H167" i="4"/>
  <c r="G167" i="4"/>
  <c r="F167" i="4"/>
  <c r="E167" i="4"/>
  <c r="D167" i="4"/>
  <c r="C167" i="4"/>
  <c r="O167" i="4" s="1"/>
  <c r="B167" i="4"/>
  <c r="A167" i="4"/>
  <c r="S166" i="4"/>
  <c r="Q166" i="4"/>
  <c r="P166" i="4"/>
  <c r="L166" i="4"/>
  <c r="K166" i="4"/>
  <c r="J166" i="4"/>
  <c r="I166" i="4"/>
  <c r="H166" i="4"/>
  <c r="G166" i="4"/>
  <c r="F166" i="4"/>
  <c r="E166" i="4"/>
  <c r="D166" i="4"/>
  <c r="C166" i="4"/>
  <c r="O166" i="4" s="1"/>
  <c r="B166" i="4"/>
  <c r="A166" i="4"/>
  <c r="S165" i="4"/>
  <c r="Q165" i="4"/>
  <c r="R165" i="4" s="1"/>
  <c r="P165" i="4"/>
  <c r="O165" i="4"/>
  <c r="L165" i="4"/>
  <c r="K165" i="4"/>
  <c r="J165" i="4"/>
  <c r="I165" i="4"/>
  <c r="H165" i="4"/>
  <c r="G165" i="4"/>
  <c r="F165" i="4"/>
  <c r="E165" i="4"/>
  <c r="D165" i="4"/>
  <c r="C165" i="4"/>
  <c r="B165" i="4"/>
  <c r="A165" i="4"/>
  <c r="S164" i="4"/>
  <c r="Q164" i="4"/>
  <c r="P164" i="4"/>
  <c r="L164" i="4"/>
  <c r="K164" i="4"/>
  <c r="J164" i="4"/>
  <c r="I164" i="4"/>
  <c r="H164" i="4"/>
  <c r="G164" i="4"/>
  <c r="F164" i="4"/>
  <c r="E164" i="4"/>
  <c r="D164" i="4"/>
  <c r="C164" i="4"/>
  <c r="O164" i="4" s="1"/>
  <c r="B164" i="4"/>
  <c r="A164" i="4"/>
  <c r="S163" i="4"/>
  <c r="Q163" i="4"/>
  <c r="P163" i="4"/>
  <c r="L163" i="4"/>
  <c r="K163" i="4"/>
  <c r="J163" i="4"/>
  <c r="I163" i="4"/>
  <c r="H163" i="4"/>
  <c r="G163" i="4"/>
  <c r="F163" i="4"/>
  <c r="E163" i="4"/>
  <c r="M163" i="4" s="1"/>
  <c r="D163" i="4"/>
  <c r="C163" i="4"/>
  <c r="O163" i="4" s="1"/>
  <c r="B163" i="4"/>
  <c r="A163" i="4"/>
  <c r="S162" i="4"/>
  <c r="Q162" i="4"/>
  <c r="P162" i="4"/>
  <c r="L162" i="4"/>
  <c r="K162" i="4"/>
  <c r="J162" i="4"/>
  <c r="I162" i="4"/>
  <c r="H162" i="4"/>
  <c r="G162" i="4"/>
  <c r="F162" i="4"/>
  <c r="E162" i="4"/>
  <c r="N162" i="4" s="1"/>
  <c r="D162" i="4"/>
  <c r="C162" i="4"/>
  <c r="O162" i="4" s="1"/>
  <c r="B162" i="4"/>
  <c r="A162" i="4"/>
  <c r="S161" i="4"/>
  <c r="Q161" i="4"/>
  <c r="P161" i="4"/>
  <c r="R161" i="4" s="1"/>
  <c r="L161" i="4"/>
  <c r="K161" i="4"/>
  <c r="J161" i="4"/>
  <c r="I161" i="4"/>
  <c r="H161" i="4"/>
  <c r="G161" i="4"/>
  <c r="F161" i="4"/>
  <c r="E161" i="4"/>
  <c r="M161" i="4" s="1"/>
  <c r="D161" i="4"/>
  <c r="C161" i="4"/>
  <c r="O161" i="4" s="1"/>
  <c r="B161" i="4"/>
  <c r="A161" i="4"/>
  <c r="U160" i="4"/>
  <c r="S160" i="4"/>
  <c r="R160" i="4"/>
  <c r="Q160" i="4"/>
  <c r="P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O160" i="4" s="1"/>
  <c r="B160" i="4"/>
  <c r="A160" i="4"/>
  <c r="S159" i="4"/>
  <c r="Q159" i="4"/>
  <c r="P159" i="4"/>
  <c r="L159" i="4"/>
  <c r="K159" i="4"/>
  <c r="J159" i="4"/>
  <c r="I159" i="4"/>
  <c r="H159" i="4"/>
  <c r="G159" i="4"/>
  <c r="F159" i="4"/>
  <c r="E159" i="4"/>
  <c r="U159" i="4" s="1"/>
  <c r="D159" i="4"/>
  <c r="C159" i="4"/>
  <c r="O159" i="4" s="1"/>
  <c r="B159" i="4"/>
  <c r="A159" i="4"/>
  <c r="S158" i="4"/>
  <c r="Q158" i="4"/>
  <c r="P158" i="4"/>
  <c r="M158" i="4"/>
  <c r="L158" i="4"/>
  <c r="K158" i="4"/>
  <c r="J158" i="4"/>
  <c r="I158" i="4"/>
  <c r="H158" i="4"/>
  <c r="G158" i="4"/>
  <c r="F158" i="4"/>
  <c r="E158" i="4"/>
  <c r="U158" i="4" s="1"/>
  <c r="D158" i="4"/>
  <c r="C158" i="4"/>
  <c r="O158" i="4" s="1"/>
  <c r="B158" i="4"/>
  <c r="A158" i="4"/>
  <c r="S157" i="4"/>
  <c r="Q157" i="4"/>
  <c r="P157" i="4"/>
  <c r="L157" i="4"/>
  <c r="K157" i="4"/>
  <c r="J157" i="4"/>
  <c r="I157" i="4"/>
  <c r="H157" i="4"/>
  <c r="G157" i="4"/>
  <c r="F157" i="4"/>
  <c r="E157" i="4"/>
  <c r="U157" i="4" s="1"/>
  <c r="D157" i="4"/>
  <c r="C157" i="4"/>
  <c r="O157" i="4" s="1"/>
  <c r="B157" i="4"/>
  <c r="A157" i="4"/>
  <c r="S156" i="4"/>
  <c r="Q156" i="4"/>
  <c r="P156" i="4"/>
  <c r="L156" i="4"/>
  <c r="K156" i="4"/>
  <c r="J156" i="4"/>
  <c r="I156" i="4"/>
  <c r="H156" i="4"/>
  <c r="G156" i="4"/>
  <c r="F156" i="4"/>
  <c r="E156" i="4"/>
  <c r="U156" i="4" s="1"/>
  <c r="D156" i="4"/>
  <c r="C156" i="4"/>
  <c r="O156" i="4" s="1"/>
  <c r="B156" i="4"/>
  <c r="A156" i="4"/>
  <c r="S155" i="4"/>
  <c r="Q155" i="4"/>
  <c r="P155" i="4"/>
  <c r="L155" i="4"/>
  <c r="K155" i="4"/>
  <c r="J155" i="4"/>
  <c r="I155" i="4"/>
  <c r="H155" i="4"/>
  <c r="G155" i="4"/>
  <c r="F155" i="4"/>
  <c r="E155" i="4"/>
  <c r="U155" i="4" s="1"/>
  <c r="D155" i="4"/>
  <c r="C155" i="4"/>
  <c r="O155" i="4" s="1"/>
  <c r="B155" i="4"/>
  <c r="A155" i="4"/>
  <c r="S154" i="4"/>
  <c r="Q154" i="4"/>
  <c r="P154" i="4"/>
  <c r="L154" i="4"/>
  <c r="K154" i="4"/>
  <c r="J154" i="4"/>
  <c r="I154" i="4"/>
  <c r="H154" i="4"/>
  <c r="G154" i="4"/>
  <c r="F154" i="4"/>
  <c r="E154" i="4"/>
  <c r="D154" i="4"/>
  <c r="C154" i="4"/>
  <c r="O154" i="4" s="1"/>
  <c r="B154" i="4"/>
  <c r="A154" i="4"/>
  <c r="S153" i="4"/>
  <c r="Q153" i="4"/>
  <c r="P153" i="4"/>
  <c r="L153" i="4"/>
  <c r="K153" i="4"/>
  <c r="J153" i="4"/>
  <c r="I153" i="4"/>
  <c r="H153" i="4"/>
  <c r="G153" i="4"/>
  <c r="F153" i="4"/>
  <c r="E153" i="4"/>
  <c r="U153" i="4" s="1"/>
  <c r="D153" i="4"/>
  <c r="C153" i="4"/>
  <c r="O153" i="4" s="1"/>
  <c r="B153" i="4"/>
  <c r="A153" i="4"/>
  <c r="S152" i="4"/>
  <c r="Q152" i="4"/>
  <c r="P152" i="4"/>
  <c r="R152" i="4" s="1"/>
  <c r="L152" i="4"/>
  <c r="K152" i="4"/>
  <c r="J152" i="4"/>
  <c r="I152" i="4"/>
  <c r="H152" i="4"/>
  <c r="G152" i="4"/>
  <c r="F152" i="4"/>
  <c r="E152" i="4"/>
  <c r="D152" i="4"/>
  <c r="C152" i="4"/>
  <c r="O152" i="4" s="1"/>
  <c r="B152" i="4"/>
  <c r="A152" i="4"/>
  <c r="S151" i="4"/>
  <c r="Q151" i="4"/>
  <c r="P151" i="4"/>
  <c r="L151" i="4"/>
  <c r="K151" i="4"/>
  <c r="J151" i="4"/>
  <c r="I151" i="4"/>
  <c r="H151" i="4"/>
  <c r="G151" i="4"/>
  <c r="F151" i="4"/>
  <c r="E151" i="4"/>
  <c r="U151" i="4" s="1"/>
  <c r="D151" i="4"/>
  <c r="C151" i="4"/>
  <c r="O151" i="4" s="1"/>
  <c r="B151" i="4"/>
  <c r="A151" i="4"/>
  <c r="S150" i="4"/>
  <c r="Q150" i="4"/>
  <c r="P150" i="4"/>
  <c r="L150" i="4"/>
  <c r="K150" i="4"/>
  <c r="J150" i="4"/>
  <c r="I150" i="4"/>
  <c r="H150" i="4"/>
  <c r="G150" i="4"/>
  <c r="F150" i="4"/>
  <c r="E150" i="4"/>
  <c r="U150" i="4" s="1"/>
  <c r="D150" i="4"/>
  <c r="C150" i="4"/>
  <c r="O150" i="4" s="1"/>
  <c r="B150" i="4"/>
  <c r="A150" i="4"/>
  <c r="S149" i="4"/>
  <c r="Q149" i="4"/>
  <c r="P149" i="4"/>
  <c r="R149" i="4" s="1"/>
  <c r="O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S148" i="4"/>
  <c r="Q148" i="4"/>
  <c r="P148" i="4"/>
  <c r="R148" i="4" s="1"/>
  <c r="L148" i="4"/>
  <c r="K148" i="4"/>
  <c r="J148" i="4"/>
  <c r="I148" i="4"/>
  <c r="H148" i="4"/>
  <c r="G148" i="4"/>
  <c r="F148" i="4"/>
  <c r="E148" i="4"/>
  <c r="U148" i="4" s="1"/>
  <c r="D148" i="4"/>
  <c r="C148" i="4"/>
  <c r="O148" i="4" s="1"/>
  <c r="B148" i="4"/>
  <c r="A148" i="4"/>
  <c r="S147" i="4"/>
  <c r="Q147" i="4"/>
  <c r="P147" i="4"/>
  <c r="L147" i="4"/>
  <c r="K147" i="4"/>
  <c r="J147" i="4"/>
  <c r="I147" i="4"/>
  <c r="H147" i="4"/>
  <c r="G147" i="4"/>
  <c r="F147" i="4"/>
  <c r="T147" i="4" s="1"/>
  <c r="E147" i="4"/>
  <c r="M147" i="4" s="1"/>
  <c r="D147" i="4"/>
  <c r="C147" i="4"/>
  <c r="O147" i="4" s="1"/>
  <c r="B147" i="4"/>
  <c r="A147" i="4"/>
  <c r="S146" i="4"/>
  <c r="Q146" i="4"/>
  <c r="P146" i="4"/>
  <c r="L146" i="4"/>
  <c r="K146" i="4"/>
  <c r="J146" i="4"/>
  <c r="I146" i="4"/>
  <c r="H146" i="4"/>
  <c r="G146" i="4"/>
  <c r="F146" i="4"/>
  <c r="E146" i="4"/>
  <c r="U146" i="4" s="1"/>
  <c r="D146" i="4"/>
  <c r="C146" i="4"/>
  <c r="O146" i="4" s="1"/>
  <c r="B146" i="4"/>
  <c r="A146" i="4"/>
  <c r="S145" i="4"/>
  <c r="Q145" i="4"/>
  <c r="P145" i="4"/>
  <c r="R145" i="4" s="1"/>
  <c r="L145" i="4"/>
  <c r="K145" i="4"/>
  <c r="J145" i="4"/>
  <c r="I145" i="4"/>
  <c r="H145" i="4"/>
  <c r="G145" i="4"/>
  <c r="F145" i="4"/>
  <c r="E145" i="4"/>
  <c r="M145" i="4" s="1"/>
  <c r="D145" i="4"/>
  <c r="C145" i="4"/>
  <c r="O145" i="4" s="1"/>
  <c r="B145" i="4"/>
  <c r="A145" i="4"/>
  <c r="S144" i="4"/>
  <c r="Q144" i="4"/>
  <c r="P144" i="4"/>
  <c r="L144" i="4"/>
  <c r="K144" i="4"/>
  <c r="J144" i="4"/>
  <c r="I144" i="4"/>
  <c r="H144" i="4"/>
  <c r="G144" i="4"/>
  <c r="F144" i="4"/>
  <c r="E144" i="4"/>
  <c r="D144" i="4"/>
  <c r="C144" i="4"/>
  <c r="O144" i="4" s="1"/>
  <c r="B144" i="4"/>
  <c r="A144" i="4"/>
  <c r="S143" i="4"/>
  <c r="Q143" i="4"/>
  <c r="P143" i="4"/>
  <c r="L143" i="4"/>
  <c r="K143" i="4"/>
  <c r="J143" i="4"/>
  <c r="I143" i="4"/>
  <c r="H143" i="4"/>
  <c r="G143" i="4"/>
  <c r="F143" i="4"/>
  <c r="E143" i="4"/>
  <c r="M143" i="4" s="1"/>
  <c r="D143" i="4"/>
  <c r="C143" i="4"/>
  <c r="O143" i="4" s="1"/>
  <c r="B143" i="4"/>
  <c r="A143" i="4"/>
  <c r="S142" i="4"/>
  <c r="Q142" i="4"/>
  <c r="P142" i="4"/>
  <c r="L142" i="4"/>
  <c r="K142" i="4"/>
  <c r="J142" i="4"/>
  <c r="I142" i="4"/>
  <c r="H142" i="4"/>
  <c r="G142" i="4"/>
  <c r="F142" i="4"/>
  <c r="E142" i="4"/>
  <c r="D142" i="4"/>
  <c r="C142" i="4"/>
  <c r="O142" i="4" s="1"/>
  <c r="B142" i="4"/>
  <c r="A142" i="4"/>
  <c r="S141" i="4"/>
  <c r="Q141" i="4"/>
  <c r="P141" i="4"/>
  <c r="L141" i="4"/>
  <c r="K141" i="4"/>
  <c r="J141" i="4"/>
  <c r="I141" i="4"/>
  <c r="H141" i="4"/>
  <c r="G141" i="4"/>
  <c r="F141" i="4"/>
  <c r="E141" i="4"/>
  <c r="U141" i="4" s="1"/>
  <c r="D141" i="4"/>
  <c r="C141" i="4"/>
  <c r="O141" i="4" s="1"/>
  <c r="B141" i="4"/>
  <c r="A141" i="4"/>
  <c r="S140" i="4"/>
  <c r="Q140" i="4"/>
  <c r="P140" i="4"/>
  <c r="L140" i="4"/>
  <c r="K140" i="4"/>
  <c r="J140" i="4"/>
  <c r="I140" i="4"/>
  <c r="H140" i="4"/>
  <c r="G140" i="4"/>
  <c r="F140" i="4"/>
  <c r="T140" i="4" s="1"/>
  <c r="E140" i="4"/>
  <c r="D140" i="4"/>
  <c r="C140" i="4"/>
  <c r="O140" i="4" s="1"/>
  <c r="B140" i="4"/>
  <c r="A140" i="4"/>
  <c r="S139" i="4"/>
  <c r="Q139" i="4"/>
  <c r="P139" i="4"/>
  <c r="L139" i="4"/>
  <c r="K139" i="4"/>
  <c r="J139" i="4"/>
  <c r="I139" i="4"/>
  <c r="H139" i="4"/>
  <c r="G139" i="4"/>
  <c r="F139" i="4"/>
  <c r="E139" i="4"/>
  <c r="U139" i="4" s="1"/>
  <c r="D139" i="4"/>
  <c r="C139" i="4"/>
  <c r="O139" i="4" s="1"/>
  <c r="B139" i="4"/>
  <c r="A139" i="4"/>
  <c r="S138" i="4"/>
  <c r="Q138" i="4"/>
  <c r="P138" i="4"/>
  <c r="O138" i="4"/>
  <c r="L138" i="4"/>
  <c r="K138" i="4"/>
  <c r="J138" i="4"/>
  <c r="I138" i="4"/>
  <c r="H138" i="4"/>
  <c r="G138" i="4"/>
  <c r="F138" i="4"/>
  <c r="E138" i="4"/>
  <c r="U138" i="4" s="1"/>
  <c r="D138" i="4"/>
  <c r="C138" i="4"/>
  <c r="B138" i="4"/>
  <c r="A138" i="4"/>
  <c r="S137" i="4"/>
  <c r="Q137" i="4"/>
  <c r="P137" i="4"/>
  <c r="O137" i="4"/>
  <c r="L137" i="4"/>
  <c r="K137" i="4"/>
  <c r="J137" i="4"/>
  <c r="I137" i="4"/>
  <c r="H137" i="4"/>
  <c r="G137" i="4"/>
  <c r="F137" i="4"/>
  <c r="E137" i="4"/>
  <c r="U137" i="4" s="1"/>
  <c r="D137" i="4"/>
  <c r="C137" i="4"/>
  <c r="B137" i="4"/>
  <c r="A137" i="4"/>
  <c r="S136" i="4"/>
  <c r="Q136" i="4"/>
  <c r="R136" i="4" s="1"/>
  <c r="P136" i="4"/>
  <c r="L136" i="4"/>
  <c r="K136" i="4"/>
  <c r="J136" i="4"/>
  <c r="I136" i="4"/>
  <c r="H136" i="4"/>
  <c r="G136" i="4"/>
  <c r="F136" i="4"/>
  <c r="T136" i="4" s="1"/>
  <c r="E136" i="4"/>
  <c r="N136" i="4" s="1"/>
  <c r="D136" i="4"/>
  <c r="C136" i="4"/>
  <c r="O136" i="4" s="1"/>
  <c r="B136" i="4"/>
  <c r="A136" i="4"/>
  <c r="S135" i="4"/>
  <c r="Q135" i="4"/>
  <c r="P135" i="4"/>
  <c r="R135" i="4" s="1"/>
  <c r="L135" i="4"/>
  <c r="K135" i="4"/>
  <c r="J135" i="4"/>
  <c r="I135" i="4"/>
  <c r="H135" i="4"/>
  <c r="G135" i="4"/>
  <c r="F135" i="4"/>
  <c r="E135" i="4"/>
  <c r="D135" i="4"/>
  <c r="C135" i="4"/>
  <c r="O135" i="4" s="1"/>
  <c r="B135" i="4"/>
  <c r="A135" i="4"/>
  <c r="S134" i="4"/>
  <c r="Q134" i="4"/>
  <c r="R134" i="4" s="1"/>
  <c r="P134" i="4"/>
  <c r="O134" i="4"/>
  <c r="L134" i="4"/>
  <c r="K134" i="4"/>
  <c r="J134" i="4"/>
  <c r="I134" i="4"/>
  <c r="H134" i="4"/>
  <c r="G134" i="4"/>
  <c r="F134" i="4"/>
  <c r="E134" i="4"/>
  <c r="N134" i="4" s="1"/>
  <c r="D134" i="4"/>
  <c r="C134" i="4"/>
  <c r="B134" i="4"/>
  <c r="A134" i="4"/>
  <c r="S133" i="4"/>
  <c r="Q133" i="4"/>
  <c r="P133" i="4"/>
  <c r="O133" i="4"/>
  <c r="L133" i="4"/>
  <c r="K133" i="4"/>
  <c r="J133" i="4"/>
  <c r="I133" i="4"/>
  <c r="H133" i="4"/>
  <c r="G133" i="4"/>
  <c r="F133" i="4"/>
  <c r="E133" i="4"/>
  <c r="U133" i="4" s="1"/>
  <c r="D133" i="4"/>
  <c r="C133" i="4"/>
  <c r="B133" i="4"/>
  <c r="A133" i="4"/>
  <c r="S132" i="4"/>
  <c r="Q132" i="4"/>
  <c r="R132" i="4" s="1"/>
  <c r="P132" i="4"/>
  <c r="N132" i="4"/>
  <c r="M132" i="4"/>
  <c r="L132" i="4"/>
  <c r="K132" i="4"/>
  <c r="J132" i="4"/>
  <c r="I132" i="4"/>
  <c r="H132" i="4"/>
  <c r="G132" i="4"/>
  <c r="F132" i="4"/>
  <c r="E132" i="4"/>
  <c r="U132" i="4" s="1"/>
  <c r="D132" i="4"/>
  <c r="C132" i="4"/>
  <c r="O132" i="4" s="1"/>
  <c r="B132" i="4"/>
  <c r="A132" i="4"/>
  <c r="S131" i="4"/>
  <c r="Q131" i="4"/>
  <c r="P131" i="4"/>
  <c r="R131" i="4" s="1"/>
  <c r="L131" i="4"/>
  <c r="K131" i="4"/>
  <c r="J131" i="4"/>
  <c r="I131" i="4"/>
  <c r="H131" i="4"/>
  <c r="G131" i="4"/>
  <c r="F131" i="4"/>
  <c r="E131" i="4"/>
  <c r="M131" i="4" s="1"/>
  <c r="D131" i="4"/>
  <c r="C131" i="4"/>
  <c r="O131" i="4" s="1"/>
  <c r="B131" i="4"/>
  <c r="A131" i="4"/>
  <c r="S130" i="4"/>
  <c r="Q130" i="4"/>
  <c r="P130" i="4"/>
  <c r="L130" i="4"/>
  <c r="K130" i="4"/>
  <c r="J130" i="4"/>
  <c r="I130" i="4"/>
  <c r="H130" i="4"/>
  <c r="G130" i="4"/>
  <c r="F130" i="4"/>
  <c r="E130" i="4"/>
  <c r="U130" i="4" s="1"/>
  <c r="D130" i="4"/>
  <c r="C130" i="4"/>
  <c r="O130" i="4" s="1"/>
  <c r="B130" i="4"/>
  <c r="A130" i="4"/>
  <c r="S129" i="4"/>
  <c r="Q129" i="4"/>
  <c r="P129" i="4"/>
  <c r="L129" i="4"/>
  <c r="K129" i="4"/>
  <c r="J129" i="4"/>
  <c r="I129" i="4"/>
  <c r="H129" i="4"/>
  <c r="G129" i="4"/>
  <c r="F129" i="4"/>
  <c r="E129" i="4"/>
  <c r="D129" i="4"/>
  <c r="C129" i="4"/>
  <c r="O129" i="4" s="1"/>
  <c r="B129" i="4"/>
  <c r="A129" i="4"/>
  <c r="U128" i="4"/>
  <c r="S128" i="4"/>
  <c r="R128" i="4"/>
  <c r="Q128" i="4"/>
  <c r="P128" i="4"/>
  <c r="N128" i="4"/>
  <c r="L128" i="4"/>
  <c r="K128" i="4"/>
  <c r="J128" i="4"/>
  <c r="I128" i="4"/>
  <c r="H128" i="4"/>
  <c r="G128" i="4"/>
  <c r="F128" i="4"/>
  <c r="E128" i="4"/>
  <c r="M128" i="4" s="1"/>
  <c r="D128" i="4"/>
  <c r="C128" i="4"/>
  <c r="O128" i="4" s="1"/>
  <c r="B128" i="4"/>
  <c r="A128" i="4"/>
  <c r="S127" i="4"/>
  <c r="Q127" i="4"/>
  <c r="P127" i="4"/>
  <c r="L127" i="4"/>
  <c r="K127" i="4"/>
  <c r="J127" i="4"/>
  <c r="I127" i="4"/>
  <c r="H127" i="4"/>
  <c r="G127" i="4"/>
  <c r="F127" i="4"/>
  <c r="E127" i="4"/>
  <c r="M127" i="4" s="1"/>
  <c r="D127" i="4"/>
  <c r="C127" i="4"/>
  <c r="O127" i="4" s="1"/>
  <c r="B127" i="4"/>
  <c r="A127" i="4"/>
  <c r="S126" i="4"/>
  <c r="Q126" i="4"/>
  <c r="P126" i="4"/>
  <c r="L126" i="4"/>
  <c r="K126" i="4"/>
  <c r="J126" i="4"/>
  <c r="I126" i="4"/>
  <c r="H126" i="4"/>
  <c r="G126" i="4"/>
  <c r="F126" i="4"/>
  <c r="E126" i="4"/>
  <c r="N126" i="4" s="1"/>
  <c r="D126" i="4"/>
  <c r="C126" i="4"/>
  <c r="O126" i="4" s="1"/>
  <c r="B126" i="4"/>
  <c r="A126" i="4"/>
  <c r="S125" i="4"/>
  <c r="Q125" i="4"/>
  <c r="P125" i="4"/>
  <c r="R125" i="4" s="1"/>
  <c r="L125" i="4"/>
  <c r="K125" i="4"/>
  <c r="J125" i="4"/>
  <c r="I125" i="4"/>
  <c r="H125" i="4"/>
  <c r="G125" i="4"/>
  <c r="F125" i="4"/>
  <c r="E125" i="4"/>
  <c r="U125" i="4" s="1"/>
  <c r="D125" i="4"/>
  <c r="C125" i="4"/>
  <c r="O125" i="4" s="1"/>
  <c r="B125" i="4"/>
  <c r="A125" i="4"/>
  <c r="S124" i="4"/>
  <c r="Q124" i="4"/>
  <c r="P124" i="4"/>
  <c r="R124" i="4" s="1"/>
  <c r="L124" i="4"/>
  <c r="K124" i="4"/>
  <c r="J124" i="4"/>
  <c r="I124" i="4"/>
  <c r="H124" i="4"/>
  <c r="G124" i="4"/>
  <c r="F124" i="4"/>
  <c r="E124" i="4"/>
  <c r="D124" i="4"/>
  <c r="C124" i="4"/>
  <c r="O124" i="4" s="1"/>
  <c r="B124" i="4"/>
  <c r="A124" i="4"/>
  <c r="S123" i="4"/>
  <c r="Q123" i="4"/>
  <c r="P123" i="4"/>
  <c r="O123" i="4"/>
  <c r="L123" i="4"/>
  <c r="K123" i="4"/>
  <c r="J123" i="4"/>
  <c r="I123" i="4"/>
  <c r="H123" i="4"/>
  <c r="G123" i="4"/>
  <c r="F123" i="4"/>
  <c r="T123" i="4" s="1"/>
  <c r="E123" i="4"/>
  <c r="U123" i="4" s="1"/>
  <c r="D123" i="4"/>
  <c r="C123" i="4"/>
  <c r="B123" i="4"/>
  <c r="A123" i="4"/>
  <c r="S122" i="4"/>
  <c r="Q122" i="4"/>
  <c r="R122" i="4" s="1"/>
  <c r="P122" i="4"/>
  <c r="N122" i="4"/>
  <c r="L122" i="4"/>
  <c r="K122" i="4"/>
  <c r="J122" i="4"/>
  <c r="I122" i="4"/>
  <c r="H122" i="4"/>
  <c r="G122" i="4"/>
  <c r="F122" i="4"/>
  <c r="E122" i="4"/>
  <c r="U122" i="4" s="1"/>
  <c r="D122" i="4"/>
  <c r="C122" i="4"/>
  <c r="O122" i="4" s="1"/>
  <c r="B122" i="4"/>
  <c r="A122" i="4"/>
  <c r="S121" i="4"/>
  <c r="Q121" i="4"/>
  <c r="P121" i="4"/>
  <c r="R121" i="4" s="1"/>
  <c r="M121" i="4"/>
  <c r="L121" i="4"/>
  <c r="K121" i="4"/>
  <c r="J121" i="4"/>
  <c r="I121" i="4"/>
  <c r="H121" i="4"/>
  <c r="G121" i="4"/>
  <c r="F121" i="4"/>
  <c r="E121" i="4"/>
  <c r="U121" i="4" s="1"/>
  <c r="D121" i="4"/>
  <c r="C121" i="4"/>
  <c r="O121" i="4" s="1"/>
  <c r="B121" i="4"/>
  <c r="A121" i="4"/>
  <c r="S120" i="4"/>
  <c r="Q120" i="4"/>
  <c r="P120" i="4"/>
  <c r="L120" i="4"/>
  <c r="K120" i="4"/>
  <c r="J120" i="4"/>
  <c r="I120" i="4"/>
  <c r="H120" i="4"/>
  <c r="G120" i="4"/>
  <c r="F120" i="4"/>
  <c r="T120" i="4" s="1"/>
  <c r="E120" i="4"/>
  <c r="N120" i="4" s="1"/>
  <c r="D120" i="4"/>
  <c r="C120" i="4"/>
  <c r="O120" i="4" s="1"/>
  <c r="B120" i="4"/>
  <c r="A120" i="4"/>
  <c r="S119" i="4"/>
  <c r="Q119" i="4"/>
  <c r="P119" i="4"/>
  <c r="L119" i="4"/>
  <c r="K119" i="4"/>
  <c r="J119" i="4"/>
  <c r="I119" i="4"/>
  <c r="H119" i="4"/>
  <c r="G119" i="4"/>
  <c r="F119" i="4"/>
  <c r="T119" i="4" s="1"/>
  <c r="E119" i="4"/>
  <c r="U119" i="4" s="1"/>
  <c r="D119" i="4"/>
  <c r="C119" i="4"/>
  <c r="O119" i="4" s="1"/>
  <c r="B119" i="4"/>
  <c r="A119" i="4"/>
  <c r="S118" i="4"/>
  <c r="Q118" i="4"/>
  <c r="P118" i="4"/>
  <c r="R118" i="4" s="1"/>
  <c r="L118" i="4"/>
  <c r="K118" i="4"/>
  <c r="J118" i="4"/>
  <c r="I118" i="4"/>
  <c r="H118" i="4"/>
  <c r="G118" i="4"/>
  <c r="F118" i="4"/>
  <c r="E118" i="4"/>
  <c r="U118" i="4" s="1"/>
  <c r="D118" i="4"/>
  <c r="C118" i="4"/>
  <c r="O118" i="4" s="1"/>
  <c r="B118" i="4"/>
  <c r="A118" i="4"/>
  <c r="S117" i="4"/>
  <c r="Q117" i="4"/>
  <c r="P117" i="4"/>
  <c r="L117" i="4"/>
  <c r="K117" i="4"/>
  <c r="J117" i="4"/>
  <c r="I117" i="4"/>
  <c r="H117" i="4"/>
  <c r="G117" i="4"/>
  <c r="F117" i="4"/>
  <c r="E117" i="4"/>
  <c r="T117" i="4" s="1"/>
  <c r="D117" i="4"/>
  <c r="C117" i="4"/>
  <c r="O117" i="4" s="1"/>
  <c r="B117" i="4"/>
  <c r="A117" i="4"/>
  <c r="S116" i="4"/>
  <c r="Q116" i="4"/>
  <c r="P116" i="4"/>
  <c r="L116" i="4"/>
  <c r="K116" i="4"/>
  <c r="J116" i="4"/>
  <c r="I116" i="4"/>
  <c r="H116" i="4"/>
  <c r="G116" i="4"/>
  <c r="F116" i="4"/>
  <c r="E116" i="4"/>
  <c r="U116" i="4" s="1"/>
  <c r="D116" i="4"/>
  <c r="C116" i="4"/>
  <c r="O116" i="4" s="1"/>
  <c r="B116" i="4"/>
  <c r="A116" i="4"/>
  <c r="S115" i="4"/>
  <c r="Q115" i="4"/>
  <c r="P115" i="4"/>
  <c r="L115" i="4"/>
  <c r="K115" i="4"/>
  <c r="J115" i="4"/>
  <c r="I115" i="4"/>
  <c r="H115" i="4"/>
  <c r="G115" i="4"/>
  <c r="F115" i="4"/>
  <c r="E115" i="4"/>
  <c r="U115" i="4" s="1"/>
  <c r="D115" i="4"/>
  <c r="C115" i="4"/>
  <c r="O115" i="4" s="1"/>
  <c r="B115" i="4"/>
  <c r="A115" i="4"/>
  <c r="S114" i="4"/>
  <c r="Q114" i="4"/>
  <c r="P114" i="4"/>
  <c r="O114" i="4"/>
  <c r="L114" i="4"/>
  <c r="K114" i="4"/>
  <c r="J114" i="4"/>
  <c r="I114" i="4"/>
  <c r="H114" i="4"/>
  <c r="G114" i="4"/>
  <c r="F114" i="4"/>
  <c r="E114" i="4"/>
  <c r="U114" i="4" s="1"/>
  <c r="D114" i="4"/>
  <c r="C114" i="4"/>
  <c r="B114" i="4"/>
  <c r="A114" i="4"/>
  <c r="S113" i="4"/>
  <c r="Q113" i="4"/>
  <c r="P113" i="4"/>
  <c r="L113" i="4"/>
  <c r="K113" i="4"/>
  <c r="J113" i="4"/>
  <c r="I113" i="4"/>
  <c r="H113" i="4"/>
  <c r="G113" i="4"/>
  <c r="F113" i="4"/>
  <c r="E113" i="4"/>
  <c r="M113" i="4" s="1"/>
  <c r="D113" i="4"/>
  <c r="C113" i="4"/>
  <c r="O113" i="4" s="1"/>
  <c r="B113" i="4"/>
  <c r="A113" i="4"/>
  <c r="U112" i="4"/>
  <c r="S112" i="4"/>
  <c r="Q112" i="4"/>
  <c r="P112" i="4"/>
  <c r="M112" i="4"/>
  <c r="L112" i="4"/>
  <c r="K112" i="4"/>
  <c r="J112" i="4"/>
  <c r="I112" i="4"/>
  <c r="H112" i="4"/>
  <c r="G112" i="4"/>
  <c r="F112" i="4"/>
  <c r="E112" i="4"/>
  <c r="D112" i="4"/>
  <c r="C112" i="4"/>
  <c r="O112" i="4" s="1"/>
  <c r="B112" i="4"/>
  <c r="A112" i="4"/>
  <c r="S111" i="4"/>
  <c r="Q111" i="4"/>
  <c r="P111" i="4"/>
  <c r="O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S110" i="4"/>
  <c r="Q110" i="4"/>
  <c r="P110" i="4"/>
  <c r="L110" i="4"/>
  <c r="K110" i="4"/>
  <c r="J110" i="4"/>
  <c r="I110" i="4"/>
  <c r="H110" i="4"/>
  <c r="G110" i="4"/>
  <c r="F110" i="4"/>
  <c r="E110" i="4"/>
  <c r="U110" i="4" s="1"/>
  <c r="D110" i="4"/>
  <c r="C110" i="4"/>
  <c r="O110" i="4" s="1"/>
  <c r="B110" i="4"/>
  <c r="A110" i="4"/>
  <c r="S109" i="4"/>
  <c r="Q109" i="4"/>
  <c r="P109" i="4"/>
  <c r="O109" i="4"/>
  <c r="N109" i="4"/>
  <c r="L109" i="4"/>
  <c r="K109" i="4"/>
  <c r="J109" i="4"/>
  <c r="I109" i="4"/>
  <c r="H109" i="4"/>
  <c r="G109" i="4"/>
  <c r="F109" i="4"/>
  <c r="E109" i="4"/>
  <c r="M109" i="4" s="1"/>
  <c r="D109" i="4"/>
  <c r="C109" i="4"/>
  <c r="B109" i="4"/>
  <c r="A109" i="4"/>
  <c r="S108" i="4"/>
  <c r="Q108" i="4"/>
  <c r="P108" i="4"/>
  <c r="L108" i="4"/>
  <c r="K108" i="4"/>
  <c r="J108" i="4"/>
  <c r="I108" i="4"/>
  <c r="H108" i="4"/>
  <c r="G108" i="4"/>
  <c r="F108" i="4"/>
  <c r="E108" i="4"/>
  <c r="U108" i="4" s="1"/>
  <c r="D108" i="4"/>
  <c r="C108" i="4"/>
  <c r="O108" i="4" s="1"/>
  <c r="B108" i="4"/>
  <c r="A108" i="4"/>
  <c r="U107" i="4"/>
  <c r="S107" i="4"/>
  <c r="Q107" i="4"/>
  <c r="P107" i="4"/>
  <c r="M107" i="4"/>
  <c r="L107" i="4"/>
  <c r="K107" i="4"/>
  <c r="J107" i="4"/>
  <c r="I107" i="4"/>
  <c r="H107" i="4"/>
  <c r="G107" i="4"/>
  <c r="F107" i="4"/>
  <c r="E107" i="4"/>
  <c r="N107" i="4" s="1"/>
  <c r="D107" i="4"/>
  <c r="C107" i="4"/>
  <c r="O107" i="4" s="1"/>
  <c r="B107" i="4"/>
  <c r="A107" i="4"/>
  <c r="S106" i="4"/>
  <c r="Q106" i="4"/>
  <c r="P106" i="4"/>
  <c r="N106" i="4"/>
  <c r="M106" i="4"/>
  <c r="L106" i="4"/>
  <c r="K106" i="4"/>
  <c r="J106" i="4"/>
  <c r="I106" i="4"/>
  <c r="H106" i="4"/>
  <c r="G106" i="4"/>
  <c r="F106" i="4"/>
  <c r="E106" i="4"/>
  <c r="U106" i="4" s="1"/>
  <c r="D106" i="4"/>
  <c r="C106" i="4"/>
  <c r="O106" i="4" s="1"/>
  <c r="B106" i="4"/>
  <c r="A106" i="4"/>
  <c r="S105" i="4"/>
  <c r="Q105" i="4"/>
  <c r="P105" i="4"/>
  <c r="L105" i="4"/>
  <c r="K105" i="4"/>
  <c r="J105" i="4"/>
  <c r="I105" i="4"/>
  <c r="H105" i="4"/>
  <c r="G105" i="4"/>
  <c r="F105" i="4"/>
  <c r="E105" i="4"/>
  <c r="U105" i="4" s="1"/>
  <c r="D105" i="4"/>
  <c r="C105" i="4"/>
  <c r="O105" i="4" s="1"/>
  <c r="B105" i="4"/>
  <c r="A105" i="4"/>
  <c r="U104" i="4"/>
  <c r="S104" i="4"/>
  <c r="Q104" i="4"/>
  <c r="P104" i="4"/>
  <c r="M104" i="4"/>
  <c r="L104" i="4"/>
  <c r="K104" i="4"/>
  <c r="J104" i="4"/>
  <c r="I104" i="4"/>
  <c r="H104" i="4"/>
  <c r="G104" i="4"/>
  <c r="F104" i="4"/>
  <c r="T104" i="4" s="1"/>
  <c r="E104" i="4"/>
  <c r="N104" i="4" s="1"/>
  <c r="D104" i="4"/>
  <c r="C104" i="4"/>
  <c r="O104" i="4" s="1"/>
  <c r="B104" i="4"/>
  <c r="A104" i="4"/>
  <c r="S103" i="4"/>
  <c r="Q103" i="4"/>
  <c r="P103" i="4"/>
  <c r="L103" i="4"/>
  <c r="K103" i="4"/>
  <c r="J103" i="4"/>
  <c r="I103" i="4"/>
  <c r="H103" i="4"/>
  <c r="G103" i="4"/>
  <c r="F103" i="4"/>
  <c r="E103" i="4"/>
  <c r="D103" i="4"/>
  <c r="C103" i="4"/>
  <c r="O103" i="4" s="1"/>
  <c r="B103" i="4"/>
  <c r="A103" i="4"/>
  <c r="S102" i="4"/>
  <c r="Q102" i="4"/>
  <c r="R102" i="4" s="1"/>
  <c r="P102" i="4"/>
  <c r="L102" i="4"/>
  <c r="K102" i="4"/>
  <c r="J102" i="4"/>
  <c r="I102" i="4"/>
  <c r="H102" i="4"/>
  <c r="G102" i="4"/>
  <c r="F102" i="4"/>
  <c r="E102" i="4"/>
  <c r="D102" i="4"/>
  <c r="C102" i="4"/>
  <c r="O102" i="4" s="1"/>
  <c r="B102" i="4"/>
  <c r="A102" i="4"/>
  <c r="U101" i="4"/>
  <c r="S101" i="4"/>
  <c r="Q101" i="4"/>
  <c r="P101" i="4"/>
  <c r="M101" i="4"/>
  <c r="L101" i="4"/>
  <c r="K101" i="4"/>
  <c r="J101" i="4"/>
  <c r="I101" i="4"/>
  <c r="H101" i="4"/>
  <c r="G101" i="4"/>
  <c r="F101" i="4"/>
  <c r="T101" i="4" s="1"/>
  <c r="E101" i="4"/>
  <c r="N101" i="4" s="1"/>
  <c r="D101" i="4"/>
  <c r="C101" i="4"/>
  <c r="O101" i="4" s="1"/>
  <c r="B101" i="4"/>
  <c r="A101" i="4"/>
  <c r="S100" i="4"/>
  <c r="Q100" i="4"/>
  <c r="P100" i="4"/>
  <c r="L100" i="4"/>
  <c r="K100" i="4"/>
  <c r="J100" i="4"/>
  <c r="I100" i="4"/>
  <c r="H100" i="4"/>
  <c r="G100" i="4"/>
  <c r="F100" i="4"/>
  <c r="E100" i="4"/>
  <c r="U100" i="4" s="1"/>
  <c r="D100" i="4"/>
  <c r="C100" i="4"/>
  <c r="O100" i="4" s="1"/>
  <c r="B100" i="4"/>
  <c r="A100" i="4"/>
  <c r="S99" i="4"/>
  <c r="Q99" i="4"/>
  <c r="P99" i="4"/>
  <c r="R99" i="4" s="1"/>
  <c r="O99" i="4"/>
  <c r="L99" i="4"/>
  <c r="K99" i="4"/>
  <c r="J99" i="4"/>
  <c r="I99" i="4"/>
  <c r="H99" i="4"/>
  <c r="G99" i="4"/>
  <c r="F99" i="4"/>
  <c r="E99" i="4"/>
  <c r="U99" i="4" s="1"/>
  <c r="D99" i="4"/>
  <c r="C99" i="4"/>
  <c r="B99" i="4"/>
  <c r="A99" i="4"/>
  <c r="S98" i="4"/>
  <c r="Q98" i="4"/>
  <c r="P98" i="4"/>
  <c r="L98" i="4"/>
  <c r="K98" i="4"/>
  <c r="J98" i="4"/>
  <c r="I98" i="4"/>
  <c r="H98" i="4"/>
  <c r="G98" i="4"/>
  <c r="F98" i="4"/>
  <c r="E98" i="4"/>
  <c r="U98" i="4" s="1"/>
  <c r="D98" i="4"/>
  <c r="C98" i="4"/>
  <c r="O98" i="4" s="1"/>
  <c r="B98" i="4"/>
  <c r="A98" i="4"/>
  <c r="S97" i="4"/>
  <c r="Q97" i="4"/>
  <c r="P97" i="4"/>
  <c r="R97" i="4" s="1"/>
  <c r="L97" i="4"/>
  <c r="K97" i="4"/>
  <c r="J97" i="4"/>
  <c r="I97" i="4"/>
  <c r="H97" i="4"/>
  <c r="G97" i="4"/>
  <c r="F97" i="4"/>
  <c r="E97" i="4"/>
  <c r="U97" i="4" s="1"/>
  <c r="D97" i="4"/>
  <c r="C97" i="4"/>
  <c r="O97" i="4" s="1"/>
  <c r="B97" i="4"/>
  <c r="A97" i="4"/>
  <c r="S96" i="4"/>
  <c r="Q96" i="4"/>
  <c r="P96" i="4"/>
  <c r="R96" i="4" s="1"/>
  <c r="L96" i="4"/>
  <c r="K96" i="4"/>
  <c r="J96" i="4"/>
  <c r="I96" i="4"/>
  <c r="H96" i="4"/>
  <c r="G96" i="4"/>
  <c r="F96" i="4"/>
  <c r="E96" i="4"/>
  <c r="U96" i="4" s="1"/>
  <c r="D96" i="4"/>
  <c r="C96" i="4"/>
  <c r="O96" i="4" s="1"/>
  <c r="B96" i="4"/>
  <c r="A96" i="4"/>
  <c r="S95" i="4"/>
  <c r="Q95" i="4"/>
  <c r="P95" i="4"/>
  <c r="L95" i="4"/>
  <c r="K95" i="4"/>
  <c r="J95" i="4"/>
  <c r="I95" i="4"/>
  <c r="H95" i="4"/>
  <c r="G95" i="4"/>
  <c r="F95" i="4"/>
  <c r="E95" i="4"/>
  <c r="N95" i="4" s="1"/>
  <c r="D95" i="4"/>
  <c r="C95" i="4"/>
  <c r="O95" i="4" s="1"/>
  <c r="B95" i="4"/>
  <c r="A95" i="4"/>
  <c r="S94" i="4"/>
  <c r="Q94" i="4"/>
  <c r="P94" i="4"/>
  <c r="R94" i="4" s="1"/>
  <c r="N94" i="4"/>
  <c r="L94" i="4"/>
  <c r="K94" i="4"/>
  <c r="J94" i="4"/>
  <c r="I94" i="4"/>
  <c r="H94" i="4"/>
  <c r="G94" i="4"/>
  <c r="F94" i="4"/>
  <c r="E94" i="4"/>
  <c r="U94" i="4" s="1"/>
  <c r="D94" i="4"/>
  <c r="C94" i="4"/>
  <c r="O94" i="4" s="1"/>
  <c r="B94" i="4"/>
  <c r="A94" i="4"/>
  <c r="S93" i="4"/>
  <c r="Q93" i="4"/>
  <c r="P93" i="4"/>
  <c r="L93" i="4"/>
  <c r="K93" i="4"/>
  <c r="J93" i="4"/>
  <c r="I93" i="4"/>
  <c r="H93" i="4"/>
  <c r="G93" i="4"/>
  <c r="F93" i="4"/>
  <c r="T93" i="4" s="1"/>
  <c r="E93" i="4"/>
  <c r="M93" i="4" s="1"/>
  <c r="D93" i="4"/>
  <c r="C93" i="4"/>
  <c r="O93" i="4" s="1"/>
  <c r="B93" i="4"/>
  <c r="A93" i="4"/>
  <c r="S92" i="4"/>
  <c r="Q92" i="4"/>
  <c r="P92" i="4"/>
  <c r="R92" i="4" s="1"/>
  <c r="L92" i="4"/>
  <c r="K92" i="4"/>
  <c r="J92" i="4"/>
  <c r="I92" i="4"/>
  <c r="H92" i="4"/>
  <c r="G92" i="4"/>
  <c r="F92" i="4"/>
  <c r="E92" i="4"/>
  <c r="U92" i="4" s="1"/>
  <c r="D92" i="4"/>
  <c r="C92" i="4"/>
  <c r="O92" i="4" s="1"/>
  <c r="B92" i="4"/>
  <c r="A92" i="4"/>
  <c r="S91" i="4"/>
  <c r="Q91" i="4"/>
  <c r="P91" i="4"/>
  <c r="O91" i="4"/>
  <c r="L91" i="4"/>
  <c r="K91" i="4"/>
  <c r="J91" i="4"/>
  <c r="I91" i="4"/>
  <c r="H91" i="4"/>
  <c r="G91" i="4"/>
  <c r="F91" i="4"/>
  <c r="E91" i="4"/>
  <c r="U91" i="4" s="1"/>
  <c r="D91" i="4"/>
  <c r="C91" i="4"/>
  <c r="B91" i="4"/>
  <c r="A91" i="4"/>
  <c r="S90" i="4"/>
  <c r="Q90" i="4"/>
  <c r="P90" i="4"/>
  <c r="N90" i="4"/>
  <c r="L90" i="4"/>
  <c r="K90" i="4"/>
  <c r="J90" i="4"/>
  <c r="I90" i="4"/>
  <c r="H90" i="4"/>
  <c r="G90" i="4"/>
  <c r="F90" i="4"/>
  <c r="T90" i="4" s="1"/>
  <c r="E90" i="4"/>
  <c r="U90" i="4" s="1"/>
  <c r="D90" i="4"/>
  <c r="C90" i="4"/>
  <c r="O90" i="4" s="1"/>
  <c r="B90" i="4"/>
  <c r="A90" i="4"/>
  <c r="S89" i="4"/>
  <c r="Q89" i="4"/>
  <c r="P89" i="4"/>
  <c r="L89" i="4"/>
  <c r="K89" i="4"/>
  <c r="J89" i="4"/>
  <c r="I89" i="4"/>
  <c r="H89" i="4"/>
  <c r="G89" i="4"/>
  <c r="F89" i="4"/>
  <c r="E89" i="4"/>
  <c r="U89" i="4" s="1"/>
  <c r="D89" i="4"/>
  <c r="C89" i="4"/>
  <c r="O89" i="4" s="1"/>
  <c r="B89" i="4"/>
  <c r="A89" i="4"/>
  <c r="S88" i="4"/>
  <c r="Q88" i="4"/>
  <c r="P88" i="4"/>
  <c r="R88" i="4" s="1"/>
  <c r="L88" i="4"/>
  <c r="K88" i="4"/>
  <c r="J88" i="4"/>
  <c r="I88" i="4"/>
  <c r="H88" i="4"/>
  <c r="G88" i="4"/>
  <c r="F88" i="4"/>
  <c r="E88" i="4"/>
  <c r="N88" i="4" s="1"/>
  <c r="D88" i="4"/>
  <c r="C88" i="4"/>
  <c r="O88" i="4" s="1"/>
  <c r="B88" i="4"/>
  <c r="A88" i="4"/>
  <c r="S87" i="4"/>
  <c r="Q87" i="4"/>
  <c r="P87" i="4"/>
  <c r="L87" i="4"/>
  <c r="K87" i="4"/>
  <c r="J87" i="4"/>
  <c r="I87" i="4"/>
  <c r="H87" i="4"/>
  <c r="G87" i="4"/>
  <c r="F87" i="4"/>
  <c r="E87" i="4"/>
  <c r="U87" i="4" s="1"/>
  <c r="D87" i="4"/>
  <c r="C87" i="4"/>
  <c r="O87" i="4" s="1"/>
  <c r="B87" i="4"/>
  <c r="A87" i="4"/>
  <c r="S86" i="4"/>
  <c r="Q86" i="4"/>
  <c r="P86" i="4"/>
  <c r="L86" i="4"/>
  <c r="K86" i="4"/>
  <c r="J86" i="4"/>
  <c r="I86" i="4"/>
  <c r="H86" i="4"/>
  <c r="G86" i="4"/>
  <c r="F86" i="4"/>
  <c r="E86" i="4"/>
  <c r="N86" i="4" s="1"/>
  <c r="D86" i="4"/>
  <c r="C86" i="4"/>
  <c r="O86" i="4" s="1"/>
  <c r="B86" i="4"/>
  <c r="A86" i="4"/>
  <c r="S85" i="4"/>
  <c r="Q85" i="4"/>
  <c r="P85" i="4"/>
  <c r="R85" i="4" s="1"/>
  <c r="N85" i="4"/>
  <c r="L85" i="4"/>
  <c r="K85" i="4"/>
  <c r="J85" i="4"/>
  <c r="I85" i="4"/>
  <c r="H85" i="4"/>
  <c r="G85" i="4"/>
  <c r="F85" i="4"/>
  <c r="E85" i="4"/>
  <c r="U85" i="4" s="1"/>
  <c r="D85" i="4"/>
  <c r="C85" i="4"/>
  <c r="O85" i="4" s="1"/>
  <c r="B85" i="4"/>
  <c r="A85" i="4"/>
  <c r="S84" i="4"/>
  <c r="Q84" i="4"/>
  <c r="P84" i="4"/>
  <c r="R84" i="4" s="1"/>
  <c r="L84" i="4"/>
  <c r="K84" i="4"/>
  <c r="J84" i="4"/>
  <c r="I84" i="4"/>
  <c r="H84" i="4"/>
  <c r="G84" i="4"/>
  <c r="F84" i="4"/>
  <c r="E84" i="4"/>
  <c r="U84" i="4" s="1"/>
  <c r="D84" i="4"/>
  <c r="C84" i="4"/>
  <c r="O84" i="4" s="1"/>
  <c r="B84" i="4"/>
  <c r="A84" i="4"/>
  <c r="S83" i="4"/>
  <c r="Q83" i="4"/>
  <c r="P83" i="4"/>
  <c r="R83" i="4" s="1"/>
  <c r="L83" i="4"/>
  <c r="K83" i="4"/>
  <c r="J83" i="4"/>
  <c r="I83" i="4"/>
  <c r="H83" i="4"/>
  <c r="G83" i="4"/>
  <c r="F83" i="4"/>
  <c r="E83" i="4"/>
  <c r="D83" i="4"/>
  <c r="C83" i="4"/>
  <c r="O83" i="4" s="1"/>
  <c r="B83" i="4"/>
  <c r="A83" i="4"/>
  <c r="S82" i="4"/>
  <c r="Q82" i="4"/>
  <c r="P82" i="4"/>
  <c r="L82" i="4"/>
  <c r="K82" i="4"/>
  <c r="J82" i="4"/>
  <c r="I82" i="4"/>
  <c r="H82" i="4"/>
  <c r="G82" i="4"/>
  <c r="F82" i="4"/>
  <c r="E82" i="4"/>
  <c r="U82" i="4" s="1"/>
  <c r="D82" i="4"/>
  <c r="C82" i="4"/>
  <c r="O82" i="4" s="1"/>
  <c r="B82" i="4"/>
  <c r="A82" i="4"/>
  <c r="S81" i="4"/>
  <c r="Q81" i="4"/>
  <c r="P81" i="4"/>
  <c r="R81" i="4" s="1"/>
  <c r="L81" i="4"/>
  <c r="K81" i="4"/>
  <c r="J81" i="4"/>
  <c r="I81" i="4"/>
  <c r="H81" i="4"/>
  <c r="G81" i="4"/>
  <c r="F81" i="4"/>
  <c r="E81" i="4"/>
  <c r="D81" i="4"/>
  <c r="C81" i="4"/>
  <c r="O81" i="4" s="1"/>
  <c r="B81" i="4"/>
  <c r="A81" i="4"/>
  <c r="S80" i="4"/>
  <c r="Q80" i="4"/>
  <c r="P80" i="4"/>
  <c r="L80" i="4"/>
  <c r="K80" i="4"/>
  <c r="J80" i="4"/>
  <c r="I80" i="4"/>
  <c r="H80" i="4"/>
  <c r="G80" i="4"/>
  <c r="F80" i="4"/>
  <c r="T80" i="4" s="1"/>
  <c r="E80" i="4"/>
  <c r="U80" i="4" s="1"/>
  <c r="D80" i="4"/>
  <c r="C80" i="4"/>
  <c r="O80" i="4" s="1"/>
  <c r="B80" i="4"/>
  <c r="A80" i="4"/>
  <c r="S79" i="4"/>
  <c r="Q79" i="4"/>
  <c r="P79" i="4"/>
  <c r="R79" i="4" s="1"/>
  <c r="L79" i="4"/>
  <c r="K79" i="4"/>
  <c r="J79" i="4"/>
  <c r="I79" i="4"/>
  <c r="H79" i="4"/>
  <c r="G79" i="4"/>
  <c r="F79" i="4"/>
  <c r="E79" i="4"/>
  <c r="N79" i="4" s="1"/>
  <c r="D79" i="4"/>
  <c r="C79" i="4"/>
  <c r="O79" i="4" s="1"/>
  <c r="B79" i="4"/>
  <c r="A79" i="4"/>
  <c r="S78" i="4"/>
  <c r="Q78" i="4"/>
  <c r="P78" i="4"/>
  <c r="R78" i="4" s="1"/>
  <c r="L78" i="4"/>
  <c r="K78" i="4"/>
  <c r="J78" i="4"/>
  <c r="I78" i="4"/>
  <c r="H78" i="4"/>
  <c r="G78" i="4"/>
  <c r="F78" i="4"/>
  <c r="E78" i="4"/>
  <c r="U78" i="4" s="1"/>
  <c r="D78" i="4"/>
  <c r="C78" i="4"/>
  <c r="O78" i="4" s="1"/>
  <c r="B78" i="4"/>
  <c r="A78" i="4"/>
  <c r="S77" i="4"/>
  <c r="Q77" i="4"/>
  <c r="R77" i="4" s="1"/>
  <c r="P77" i="4"/>
  <c r="L77" i="4"/>
  <c r="K77" i="4"/>
  <c r="J77" i="4"/>
  <c r="I77" i="4"/>
  <c r="H77" i="4"/>
  <c r="G77" i="4"/>
  <c r="F77" i="4"/>
  <c r="E77" i="4"/>
  <c r="M77" i="4" s="1"/>
  <c r="D77" i="4"/>
  <c r="C77" i="4"/>
  <c r="O77" i="4" s="1"/>
  <c r="B77" i="4"/>
  <c r="A77" i="4"/>
  <c r="S76" i="4"/>
  <c r="Q76" i="4"/>
  <c r="P76" i="4"/>
  <c r="R76" i="4" s="1"/>
  <c r="L76" i="4"/>
  <c r="K76" i="4"/>
  <c r="J76" i="4"/>
  <c r="I76" i="4"/>
  <c r="H76" i="4"/>
  <c r="G76" i="4"/>
  <c r="F76" i="4"/>
  <c r="E76" i="4"/>
  <c r="U76" i="4" s="1"/>
  <c r="D76" i="4"/>
  <c r="C76" i="4"/>
  <c r="O76" i="4" s="1"/>
  <c r="B76" i="4"/>
  <c r="A76" i="4"/>
  <c r="S75" i="4"/>
  <c r="Q75" i="4"/>
  <c r="P75" i="4"/>
  <c r="R75" i="4" s="1"/>
  <c r="L75" i="4"/>
  <c r="K75" i="4"/>
  <c r="J75" i="4"/>
  <c r="I75" i="4"/>
  <c r="H75" i="4"/>
  <c r="G75" i="4"/>
  <c r="F75" i="4"/>
  <c r="E75" i="4"/>
  <c r="U75" i="4" s="1"/>
  <c r="D75" i="4"/>
  <c r="C75" i="4"/>
  <c r="O75" i="4" s="1"/>
  <c r="B75" i="4"/>
  <c r="A75" i="4"/>
  <c r="S74" i="4"/>
  <c r="Q74" i="4"/>
  <c r="P74" i="4"/>
  <c r="R74" i="4" s="1"/>
  <c r="L74" i="4"/>
  <c r="K74" i="4"/>
  <c r="J74" i="4"/>
  <c r="I74" i="4"/>
  <c r="H74" i="4"/>
  <c r="G74" i="4"/>
  <c r="F74" i="4"/>
  <c r="E74" i="4"/>
  <c r="D74" i="4"/>
  <c r="C74" i="4"/>
  <c r="O74" i="4" s="1"/>
  <c r="B74" i="4"/>
  <c r="A74" i="4"/>
  <c r="S73" i="4"/>
  <c r="Q73" i="4"/>
  <c r="R73" i="4" s="1"/>
  <c r="P73" i="4"/>
  <c r="L73" i="4"/>
  <c r="K73" i="4"/>
  <c r="J73" i="4"/>
  <c r="I73" i="4"/>
  <c r="H73" i="4"/>
  <c r="G73" i="4"/>
  <c r="F73" i="4"/>
  <c r="E73" i="4"/>
  <c r="U73" i="4" s="1"/>
  <c r="D73" i="4"/>
  <c r="C73" i="4"/>
  <c r="O73" i="4" s="1"/>
  <c r="B73" i="4"/>
  <c r="A73" i="4"/>
  <c r="S72" i="4"/>
  <c r="Q72" i="4"/>
  <c r="P72" i="4"/>
  <c r="L72" i="4"/>
  <c r="K72" i="4"/>
  <c r="J72" i="4"/>
  <c r="I72" i="4"/>
  <c r="H72" i="4"/>
  <c r="G72" i="4"/>
  <c r="F72" i="4"/>
  <c r="E72" i="4"/>
  <c r="N72" i="4" s="1"/>
  <c r="D72" i="4"/>
  <c r="C72" i="4"/>
  <c r="O72" i="4" s="1"/>
  <c r="B72" i="4"/>
  <c r="A72" i="4"/>
  <c r="S71" i="4"/>
  <c r="Q71" i="4"/>
  <c r="P71" i="4"/>
  <c r="L71" i="4"/>
  <c r="K71" i="4"/>
  <c r="J71" i="4"/>
  <c r="I71" i="4"/>
  <c r="H71" i="4"/>
  <c r="G71" i="4"/>
  <c r="F71" i="4"/>
  <c r="E71" i="4"/>
  <c r="U71" i="4" s="1"/>
  <c r="D71" i="4"/>
  <c r="C71" i="4"/>
  <c r="O71" i="4" s="1"/>
  <c r="B71" i="4"/>
  <c r="A71" i="4"/>
  <c r="S70" i="4"/>
  <c r="Q70" i="4"/>
  <c r="P70" i="4"/>
  <c r="R70" i="4" s="1"/>
  <c r="L70" i="4"/>
  <c r="K70" i="4"/>
  <c r="J70" i="4"/>
  <c r="I70" i="4"/>
  <c r="H70" i="4"/>
  <c r="G70" i="4"/>
  <c r="F70" i="4"/>
  <c r="E70" i="4"/>
  <c r="N70" i="4" s="1"/>
  <c r="D70" i="4"/>
  <c r="C70" i="4"/>
  <c r="O70" i="4" s="1"/>
  <c r="B70" i="4"/>
  <c r="A70" i="4"/>
  <c r="S69" i="4"/>
  <c r="Q69" i="4"/>
  <c r="P69" i="4"/>
  <c r="N69" i="4"/>
  <c r="M69" i="4"/>
  <c r="L69" i="4"/>
  <c r="K69" i="4"/>
  <c r="J69" i="4"/>
  <c r="I69" i="4"/>
  <c r="H69" i="4"/>
  <c r="G69" i="4"/>
  <c r="F69" i="4"/>
  <c r="E69" i="4"/>
  <c r="U69" i="4" s="1"/>
  <c r="D69" i="4"/>
  <c r="C69" i="4"/>
  <c r="O69" i="4" s="1"/>
  <c r="B69" i="4"/>
  <c r="A69" i="4"/>
  <c r="S68" i="4"/>
  <c r="Q68" i="4"/>
  <c r="P68" i="4"/>
  <c r="L68" i="4"/>
  <c r="K68" i="4"/>
  <c r="J68" i="4"/>
  <c r="I68" i="4"/>
  <c r="H68" i="4"/>
  <c r="G68" i="4"/>
  <c r="F68" i="4"/>
  <c r="E68" i="4"/>
  <c r="U68" i="4" s="1"/>
  <c r="D68" i="4"/>
  <c r="C68" i="4"/>
  <c r="O68" i="4" s="1"/>
  <c r="B68" i="4"/>
  <c r="A68" i="4"/>
  <c r="S67" i="4"/>
  <c r="Q67" i="4"/>
  <c r="P67" i="4"/>
  <c r="R67" i="4" s="1"/>
  <c r="L67" i="4"/>
  <c r="K67" i="4"/>
  <c r="J67" i="4"/>
  <c r="I67" i="4"/>
  <c r="H67" i="4"/>
  <c r="G67" i="4"/>
  <c r="F67" i="4"/>
  <c r="E67" i="4"/>
  <c r="U67" i="4" s="1"/>
  <c r="D67" i="4"/>
  <c r="C67" i="4"/>
  <c r="O67" i="4" s="1"/>
  <c r="B67" i="4"/>
  <c r="A67" i="4"/>
  <c r="S66" i="4"/>
  <c r="Q66" i="4"/>
  <c r="P66" i="4"/>
  <c r="L66" i="4"/>
  <c r="K66" i="4"/>
  <c r="J66" i="4"/>
  <c r="I66" i="4"/>
  <c r="H66" i="4"/>
  <c r="G66" i="4"/>
  <c r="F66" i="4"/>
  <c r="E66" i="4"/>
  <c r="U66" i="4" s="1"/>
  <c r="D66" i="4"/>
  <c r="C66" i="4"/>
  <c r="O66" i="4" s="1"/>
  <c r="B66" i="4"/>
  <c r="A66" i="4"/>
  <c r="S65" i="4"/>
  <c r="Q65" i="4"/>
  <c r="P65" i="4"/>
  <c r="L65" i="4"/>
  <c r="K65" i="4"/>
  <c r="J65" i="4"/>
  <c r="I65" i="4"/>
  <c r="H65" i="4"/>
  <c r="G65" i="4"/>
  <c r="F65" i="4"/>
  <c r="E65" i="4"/>
  <c r="U65" i="4" s="1"/>
  <c r="D65" i="4"/>
  <c r="C65" i="4"/>
  <c r="O65" i="4" s="1"/>
  <c r="B65" i="4"/>
  <c r="A65" i="4"/>
  <c r="S64" i="4"/>
  <c r="Q64" i="4"/>
  <c r="P64" i="4"/>
  <c r="L64" i="4"/>
  <c r="K64" i="4"/>
  <c r="J64" i="4"/>
  <c r="I64" i="4"/>
  <c r="H64" i="4"/>
  <c r="G64" i="4"/>
  <c r="F64" i="4"/>
  <c r="E64" i="4"/>
  <c r="T64" i="4" s="1"/>
  <c r="D64" i="4"/>
  <c r="C64" i="4"/>
  <c r="O64" i="4" s="1"/>
  <c r="B64" i="4"/>
  <c r="A64" i="4"/>
  <c r="S63" i="4"/>
  <c r="Q63" i="4"/>
  <c r="P63" i="4"/>
  <c r="L63" i="4"/>
  <c r="K63" i="4"/>
  <c r="J63" i="4"/>
  <c r="I63" i="4"/>
  <c r="H63" i="4"/>
  <c r="G63" i="4"/>
  <c r="F63" i="4"/>
  <c r="E63" i="4"/>
  <c r="N63" i="4" s="1"/>
  <c r="D63" i="4"/>
  <c r="C63" i="4"/>
  <c r="O63" i="4" s="1"/>
  <c r="B63" i="4"/>
  <c r="A63" i="4"/>
  <c r="S62" i="4"/>
  <c r="Q62" i="4"/>
  <c r="R62" i="4" s="1"/>
  <c r="P62" i="4"/>
  <c r="O62" i="4"/>
  <c r="L62" i="4"/>
  <c r="K62" i="4"/>
  <c r="J62" i="4"/>
  <c r="I62" i="4"/>
  <c r="H62" i="4"/>
  <c r="G62" i="4"/>
  <c r="F62" i="4"/>
  <c r="E62" i="4"/>
  <c r="U62" i="4" s="1"/>
  <c r="D62" i="4"/>
  <c r="C62" i="4"/>
  <c r="B62" i="4"/>
  <c r="A62" i="4"/>
  <c r="S61" i="4"/>
  <c r="Q61" i="4"/>
  <c r="P61" i="4"/>
  <c r="L61" i="4"/>
  <c r="K61" i="4"/>
  <c r="J61" i="4"/>
  <c r="I61" i="4"/>
  <c r="H61" i="4"/>
  <c r="G61" i="4"/>
  <c r="F61" i="4"/>
  <c r="E61" i="4"/>
  <c r="D61" i="4"/>
  <c r="C61" i="4"/>
  <c r="O61" i="4" s="1"/>
  <c r="B61" i="4"/>
  <c r="A61" i="4"/>
  <c r="S60" i="4"/>
  <c r="Q60" i="4"/>
  <c r="P60" i="4"/>
  <c r="L60" i="4"/>
  <c r="K60" i="4"/>
  <c r="J60" i="4"/>
  <c r="I60" i="4"/>
  <c r="H60" i="4"/>
  <c r="G60" i="4"/>
  <c r="F60" i="4"/>
  <c r="E60" i="4"/>
  <c r="U60" i="4" s="1"/>
  <c r="D60" i="4"/>
  <c r="C60" i="4"/>
  <c r="O60" i="4" s="1"/>
  <c r="B60" i="4"/>
  <c r="A60" i="4"/>
  <c r="S59" i="4"/>
  <c r="Q59" i="4"/>
  <c r="P59" i="4"/>
  <c r="L59" i="4"/>
  <c r="K59" i="4"/>
  <c r="J59" i="4"/>
  <c r="I59" i="4"/>
  <c r="H59" i="4"/>
  <c r="G59" i="4"/>
  <c r="F59" i="4"/>
  <c r="E59" i="4"/>
  <c r="U59" i="4" s="1"/>
  <c r="D59" i="4"/>
  <c r="C59" i="4"/>
  <c r="O59" i="4" s="1"/>
  <c r="B59" i="4"/>
  <c r="A59" i="4"/>
  <c r="S58" i="4"/>
  <c r="Q58" i="4"/>
  <c r="P58" i="4"/>
  <c r="R58" i="4" s="1"/>
  <c r="N58" i="4"/>
  <c r="M58" i="4"/>
  <c r="L58" i="4"/>
  <c r="K58" i="4"/>
  <c r="J58" i="4"/>
  <c r="I58" i="4"/>
  <c r="H58" i="4"/>
  <c r="G58" i="4"/>
  <c r="F58" i="4"/>
  <c r="E58" i="4"/>
  <c r="U58" i="4" s="1"/>
  <c r="D58" i="4"/>
  <c r="C58" i="4"/>
  <c r="O58" i="4" s="1"/>
  <c r="B58" i="4"/>
  <c r="A58" i="4"/>
  <c r="S57" i="4"/>
  <c r="Q57" i="4"/>
  <c r="P57" i="4"/>
  <c r="L57" i="4"/>
  <c r="K57" i="4"/>
  <c r="J57" i="4"/>
  <c r="I57" i="4"/>
  <c r="H57" i="4"/>
  <c r="G57" i="4"/>
  <c r="F57" i="4"/>
  <c r="E57" i="4"/>
  <c r="U57" i="4" s="1"/>
  <c r="D57" i="4"/>
  <c r="C57" i="4"/>
  <c r="O57" i="4" s="1"/>
  <c r="B57" i="4"/>
  <c r="A57" i="4"/>
  <c r="S56" i="4"/>
  <c r="Q56" i="4"/>
  <c r="R56" i="4" s="1"/>
  <c r="P56" i="4"/>
  <c r="L56" i="4"/>
  <c r="K56" i="4"/>
  <c r="J56" i="4"/>
  <c r="I56" i="4"/>
  <c r="H56" i="4"/>
  <c r="G56" i="4"/>
  <c r="F56" i="4"/>
  <c r="T56" i="4" s="1"/>
  <c r="E56" i="4"/>
  <c r="N56" i="4" s="1"/>
  <c r="D56" i="4"/>
  <c r="C56" i="4"/>
  <c r="O56" i="4" s="1"/>
  <c r="B56" i="4"/>
  <c r="A56" i="4"/>
  <c r="S55" i="4"/>
  <c r="Q55" i="4"/>
  <c r="R55" i="4" s="1"/>
  <c r="P55" i="4"/>
  <c r="M55" i="4"/>
  <c r="L55" i="4"/>
  <c r="K55" i="4"/>
  <c r="J55" i="4"/>
  <c r="I55" i="4"/>
  <c r="H55" i="4"/>
  <c r="G55" i="4"/>
  <c r="F55" i="4"/>
  <c r="T55" i="4" s="1"/>
  <c r="E55" i="4"/>
  <c r="U55" i="4" s="1"/>
  <c r="D55" i="4"/>
  <c r="C55" i="4"/>
  <c r="O55" i="4" s="1"/>
  <c r="B55" i="4"/>
  <c r="A55" i="4"/>
  <c r="S54" i="4"/>
  <c r="Q54" i="4"/>
  <c r="P54" i="4"/>
  <c r="R54" i="4" s="1"/>
  <c r="L54" i="4"/>
  <c r="K54" i="4"/>
  <c r="J54" i="4"/>
  <c r="I54" i="4"/>
  <c r="H54" i="4"/>
  <c r="G54" i="4"/>
  <c r="F54" i="4"/>
  <c r="T54" i="4" s="1"/>
  <c r="E54" i="4"/>
  <c r="N54" i="4" s="1"/>
  <c r="D54" i="4"/>
  <c r="C54" i="4"/>
  <c r="O54" i="4" s="1"/>
  <c r="B54" i="4"/>
  <c r="A54" i="4"/>
  <c r="S53" i="4"/>
  <c r="Q53" i="4"/>
  <c r="P53" i="4"/>
  <c r="O53" i="4"/>
  <c r="L53" i="4"/>
  <c r="K53" i="4"/>
  <c r="J53" i="4"/>
  <c r="I53" i="4"/>
  <c r="H53" i="4"/>
  <c r="G53" i="4"/>
  <c r="F53" i="4"/>
  <c r="E53" i="4"/>
  <c r="U53" i="4" s="1"/>
  <c r="D53" i="4"/>
  <c r="C53" i="4"/>
  <c r="B53" i="4"/>
  <c r="A53" i="4"/>
  <c r="S52" i="4"/>
  <c r="Q52" i="4"/>
  <c r="P52" i="4"/>
  <c r="L52" i="4"/>
  <c r="K52" i="4"/>
  <c r="J52" i="4"/>
  <c r="I52" i="4"/>
  <c r="H52" i="4"/>
  <c r="G52" i="4"/>
  <c r="F52" i="4"/>
  <c r="E52" i="4"/>
  <c r="U52" i="4" s="1"/>
  <c r="D52" i="4"/>
  <c r="C52" i="4"/>
  <c r="O52" i="4" s="1"/>
  <c r="B52" i="4"/>
  <c r="A52" i="4"/>
  <c r="S51" i="4"/>
  <c r="Q51" i="4"/>
  <c r="P51" i="4"/>
  <c r="L51" i="4"/>
  <c r="K51" i="4"/>
  <c r="J51" i="4"/>
  <c r="I51" i="4"/>
  <c r="H51" i="4"/>
  <c r="G51" i="4"/>
  <c r="F51" i="4"/>
  <c r="E51" i="4"/>
  <c r="U51" i="4" s="1"/>
  <c r="D51" i="4"/>
  <c r="C51" i="4"/>
  <c r="O51" i="4" s="1"/>
  <c r="B51" i="4"/>
  <c r="A51" i="4"/>
  <c r="S50" i="4"/>
  <c r="Q50" i="4"/>
  <c r="P50" i="4"/>
  <c r="R50" i="4" s="1"/>
  <c r="L50" i="4"/>
  <c r="K50" i="4"/>
  <c r="J50" i="4"/>
  <c r="I50" i="4"/>
  <c r="H50" i="4"/>
  <c r="G50" i="4"/>
  <c r="F50" i="4"/>
  <c r="E50" i="4"/>
  <c r="U50" i="4" s="1"/>
  <c r="D50" i="4"/>
  <c r="C50" i="4"/>
  <c r="O50" i="4" s="1"/>
  <c r="B50" i="4"/>
  <c r="A50" i="4"/>
  <c r="S49" i="4"/>
  <c r="Q49" i="4"/>
  <c r="P49" i="4"/>
  <c r="R49" i="4" s="1"/>
  <c r="L49" i="4"/>
  <c r="K49" i="4"/>
  <c r="J49" i="4"/>
  <c r="I49" i="4"/>
  <c r="H49" i="4"/>
  <c r="G49" i="4"/>
  <c r="F49" i="4"/>
  <c r="E49" i="4"/>
  <c r="D49" i="4"/>
  <c r="C49" i="4"/>
  <c r="O49" i="4" s="1"/>
  <c r="B49" i="4"/>
  <c r="A49" i="4"/>
  <c r="S48" i="4"/>
  <c r="Q48" i="4"/>
  <c r="R48" i="4" s="1"/>
  <c r="P48" i="4"/>
  <c r="L48" i="4"/>
  <c r="K48" i="4"/>
  <c r="J48" i="4"/>
  <c r="I48" i="4"/>
  <c r="H48" i="4"/>
  <c r="G48" i="4"/>
  <c r="F48" i="4"/>
  <c r="E48" i="4"/>
  <c r="U48" i="4" s="1"/>
  <c r="D48" i="4"/>
  <c r="C48" i="4"/>
  <c r="O48" i="4" s="1"/>
  <c r="B48" i="4"/>
  <c r="A48" i="4"/>
  <c r="S47" i="4"/>
  <c r="Q47" i="4"/>
  <c r="P47" i="4"/>
  <c r="L47" i="4"/>
  <c r="K47" i="4"/>
  <c r="J47" i="4"/>
  <c r="I47" i="4"/>
  <c r="H47" i="4"/>
  <c r="G47" i="4"/>
  <c r="F47" i="4"/>
  <c r="E47" i="4"/>
  <c r="U47" i="4" s="1"/>
  <c r="D47" i="4"/>
  <c r="C47" i="4"/>
  <c r="O47" i="4" s="1"/>
  <c r="B47" i="4"/>
  <c r="A47" i="4"/>
  <c r="S46" i="4"/>
  <c r="Q46" i="4"/>
  <c r="P46" i="4"/>
  <c r="N46" i="4"/>
  <c r="L46" i="4"/>
  <c r="K46" i="4"/>
  <c r="J46" i="4"/>
  <c r="I46" i="4"/>
  <c r="H46" i="4"/>
  <c r="G46" i="4"/>
  <c r="F46" i="4"/>
  <c r="E46" i="4"/>
  <c r="U46" i="4" s="1"/>
  <c r="D46" i="4"/>
  <c r="C46" i="4"/>
  <c r="O46" i="4" s="1"/>
  <c r="B46" i="4"/>
  <c r="A46" i="4"/>
  <c r="S45" i="4"/>
  <c r="Q45" i="4"/>
  <c r="P45" i="4"/>
  <c r="N45" i="4"/>
  <c r="L45" i="4"/>
  <c r="K45" i="4"/>
  <c r="J45" i="4"/>
  <c r="I45" i="4"/>
  <c r="H45" i="4"/>
  <c r="G45" i="4"/>
  <c r="F45" i="4"/>
  <c r="E45" i="4"/>
  <c r="M45" i="4" s="1"/>
  <c r="D45" i="4"/>
  <c r="C45" i="4"/>
  <c r="O45" i="4" s="1"/>
  <c r="B45" i="4"/>
  <c r="A45" i="4"/>
  <c r="S44" i="4"/>
  <c r="Q44" i="4"/>
  <c r="P44" i="4"/>
  <c r="L44" i="4"/>
  <c r="K44" i="4"/>
  <c r="J44" i="4"/>
  <c r="I44" i="4"/>
  <c r="H44" i="4"/>
  <c r="G44" i="4"/>
  <c r="F44" i="4"/>
  <c r="E44" i="4"/>
  <c r="U44" i="4" s="1"/>
  <c r="D44" i="4"/>
  <c r="C44" i="4"/>
  <c r="O44" i="4" s="1"/>
  <c r="B44" i="4"/>
  <c r="A44" i="4"/>
  <c r="S43" i="4"/>
  <c r="Q43" i="4"/>
  <c r="P43" i="4"/>
  <c r="O43" i="4"/>
  <c r="L43" i="4"/>
  <c r="K43" i="4"/>
  <c r="J43" i="4"/>
  <c r="I43" i="4"/>
  <c r="H43" i="4"/>
  <c r="G43" i="4"/>
  <c r="F43" i="4"/>
  <c r="E43" i="4"/>
  <c r="U43" i="4" s="1"/>
  <c r="D43" i="4"/>
  <c r="C43" i="4"/>
  <c r="B43" i="4"/>
  <c r="A43" i="4"/>
  <c r="S42" i="4"/>
  <c r="Q42" i="4"/>
  <c r="P42" i="4"/>
  <c r="R42" i="4" s="1"/>
  <c r="L42" i="4"/>
  <c r="K42" i="4"/>
  <c r="J42" i="4"/>
  <c r="I42" i="4"/>
  <c r="H42" i="4"/>
  <c r="G42" i="4"/>
  <c r="F42" i="4"/>
  <c r="E42" i="4"/>
  <c r="U42" i="4" s="1"/>
  <c r="D42" i="4"/>
  <c r="C42" i="4"/>
  <c r="O42" i="4" s="1"/>
  <c r="B42" i="4"/>
  <c r="A42" i="4"/>
  <c r="S41" i="4"/>
  <c r="Q41" i="4"/>
  <c r="R41" i="4" s="1"/>
  <c r="P41" i="4"/>
  <c r="L41" i="4"/>
  <c r="K41" i="4"/>
  <c r="J41" i="4"/>
  <c r="I41" i="4"/>
  <c r="H41" i="4"/>
  <c r="G41" i="4"/>
  <c r="F41" i="4"/>
  <c r="E41" i="4"/>
  <c r="U41" i="4" s="1"/>
  <c r="D41" i="4"/>
  <c r="C41" i="4"/>
  <c r="O41" i="4" s="1"/>
  <c r="B41" i="4"/>
  <c r="A41" i="4"/>
  <c r="S40" i="4"/>
  <c r="Q40" i="4"/>
  <c r="P40" i="4"/>
  <c r="O40" i="4"/>
  <c r="L40" i="4"/>
  <c r="K40" i="4"/>
  <c r="J40" i="4"/>
  <c r="I40" i="4"/>
  <c r="H40" i="4"/>
  <c r="G40" i="4"/>
  <c r="F40" i="4"/>
  <c r="E40" i="4"/>
  <c r="N40" i="4" s="1"/>
  <c r="D40" i="4"/>
  <c r="C40" i="4"/>
  <c r="B40" i="4"/>
  <c r="A40" i="4"/>
  <c r="S39" i="4"/>
  <c r="Q39" i="4"/>
  <c r="P39" i="4"/>
  <c r="L39" i="4"/>
  <c r="K39" i="4"/>
  <c r="J39" i="4"/>
  <c r="I39" i="4"/>
  <c r="H39" i="4"/>
  <c r="G39" i="4"/>
  <c r="F39" i="4"/>
  <c r="E39" i="4"/>
  <c r="U39" i="4" s="1"/>
  <c r="D39" i="4"/>
  <c r="C39" i="4"/>
  <c r="O39" i="4" s="1"/>
  <c r="B39" i="4"/>
  <c r="A39" i="4"/>
  <c r="S38" i="4"/>
  <c r="Q38" i="4"/>
  <c r="P38" i="4"/>
  <c r="O38" i="4"/>
  <c r="L38" i="4"/>
  <c r="K38" i="4"/>
  <c r="J38" i="4"/>
  <c r="I38" i="4"/>
  <c r="H38" i="4"/>
  <c r="G38" i="4"/>
  <c r="F38" i="4"/>
  <c r="E38" i="4"/>
  <c r="N38" i="4" s="1"/>
  <c r="D38" i="4"/>
  <c r="C38" i="4"/>
  <c r="B38" i="4"/>
  <c r="A38" i="4"/>
  <c r="S37" i="4"/>
  <c r="Q37" i="4"/>
  <c r="P37" i="4"/>
  <c r="L37" i="4"/>
  <c r="K37" i="4"/>
  <c r="J37" i="4"/>
  <c r="I37" i="4"/>
  <c r="H37" i="4"/>
  <c r="G37" i="4"/>
  <c r="F37" i="4"/>
  <c r="E37" i="4"/>
  <c r="U37" i="4" s="1"/>
  <c r="D37" i="4"/>
  <c r="C37" i="4"/>
  <c r="O37" i="4" s="1"/>
  <c r="B37" i="4"/>
  <c r="A37" i="4"/>
  <c r="S36" i="4"/>
  <c r="Q36" i="4"/>
  <c r="P36" i="4"/>
  <c r="R36" i="4" s="1"/>
  <c r="L36" i="4"/>
  <c r="K36" i="4"/>
  <c r="J36" i="4"/>
  <c r="I36" i="4"/>
  <c r="H36" i="4"/>
  <c r="G36" i="4"/>
  <c r="F36" i="4"/>
  <c r="E36" i="4"/>
  <c r="U36" i="4" s="1"/>
  <c r="D36" i="4"/>
  <c r="C36" i="4"/>
  <c r="O36" i="4" s="1"/>
  <c r="B36" i="4"/>
  <c r="A36" i="4"/>
  <c r="S35" i="4"/>
  <c r="Q35" i="4"/>
  <c r="P35" i="4"/>
  <c r="L35" i="4"/>
  <c r="K35" i="4"/>
  <c r="J35" i="4"/>
  <c r="I35" i="4"/>
  <c r="H35" i="4"/>
  <c r="G35" i="4"/>
  <c r="F35" i="4"/>
  <c r="E35" i="4"/>
  <c r="U35" i="4" s="1"/>
  <c r="D35" i="4"/>
  <c r="C35" i="4"/>
  <c r="O35" i="4" s="1"/>
  <c r="B35" i="4"/>
  <c r="A35" i="4"/>
  <c r="S34" i="4"/>
  <c r="Q34" i="4"/>
  <c r="P34" i="4"/>
  <c r="L34" i="4"/>
  <c r="K34" i="4"/>
  <c r="J34" i="4"/>
  <c r="I34" i="4"/>
  <c r="H34" i="4"/>
  <c r="G34" i="4"/>
  <c r="F34" i="4"/>
  <c r="T34" i="4" s="1"/>
  <c r="E34" i="4"/>
  <c r="U34" i="4" s="1"/>
  <c r="D34" i="4"/>
  <c r="C34" i="4"/>
  <c r="O34" i="4" s="1"/>
  <c r="B34" i="4"/>
  <c r="A34" i="4"/>
  <c r="S33" i="4"/>
  <c r="Q33" i="4"/>
  <c r="R33" i="4" s="1"/>
  <c r="P33" i="4"/>
  <c r="L33" i="4"/>
  <c r="K33" i="4"/>
  <c r="J33" i="4"/>
  <c r="I33" i="4"/>
  <c r="H33" i="4"/>
  <c r="G33" i="4"/>
  <c r="F33" i="4"/>
  <c r="E33" i="4"/>
  <c r="D33" i="4"/>
  <c r="C33" i="4"/>
  <c r="O33" i="4" s="1"/>
  <c r="B33" i="4"/>
  <c r="A33" i="4"/>
  <c r="S32" i="4"/>
  <c r="Q32" i="4"/>
  <c r="P32" i="4"/>
  <c r="R32" i="4" s="1"/>
  <c r="M32" i="4"/>
  <c r="L32" i="4"/>
  <c r="K32" i="4"/>
  <c r="J32" i="4"/>
  <c r="I32" i="4"/>
  <c r="H32" i="4"/>
  <c r="G32" i="4"/>
  <c r="F32" i="4"/>
  <c r="T32" i="4" s="1"/>
  <c r="E32" i="4"/>
  <c r="U32" i="4" s="1"/>
  <c r="D32" i="4"/>
  <c r="C32" i="4"/>
  <c r="O32" i="4" s="1"/>
  <c r="B32" i="4"/>
  <c r="A32" i="4"/>
  <c r="S31" i="4"/>
  <c r="Q31" i="4"/>
  <c r="P31" i="4"/>
  <c r="L31" i="4"/>
  <c r="K31" i="4"/>
  <c r="J31" i="4"/>
  <c r="I31" i="4"/>
  <c r="H31" i="4"/>
  <c r="G31" i="4"/>
  <c r="F31" i="4"/>
  <c r="E31" i="4"/>
  <c r="U31" i="4" s="1"/>
  <c r="D31" i="4"/>
  <c r="C31" i="4"/>
  <c r="O31" i="4" s="1"/>
  <c r="B31" i="4"/>
  <c r="A31" i="4"/>
  <c r="S30" i="4"/>
  <c r="Q30" i="4"/>
  <c r="P30" i="4"/>
  <c r="R30" i="4" s="1"/>
  <c r="N30" i="4"/>
  <c r="L30" i="4"/>
  <c r="K30" i="4"/>
  <c r="J30" i="4"/>
  <c r="I30" i="4"/>
  <c r="H30" i="4"/>
  <c r="G30" i="4"/>
  <c r="F30" i="4"/>
  <c r="T30" i="4" s="1"/>
  <c r="E30" i="4"/>
  <c r="U30" i="4" s="1"/>
  <c r="D30" i="4"/>
  <c r="C30" i="4"/>
  <c r="O30" i="4" s="1"/>
  <c r="B30" i="4"/>
  <c r="A30" i="4"/>
  <c r="S29" i="4"/>
  <c r="Q29" i="4"/>
  <c r="R29" i="4" s="1"/>
  <c r="P29" i="4"/>
  <c r="N29" i="4"/>
  <c r="L29" i="4"/>
  <c r="K29" i="4"/>
  <c r="J29" i="4"/>
  <c r="I29" i="4"/>
  <c r="H29" i="4"/>
  <c r="G29" i="4"/>
  <c r="F29" i="4"/>
  <c r="T29" i="4" s="1"/>
  <c r="E29" i="4"/>
  <c r="M29" i="4" s="1"/>
  <c r="D29" i="4"/>
  <c r="C29" i="4"/>
  <c r="O29" i="4" s="1"/>
  <c r="B29" i="4"/>
  <c r="A29" i="4"/>
  <c r="S28" i="4"/>
  <c r="Q28" i="4"/>
  <c r="P28" i="4"/>
  <c r="L28" i="4"/>
  <c r="K28" i="4"/>
  <c r="J28" i="4"/>
  <c r="I28" i="4"/>
  <c r="H28" i="4"/>
  <c r="G28" i="4"/>
  <c r="F28" i="4"/>
  <c r="T28" i="4" s="1"/>
  <c r="E28" i="4"/>
  <c r="U28" i="4" s="1"/>
  <c r="D28" i="4"/>
  <c r="C28" i="4"/>
  <c r="O28" i="4" s="1"/>
  <c r="B28" i="4"/>
  <c r="A28" i="4"/>
  <c r="S27" i="4"/>
  <c r="Q27" i="4"/>
  <c r="P27" i="4"/>
  <c r="O27" i="4"/>
  <c r="L27" i="4"/>
  <c r="K27" i="4"/>
  <c r="J27" i="4"/>
  <c r="I27" i="4"/>
  <c r="H27" i="4"/>
  <c r="G27" i="4"/>
  <c r="F27" i="4"/>
  <c r="E27" i="4"/>
  <c r="U27" i="4" s="1"/>
  <c r="D27" i="4"/>
  <c r="C27" i="4"/>
  <c r="B27" i="4"/>
  <c r="A27" i="4"/>
  <c r="S26" i="4"/>
  <c r="Q26" i="4"/>
  <c r="P26" i="4"/>
  <c r="R26" i="4" s="1"/>
  <c r="L26" i="4"/>
  <c r="K26" i="4"/>
  <c r="J26" i="4"/>
  <c r="I26" i="4"/>
  <c r="H26" i="4"/>
  <c r="G26" i="4"/>
  <c r="F26" i="4"/>
  <c r="E26" i="4"/>
  <c r="U26" i="4" s="1"/>
  <c r="D26" i="4"/>
  <c r="C26" i="4"/>
  <c r="O26" i="4" s="1"/>
  <c r="B26" i="4"/>
  <c r="A26" i="4"/>
  <c r="S25" i="4"/>
  <c r="Q25" i="4"/>
  <c r="R25" i="4" s="1"/>
  <c r="P25" i="4"/>
  <c r="L25" i="4"/>
  <c r="K25" i="4"/>
  <c r="J25" i="4"/>
  <c r="I25" i="4"/>
  <c r="H25" i="4"/>
  <c r="G25" i="4"/>
  <c r="F25" i="4"/>
  <c r="E25" i="4"/>
  <c r="M25" i="4" s="1"/>
  <c r="D25" i="4"/>
  <c r="C25" i="4"/>
  <c r="O25" i="4" s="1"/>
  <c r="B25" i="4"/>
  <c r="A25" i="4"/>
  <c r="S24" i="4"/>
  <c r="Q24" i="4"/>
  <c r="R24" i="4" s="1"/>
  <c r="P24" i="4"/>
  <c r="L24" i="4"/>
  <c r="K24" i="4"/>
  <c r="J24" i="4"/>
  <c r="I24" i="4"/>
  <c r="H24" i="4"/>
  <c r="G24" i="4"/>
  <c r="F24" i="4"/>
  <c r="T24" i="4" s="1"/>
  <c r="E24" i="4"/>
  <c r="N24" i="4" s="1"/>
  <c r="D24" i="4"/>
  <c r="C24" i="4"/>
  <c r="O24" i="4" s="1"/>
  <c r="B24" i="4"/>
  <c r="A24" i="4"/>
  <c r="S23" i="4"/>
  <c r="Q23" i="4"/>
  <c r="P23" i="4"/>
  <c r="L23" i="4"/>
  <c r="K23" i="4"/>
  <c r="J23" i="4"/>
  <c r="I23" i="4"/>
  <c r="H23" i="4"/>
  <c r="G23" i="4"/>
  <c r="F23" i="4"/>
  <c r="T23" i="4" s="1"/>
  <c r="E23" i="4"/>
  <c r="U23" i="4" s="1"/>
  <c r="D23" i="4"/>
  <c r="C23" i="4"/>
  <c r="O23" i="4" s="1"/>
  <c r="B23" i="4"/>
  <c r="A23" i="4"/>
  <c r="S22" i="4"/>
  <c r="Q22" i="4"/>
  <c r="P22" i="4"/>
  <c r="L22" i="4"/>
  <c r="K22" i="4"/>
  <c r="J22" i="4"/>
  <c r="I22" i="4"/>
  <c r="H22" i="4"/>
  <c r="G22" i="4"/>
  <c r="F22" i="4"/>
  <c r="T22" i="4" s="1"/>
  <c r="E22" i="4"/>
  <c r="D22" i="4"/>
  <c r="C22" i="4"/>
  <c r="O22" i="4" s="1"/>
  <c r="B22" i="4"/>
  <c r="A22" i="4"/>
  <c r="S21" i="4"/>
  <c r="Q21" i="4"/>
  <c r="P21" i="4"/>
  <c r="L21" i="4"/>
  <c r="K21" i="4"/>
  <c r="J21" i="4"/>
  <c r="I21" i="4"/>
  <c r="H21" i="4"/>
  <c r="G21" i="4"/>
  <c r="F21" i="4"/>
  <c r="E21" i="4"/>
  <c r="D21" i="4"/>
  <c r="C21" i="4"/>
  <c r="O21" i="4" s="1"/>
  <c r="B21" i="4"/>
  <c r="A21" i="4"/>
  <c r="S20" i="4"/>
  <c r="Q20" i="4"/>
  <c r="P20" i="4"/>
  <c r="L20" i="4"/>
  <c r="K20" i="4"/>
  <c r="J20" i="4"/>
  <c r="I20" i="4"/>
  <c r="H20" i="4"/>
  <c r="G20" i="4"/>
  <c r="F20" i="4"/>
  <c r="E20" i="4"/>
  <c r="U20" i="4" s="1"/>
  <c r="D20" i="4"/>
  <c r="C20" i="4"/>
  <c r="O20" i="4" s="1"/>
  <c r="B20" i="4"/>
  <c r="A20" i="4"/>
  <c r="S19" i="4"/>
  <c r="Q19" i="4"/>
  <c r="P19" i="4"/>
  <c r="L19" i="4"/>
  <c r="K19" i="4"/>
  <c r="J19" i="4"/>
  <c r="I19" i="4"/>
  <c r="H19" i="4"/>
  <c r="G19" i="4"/>
  <c r="F19" i="4"/>
  <c r="T19" i="4" s="1"/>
  <c r="E19" i="4"/>
  <c r="U19" i="4" s="1"/>
  <c r="D19" i="4"/>
  <c r="C19" i="4"/>
  <c r="O19" i="4" s="1"/>
  <c r="B19" i="4"/>
  <c r="A19" i="4"/>
  <c r="S18" i="4"/>
  <c r="Q18" i="4"/>
  <c r="P18" i="4"/>
  <c r="L18" i="4"/>
  <c r="K18" i="4"/>
  <c r="J18" i="4"/>
  <c r="I18" i="4"/>
  <c r="H18" i="4"/>
  <c r="G18" i="4"/>
  <c r="F18" i="4"/>
  <c r="E18" i="4"/>
  <c r="U18" i="4" s="1"/>
  <c r="D18" i="4"/>
  <c r="C18" i="4"/>
  <c r="O18" i="4" s="1"/>
  <c r="B18" i="4"/>
  <c r="A18" i="4"/>
  <c r="S17" i="4"/>
  <c r="Q17" i="4"/>
  <c r="P17" i="4"/>
  <c r="R17" i="4" s="1"/>
  <c r="M17" i="4"/>
  <c r="L17" i="4"/>
  <c r="K17" i="4"/>
  <c r="J17" i="4"/>
  <c r="I17" i="4"/>
  <c r="H17" i="4"/>
  <c r="G17" i="4"/>
  <c r="F17" i="4"/>
  <c r="T17" i="4" s="1"/>
  <c r="E17" i="4"/>
  <c r="N17" i="4" s="1"/>
  <c r="D17" i="4"/>
  <c r="C17" i="4"/>
  <c r="O17" i="4" s="1"/>
  <c r="B17" i="4"/>
  <c r="A17" i="4"/>
  <c r="S16" i="4"/>
  <c r="Q16" i="4"/>
  <c r="P16" i="4"/>
  <c r="R16" i="4" s="1"/>
  <c r="L16" i="4"/>
  <c r="K16" i="4"/>
  <c r="J16" i="4"/>
  <c r="I16" i="4"/>
  <c r="H16" i="4"/>
  <c r="G16" i="4"/>
  <c r="F16" i="4"/>
  <c r="E16" i="4"/>
  <c r="U16" i="4" s="1"/>
  <c r="D16" i="4"/>
  <c r="C16" i="4"/>
  <c r="O16" i="4" s="1"/>
  <c r="B16" i="4"/>
  <c r="A16" i="4"/>
  <c r="S15" i="4"/>
  <c r="Q15" i="4"/>
  <c r="P15" i="4"/>
  <c r="L15" i="4"/>
  <c r="K15" i="4"/>
  <c r="J15" i="4"/>
  <c r="I15" i="4"/>
  <c r="H15" i="4"/>
  <c r="G15" i="4"/>
  <c r="F15" i="4"/>
  <c r="E15" i="4"/>
  <c r="D15" i="4"/>
  <c r="C15" i="4"/>
  <c r="O15" i="4" s="1"/>
  <c r="B15" i="4"/>
  <c r="A15" i="4"/>
  <c r="S14" i="4"/>
  <c r="Q14" i="4"/>
  <c r="R14" i="4" s="1"/>
  <c r="P14" i="4"/>
  <c r="M14" i="4"/>
  <c r="L14" i="4"/>
  <c r="K14" i="4"/>
  <c r="J14" i="4"/>
  <c r="I14" i="4"/>
  <c r="H14" i="4"/>
  <c r="G14" i="4"/>
  <c r="F14" i="4"/>
  <c r="T14" i="4" s="1"/>
  <c r="E14" i="4"/>
  <c r="U14" i="4" s="1"/>
  <c r="D14" i="4"/>
  <c r="C14" i="4"/>
  <c r="O14" i="4" s="1"/>
  <c r="B14" i="4"/>
  <c r="A14" i="4"/>
  <c r="S13" i="4"/>
  <c r="Q13" i="4"/>
  <c r="P13" i="4"/>
  <c r="L13" i="4"/>
  <c r="K13" i="4"/>
  <c r="J13" i="4"/>
  <c r="I13" i="4"/>
  <c r="H13" i="4"/>
  <c r="G13" i="4"/>
  <c r="F13" i="4"/>
  <c r="E13" i="4"/>
  <c r="D13" i="4"/>
  <c r="C13" i="4"/>
  <c r="O13" i="4" s="1"/>
  <c r="B13" i="4"/>
  <c r="A13" i="4"/>
  <c r="S12" i="4"/>
  <c r="Q12" i="4"/>
  <c r="P12" i="4"/>
  <c r="L12" i="4"/>
  <c r="K12" i="4"/>
  <c r="J12" i="4"/>
  <c r="I12" i="4"/>
  <c r="H12" i="4"/>
  <c r="G12" i="4"/>
  <c r="F12" i="4"/>
  <c r="E12" i="4"/>
  <c r="U12" i="4" s="1"/>
  <c r="D12" i="4"/>
  <c r="C12" i="4"/>
  <c r="O12" i="4" s="1"/>
  <c r="B12" i="4"/>
  <c r="A12" i="4"/>
  <c r="S11" i="4"/>
  <c r="Q11" i="4"/>
  <c r="P11" i="4"/>
  <c r="L11" i="4"/>
  <c r="K11" i="4"/>
  <c r="J11" i="4"/>
  <c r="I11" i="4"/>
  <c r="H11" i="4"/>
  <c r="G11" i="4"/>
  <c r="F11" i="4"/>
  <c r="E11" i="4"/>
  <c r="D11" i="4"/>
  <c r="C11" i="4"/>
  <c r="O11" i="4" s="1"/>
  <c r="B11" i="4"/>
  <c r="A11" i="4"/>
  <c r="S10" i="4"/>
  <c r="Q10" i="4"/>
  <c r="P10" i="4"/>
  <c r="R10" i="4" s="1"/>
  <c r="L10" i="4"/>
  <c r="K10" i="4"/>
  <c r="J10" i="4"/>
  <c r="I10" i="4"/>
  <c r="H10" i="4"/>
  <c r="G10" i="4"/>
  <c r="F10" i="4"/>
  <c r="E10" i="4"/>
  <c r="U10" i="4" s="1"/>
  <c r="D10" i="4"/>
  <c r="C10" i="4"/>
  <c r="O10" i="4" s="1"/>
  <c r="B10" i="4"/>
  <c r="A10" i="4"/>
  <c r="S9" i="4"/>
  <c r="Q9" i="4"/>
  <c r="P9" i="4"/>
  <c r="L9" i="4"/>
  <c r="K9" i="4"/>
  <c r="J9" i="4"/>
  <c r="I9" i="4"/>
  <c r="H9" i="4"/>
  <c r="G9" i="4"/>
  <c r="F9" i="4"/>
  <c r="E9" i="4"/>
  <c r="U9" i="4" s="1"/>
  <c r="D9" i="4"/>
  <c r="C9" i="4"/>
  <c r="O9" i="4" s="1"/>
  <c r="B9" i="4"/>
  <c r="A9" i="4"/>
  <c r="S8" i="4"/>
  <c r="Q8" i="4"/>
  <c r="P8" i="4"/>
  <c r="L8" i="4"/>
  <c r="K8" i="4"/>
  <c r="J8" i="4"/>
  <c r="I8" i="4"/>
  <c r="H8" i="4"/>
  <c r="G8" i="4"/>
  <c r="F8" i="4"/>
  <c r="T8" i="4" s="1"/>
  <c r="E8" i="4"/>
  <c r="N8" i="4" s="1"/>
  <c r="D8" i="4"/>
  <c r="C8" i="4"/>
  <c r="O8" i="4" s="1"/>
  <c r="B8" i="4"/>
  <c r="A8" i="4"/>
  <c r="S7" i="4"/>
  <c r="Q7" i="4"/>
  <c r="P7" i="4"/>
  <c r="L7" i="4"/>
  <c r="K7" i="4"/>
  <c r="J7" i="4"/>
  <c r="I7" i="4"/>
  <c r="H7" i="4"/>
  <c r="G7" i="4"/>
  <c r="F7" i="4"/>
  <c r="T7" i="4" s="1"/>
  <c r="E7" i="4"/>
  <c r="U7" i="4" s="1"/>
  <c r="D7" i="4"/>
  <c r="C7" i="4"/>
  <c r="O7" i="4" s="1"/>
  <c r="B7" i="4"/>
  <c r="A7" i="4"/>
  <c r="S6" i="4"/>
  <c r="Q6" i="4"/>
  <c r="P6" i="4"/>
  <c r="L6" i="4"/>
  <c r="K6" i="4"/>
  <c r="J6" i="4"/>
  <c r="I6" i="4"/>
  <c r="H6" i="4"/>
  <c r="G6" i="4"/>
  <c r="F6" i="4"/>
  <c r="E6" i="4"/>
  <c r="N6" i="4" s="1"/>
  <c r="D6" i="4"/>
  <c r="C6" i="4"/>
  <c r="O6" i="4" s="1"/>
  <c r="B6" i="4"/>
  <c r="A6" i="4"/>
  <c r="S5" i="4"/>
  <c r="Q5" i="4"/>
  <c r="P5" i="4"/>
  <c r="N5" i="4"/>
  <c r="L5" i="4"/>
  <c r="K5" i="4"/>
  <c r="J5" i="4"/>
  <c r="I5" i="4"/>
  <c r="H5" i="4"/>
  <c r="G5" i="4"/>
  <c r="F5" i="4"/>
  <c r="E5" i="4"/>
  <c r="U5" i="4" s="1"/>
  <c r="D5" i="4"/>
  <c r="C5" i="4"/>
  <c r="O5" i="4" s="1"/>
  <c r="B5" i="4"/>
  <c r="A5" i="4"/>
  <c r="S4" i="4"/>
  <c r="Q4" i="4"/>
  <c r="P4" i="4"/>
  <c r="R4" i="4" s="1"/>
  <c r="L4" i="4"/>
  <c r="K4" i="4"/>
  <c r="J4" i="4"/>
  <c r="I4" i="4"/>
  <c r="H4" i="4"/>
  <c r="G4" i="4"/>
  <c r="F4" i="4"/>
  <c r="E4" i="4"/>
  <c r="U4" i="4" s="1"/>
  <c r="D4" i="4"/>
  <c r="C4" i="4"/>
  <c r="O4" i="4" s="1"/>
  <c r="B4" i="4"/>
  <c r="A4" i="4"/>
  <c r="S3" i="4"/>
  <c r="Q3" i="4"/>
  <c r="P3" i="4"/>
  <c r="R3" i="4" s="1"/>
  <c r="L3" i="4"/>
  <c r="K3" i="4"/>
  <c r="J3" i="4"/>
  <c r="I3" i="4"/>
  <c r="H3" i="4"/>
  <c r="G3" i="4"/>
  <c r="F3" i="4"/>
  <c r="E3" i="4"/>
  <c r="D3" i="4"/>
  <c r="C3" i="4"/>
  <c r="O3" i="4" s="1"/>
  <c r="B3" i="4"/>
  <c r="A3" i="4"/>
  <c r="S2" i="4"/>
  <c r="Q2" i="4"/>
  <c r="P2" i="4"/>
  <c r="R2" i="4" s="1"/>
  <c r="L2" i="4"/>
  <c r="K2" i="4"/>
  <c r="J2" i="4"/>
  <c r="I2" i="4"/>
  <c r="H2" i="4"/>
  <c r="G2" i="4"/>
  <c r="F2" i="4"/>
  <c r="T2" i="4" s="1"/>
  <c r="E2" i="4"/>
  <c r="M2" i="4" s="1"/>
  <c r="D2" i="4"/>
  <c r="C2" i="4"/>
  <c r="O2" i="4" s="1"/>
  <c r="B2" i="4"/>
  <c r="A2" i="4"/>
  <c r="E26" i="3" s="1"/>
  <c r="D7" i="3"/>
  <c r="E6" i="3"/>
  <c r="B7" i="2"/>
  <c r="A10" i="5" s="1"/>
  <c r="B6" i="2"/>
  <c r="A9" i="5" s="1"/>
  <c r="B5" i="2"/>
  <c r="A8" i="5" s="1"/>
  <c r="B4" i="2"/>
  <c r="A7" i="5" s="1"/>
  <c r="B3" i="2"/>
  <c r="A6" i="5" s="1"/>
  <c r="B2" i="2"/>
  <c r="A5" i="5" s="1"/>
  <c r="B16" i="1"/>
  <c r="B13" i="1"/>
  <c r="D13" i="1" s="1"/>
  <c r="E13" i="1" s="1"/>
  <c r="U476" i="4" l="1"/>
  <c r="M476" i="4"/>
  <c r="N590" i="4"/>
  <c r="U590" i="4"/>
  <c r="N813" i="4"/>
  <c r="M813" i="4"/>
  <c r="U813" i="4"/>
  <c r="U835" i="4"/>
  <c r="N835" i="4"/>
  <c r="M835" i="4"/>
  <c r="M464" i="4"/>
  <c r="U464" i="4"/>
  <c r="B7" i="3"/>
  <c r="N2" i="4"/>
  <c r="M5" i="4"/>
  <c r="T65" i="4"/>
  <c r="T70" i="4"/>
  <c r="T71" i="4"/>
  <c r="T72" i="4"/>
  <c r="T105" i="4"/>
  <c r="T112" i="4"/>
  <c r="T141" i="4"/>
  <c r="T143" i="4"/>
  <c r="T153" i="4"/>
  <c r="T155" i="4"/>
  <c r="T156" i="4"/>
  <c r="T157" i="4"/>
  <c r="N225" i="4"/>
  <c r="U240" i="4"/>
  <c r="R244" i="4"/>
  <c r="R275" i="4"/>
  <c r="R277" i="4"/>
  <c r="R282" i="4"/>
  <c r="M283" i="4"/>
  <c r="M327" i="4"/>
  <c r="T342" i="4"/>
  <c r="T358" i="4"/>
  <c r="T377" i="4"/>
  <c r="R396" i="4"/>
  <c r="R401" i="4"/>
  <c r="M406" i="4"/>
  <c r="R411" i="4"/>
  <c r="R422" i="4"/>
  <c r="R424" i="4"/>
  <c r="N425" i="4"/>
  <c r="N426" i="4"/>
  <c r="T476" i="4"/>
  <c r="T477" i="4"/>
  <c r="R614" i="4"/>
  <c r="T626" i="4"/>
  <c r="U648" i="4"/>
  <c r="T648" i="4"/>
  <c r="M648" i="4"/>
  <c r="T813" i="4"/>
  <c r="U504" i="4"/>
  <c r="N504" i="4"/>
  <c r="U505" i="4"/>
  <c r="M505" i="4"/>
  <c r="M647" i="4"/>
  <c r="U647" i="4"/>
  <c r="D17" i="3"/>
  <c r="M10" i="4"/>
  <c r="N14" i="4"/>
  <c r="N18" i="4"/>
  <c r="M20" i="4"/>
  <c r="T59" i="4"/>
  <c r="M96" i="4"/>
  <c r="N131" i="4"/>
  <c r="M137" i="4"/>
  <c r="T161" i="4"/>
  <c r="T190" i="4"/>
  <c r="T199" i="4"/>
  <c r="U224" i="4"/>
  <c r="T254" i="4"/>
  <c r="T293" i="4"/>
  <c r="T298" i="4"/>
  <c r="M332" i="4"/>
  <c r="T378" i="4"/>
  <c r="R386" i="4"/>
  <c r="R387" i="4"/>
  <c r="R388" i="4"/>
  <c r="M390" i="4"/>
  <c r="N412" i="4"/>
  <c r="R425" i="4"/>
  <c r="M427" i="4"/>
  <c r="M451" i="4"/>
  <c r="N452" i="4"/>
  <c r="M453" i="4"/>
  <c r="T466" i="4"/>
  <c r="T504" i="4"/>
  <c r="T505" i="4"/>
  <c r="T506" i="4"/>
  <c r="T507" i="4"/>
  <c r="T537" i="4"/>
  <c r="R5" i="4"/>
  <c r="R6" i="4"/>
  <c r="M7" i="4"/>
  <c r="R8" i="4"/>
  <c r="R9" i="4"/>
  <c r="N10" i="4"/>
  <c r="R11" i="4"/>
  <c r="R12" i="4"/>
  <c r="R19" i="4"/>
  <c r="N20" i="4"/>
  <c r="R22" i="4"/>
  <c r="N53" i="4"/>
  <c r="N80" i="4"/>
  <c r="N82" i="4"/>
  <c r="M85" i="4"/>
  <c r="M90" i="4"/>
  <c r="N96" i="4"/>
  <c r="T125" i="4"/>
  <c r="U126" i="4"/>
  <c r="N137" i="4"/>
  <c r="T177" i="4"/>
  <c r="T178" i="4"/>
  <c r="T184" i="4"/>
  <c r="T185" i="4"/>
  <c r="T203" i="4"/>
  <c r="T206" i="4"/>
  <c r="T252" i="4"/>
  <c r="R283" i="4"/>
  <c r="T292" i="4"/>
  <c r="T307" i="4"/>
  <c r="T312" i="4"/>
  <c r="T313" i="4"/>
  <c r="R327" i="4"/>
  <c r="N332" i="4"/>
  <c r="R389" i="4"/>
  <c r="N390" i="4"/>
  <c r="R412" i="4"/>
  <c r="R413" i="4"/>
  <c r="U422" i="4"/>
  <c r="R435" i="4"/>
  <c r="R448" i="4"/>
  <c r="R452" i="4"/>
  <c r="T502" i="4"/>
  <c r="R514" i="4"/>
  <c r="N559" i="4"/>
  <c r="U559" i="4"/>
  <c r="M559" i="4"/>
  <c r="R599" i="4"/>
  <c r="N600" i="4"/>
  <c r="T622" i="4"/>
  <c r="R689" i="4"/>
  <c r="M26" i="4"/>
  <c r="M54" i="4"/>
  <c r="M148" i="4"/>
  <c r="N558" i="4"/>
  <c r="M558" i="4"/>
  <c r="U644" i="4"/>
  <c r="N644" i="4"/>
  <c r="M644" i="4"/>
  <c r="M39" i="4"/>
  <c r="M41" i="4"/>
  <c r="N98" i="4"/>
  <c r="R7" i="4"/>
  <c r="U17" i="4"/>
  <c r="N26" i="4"/>
  <c r="M27" i="4"/>
  <c r="N36" i="4"/>
  <c r="R40" i="4"/>
  <c r="N42" i="4"/>
  <c r="M43" i="4"/>
  <c r="M48" i="4"/>
  <c r="R51" i="4"/>
  <c r="R52" i="4"/>
  <c r="M68" i="4"/>
  <c r="M75" i="4"/>
  <c r="M86" i="4"/>
  <c r="R90" i="4"/>
  <c r="R93" i="4"/>
  <c r="M100" i="4"/>
  <c r="R133" i="4"/>
  <c r="R137" i="4"/>
  <c r="M138" i="4"/>
  <c r="N148" i="4"/>
  <c r="M150" i="4"/>
  <c r="T212" i="4"/>
  <c r="T219" i="4"/>
  <c r="T220" i="4"/>
  <c r="T236" i="4"/>
  <c r="T238" i="4"/>
  <c r="T264" i="4"/>
  <c r="T289" i="4"/>
  <c r="T318" i="4"/>
  <c r="T322" i="4"/>
  <c r="T323" i="4"/>
  <c r="M333" i="4"/>
  <c r="T346" i="4"/>
  <c r="R415" i="4"/>
  <c r="U430" i="4"/>
  <c r="T437" i="4"/>
  <c r="T450" i="4"/>
  <c r="M455" i="4"/>
  <c r="R459" i="4"/>
  <c r="M461" i="4"/>
  <c r="M462" i="4"/>
  <c r="M495" i="4"/>
  <c r="U495" i="4"/>
  <c r="T498" i="4"/>
  <c r="T499" i="4"/>
  <c r="U557" i="4"/>
  <c r="N557" i="4"/>
  <c r="N643" i="4"/>
  <c r="U643" i="4"/>
  <c r="N732" i="4"/>
  <c r="T751" i="4"/>
  <c r="T6" i="4"/>
  <c r="N48" i="4"/>
  <c r="N68" i="4"/>
  <c r="N100" i="4"/>
  <c r="N138" i="4"/>
  <c r="N150" i="4"/>
  <c r="R335" i="4"/>
  <c r="R356" i="4"/>
  <c r="R373" i="4"/>
  <c r="R445" i="4"/>
  <c r="N455" i="4"/>
  <c r="R591" i="4"/>
  <c r="R766" i="4"/>
  <c r="R783" i="4"/>
  <c r="N32" i="4"/>
  <c r="R35" i="4"/>
  <c r="R43" i="4"/>
  <c r="R44" i="4"/>
  <c r="R46" i="4"/>
  <c r="M57" i="4"/>
  <c r="R64" i="4"/>
  <c r="R65" i="4"/>
  <c r="R66" i="4"/>
  <c r="R68" i="4"/>
  <c r="M71" i="4"/>
  <c r="R72" i="4"/>
  <c r="T96" i="4"/>
  <c r="R101" i="4"/>
  <c r="R104" i="4"/>
  <c r="M116" i="4"/>
  <c r="T122" i="4"/>
  <c r="M139" i="4"/>
  <c r="M141" i="4"/>
  <c r="R144" i="4"/>
  <c r="N151" i="4"/>
  <c r="M153" i="4"/>
  <c r="M155" i="4"/>
  <c r="N182" i="4"/>
  <c r="T246" i="4"/>
  <c r="T274" i="4"/>
  <c r="T275" i="4"/>
  <c r="M295" i="4"/>
  <c r="N337" i="4"/>
  <c r="M342" i="4"/>
  <c r="N358" i="4"/>
  <c r="M359" i="4"/>
  <c r="M377" i="4"/>
  <c r="M424" i="4"/>
  <c r="N424" i="4"/>
  <c r="N464" i="4"/>
  <c r="N476" i="4"/>
  <c r="N116" i="4"/>
  <c r="T137" i="4"/>
  <c r="N141" i="4"/>
  <c r="N153" i="4"/>
  <c r="N295" i="4"/>
  <c r="T332" i="4"/>
  <c r="R340" i="4"/>
  <c r="N342" i="4"/>
  <c r="T347" i="4"/>
  <c r="N359" i="4"/>
  <c r="N377" i="4"/>
  <c r="R381" i="4"/>
  <c r="T402" i="4"/>
  <c r="N411" i="4"/>
  <c r="M411" i="4"/>
  <c r="T424" i="4"/>
  <c r="U454" i="4"/>
  <c r="R456" i="4"/>
  <c r="T460" i="4"/>
  <c r="U519" i="4"/>
  <c r="M519" i="4"/>
  <c r="N822" i="4"/>
  <c r="M822" i="4"/>
  <c r="U822" i="4"/>
  <c r="M59" i="4"/>
  <c r="B27" i="3"/>
  <c r="R110" i="4"/>
  <c r="R112" i="4"/>
  <c r="R113" i="4"/>
  <c r="R115" i="4"/>
  <c r="R116" i="4"/>
  <c r="N119" i="4"/>
  <c r="T127" i="4"/>
  <c r="R139" i="4"/>
  <c r="R151" i="4"/>
  <c r="R153" i="4"/>
  <c r="N163" i="4"/>
  <c r="N170" i="4"/>
  <c r="N188" i="4"/>
  <c r="M189" i="4"/>
  <c r="M190" i="4"/>
  <c r="R197" i="4"/>
  <c r="N200" i="4"/>
  <c r="R201" i="4"/>
  <c r="R202" i="4"/>
  <c r="R208" i="4"/>
  <c r="N209" i="4"/>
  <c r="M211" i="4"/>
  <c r="T228" i="4"/>
  <c r="R253" i="4"/>
  <c r="R258" i="4"/>
  <c r="R259" i="4"/>
  <c r="T283" i="4"/>
  <c r="R293" i="4"/>
  <c r="N297" i="4"/>
  <c r="M298" i="4"/>
  <c r="R303" i="4"/>
  <c r="N304" i="4"/>
  <c r="U333" i="4"/>
  <c r="R339" i="4"/>
  <c r="R342" i="4"/>
  <c r="R379" i="4"/>
  <c r="T396" i="4"/>
  <c r="T406" i="4"/>
  <c r="U410" i="4"/>
  <c r="N410" i="4"/>
  <c r="T425" i="4"/>
  <c r="R464" i="4"/>
  <c r="M490" i="4"/>
  <c r="N490" i="4"/>
  <c r="M504" i="4"/>
  <c r="N505" i="4"/>
  <c r="T520" i="4"/>
  <c r="U821" i="4"/>
  <c r="N821" i="4"/>
  <c r="T150" i="4"/>
  <c r="N184" i="4"/>
  <c r="N190" i="4"/>
  <c r="N298" i="4"/>
  <c r="U433" i="4"/>
  <c r="N433" i="4"/>
  <c r="N434" i="4"/>
  <c r="M434" i="4"/>
  <c r="R504" i="4"/>
  <c r="R534" i="4"/>
  <c r="N690" i="4"/>
  <c r="U690" i="4"/>
  <c r="T12" i="4"/>
  <c r="T13" i="4"/>
  <c r="T16" i="4"/>
  <c r="T18" i="4"/>
  <c r="T20" i="4"/>
  <c r="R109" i="4"/>
  <c r="R119" i="4"/>
  <c r="M120" i="4"/>
  <c r="T131" i="4"/>
  <c r="R164" i="4"/>
  <c r="R166" i="4"/>
  <c r="M171" i="4"/>
  <c r="N173" i="4"/>
  <c r="U182" i="4"/>
  <c r="R185" i="4"/>
  <c r="R186" i="4"/>
  <c r="R187" i="4"/>
  <c r="R190" i="4"/>
  <c r="M191" i="4"/>
  <c r="N204" i="4"/>
  <c r="N234" i="4"/>
  <c r="N262" i="4"/>
  <c r="M263" i="4"/>
  <c r="M290" i="4"/>
  <c r="R291" i="4"/>
  <c r="R305" i="4"/>
  <c r="R306" i="4"/>
  <c r="N307" i="4"/>
  <c r="R311" i="4"/>
  <c r="R312" i="4"/>
  <c r="R314" i="4"/>
  <c r="R315" i="4"/>
  <c r="N316" i="4"/>
  <c r="T328" i="4"/>
  <c r="T329" i="4"/>
  <c r="R343" i="4"/>
  <c r="N345" i="4"/>
  <c r="M361" i="4"/>
  <c r="T413" i="4"/>
  <c r="T433" i="4"/>
  <c r="T434" i="4"/>
  <c r="U486" i="4"/>
  <c r="N486" i="4"/>
  <c r="M486" i="4"/>
  <c r="T488" i="4"/>
  <c r="U514" i="4"/>
  <c r="N514" i="4"/>
  <c r="M682" i="4"/>
  <c r="U682" i="4"/>
  <c r="N682" i="4"/>
  <c r="U763" i="4"/>
  <c r="N763" i="4"/>
  <c r="M788" i="4"/>
  <c r="N788" i="4"/>
  <c r="U788" i="4"/>
  <c r="T116" i="4"/>
  <c r="T198" i="4"/>
  <c r="N212" i="4"/>
  <c r="N214" i="4"/>
  <c r="M221" i="4"/>
  <c r="M222" i="4"/>
  <c r="M237" i="4"/>
  <c r="M238" i="4"/>
  <c r="M264" i="4"/>
  <c r="N318" i="4"/>
  <c r="R322" i="4"/>
  <c r="M346" i="4"/>
  <c r="R350" i="4"/>
  <c r="N498" i="4"/>
  <c r="M545" i="4"/>
  <c r="N545" i="4"/>
  <c r="M549" i="4"/>
  <c r="N549" i="4"/>
  <c r="M761" i="4"/>
  <c r="U761" i="4"/>
  <c r="N838" i="4"/>
  <c r="U838" i="4"/>
  <c r="T26" i="4"/>
  <c r="T52" i="4"/>
  <c r="T88" i="4"/>
  <c r="T91" i="4"/>
  <c r="T98" i="4"/>
  <c r="U117" i="4"/>
  <c r="N121" i="4"/>
  <c r="T163" i="4"/>
  <c r="R175" i="4"/>
  <c r="R219" i="4"/>
  <c r="N264" i="4"/>
  <c r="N346" i="4"/>
  <c r="T359" i="4"/>
  <c r="N472" i="4"/>
  <c r="U472" i="4"/>
  <c r="R499" i="4"/>
  <c r="U501" i="4"/>
  <c r="M512" i="4"/>
  <c r="U512" i="4"/>
  <c r="T761" i="4"/>
  <c r="U837" i="4"/>
  <c r="N837" i="4"/>
  <c r="T38" i="4"/>
  <c r="T39" i="4"/>
  <c r="T40" i="4"/>
  <c r="T37" i="4"/>
  <c r="T48" i="4"/>
  <c r="T68" i="4"/>
  <c r="T75" i="4"/>
  <c r="T76" i="4"/>
  <c r="T77" i="4"/>
  <c r="T86" i="4"/>
  <c r="T87" i="4"/>
  <c r="M122" i="4"/>
  <c r="N125" i="4"/>
  <c r="T138" i="4"/>
  <c r="U163" i="4"/>
  <c r="R192" i="4"/>
  <c r="R212" i="4"/>
  <c r="R213" i="4"/>
  <c r="N241" i="4"/>
  <c r="M244" i="4"/>
  <c r="R246" i="4"/>
  <c r="R263" i="4"/>
  <c r="R265" i="4"/>
  <c r="R270" i="4"/>
  <c r="R272" i="4"/>
  <c r="N273" i="4"/>
  <c r="N278" i="4"/>
  <c r="N282" i="4"/>
  <c r="R318" i="4"/>
  <c r="R320" i="4"/>
  <c r="M326" i="4"/>
  <c r="T333" i="4"/>
  <c r="T336" i="4"/>
  <c r="R345" i="4"/>
  <c r="R348" i="4"/>
  <c r="R349" i="4"/>
  <c r="R362" i="4"/>
  <c r="U375" i="4"/>
  <c r="N375" i="4"/>
  <c r="M401" i="4"/>
  <c r="R403" i="4"/>
  <c r="N404" i="4"/>
  <c r="M405" i="4"/>
  <c r="T454" i="4"/>
  <c r="T455" i="4"/>
  <c r="U543" i="4"/>
  <c r="M543" i="4"/>
  <c r="T592" i="4"/>
  <c r="R640" i="4"/>
  <c r="R701" i="4"/>
  <c r="N783" i="4"/>
  <c r="U783" i="4"/>
  <c r="T557" i="4"/>
  <c r="U585" i="4"/>
  <c r="N602" i="4"/>
  <c r="T627" i="4"/>
  <c r="T644" i="4"/>
  <c r="R669" i="4"/>
  <c r="T682" i="4"/>
  <c r="R697" i="4"/>
  <c r="N703" i="4"/>
  <c r="N723" i="4"/>
  <c r="T756" i="4"/>
  <c r="T763" i="4"/>
  <c r="R784" i="4"/>
  <c r="N790" i="4"/>
  <c r="N791" i="4"/>
  <c r="N793" i="4"/>
  <c r="M796" i="4"/>
  <c r="R799" i="4"/>
  <c r="R812" i="4"/>
  <c r="M814" i="4"/>
  <c r="T835" i="4"/>
  <c r="T837" i="4"/>
  <c r="T838" i="4"/>
  <c r="T855" i="4"/>
  <c r="T869" i="4"/>
  <c r="T879" i="4"/>
  <c r="T880" i="4"/>
  <c r="T886" i="4"/>
  <c r="T905" i="4"/>
  <c r="T926" i="4"/>
  <c r="T927" i="4"/>
  <c r="T955" i="4"/>
  <c r="R405" i="4"/>
  <c r="T436" i="4"/>
  <c r="T451" i="4"/>
  <c r="R480" i="4"/>
  <c r="M526" i="4"/>
  <c r="N530" i="4"/>
  <c r="T560" i="4"/>
  <c r="T567" i="4"/>
  <c r="T568" i="4"/>
  <c r="U599" i="4"/>
  <c r="R600" i="4"/>
  <c r="M610" i="4"/>
  <c r="T655" i="4"/>
  <c r="T658" i="4"/>
  <c r="T660" i="4"/>
  <c r="M704" i="4"/>
  <c r="M715" i="4"/>
  <c r="M717" i="4"/>
  <c r="M724" i="4"/>
  <c r="R733" i="4"/>
  <c r="R734" i="4"/>
  <c r="N735" i="4"/>
  <c r="N745" i="4"/>
  <c r="T764" i="4"/>
  <c r="U787" i="4"/>
  <c r="R788" i="4"/>
  <c r="N814" i="4"/>
  <c r="N823" i="4"/>
  <c r="M824" i="4"/>
  <c r="T861" i="4"/>
  <c r="T868" i="4"/>
  <c r="T870" i="4"/>
  <c r="T883" i="4"/>
  <c r="T890" i="4"/>
  <c r="T925" i="4"/>
  <c r="M936" i="4"/>
  <c r="R383" i="4"/>
  <c r="R392" i="4"/>
  <c r="R393" i="4"/>
  <c r="T435" i="4"/>
  <c r="T438" i="4"/>
  <c r="T449" i="4"/>
  <c r="R475" i="4"/>
  <c r="R478" i="4"/>
  <c r="M493" i="4"/>
  <c r="M503" i="4"/>
  <c r="R517" i="4"/>
  <c r="M518" i="4"/>
  <c r="R525" i="4"/>
  <c r="R526" i="4"/>
  <c r="R528" i="4"/>
  <c r="R529" i="4"/>
  <c r="R530" i="4"/>
  <c r="R531" i="4"/>
  <c r="N533" i="4"/>
  <c r="T565" i="4"/>
  <c r="N605" i="4"/>
  <c r="R606" i="4"/>
  <c r="R609" i="4"/>
  <c r="N610" i="4"/>
  <c r="M611" i="4"/>
  <c r="T652" i="4"/>
  <c r="T656" i="4"/>
  <c r="T657" i="4"/>
  <c r="T665" i="4"/>
  <c r="R673" i="4"/>
  <c r="R674" i="4"/>
  <c r="N675" i="4"/>
  <c r="U701" i="4"/>
  <c r="N704" i="4"/>
  <c r="R713" i="4"/>
  <c r="N718" i="4"/>
  <c r="N720" i="4"/>
  <c r="R721" i="4"/>
  <c r="N724" i="4"/>
  <c r="M726" i="4"/>
  <c r="R744" i="4"/>
  <c r="R745" i="4"/>
  <c r="R791" i="4"/>
  <c r="R794" i="4"/>
  <c r="U810" i="4"/>
  <c r="N825" i="4"/>
  <c r="N828" i="4"/>
  <c r="M832" i="4"/>
  <c r="T882" i="4"/>
  <c r="T892" i="4"/>
  <c r="M911" i="4"/>
  <c r="R935" i="4"/>
  <c r="N936" i="4"/>
  <c r="N937" i="4"/>
  <c r="N944" i="4"/>
  <c r="N945" i="4"/>
  <c r="M947" i="4"/>
  <c r="M949" i="4"/>
  <c r="M705" i="4"/>
  <c r="M707" i="4"/>
  <c r="M736" i="4"/>
  <c r="T774" i="4"/>
  <c r="R824" i="4"/>
  <c r="R827" i="4"/>
  <c r="N832" i="4"/>
  <c r="N911" i="4"/>
  <c r="R950" i="4"/>
  <c r="R951" i="4"/>
  <c r="M952" i="4"/>
  <c r="R486" i="4"/>
  <c r="R492" i="4"/>
  <c r="R494" i="4"/>
  <c r="R495" i="4"/>
  <c r="R501" i="4"/>
  <c r="R502" i="4"/>
  <c r="R518" i="4"/>
  <c r="T525" i="4"/>
  <c r="M536" i="4"/>
  <c r="T549" i="4"/>
  <c r="T550" i="4"/>
  <c r="T580" i="4"/>
  <c r="T581" i="4"/>
  <c r="T582" i="4"/>
  <c r="R603" i="4"/>
  <c r="R604" i="4"/>
  <c r="N614" i="4"/>
  <c r="N618" i="4"/>
  <c r="M638" i="4"/>
  <c r="M639" i="4"/>
  <c r="T666" i="4"/>
  <c r="M676" i="4"/>
  <c r="M678" i="4"/>
  <c r="T686" i="4"/>
  <c r="R706" i="4"/>
  <c r="N707" i="4"/>
  <c r="M709" i="4"/>
  <c r="N736" i="4"/>
  <c r="M737" i="4"/>
  <c r="M739" i="4"/>
  <c r="R741" i="4"/>
  <c r="M747" i="4"/>
  <c r="R825" i="4"/>
  <c r="R826" i="4"/>
  <c r="M833" i="4"/>
  <c r="N899" i="4"/>
  <c r="M901" i="4"/>
  <c r="R909" i="4"/>
  <c r="N912" i="4"/>
  <c r="R919" i="4"/>
  <c r="N931" i="4"/>
  <c r="R932" i="4"/>
  <c r="R936" i="4"/>
  <c r="M938" i="4"/>
  <c r="R941" i="4"/>
  <c r="R945" i="4"/>
  <c r="N952" i="4"/>
  <c r="R966" i="4"/>
  <c r="R967" i="4"/>
  <c r="R615" i="4"/>
  <c r="N619" i="4"/>
  <c r="M621" i="4"/>
  <c r="R637" i="4"/>
  <c r="R638" i="4"/>
  <c r="R738" i="4"/>
  <c r="R740" i="4"/>
  <c r="N750" i="4"/>
  <c r="M755" i="4"/>
  <c r="M844" i="4"/>
  <c r="M853" i="4"/>
  <c r="M854" i="4"/>
  <c r="R900" i="4"/>
  <c r="R901" i="4"/>
  <c r="R908" i="4"/>
  <c r="R940" i="4"/>
  <c r="R432" i="4"/>
  <c r="T472" i="4"/>
  <c r="T473" i="4"/>
  <c r="R506" i="4"/>
  <c r="R537" i="4"/>
  <c r="T574" i="4"/>
  <c r="T590" i="4"/>
  <c r="R619" i="4"/>
  <c r="R622" i="4"/>
  <c r="R642" i="4"/>
  <c r="T670" i="4"/>
  <c r="T688" i="4"/>
  <c r="T690" i="4"/>
  <c r="T695" i="4"/>
  <c r="T698" i="4"/>
  <c r="T699" i="4"/>
  <c r="R755" i="4"/>
  <c r="R757" i="4"/>
  <c r="R758" i="4"/>
  <c r="T788" i="4"/>
  <c r="T812" i="4"/>
  <c r="T821" i="4"/>
  <c r="R838" i="4"/>
  <c r="R840" i="4"/>
  <c r="R843" i="4"/>
  <c r="R845" i="4"/>
  <c r="R851" i="4"/>
  <c r="M855" i="4"/>
  <c r="N867" i="4"/>
  <c r="M869" i="4"/>
  <c r="R873" i="4"/>
  <c r="N874" i="4"/>
  <c r="R876" i="4"/>
  <c r="R877" i="4"/>
  <c r="M879" i="4"/>
  <c r="M880" i="4"/>
  <c r="R888" i="4"/>
  <c r="R894" i="4"/>
  <c r="M924" i="4"/>
  <c r="M926" i="4"/>
  <c r="M954" i="4"/>
  <c r="R542" i="4"/>
  <c r="N546" i="4"/>
  <c r="R554" i="4"/>
  <c r="R558" i="4"/>
  <c r="R559" i="4"/>
  <c r="N560" i="4"/>
  <c r="N561" i="4"/>
  <c r="M564" i="4"/>
  <c r="R567" i="4"/>
  <c r="U618" i="4"/>
  <c r="U630" i="4"/>
  <c r="U739" i="4"/>
  <c r="U749" i="4"/>
  <c r="R756" i="4"/>
  <c r="N764" i="4"/>
  <c r="R836" i="4"/>
  <c r="N855" i="4"/>
  <c r="N869" i="4"/>
  <c r="R870" i="4"/>
  <c r="N880" i="4"/>
  <c r="R886" i="4"/>
  <c r="M890" i="4"/>
  <c r="R903" i="4"/>
  <c r="R904" i="4"/>
  <c r="U912" i="4"/>
  <c r="R913" i="4"/>
  <c r="U919" i="4"/>
  <c r="R954" i="4"/>
  <c r="R955" i="4"/>
  <c r="N564" i="4"/>
  <c r="U753" i="4"/>
  <c r="T790" i="4"/>
  <c r="U833" i="4"/>
  <c r="R867" i="4"/>
  <c r="R869" i="4"/>
  <c r="R883" i="4"/>
  <c r="N890" i="4"/>
  <c r="R564" i="4"/>
  <c r="T608" i="4"/>
  <c r="T610" i="4"/>
  <c r="R652" i="4"/>
  <c r="R653" i="4"/>
  <c r="R654" i="4"/>
  <c r="R656" i="4"/>
  <c r="R657" i="4"/>
  <c r="R664" i="4"/>
  <c r="T673" i="4"/>
  <c r="T745" i="4"/>
  <c r="R774" i="4"/>
  <c r="T795" i="4"/>
  <c r="U840" i="4"/>
  <c r="U854" i="4"/>
  <c r="R857" i="4"/>
  <c r="U865" i="4"/>
  <c r="R880" i="4"/>
  <c r="R881" i="4"/>
  <c r="U884" i="4"/>
  <c r="U888" i="4"/>
  <c r="R891" i="4"/>
  <c r="T554" i="4"/>
  <c r="T555" i="4"/>
  <c r="M686" i="4"/>
  <c r="R773" i="4"/>
  <c r="R858" i="4"/>
  <c r="T535" i="4"/>
  <c r="T546" i="4"/>
  <c r="R549" i="4"/>
  <c r="R550" i="4"/>
  <c r="U561" i="4"/>
  <c r="R772" i="4"/>
  <c r="R802" i="4"/>
  <c r="T967" i="4"/>
  <c r="R596" i="4"/>
  <c r="N599" i="4"/>
  <c r="M669" i="4"/>
  <c r="M687" i="4"/>
  <c r="M701" i="4"/>
  <c r="R768" i="4"/>
  <c r="R769" i="4"/>
  <c r="R781" i="4"/>
  <c r="R805" i="4"/>
  <c r="R786" i="4"/>
  <c r="R800" i="4"/>
  <c r="T917" i="4"/>
  <c r="T920" i="4"/>
  <c r="T921" i="4"/>
  <c r="T958" i="4"/>
  <c r="T193" i="4"/>
  <c r="U215" i="4"/>
  <c r="N215" i="4"/>
  <c r="T247" i="4"/>
  <c r="B17" i="3"/>
  <c r="M13" i="4"/>
  <c r="N13" i="4"/>
  <c r="T11" i="4"/>
  <c r="U21" i="4"/>
  <c r="N21" i="4"/>
  <c r="M21" i="4"/>
  <c r="N22" i="4"/>
  <c r="M22" i="4"/>
  <c r="N399" i="4"/>
  <c r="U399" i="4"/>
  <c r="R184" i="4"/>
  <c r="U398" i="4"/>
  <c r="N398" i="4"/>
  <c r="U135" i="4"/>
  <c r="N135" i="4"/>
  <c r="M135" i="4"/>
  <c r="N49" i="4"/>
  <c r="U49" i="4"/>
  <c r="T134" i="4"/>
  <c r="E45" i="3"/>
  <c r="U227" i="4"/>
  <c r="N227" i="4"/>
  <c r="E47" i="3"/>
  <c r="T74" i="4"/>
  <c r="U103" i="4"/>
  <c r="N103" i="4"/>
  <c r="M103" i="4"/>
  <c r="M284" i="4"/>
  <c r="N284" i="4"/>
  <c r="N33" i="4"/>
  <c r="M33" i="4"/>
  <c r="U64" i="4"/>
  <c r="N64" i="4"/>
  <c r="M64" i="4"/>
  <c r="M61" i="4"/>
  <c r="N61" i="4"/>
  <c r="N142" i="4"/>
  <c r="U142" i="4"/>
  <c r="M142" i="4"/>
  <c r="U154" i="4"/>
  <c r="N154" i="4"/>
  <c r="M154" i="4"/>
  <c r="U180" i="4"/>
  <c r="N180" i="4"/>
  <c r="E17" i="3"/>
  <c r="U74" i="4"/>
  <c r="N74" i="4"/>
  <c r="M74" i="4"/>
  <c r="B131" i="3"/>
  <c r="D43" i="3"/>
  <c r="B26" i="3"/>
  <c r="D15" i="3"/>
  <c r="D6" i="3"/>
  <c r="E109" i="3"/>
  <c r="D102" i="3"/>
  <c r="C14" i="3"/>
  <c r="D5" i="3"/>
  <c r="C73" i="3"/>
  <c r="B14" i="3"/>
  <c r="C43" i="3"/>
  <c r="C25" i="3"/>
  <c r="B15" i="3"/>
  <c r="C6" i="3"/>
  <c r="E24" i="3"/>
  <c r="D38" i="3"/>
  <c r="E38" i="3"/>
  <c r="C5" i="3"/>
  <c r="C24" i="3"/>
  <c r="B21" i="3"/>
  <c r="B9" i="3"/>
  <c r="C69" i="3"/>
  <c r="C36" i="3"/>
  <c r="C23" i="3"/>
  <c r="D13" i="3"/>
  <c r="B5" i="3"/>
  <c r="B66" i="3"/>
  <c r="B36" i="3"/>
  <c r="D12" i="3"/>
  <c r="E4" i="3"/>
  <c r="B23" i="3"/>
  <c r="D29" i="3"/>
  <c r="D19" i="3"/>
  <c r="B62" i="3"/>
  <c r="C33" i="3"/>
  <c r="D22" i="3"/>
  <c r="C12" i="3"/>
  <c r="D4" i="3"/>
  <c r="D59" i="3"/>
  <c r="D31" i="3"/>
  <c r="D21" i="3"/>
  <c r="B12" i="3"/>
  <c r="C21" i="3"/>
  <c r="B4" i="3"/>
  <c r="C56" i="3"/>
  <c r="C29" i="3"/>
  <c r="C3" i="3"/>
  <c r="C4" i="3"/>
  <c r="C31" i="3"/>
  <c r="D10" i="3"/>
  <c r="D3" i="3"/>
  <c r="B59" i="3"/>
  <c r="C10" i="3"/>
  <c r="B56" i="3"/>
  <c r="C53" i="3"/>
  <c r="B29" i="3"/>
  <c r="C19" i="3"/>
  <c r="E8" i="3"/>
  <c r="B3" i="3"/>
  <c r="B53" i="3"/>
  <c r="B19" i="3"/>
  <c r="C8" i="3"/>
  <c r="D2" i="3"/>
  <c r="C28" i="3"/>
  <c r="U11" i="4"/>
  <c r="M11" i="4"/>
  <c r="C27" i="3"/>
  <c r="U167" i="4"/>
  <c r="N167" i="4"/>
  <c r="M167" i="4"/>
  <c r="T167" i="4"/>
  <c r="U250" i="4"/>
  <c r="N250" i="4"/>
  <c r="M250" i="4"/>
  <c r="U193" i="4"/>
  <c r="N193" i="4"/>
  <c r="M193" i="4"/>
  <c r="U232" i="4"/>
  <c r="N232" i="4"/>
  <c r="M232" i="4"/>
  <c r="U247" i="4"/>
  <c r="N247" i="4"/>
  <c r="M247" i="4"/>
  <c r="U124" i="4"/>
  <c r="T124" i="4"/>
  <c r="E50" i="3"/>
  <c r="B2" i="3"/>
  <c r="U164" i="4"/>
  <c r="N164" i="4"/>
  <c r="M164" i="4"/>
  <c r="M166" i="4"/>
  <c r="T166" i="4"/>
  <c r="N175" i="4"/>
  <c r="U175" i="4"/>
  <c r="U205" i="4"/>
  <c r="M205" i="4"/>
  <c r="N305" i="4"/>
  <c r="U305" i="4"/>
  <c r="M305" i="4"/>
  <c r="T352" i="4"/>
  <c r="U352" i="4"/>
  <c r="C2" i="3"/>
  <c r="R80" i="4"/>
  <c r="U174" i="4"/>
  <c r="M174" i="4"/>
  <c r="N194" i="4"/>
  <c r="U194" i="4"/>
  <c r="T205" i="4"/>
  <c r="U248" i="4"/>
  <c r="N248" i="4"/>
  <c r="M248" i="4"/>
  <c r="M289" i="4"/>
  <c r="U289" i="4"/>
  <c r="N289" i="4"/>
  <c r="T21" i="4"/>
  <c r="T33" i="4"/>
  <c r="R38" i="4"/>
  <c r="T60" i="4"/>
  <c r="T61" i="4"/>
  <c r="R157" i="4"/>
  <c r="T164" i="4"/>
  <c r="R169" i="4"/>
  <c r="T174" i="4"/>
  <c r="T175" i="4"/>
  <c r="R188" i="4"/>
  <c r="R189" i="4"/>
  <c r="R220" i="4"/>
  <c r="R221" i="4"/>
  <c r="R235" i="4"/>
  <c r="R237" i="4"/>
  <c r="R257" i="4"/>
  <c r="T265" i="4"/>
  <c r="R271" i="4"/>
  <c r="R423" i="4"/>
  <c r="R527" i="4"/>
  <c r="T566" i="4"/>
  <c r="U657" i="4"/>
  <c r="M657" i="4"/>
  <c r="N657" i="4"/>
  <c r="M664" i="4"/>
  <c r="U664" i="4"/>
  <c r="U458" i="4"/>
  <c r="N458" i="4"/>
  <c r="M458" i="4"/>
  <c r="R39" i="4"/>
  <c r="T103" i="4"/>
  <c r="T135" i="4"/>
  <c r="U136" i="4"/>
  <c r="U147" i="4"/>
  <c r="T154" i="4"/>
  <c r="T194" i="4"/>
  <c r="T210" i="4"/>
  <c r="T232" i="4"/>
  <c r="R239" i="4"/>
  <c r="T248" i="4"/>
  <c r="T284" i="4"/>
  <c r="T288" i="4"/>
  <c r="R333" i="4"/>
  <c r="N349" i="4"/>
  <c r="M349" i="4"/>
  <c r="U366" i="4"/>
  <c r="N366" i="4"/>
  <c r="U380" i="4"/>
  <c r="N380" i="4"/>
  <c r="M380" i="4"/>
  <c r="T393" i="4"/>
  <c r="T394" i="4"/>
  <c r="M457" i="4"/>
  <c r="N457" i="4"/>
  <c r="T552" i="4"/>
  <c r="U393" i="4"/>
  <c r="N393" i="4"/>
  <c r="U394" i="4"/>
  <c r="N394" i="4"/>
  <c r="M394" i="4"/>
  <c r="U552" i="4"/>
  <c r="N552" i="4"/>
  <c r="M552" i="4"/>
  <c r="N7" i="4"/>
  <c r="U25" i="4"/>
  <c r="R27" i="4"/>
  <c r="R28" i="4"/>
  <c r="T36" i="4"/>
  <c r="M42" i="4"/>
  <c r="T50" i="4"/>
  <c r="M70" i="4"/>
  <c r="R82" i="4"/>
  <c r="M84" i="4"/>
  <c r="R106" i="4"/>
  <c r="R107" i="4"/>
  <c r="M110" i="4"/>
  <c r="R129" i="4"/>
  <c r="T144" i="4"/>
  <c r="R150" i="4"/>
  <c r="M151" i="4"/>
  <c r="M173" i="4"/>
  <c r="T181" i="4"/>
  <c r="T182" i="4"/>
  <c r="U189" i="4"/>
  <c r="T196" i="4"/>
  <c r="U199" i="4"/>
  <c r="M203" i="4"/>
  <c r="T208" i="4"/>
  <c r="U210" i="4"/>
  <c r="R211" i="4"/>
  <c r="M212" i="4"/>
  <c r="T221" i="4"/>
  <c r="R223" i="4"/>
  <c r="T233" i="4"/>
  <c r="T237" i="4"/>
  <c r="T249" i="4"/>
  <c r="R261" i="4"/>
  <c r="T285" i="4"/>
  <c r="N286" i="4"/>
  <c r="M286" i="4"/>
  <c r="T287" i="4"/>
  <c r="R295" i="4"/>
  <c r="M300" i="4"/>
  <c r="M302" i="4"/>
  <c r="M325" i="4"/>
  <c r="N328" i="4"/>
  <c r="U328" i="4"/>
  <c r="U329" i="4"/>
  <c r="N329" i="4"/>
  <c r="M329" i="4"/>
  <c r="U330" i="4"/>
  <c r="M330" i="4"/>
  <c r="R336" i="4"/>
  <c r="U348" i="4"/>
  <c r="N348" i="4"/>
  <c r="M348" i="4"/>
  <c r="U364" i="4"/>
  <c r="N364" i="4"/>
  <c r="M364" i="4"/>
  <c r="U378" i="4"/>
  <c r="N378" i="4"/>
  <c r="M378" i="4"/>
  <c r="R515" i="4"/>
  <c r="M576" i="4"/>
  <c r="U576" i="4"/>
  <c r="M577" i="4"/>
  <c r="U577" i="4"/>
  <c r="R18" i="4"/>
  <c r="R31" i="4"/>
  <c r="R69" i="4"/>
  <c r="N84" i="4"/>
  <c r="R98" i="4"/>
  <c r="N110" i="4"/>
  <c r="R120" i="4"/>
  <c r="R171" i="4"/>
  <c r="R172" i="4"/>
  <c r="R241" i="4"/>
  <c r="U253" i="4"/>
  <c r="M253" i="4"/>
  <c r="M256" i="4"/>
  <c r="N256" i="4"/>
  <c r="R262" i="4"/>
  <c r="R281" i="4"/>
  <c r="U310" i="4"/>
  <c r="N310" i="4"/>
  <c r="M310" i="4"/>
  <c r="U311" i="4"/>
  <c r="N311" i="4"/>
  <c r="M311" i="4"/>
  <c r="U362" i="4"/>
  <c r="N362" i="4"/>
  <c r="M362" i="4"/>
  <c r="R431" i="4"/>
  <c r="N574" i="4"/>
  <c r="M574" i="4"/>
  <c r="U591" i="4"/>
  <c r="N591" i="4"/>
  <c r="M591" i="4"/>
  <c r="T66" i="4"/>
  <c r="T92" i="4"/>
  <c r="R111" i="4"/>
  <c r="R138" i="4"/>
  <c r="R140" i="4"/>
  <c r="R163" i="4"/>
  <c r="T168" i="4"/>
  <c r="T169" i="4"/>
  <c r="R191" i="4"/>
  <c r="R214" i="4"/>
  <c r="T309" i="4"/>
  <c r="T362" i="4"/>
  <c r="R371" i="4"/>
  <c r="N407" i="4"/>
  <c r="M407" i="4"/>
  <c r="R451" i="4"/>
  <c r="T591" i="4"/>
  <c r="R45" i="4"/>
  <c r="T53" i="4"/>
  <c r="R57" i="4"/>
  <c r="U161" i="4"/>
  <c r="R541" i="4"/>
  <c r="T4" i="4"/>
  <c r="T5" i="4"/>
  <c r="R20" i="4"/>
  <c r="N34" i="4"/>
  <c r="R59" i="4"/>
  <c r="R60" i="4"/>
  <c r="N62" i="4"/>
  <c r="R71" i="4"/>
  <c r="M73" i="4"/>
  <c r="R86" i="4"/>
  <c r="M87" i="4"/>
  <c r="R100" i="4"/>
  <c r="T106" i="4"/>
  <c r="N113" i="4"/>
  <c r="N114" i="4"/>
  <c r="M123" i="4"/>
  <c r="T128" i="4"/>
  <c r="R141" i="4"/>
  <c r="N143" i="4"/>
  <c r="T148" i="4"/>
  <c r="T158" i="4"/>
  <c r="T159" i="4"/>
  <c r="T160" i="4"/>
  <c r="U162" i="4"/>
  <c r="T170" i="4"/>
  <c r="R174" i="4"/>
  <c r="N176" i="4"/>
  <c r="T188" i="4"/>
  <c r="R204" i="4"/>
  <c r="R205" i="4"/>
  <c r="M206" i="4"/>
  <c r="M216" i="4"/>
  <c r="M218" i="4"/>
  <c r="R226" i="4"/>
  <c r="M228" i="4"/>
  <c r="M267" i="4"/>
  <c r="N275" i="4"/>
  <c r="U275" i="4"/>
  <c r="U302" i="4"/>
  <c r="R344" i="4"/>
  <c r="R398" i="4"/>
  <c r="R399" i="4"/>
  <c r="U478" i="4"/>
  <c r="N478" i="4"/>
  <c r="M478" i="4"/>
  <c r="R557" i="4"/>
  <c r="N216" i="4"/>
  <c r="N218" i="4"/>
  <c r="N228" i="4"/>
  <c r="U276" i="4"/>
  <c r="N276" i="4"/>
  <c r="M276" i="4"/>
  <c r="M393" i="4"/>
  <c r="U487" i="4"/>
  <c r="N487" i="4"/>
  <c r="M487" i="4"/>
  <c r="T10" i="4"/>
  <c r="T27" i="4"/>
  <c r="R34" i="4"/>
  <c r="M36" i="4"/>
  <c r="N50" i="4"/>
  <c r="R61" i="4"/>
  <c r="R63" i="4"/>
  <c r="T69" i="4"/>
  <c r="T82" i="4"/>
  <c r="R87" i="4"/>
  <c r="M89" i="4"/>
  <c r="T107" i="4"/>
  <c r="R114" i="4"/>
  <c r="R123" i="4"/>
  <c r="M125" i="4"/>
  <c r="R176" i="4"/>
  <c r="R177" i="4"/>
  <c r="R178" i="4"/>
  <c r="R179" i="4"/>
  <c r="R194" i="4"/>
  <c r="N196" i="4"/>
  <c r="T201" i="4"/>
  <c r="N208" i="4"/>
  <c r="R216" i="4"/>
  <c r="T224" i="4"/>
  <c r="R229" i="4"/>
  <c r="R231" i="4"/>
  <c r="M234" i="4"/>
  <c r="R247" i="4"/>
  <c r="R249" i="4"/>
  <c r="N268" i="4"/>
  <c r="T276" i="4"/>
  <c r="U279" i="4"/>
  <c r="M279" i="4"/>
  <c r="M285" i="4"/>
  <c r="U323" i="4"/>
  <c r="N323" i="4"/>
  <c r="M323" i="4"/>
  <c r="M338" i="4"/>
  <c r="U338" i="4"/>
  <c r="T340" i="4"/>
  <c r="U341" i="4"/>
  <c r="N341" i="4"/>
  <c r="R461" i="4"/>
  <c r="U500" i="4"/>
  <c r="N500" i="4"/>
  <c r="M500" i="4"/>
  <c r="R583" i="4"/>
  <c r="M604" i="4"/>
  <c r="U604" i="4"/>
  <c r="N604" i="4"/>
  <c r="B8" i="3"/>
  <c r="V142" i="4"/>
  <c r="R181" i="4"/>
  <c r="V215" i="4"/>
  <c r="R232" i="4"/>
  <c r="R233" i="4"/>
  <c r="R248" i="4"/>
  <c r="U280" i="4"/>
  <c r="M280" i="4"/>
  <c r="U339" i="4"/>
  <c r="N339" i="4"/>
  <c r="M339" i="4"/>
  <c r="N418" i="4"/>
  <c r="M418" i="4"/>
  <c r="U428" i="4"/>
  <c r="N428" i="4"/>
  <c r="M428" i="4"/>
  <c r="U521" i="4"/>
  <c r="N521" i="4"/>
  <c r="M521" i="4"/>
  <c r="R582" i="4"/>
  <c r="R13" i="4"/>
  <c r="M37" i="4"/>
  <c r="M52" i="4"/>
  <c r="N77" i="4"/>
  <c r="T84" i="4"/>
  <c r="M91" i="4"/>
  <c r="T110" i="4"/>
  <c r="M136" i="4"/>
  <c r="N146" i="4"/>
  <c r="T151" i="4"/>
  <c r="M157" i="4"/>
  <c r="M199" i="4"/>
  <c r="M219" i="4"/>
  <c r="N252" i="4"/>
  <c r="M254" i="4"/>
  <c r="T280" i="4"/>
  <c r="M291" i="4"/>
  <c r="T300" i="4"/>
  <c r="N301" i="4"/>
  <c r="U301" i="4"/>
  <c r="M301" i="4"/>
  <c r="T302" i="4"/>
  <c r="M313" i="4"/>
  <c r="M319" i="4"/>
  <c r="U319" i="4"/>
  <c r="U355" i="4"/>
  <c r="N355" i="4"/>
  <c r="M355" i="4"/>
  <c r="M416" i="4"/>
  <c r="N416" i="4"/>
  <c r="U417" i="4"/>
  <c r="N417" i="4"/>
  <c r="M417" i="4"/>
  <c r="T418" i="4"/>
  <c r="T428" i="4"/>
  <c r="T429" i="4"/>
  <c r="T458" i="4"/>
  <c r="T42" i="4"/>
  <c r="M4" i="4"/>
  <c r="N52" i="4"/>
  <c r="V64" i="4"/>
  <c r="N66" i="4"/>
  <c r="N78" i="4"/>
  <c r="T85" i="4"/>
  <c r="R89" i="4"/>
  <c r="N92" i="4"/>
  <c r="R103" i="4"/>
  <c r="M105" i="4"/>
  <c r="T121" i="4"/>
  <c r="V124" i="4"/>
  <c r="T132" i="4"/>
  <c r="T139" i="4"/>
  <c r="N147" i="4"/>
  <c r="R154" i="4"/>
  <c r="N157" i="4"/>
  <c r="M169" i="4"/>
  <c r="U176" i="4"/>
  <c r="M210" i="4"/>
  <c r="T242" i="4"/>
  <c r="T243" i="4"/>
  <c r="T244" i="4"/>
  <c r="T263" i="4"/>
  <c r="U267" i="4"/>
  <c r="N291" i="4"/>
  <c r="T301" i="4"/>
  <c r="M314" i="4"/>
  <c r="T319" i="4"/>
  <c r="U354" i="4"/>
  <c r="N354" i="4"/>
  <c r="T355" i="4"/>
  <c r="U374" i="4"/>
  <c r="T374" i="4"/>
  <c r="T417" i="4"/>
  <c r="M436" i="4"/>
  <c r="N436" i="4"/>
  <c r="N508" i="4"/>
  <c r="U508" i="4"/>
  <c r="U537" i="4"/>
  <c r="N537" i="4"/>
  <c r="M537" i="4"/>
  <c r="M23" i="4"/>
  <c r="M16" i="4"/>
  <c r="N37" i="4"/>
  <c r="T43" i="4"/>
  <c r="N4" i="4"/>
  <c r="N16" i="4"/>
  <c r="R23" i="4"/>
  <c r="M38" i="4"/>
  <c r="T44" i="4"/>
  <c r="T45" i="4"/>
  <c r="M53" i="4"/>
  <c r="T58" i="4"/>
  <c r="M80" i="4"/>
  <c r="R91" i="4"/>
  <c r="N93" i="4"/>
  <c r="T100" i="4"/>
  <c r="N105" i="4"/>
  <c r="R117" i="4"/>
  <c r="M119" i="4"/>
  <c r="R126" i="4"/>
  <c r="N127" i="4"/>
  <c r="T133" i="4"/>
  <c r="U143" i="4"/>
  <c r="R146" i="4"/>
  <c r="R147" i="4"/>
  <c r="T152" i="4"/>
  <c r="R155" i="4"/>
  <c r="R168" i="4"/>
  <c r="N169" i="4"/>
  <c r="M184" i="4"/>
  <c r="N220" i="4"/>
  <c r="N236" i="4"/>
  <c r="R255" i="4"/>
  <c r="M257" i="4"/>
  <c r="U266" i="4"/>
  <c r="N266" i="4"/>
  <c r="M266" i="4"/>
  <c r="R269" i="4"/>
  <c r="M270" i="4"/>
  <c r="R290" i="4"/>
  <c r="N314" i="4"/>
  <c r="R330" i="4"/>
  <c r="R408" i="4"/>
  <c r="U623" i="4"/>
  <c r="N623" i="4"/>
  <c r="M623" i="4"/>
  <c r="R400" i="4"/>
  <c r="R402" i="4"/>
  <c r="T407" i="4"/>
  <c r="R410" i="4"/>
  <c r="T457" i="4"/>
  <c r="T478" i="4"/>
  <c r="T487" i="4"/>
  <c r="T508" i="4"/>
  <c r="T521" i="4"/>
  <c r="T577" i="4"/>
  <c r="R641" i="4"/>
  <c r="T420" i="4"/>
  <c r="T430" i="4"/>
  <c r="U431" i="4"/>
  <c r="U438" i="4"/>
  <c r="R440" i="4"/>
  <c r="R441" i="4"/>
  <c r="T446" i="4"/>
  <c r="U451" i="4"/>
  <c r="R462" i="4"/>
  <c r="R463" i="4"/>
  <c r="T479" i="4"/>
  <c r="T501" i="4"/>
  <c r="U526" i="4"/>
  <c r="U528" i="4"/>
  <c r="T538" i="4"/>
  <c r="T553" i="4"/>
  <c r="R569" i="4"/>
  <c r="T583" i="4"/>
  <c r="R610" i="4"/>
  <c r="M612" i="4"/>
  <c r="U635" i="4"/>
  <c r="M643" i="4"/>
  <c r="T363" i="4"/>
  <c r="T368" i="4"/>
  <c r="T379" i="4"/>
  <c r="U439" i="4"/>
  <c r="R454" i="4"/>
  <c r="U461" i="4"/>
  <c r="T515" i="4"/>
  <c r="R532" i="4"/>
  <c r="R546" i="4"/>
  <c r="T558" i="4"/>
  <c r="R570" i="4"/>
  <c r="U583" i="4"/>
  <c r="R585" i="4"/>
  <c r="R601" i="4"/>
  <c r="U626" i="4"/>
  <c r="N626" i="4"/>
  <c r="U628" i="4"/>
  <c r="N628" i="4"/>
  <c r="M628" i="4"/>
  <c r="M667" i="4"/>
  <c r="N667" i="4"/>
  <c r="U432" i="4"/>
  <c r="T491" i="4"/>
  <c r="U542" i="4"/>
  <c r="R560" i="4"/>
  <c r="N627" i="4"/>
  <c r="M627" i="4"/>
  <c r="R648" i="4"/>
  <c r="R649" i="4"/>
  <c r="T667" i="4"/>
  <c r="R360" i="4"/>
  <c r="T366" i="4"/>
  <c r="T371" i="4"/>
  <c r="T382" i="4"/>
  <c r="R426" i="4"/>
  <c r="R427" i="4"/>
  <c r="T431" i="4"/>
  <c r="R443" i="4"/>
  <c r="T481" i="4"/>
  <c r="U491" i="4"/>
  <c r="R493" i="4"/>
  <c r="T512" i="4"/>
  <c r="R535" i="4"/>
  <c r="R562" i="4"/>
  <c r="R563" i="4"/>
  <c r="R571" i="4"/>
  <c r="R572" i="4"/>
  <c r="R588" i="4"/>
  <c r="T594" i="4"/>
  <c r="U596" i="4"/>
  <c r="N596" i="4"/>
  <c r="U609" i="4"/>
  <c r="N609" i="4"/>
  <c r="R644" i="4"/>
  <c r="R414" i="4"/>
  <c r="M435" i="4"/>
  <c r="M445" i="4"/>
  <c r="R455" i="4"/>
  <c r="M456" i="4"/>
  <c r="R465" i="4"/>
  <c r="R466" i="4"/>
  <c r="M467" i="4"/>
  <c r="N468" i="4"/>
  <c r="T474" i="4"/>
  <c r="M477" i="4"/>
  <c r="R497" i="4"/>
  <c r="R498" i="4"/>
  <c r="M507" i="4"/>
  <c r="R519" i="4"/>
  <c r="M520" i="4"/>
  <c r="R548" i="4"/>
  <c r="N565" i="4"/>
  <c r="M603" i="4"/>
  <c r="R620" i="4"/>
  <c r="R651" i="4"/>
  <c r="N689" i="4"/>
  <c r="M689" i="4"/>
  <c r="T398" i="4"/>
  <c r="T399" i="4"/>
  <c r="N520" i="4"/>
  <c r="T281" i="4"/>
  <c r="R285" i="4"/>
  <c r="T291" i="4"/>
  <c r="R299" i="4"/>
  <c r="T314" i="4"/>
  <c r="U317" i="4"/>
  <c r="T331" i="4"/>
  <c r="R361" i="4"/>
  <c r="T405" i="4"/>
  <c r="R416" i="4"/>
  <c r="T427" i="4"/>
  <c r="T432" i="4"/>
  <c r="T439" i="4"/>
  <c r="T452" i="4"/>
  <c r="T484" i="4"/>
  <c r="U485" i="4"/>
  <c r="T503" i="4"/>
  <c r="T527" i="4"/>
  <c r="U535" i="4"/>
  <c r="T562" i="4"/>
  <c r="T569" i="4"/>
  <c r="R573" i="4"/>
  <c r="U584" i="4"/>
  <c r="N584" i="4"/>
  <c r="T638" i="4"/>
  <c r="U641" i="4"/>
  <c r="N641" i="4"/>
  <c r="M641" i="4"/>
  <c r="U671" i="4"/>
  <c r="T671" i="4"/>
  <c r="N671" i="4"/>
  <c r="N733" i="4"/>
  <c r="M733" i="4"/>
  <c r="U733" i="4"/>
  <c r="T258" i="4"/>
  <c r="T260" i="4"/>
  <c r="R286" i="4"/>
  <c r="R298" i="4"/>
  <c r="T304" i="4"/>
  <c r="R309" i="4"/>
  <c r="R319" i="4"/>
  <c r="R328" i="4"/>
  <c r="R347" i="4"/>
  <c r="R351" i="4"/>
  <c r="R377" i="4"/>
  <c r="T390" i="4"/>
  <c r="T391" i="4"/>
  <c r="T401" i="4"/>
  <c r="T403" i="4"/>
  <c r="R417" i="4"/>
  <c r="R418" i="4"/>
  <c r="N420" i="4"/>
  <c r="U427" i="4"/>
  <c r="M430" i="4"/>
  <c r="M437" i="4"/>
  <c r="M446" i="4"/>
  <c r="T462" i="4"/>
  <c r="R470" i="4"/>
  <c r="R500" i="4"/>
  <c r="N501" i="4"/>
  <c r="R507" i="4"/>
  <c r="M509" i="4"/>
  <c r="T517" i="4"/>
  <c r="M523" i="4"/>
  <c r="R536" i="4"/>
  <c r="N538" i="4"/>
  <c r="M553" i="4"/>
  <c r="T559" i="4"/>
  <c r="M567" i="4"/>
  <c r="R576" i="4"/>
  <c r="T584" i="4"/>
  <c r="T599" i="4"/>
  <c r="R623" i="4"/>
  <c r="M625" i="4"/>
  <c r="U336" i="4"/>
  <c r="M421" i="4"/>
  <c r="U435" i="4"/>
  <c r="N446" i="4"/>
  <c r="M471" i="4"/>
  <c r="N488" i="4"/>
  <c r="U499" i="4"/>
  <c r="N509" i="4"/>
  <c r="M539" i="4"/>
  <c r="N553" i="4"/>
  <c r="N578" i="4"/>
  <c r="M607" i="4"/>
  <c r="N625" i="4"/>
  <c r="R662" i="4"/>
  <c r="N712" i="4"/>
  <c r="U712" i="4"/>
  <c r="T270" i="4"/>
  <c r="T271" i="4"/>
  <c r="R278" i="4"/>
  <c r="T295" i="4"/>
  <c r="R301" i="4"/>
  <c r="T326" i="4"/>
  <c r="R355" i="4"/>
  <c r="R363" i="4"/>
  <c r="R368" i="4"/>
  <c r="N369" i="4"/>
  <c r="N370" i="4"/>
  <c r="M396" i="4"/>
  <c r="M408" i="4"/>
  <c r="T412" i="4"/>
  <c r="R420" i="4"/>
  <c r="N421" i="4"/>
  <c r="R446" i="4"/>
  <c r="U456" i="4"/>
  <c r="N471" i="4"/>
  <c r="M489" i="4"/>
  <c r="T492" i="4"/>
  <c r="R521" i="4"/>
  <c r="M525" i="4"/>
  <c r="T533" i="4"/>
  <c r="R552" i="4"/>
  <c r="N554" i="4"/>
  <c r="M568" i="4"/>
  <c r="R578" i="4"/>
  <c r="R579" i="4"/>
  <c r="M580" i="4"/>
  <c r="U603" i="4"/>
  <c r="N607" i="4"/>
  <c r="T612" i="4"/>
  <c r="M626" i="4"/>
  <c r="R628" i="4"/>
  <c r="R629" i="4"/>
  <c r="M371" i="4"/>
  <c r="M381" i="4"/>
  <c r="N382" i="4"/>
  <c r="M384" i="4"/>
  <c r="N386" i="4"/>
  <c r="N396" i="4"/>
  <c r="N408" i="4"/>
  <c r="M423" i="4"/>
  <c r="M431" i="4"/>
  <c r="U445" i="4"/>
  <c r="M449" i="4"/>
  <c r="M460" i="4"/>
  <c r="M481" i="4"/>
  <c r="N489" i="4"/>
  <c r="N502" i="4"/>
  <c r="N525" i="4"/>
  <c r="M555" i="4"/>
  <c r="N568" i="4"/>
  <c r="N580" i="4"/>
  <c r="M593" i="4"/>
  <c r="M594" i="4"/>
  <c r="U616" i="4"/>
  <c r="M616" i="4"/>
  <c r="M632" i="4"/>
  <c r="M635" i="4"/>
  <c r="T297" i="4"/>
  <c r="T306" i="4"/>
  <c r="T317" i="4"/>
  <c r="T327" i="4"/>
  <c r="M358" i="4"/>
  <c r="R364" i="4"/>
  <c r="R366" i="4"/>
  <c r="R370" i="4"/>
  <c r="N371" i="4"/>
  <c r="R372" i="4"/>
  <c r="R382" i="4"/>
  <c r="N384" i="4"/>
  <c r="R385" i="4"/>
  <c r="M387" i="4"/>
  <c r="U420" i="4"/>
  <c r="N423" i="4"/>
  <c r="N449" i="4"/>
  <c r="N460" i="4"/>
  <c r="T465" i="4"/>
  <c r="U470" i="4"/>
  <c r="R471" i="4"/>
  <c r="N481" i="4"/>
  <c r="N482" i="4"/>
  <c r="R488" i="4"/>
  <c r="R509" i="4"/>
  <c r="R510" i="4"/>
  <c r="R511" i="4"/>
  <c r="N513" i="4"/>
  <c r="T519" i="4"/>
  <c r="M541" i="4"/>
  <c r="T548" i="4"/>
  <c r="M557" i="4"/>
  <c r="T564" i="4"/>
  <c r="T572" i="4"/>
  <c r="N581" i="4"/>
  <c r="T588" i="4"/>
  <c r="N594" i="4"/>
  <c r="M596" i="4"/>
  <c r="M609" i="4"/>
  <c r="R631" i="4"/>
  <c r="N632" i="4"/>
  <c r="U653" i="4"/>
  <c r="N653" i="4"/>
  <c r="R450" i="4"/>
  <c r="R472" i="4"/>
  <c r="R482" i="4"/>
  <c r="N654" i="4"/>
  <c r="M654" i="4"/>
  <c r="N714" i="4"/>
  <c r="N734" i="4"/>
  <c r="M744" i="4"/>
  <c r="M773" i="4"/>
  <c r="M785" i="4"/>
  <c r="N801" i="4"/>
  <c r="M812" i="4"/>
  <c r="N831" i="4"/>
  <c r="T651" i="4"/>
  <c r="M668" i="4"/>
  <c r="T678" i="4"/>
  <c r="N683" i="4"/>
  <c r="M684" i="4"/>
  <c r="M692" i="4"/>
  <c r="R702" i="4"/>
  <c r="M703" i="4"/>
  <c r="R720" i="4"/>
  <c r="M721" i="4"/>
  <c r="T726" i="4"/>
  <c r="T737" i="4"/>
  <c r="M752" i="4"/>
  <c r="M764" i="4"/>
  <c r="N774" i="4"/>
  <c r="N785" i="4"/>
  <c r="T792" i="4"/>
  <c r="T793" i="4"/>
  <c r="R801" i="4"/>
  <c r="M803" i="4"/>
  <c r="N812" i="4"/>
  <c r="T815" i="4"/>
  <c r="R831" i="4"/>
  <c r="T848" i="4"/>
  <c r="N853" i="4"/>
  <c r="T863" i="4"/>
  <c r="R887" i="4"/>
  <c r="T904" i="4"/>
  <c r="M910" i="4"/>
  <c r="T915" i="4"/>
  <c r="R942" i="4"/>
  <c r="R944" i="4"/>
  <c r="N947" i="4"/>
  <c r="M958" i="4"/>
  <c r="T839" i="4"/>
  <c r="U863" i="4"/>
  <c r="U872" i="4"/>
  <c r="R589" i="4"/>
  <c r="R590" i="4"/>
  <c r="T596" i="4"/>
  <c r="T604" i="4"/>
  <c r="R607" i="4"/>
  <c r="R621" i="4"/>
  <c r="M622" i="4"/>
  <c r="R633" i="4"/>
  <c r="M658" i="4"/>
  <c r="R693" i="4"/>
  <c r="N694" i="4"/>
  <c r="T700" i="4"/>
  <c r="R715" i="4"/>
  <c r="N716" i="4"/>
  <c r="M723" i="4"/>
  <c r="M735" i="4"/>
  <c r="U743" i="4"/>
  <c r="T748" i="4"/>
  <c r="M753" i="4"/>
  <c r="T767" i="4"/>
  <c r="R785" i="4"/>
  <c r="U811" i="4"/>
  <c r="T826" i="4"/>
  <c r="U830" i="4"/>
  <c r="R841" i="4"/>
  <c r="N842" i="4"/>
  <c r="T849" i="4"/>
  <c r="R864" i="4"/>
  <c r="N876" i="4"/>
  <c r="T881" i="4"/>
  <c r="T893" i="4"/>
  <c r="N901" i="4"/>
  <c r="R910" i="4"/>
  <c r="R921" i="4"/>
  <c r="T929" i="4"/>
  <c r="T940" i="4"/>
  <c r="U943" i="4"/>
  <c r="N949" i="4"/>
  <c r="R668" i="4"/>
  <c r="R684" i="4"/>
  <c r="R753" i="4"/>
  <c r="R777" i="4"/>
  <c r="R778" i="4"/>
  <c r="U831" i="4"/>
  <c r="R865" i="4"/>
  <c r="U935" i="4"/>
  <c r="R949" i="4"/>
  <c r="T853" i="4"/>
  <c r="U887" i="4"/>
  <c r="T910" i="4"/>
  <c r="R958" i="4"/>
  <c r="M960" i="4"/>
  <c r="T628" i="4"/>
  <c r="R636" i="4"/>
  <c r="N637" i="4"/>
  <c r="R647" i="4"/>
  <c r="N648" i="4"/>
  <c r="T654" i="4"/>
  <c r="R658" i="4"/>
  <c r="R660" i="4"/>
  <c r="N662" i="4"/>
  <c r="T689" i="4"/>
  <c r="R695" i="4"/>
  <c r="N698" i="4"/>
  <c r="R704" i="4"/>
  <c r="U715" i="4"/>
  <c r="N717" i="4"/>
  <c r="T722" i="4"/>
  <c r="T733" i="4"/>
  <c r="U734" i="4"/>
  <c r="R746" i="4"/>
  <c r="T786" i="4"/>
  <c r="R823" i="4"/>
  <c r="N824" i="4"/>
  <c r="R833" i="4"/>
  <c r="R844" i="4"/>
  <c r="R846" i="4"/>
  <c r="T851" i="4"/>
  <c r="R855" i="4"/>
  <c r="T872" i="4"/>
  <c r="T896" i="4"/>
  <c r="T897" i="4"/>
  <c r="U910" i="4"/>
  <c r="R911" i="4"/>
  <c r="R922" i="4"/>
  <c r="N924" i="4"/>
  <c r="T954" i="4"/>
  <c r="R959" i="4"/>
  <c r="N960" i="4"/>
  <c r="R965" i="4"/>
  <c r="R696" i="4"/>
  <c r="R705" i="4"/>
  <c r="R780" i="4"/>
  <c r="R847" i="4"/>
  <c r="R856" i="4"/>
  <c r="R868" i="4"/>
  <c r="R879" i="4"/>
  <c r="R960" i="4"/>
  <c r="R961" i="4"/>
  <c r="M815" i="4"/>
  <c r="N904" i="4"/>
  <c r="M915" i="4"/>
  <c r="R699" i="4"/>
  <c r="N726" i="4"/>
  <c r="R736" i="4"/>
  <c r="T744" i="4"/>
  <c r="T785" i="4"/>
  <c r="R789" i="4"/>
  <c r="U806" i="4"/>
  <c r="T831" i="4"/>
  <c r="M837" i="4"/>
  <c r="N848" i="4"/>
  <c r="M860" i="4"/>
  <c r="M870" i="4"/>
  <c r="M892" i="4"/>
  <c r="T909" i="4"/>
  <c r="N915" i="4"/>
  <c r="M917" i="4"/>
  <c r="R924" i="4"/>
  <c r="R926" i="4"/>
  <c r="N928" i="4"/>
  <c r="T943" i="4"/>
  <c r="T944" i="4"/>
  <c r="T945" i="4"/>
  <c r="T947" i="4"/>
  <c r="R670" i="4"/>
  <c r="T683" i="4"/>
  <c r="M700" i="4"/>
  <c r="M730" i="4"/>
  <c r="M748" i="4"/>
  <c r="N759" i="4"/>
  <c r="N796" i="4"/>
  <c r="T803" i="4"/>
  <c r="M826" i="4"/>
  <c r="M849" i="4"/>
  <c r="R859" i="4"/>
  <c r="N860" i="4"/>
  <c r="T874" i="4"/>
  <c r="M881" i="4"/>
  <c r="N892" i="4"/>
  <c r="N917" i="4"/>
  <c r="M929" i="4"/>
  <c r="T936" i="4"/>
  <c r="M940" i="4"/>
  <c r="N953" i="4"/>
  <c r="T957" i="4"/>
  <c r="M605" i="4"/>
  <c r="R612" i="4"/>
  <c r="R625" i="4"/>
  <c r="T635" i="4"/>
  <c r="T637" i="4"/>
  <c r="R686" i="4"/>
  <c r="T694" i="4"/>
  <c r="N700" i="4"/>
  <c r="R707" i="4"/>
  <c r="T715" i="4"/>
  <c r="R726" i="4"/>
  <c r="R727" i="4"/>
  <c r="R728" i="4"/>
  <c r="R729" i="4"/>
  <c r="N730" i="4"/>
  <c r="N748" i="4"/>
  <c r="R767" i="4"/>
  <c r="U792" i="4"/>
  <c r="T804" i="4"/>
  <c r="T805" i="4"/>
  <c r="N809" i="4"/>
  <c r="N816" i="4"/>
  <c r="T822" i="4"/>
  <c r="N826" i="4"/>
  <c r="M838" i="4"/>
  <c r="T842" i="4"/>
  <c r="U847" i="4"/>
  <c r="T854" i="4"/>
  <c r="T865" i="4"/>
  <c r="M871" i="4"/>
  <c r="N881" i="4"/>
  <c r="M883" i="4"/>
  <c r="T888" i="4"/>
  <c r="R892" i="4"/>
  <c r="M894" i="4"/>
  <c r="R915" i="4"/>
  <c r="R916" i="4"/>
  <c r="R917" i="4"/>
  <c r="N929" i="4"/>
  <c r="M931" i="4"/>
  <c r="N940" i="4"/>
  <c r="R626" i="4"/>
  <c r="M666" i="4"/>
  <c r="M672" i="4"/>
  <c r="R678" i="4"/>
  <c r="M688" i="4"/>
  <c r="T693" i="4"/>
  <c r="R700" i="4"/>
  <c r="M710" i="4"/>
  <c r="R718" i="4"/>
  <c r="M719" i="4"/>
  <c r="R730" i="4"/>
  <c r="R731" i="4"/>
  <c r="M742" i="4"/>
  <c r="M749" i="4"/>
  <c r="R770" i="4"/>
  <c r="M771" i="4"/>
  <c r="M798" i="4"/>
  <c r="R809" i="4"/>
  <c r="M810" i="4"/>
  <c r="M817" i="4"/>
  <c r="M828" i="4"/>
  <c r="R849" i="4"/>
  <c r="N862" i="4"/>
  <c r="N871" i="4"/>
  <c r="N883" i="4"/>
  <c r="M906" i="4"/>
  <c r="M919" i="4"/>
  <c r="U927" i="4"/>
  <c r="U699" i="4"/>
  <c r="N710" i="4"/>
  <c r="N719" i="4"/>
  <c r="U758" i="4"/>
  <c r="M784" i="4"/>
  <c r="M839" i="4"/>
  <c r="M851" i="4"/>
  <c r="N863" i="4"/>
  <c r="M872" i="4"/>
  <c r="M885" i="4"/>
  <c r="M897" i="4"/>
  <c r="N906" i="4"/>
  <c r="M933" i="4"/>
  <c r="R605" i="4"/>
  <c r="M606" i="4"/>
  <c r="R616" i="4"/>
  <c r="R617" i="4"/>
  <c r="R618" i="4"/>
  <c r="M619" i="4"/>
  <c r="T623" i="4"/>
  <c r="M655" i="4"/>
  <c r="T659" i="4"/>
  <c r="T662" i="4"/>
  <c r="R672" i="4"/>
  <c r="M673" i="4"/>
  <c r="U680" i="4"/>
  <c r="M690" i="4"/>
  <c r="N702" i="4"/>
  <c r="R710" i="4"/>
  <c r="R711" i="4"/>
  <c r="T717" i="4"/>
  <c r="M743" i="4"/>
  <c r="R749" i="4"/>
  <c r="M750" i="4"/>
  <c r="T754" i="4"/>
  <c r="M763" i="4"/>
  <c r="U769" i="4"/>
  <c r="N784" i="4"/>
  <c r="N800" i="4"/>
  <c r="U808" i="4"/>
  <c r="R810" i="4"/>
  <c r="U815" i="4"/>
  <c r="R816" i="4"/>
  <c r="R817" i="4"/>
  <c r="M819" i="4"/>
  <c r="N839" i="4"/>
  <c r="N851" i="4"/>
  <c r="R863" i="4"/>
  <c r="U870" i="4"/>
  <c r="R884" i="4"/>
  <c r="N885" i="4"/>
  <c r="T889" i="4"/>
  <c r="R896" i="4"/>
  <c r="N897" i="4"/>
  <c r="T902" i="4"/>
  <c r="U904" i="4"/>
  <c r="R905" i="4"/>
  <c r="M908" i="4"/>
  <c r="T912" i="4"/>
  <c r="M920" i="4"/>
  <c r="T924" i="4"/>
  <c r="R931" i="4"/>
  <c r="N933" i="4"/>
  <c r="M942" i="4"/>
  <c r="N954" i="4"/>
  <c r="M956" i="4"/>
  <c r="T960" i="4"/>
  <c r="T965" i="4"/>
  <c r="R712" i="4"/>
  <c r="M714" i="4"/>
  <c r="R719" i="4"/>
  <c r="M720" i="4"/>
  <c r="T730" i="4"/>
  <c r="R743" i="4"/>
  <c r="R762" i="4"/>
  <c r="R771" i="4"/>
  <c r="T783" i="4"/>
  <c r="T789" i="4"/>
  <c r="M801" i="4"/>
  <c r="R811" i="4"/>
  <c r="R818" i="4"/>
  <c r="M821" i="4"/>
  <c r="N830" i="4"/>
  <c r="R839" i="4"/>
  <c r="U849" i="4"/>
  <c r="M864" i="4"/>
  <c r="R872" i="4"/>
  <c r="N873" i="4"/>
  <c r="R885" i="4"/>
  <c r="R898" i="4"/>
  <c r="M899" i="4"/>
  <c r="R906" i="4"/>
  <c r="N908" i="4"/>
  <c r="N920" i="4"/>
  <c r="R933" i="4"/>
  <c r="M935" i="4"/>
  <c r="T952" i="4"/>
  <c r="N956" i="4"/>
  <c r="T961" i="4"/>
  <c r="T962" i="4"/>
  <c r="T963" i="4"/>
  <c r="T964" i="4"/>
  <c r="E10" i="3"/>
  <c r="E43" i="3"/>
  <c r="C89" i="3"/>
  <c r="B93" i="3"/>
  <c r="C97" i="3"/>
  <c r="E103" i="3"/>
  <c r="B120" i="3"/>
  <c r="C131" i="3"/>
  <c r="V74" i="4"/>
  <c r="V23" i="4"/>
  <c r="C133" i="3"/>
  <c r="D128" i="3"/>
  <c r="B116" i="3"/>
  <c r="D114" i="3"/>
  <c r="C107" i="3"/>
  <c r="E105" i="3"/>
  <c r="B100" i="3"/>
  <c r="D98" i="3"/>
  <c r="C91" i="3"/>
  <c r="E89" i="3"/>
  <c r="B84" i="3"/>
  <c r="D82" i="3"/>
  <c r="C75" i="3"/>
  <c r="E73" i="3"/>
  <c r="B68" i="3"/>
  <c r="D66" i="3"/>
  <c r="C59" i="3"/>
  <c r="E57" i="3"/>
  <c r="B52" i="3"/>
  <c r="D50" i="3"/>
  <c r="E136" i="3"/>
  <c r="E130" i="3"/>
  <c r="C128" i="3"/>
  <c r="C114" i="3"/>
  <c r="E112" i="3"/>
  <c r="B107" i="3"/>
  <c r="D105" i="3"/>
  <c r="C98" i="3"/>
  <c r="E96" i="3"/>
  <c r="V28" i="4"/>
  <c r="D140" i="3"/>
  <c r="B136" i="3"/>
  <c r="D130" i="3"/>
  <c r="E123" i="3"/>
  <c r="E121" i="3"/>
  <c r="B114" i="3"/>
  <c r="D112" i="3"/>
  <c r="C96" i="3"/>
  <c r="E94" i="3"/>
  <c r="B89" i="3"/>
  <c r="D87" i="3"/>
  <c r="C80" i="3"/>
  <c r="E78" i="3"/>
  <c r="B73" i="3"/>
  <c r="D71" i="3"/>
  <c r="C64" i="3"/>
  <c r="E62" i="3"/>
  <c r="B57" i="3"/>
  <c r="D55" i="3"/>
  <c r="C48" i="3"/>
  <c r="E46" i="3"/>
  <c r="B41" i="3"/>
  <c r="D39" i="3"/>
  <c r="C32" i="3"/>
  <c r="E30" i="3"/>
  <c r="B25" i="3"/>
  <c r="D23" i="3"/>
  <c r="E101" i="3"/>
  <c r="B96" i="3"/>
  <c r="D94" i="3"/>
  <c r="C87" i="3"/>
  <c r="E85" i="3"/>
  <c r="B80" i="3"/>
  <c r="D78" i="3"/>
  <c r="C71" i="3"/>
  <c r="E69" i="3"/>
  <c r="B64" i="3"/>
  <c r="D62" i="3"/>
  <c r="C55" i="3"/>
  <c r="E53" i="3"/>
  <c r="B48" i="3"/>
  <c r="D46" i="3"/>
  <c r="C39" i="3"/>
  <c r="E37" i="3"/>
  <c r="B32" i="3"/>
  <c r="D30" i="3"/>
  <c r="E108" i="3"/>
  <c r="B103" i="3"/>
  <c r="D101" i="3"/>
  <c r="C94" i="3"/>
  <c r="E92" i="3"/>
  <c r="B87" i="3"/>
  <c r="D85" i="3"/>
  <c r="C78" i="3"/>
  <c r="E76" i="3"/>
  <c r="B71" i="3"/>
  <c r="D69" i="3"/>
  <c r="C62" i="3"/>
  <c r="E60" i="3"/>
  <c r="B55" i="3"/>
  <c r="D53" i="3"/>
  <c r="C46" i="3"/>
  <c r="E44" i="3"/>
  <c r="B39" i="3"/>
  <c r="D37" i="3"/>
  <c r="C30" i="3"/>
  <c r="E28" i="3"/>
  <c r="E144" i="3"/>
  <c r="D139" i="3"/>
  <c r="C132" i="3"/>
  <c r="D127" i="3"/>
  <c r="B125" i="3"/>
  <c r="B119" i="3"/>
  <c r="C117" i="3"/>
  <c r="E115" i="3"/>
  <c r="B110" i="3"/>
  <c r="D108" i="3"/>
  <c r="C101" i="3"/>
  <c r="E99" i="3"/>
  <c r="C139" i="3"/>
  <c r="B132" i="3"/>
  <c r="C127" i="3"/>
  <c r="B117" i="3"/>
  <c r="D115" i="3"/>
  <c r="C108" i="3"/>
  <c r="E106" i="3"/>
  <c r="B101" i="3"/>
  <c r="D99" i="3"/>
  <c r="C92" i="3"/>
  <c r="E90" i="3"/>
  <c r="B85" i="3"/>
  <c r="D83" i="3"/>
  <c r="C76" i="3"/>
  <c r="E74" i="3"/>
  <c r="B69" i="3"/>
  <c r="D67" i="3"/>
  <c r="C60" i="3"/>
  <c r="E58" i="3"/>
  <c r="C99" i="3"/>
  <c r="E97" i="3"/>
  <c r="B92" i="3"/>
  <c r="D90" i="3"/>
  <c r="C83" i="3"/>
  <c r="E81" i="3"/>
  <c r="B76" i="3"/>
  <c r="D74" i="3"/>
  <c r="C67" i="3"/>
  <c r="E65" i="3"/>
  <c r="B60" i="3"/>
  <c r="D58" i="3"/>
  <c r="C51" i="3"/>
  <c r="E49" i="3"/>
  <c r="B44" i="3"/>
  <c r="D42" i="3"/>
  <c r="C35" i="3"/>
  <c r="E33" i="3"/>
  <c r="B28" i="3"/>
  <c r="D26" i="3"/>
  <c r="V40" i="4"/>
  <c r="D129" i="3"/>
  <c r="B115" i="3"/>
  <c r="D113" i="3"/>
  <c r="C106" i="3"/>
  <c r="E104" i="3"/>
  <c r="B99" i="3"/>
  <c r="D97" i="3"/>
  <c r="C90" i="3"/>
  <c r="E88" i="3"/>
  <c r="B83" i="3"/>
  <c r="D81" i="3"/>
  <c r="C74" i="3"/>
  <c r="E72" i="3"/>
  <c r="B67" i="3"/>
  <c r="D65" i="3"/>
  <c r="V24" i="4"/>
  <c r="C113" i="3"/>
  <c r="E111" i="3"/>
  <c r="B106" i="3"/>
  <c r="D104" i="3"/>
  <c r="B134" i="3"/>
  <c r="E131" i="3"/>
  <c r="E124" i="3"/>
  <c r="D122" i="3"/>
  <c r="E120" i="3"/>
  <c r="E118" i="3"/>
  <c r="B113" i="3"/>
  <c r="D111" i="3"/>
  <c r="C104" i="3"/>
  <c r="E102" i="3"/>
  <c r="B97" i="3"/>
  <c r="D95" i="3"/>
  <c r="C88" i="3"/>
  <c r="E86" i="3"/>
  <c r="B81" i="3"/>
  <c r="D79" i="3"/>
  <c r="E137" i="3"/>
  <c r="C126" i="3"/>
  <c r="B118" i="3"/>
  <c r="D116" i="3"/>
  <c r="C109" i="3"/>
  <c r="E107" i="3"/>
  <c r="B102" i="3"/>
  <c r="D100" i="3"/>
  <c r="C93" i="3"/>
  <c r="E91" i="3"/>
  <c r="B86" i="3"/>
  <c r="D84" i="3"/>
  <c r="C77" i="3"/>
  <c r="E75" i="3"/>
  <c r="B70" i="3"/>
  <c r="D68" i="3"/>
  <c r="C61" i="3"/>
  <c r="E59" i="3"/>
  <c r="B54" i="3"/>
  <c r="D52" i="3"/>
  <c r="C41" i="3"/>
  <c r="E19" i="3"/>
  <c r="E36" i="3"/>
  <c r="C85" i="3"/>
  <c r="V103" i="4"/>
  <c r="V207" i="4"/>
  <c r="D48" i="3"/>
  <c r="E66" i="3"/>
  <c r="E12" i="3"/>
  <c r="V102" i="4"/>
  <c r="V178" i="4"/>
  <c r="B34" i="3"/>
  <c r="E3" i="3"/>
  <c r="D41" i="3"/>
  <c r="C120" i="3"/>
  <c r="B63" i="3"/>
  <c r="E93" i="3"/>
  <c r="B98" i="3"/>
  <c r="C111" i="3"/>
  <c r="E5" i="3"/>
  <c r="C7" i="3"/>
  <c r="D14" i="3"/>
  <c r="B16" i="3"/>
  <c r="E21" i="3"/>
  <c r="E23" i="3"/>
  <c r="D25" i="3"/>
  <c r="D27" i="3"/>
  <c r="E34" i="3"/>
  <c r="B46" i="3"/>
  <c r="B51" i="3"/>
  <c r="C54" i="3"/>
  <c r="C63" i="3"/>
  <c r="D70" i="3"/>
  <c r="E77" i="3"/>
  <c r="E98" i="3"/>
  <c r="B104" i="3"/>
  <c r="V104" i="4"/>
  <c r="E31" i="3"/>
  <c r="D56" i="3"/>
  <c r="C34" i="3"/>
  <c r="D77" i="3"/>
  <c r="E25" i="3"/>
  <c r="E39" i="3"/>
  <c r="D51" i="3"/>
  <c r="D54" i="3"/>
  <c r="C57" i="3"/>
  <c r="D63" i="3"/>
  <c r="E70" i="3"/>
  <c r="B82" i="3"/>
  <c r="B94" i="3"/>
  <c r="C105" i="3"/>
  <c r="C122" i="3"/>
  <c r="D137" i="3"/>
  <c r="V17" i="4"/>
  <c r="W17" i="4" s="1"/>
  <c r="V38" i="4"/>
  <c r="V145" i="4"/>
  <c r="D73" i="3"/>
  <c r="E48" i="3"/>
  <c r="D89" i="3"/>
  <c r="C16" i="3"/>
  <c r="E27" i="3"/>
  <c r="C9" i="3"/>
  <c r="E32" i="3"/>
  <c r="E51" i="3"/>
  <c r="E54" i="3"/>
  <c r="D57" i="3"/>
  <c r="D60" i="3"/>
  <c r="E63" i="3"/>
  <c r="B74" i="3"/>
  <c r="B78" i="3"/>
  <c r="C82" i="3"/>
  <c r="C86" i="3"/>
  <c r="B90" i="3"/>
  <c r="V8" i="4"/>
  <c r="N15" i="4"/>
  <c r="M15" i="4"/>
  <c r="T15" i="4"/>
  <c r="U15" i="4"/>
  <c r="V92" i="4"/>
  <c r="N102" i="4"/>
  <c r="M102" i="4"/>
  <c r="U102" i="4"/>
  <c r="B77" i="3"/>
  <c r="E29" i="3"/>
  <c r="C70" i="3"/>
  <c r="E14" i="3"/>
  <c r="D32" i="3"/>
  <c r="E7" i="3"/>
  <c r="D16" i="3"/>
  <c r="E16" i="3"/>
  <c r="C18" i="3"/>
  <c r="B37" i="3"/>
  <c r="C44" i="3"/>
  <c r="E67" i="3"/>
  <c r="E82" i="3"/>
  <c r="D86" i="3"/>
  <c r="E114" i="3"/>
  <c r="B124" i="3"/>
  <c r="V54" i="4"/>
  <c r="D93" i="3"/>
  <c r="E41" i="3"/>
  <c r="C81" i="3"/>
  <c r="B18" i="3"/>
  <c r="D9" i="3"/>
  <c r="B11" i="3"/>
  <c r="E9" i="3"/>
  <c r="C11" i="3"/>
  <c r="D18" i="3"/>
  <c r="B20" i="3"/>
  <c r="B30" i="3"/>
  <c r="C37" i="3"/>
  <c r="D44" i="3"/>
  <c r="B49" i="3"/>
  <c r="D64" i="3"/>
  <c r="E71" i="3"/>
  <c r="D124" i="3"/>
  <c r="C141" i="3"/>
  <c r="V94" i="4"/>
  <c r="V96" i="4"/>
  <c r="W96" i="4" s="1"/>
  <c r="D11" i="3"/>
  <c r="B13" i="3"/>
  <c r="E18" i="3"/>
  <c r="C20" i="3"/>
  <c r="B22" i="3"/>
  <c r="B42" i="3"/>
  <c r="C49" i="3"/>
  <c r="C52" i="3"/>
  <c r="B61" i="3"/>
  <c r="E64" i="3"/>
  <c r="B75" i="3"/>
  <c r="B91" i="3"/>
  <c r="B95" i="3"/>
  <c r="C100" i="3"/>
  <c r="B126" i="3"/>
  <c r="V95" i="4"/>
  <c r="N3" i="4"/>
  <c r="M3" i="4"/>
  <c r="U3" i="4"/>
  <c r="W23" i="4"/>
  <c r="W74" i="4"/>
  <c r="M129" i="4"/>
  <c r="U129" i="4"/>
  <c r="N129" i="4"/>
  <c r="D36" i="3"/>
  <c r="C66" i="3"/>
  <c r="E56" i="3"/>
  <c r="B111" i="3"/>
  <c r="D34" i="3"/>
  <c r="B8" i="1"/>
  <c r="D8" i="1" s="1"/>
  <c r="E8" i="1" s="1"/>
  <c r="E2" i="3"/>
  <c r="B6" i="3"/>
  <c r="E11" i="3"/>
  <c r="C13" i="3"/>
  <c r="D20" i="3"/>
  <c r="C22" i="3"/>
  <c r="B24" i="3"/>
  <c r="B35" i="3"/>
  <c r="C42" i="3"/>
  <c r="B47" i="3"/>
  <c r="D49" i="3"/>
  <c r="E52" i="3"/>
  <c r="D61" i="3"/>
  <c r="C68" i="3"/>
  <c r="D75" i="3"/>
  <c r="B79" i="3"/>
  <c r="E87" i="3"/>
  <c r="D91" i="3"/>
  <c r="C95" i="3"/>
  <c r="E100" i="3"/>
  <c r="D107" i="3"/>
  <c r="C116" i="3"/>
  <c r="E126" i="3"/>
  <c r="B142" i="3"/>
  <c r="V10" i="4"/>
  <c r="W10" i="4" s="1"/>
  <c r="V56" i="4"/>
  <c r="W56" i="4" s="1"/>
  <c r="B40" i="3"/>
  <c r="E42" i="3"/>
  <c r="C47" i="3"/>
  <c r="E55" i="3"/>
  <c r="B58" i="3"/>
  <c r="E61" i="3"/>
  <c r="E68" i="3"/>
  <c r="C79" i="3"/>
  <c r="E83" i="3"/>
  <c r="E95" i="3"/>
  <c r="E116" i="3"/>
  <c r="T9" i="4"/>
  <c r="N9" i="4"/>
  <c r="M9" i="4"/>
  <c r="V46" i="4"/>
  <c r="E20" i="3"/>
  <c r="D35" i="3"/>
  <c r="E13" i="3"/>
  <c r="C15" i="3"/>
  <c r="E22" i="3"/>
  <c r="D24" i="3"/>
  <c r="C26" i="3"/>
  <c r="D28" i="3"/>
  <c r="B33" i="3"/>
  <c r="E35" i="3"/>
  <c r="C40" i="3"/>
  <c r="B45" i="3"/>
  <c r="D47" i="3"/>
  <c r="C58" i="3"/>
  <c r="B72" i="3"/>
  <c r="E79" i="3"/>
  <c r="E128" i="3"/>
  <c r="V48" i="4"/>
  <c r="W48" i="4" s="1"/>
  <c r="N81" i="4"/>
  <c r="M81" i="4"/>
  <c r="U81" i="4"/>
  <c r="V84" i="4"/>
  <c r="W84" i="4" s="1"/>
  <c r="V47" i="4"/>
  <c r="T83" i="4"/>
  <c r="N83" i="4"/>
  <c r="M83" i="4"/>
  <c r="U83" i="4"/>
  <c r="V139" i="4"/>
  <c r="V151" i="4"/>
  <c r="W151" i="4" s="1"/>
  <c r="B38" i="3"/>
  <c r="D40" i="3"/>
  <c r="C45" i="3"/>
  <c r="B50" i="3"/>
  <c r="B65" i="3"/>
  <c r="C72" i="3"/>
  <c r="D96" i="3"/>
  <c r="T3" i="4"/>
  <c r="D106" i="3"/>
  <c r="D8" i="3"/>
  <c r="B10" i="3"/>
  <c r="E15" i="3"/>
  <c r="C17" i="3"/>
  <c r="B31" i="3"/>
  <c r="D33" i="3"/>
  <c r="C38" i="3"/>
  <c r="E40" i="3"/>
  <c r="B43" i="3"/>
  <c r="D45" i="3"/>
  <c r="C50" i="3"/>
  <c r="C65" i="3"/>
  <c r="D72" i="3"/>
  <c r="D80" i="3"/>
  <c r="C84" i="3"/>
  <c r="B88" i="3"/>
  <c r="D92" i="3"/>
  <c r="B109" i="3"/>
  <c r="C118" i="3"/>
  <c r="V72" i="4"/>
  <c r="D76" i="3"/>
  <c r="E80" i="3"/>
  <c r="E84" i="3"/>
  <c r="D88" i="3"/>
  <c r="C102" i="3"/>
  <c r="D109" i="3"/>
  <c r="D118" i="3"/>
  <c r="V122" i="4"/>
  <c r="W122" i="4" s="1"/>
  <c r="E141" i="3"/>
  <c r="V22" i="4"/>
  <c r="V31" i="4"/>
  <c r="V32" i="4"/>
  <c r="W32" i="4" s="1"/>
  <c r="M49" i="4"/>
  <c r="V63" i="4"/>
  <c r="W64" i="4"/>
  <c r="V73" i="4"/>
  <c r="T81" i="4"/>
  <c r="V93" i="4"/>
  <c r="M111" i="4"/>
  <c r="U111" i="4"/>
  <c r="T111" i="4"/>
  <c r="N111" i="4"/>
  <c r="V141" i="4"/>
  <c r="W141" i="4" s="1"/>
  <c r="N149" i="4"/>
  <c r="M149" i="4"/>
  <c r="T149" i="4"/>
  <c r="V158" i="4"/>
  <c r="W158" i="4" s="1"/>
  <c r="V159" i="4"/>
  <c r="W159" i="4" s="1"/>
  <c r="V195" i="4"/>
  <c r="V306" i="4"/>
  <c r="V4" i="4"/>
  <c r="W4" i="4" s="1"/>
  <c r="V11" i="4"/>
  <c r="W11" i="4" s="1"/>
  <c r="V39" i="4"/>
  <c r="W39" i="4" s="1"/>
  <c r="V65" i="4"/>
  <c r="W65" i="4" s="1"/>
  <c r="T102" i="4"/>
  <c r="V105" i="4"/>
  <c r="W105" i="4" s="1"/>
  <c r="V116" i="4"/>
  <c r="W116" i="4" s="1"/>
  <c r="V134" i="4"/>
  <c r="B129" i="3"/>
  <c r="D134" i="3"/>
  <c r="C138" i="3"/>
  <c r="D144" i="3"/>
  <c r="C137" i="3"/>
  <c r="E135" i="3"/>
  <c r="C135" i="3"/>
  <c r="E133" i="3"/>
  <c r="B128" i="3"/>
  <c r="D126" i="3"/>
  <c r="C142" i="3"/>
  <c r="E140" i="3"/>
  <c r="B135" i="3"/>
  <c r="D133" i="3"/>
  <c r="V66" i="4"/>
  <c r="W66" i="4" s="1"/>
  <c r="C124" i="3"/>
  <c r="E122" i="3"/>
  <c r="B140" i="3"/>
  <c r="D138" i="3"/>
  <c r="C129" i="3"/>
  <c r="E127" i="3"/>
  <c r="B122" i="3"/>
  <c r="D120" i="3"/>
  <c r="D143" i="3"/>
  <c r="C136" i="3"/>
  <c r="E134" i="3"/>
  <c r="B143" i="3"/>
  <c r="D141" i="3"/>
  <c r="C134" i="3"/>
  <c r="E132" i="3"/>
  <c r="B127" i="3"/>
  <c r="B141" i="3"/>
  <c r="V18" i="4"/>
  <c r="W18" i="4" s="1"/>
  <c r="N31" i="4"/>
  <c r="M31" i="4"/>
  <c r="T31" i="4"/>
  <c r="V33" i="4"/>
  <c r="U33" i="4"/>
  <c r="V55" i="4"/>
  <c r="W55" i="4" s="1"/>
  <c r="V67" i="4"/>
  <c r="V75" i="4"/>
  <c r="W75" i="4" s="1"/>
  <c r="W103" i="4"/>
  <c r="V170" i="4"/>
  <c r="W170" i="4" s="1"/>
  <c r="V19" i="4"/>
  <c r="W19" i="4" s="1"/>
  <c r="V25" i="4"/>
  <c r="N47" i="4"/>
  <c r="M47" i="4"/>
  <c r="T47" i="4"/>
  <c r="W47" i="4" s="1"/>
  <c r="V49" i="4"/>
  <c r="V76" i="4"/>
  <c r="W76" i="4" s="1"/>
  <c r="V86" i="4"/>
  <c r="V97" i="4"/>
  <c r="V106" i="4"/>
  <c r="W106" i="4" s="1"/>
  <c r="V152" i="4"/>
  <c r="V161" i="4"/>
  <c r="W161" i="4" s="1"/>
  <c r="V210" i="4"/>
  <c r="B108" i="3"/>
  <c r="E113" i="3"/>
  <c r="C115" i="3"/>
  <c r="E129" i="3"/>
  <c r="B139" i="3"/>
  <c r="C143" i="3"/>
  <c r="V5" i="4"/>
  <c r="W5" i="4" s="1"/>
  <c r="V12" i="4"/>
  <c r="W12" i="4" s="1"/>
  <c r="V41" i="4"/>
  <c r="N65" i="4"/>
  <c r="M65" i="4"/>
  <c r="V77" i="4"/>
  <c r="W104" i="4"/>
  <c r="M115" i="4"/>
  <c r="T115" i="4"/>
  <c r="N115" i="4"/>
  <c r="V185" i="4"/>
  <c r="W185" i="4" s="1"/>
  <c r="V236" i="4"/>
  <c r="V13" i="4"/>
  <c r="V34" i="4"/>
  <c r="W34" i="4" s="1"/>
  <c r="V57" i="4"/>
  <c r="V78" i="4"/>
  <c r="V87" i="4"/>
  <c r="W87" i="4" s="1"/>
  <c r="V99" i="4"/>
  <c r="V107" i="4"/>
  <c r="V126" i="4"/>
  <c r="V136" i="4"/>
  <c r="W136" i="4" s="1"/>
  <c r="V172" i="4"/>
  <c r="V35" i="4"/>
  <c r="V50" i="4"/>
  <c r="W50" i="4" s="1"/>
  <c r="W58" i="4"/>
  <c r="T67" i="4"/>
  <c r="N67" i="4"/>
  <c r="M67" i="4"/>
  <c r="V68" i="4"/>
  <c r="W68" i="4" s="1"/>
  <c r="V80" i="4"/>
  <c r="W80" i="4" s="1"/>
  <c r="V88" i="4"/>
  <c r="N97" i="4"/>
  <c r="M97" i="4"/>
  <c r="V127" i="4"/>
  <c r="N152" i="4"/>
  <c r="M152" i="4"/>
  <c r="U152" i="4"/>
  <c r="V187" i="4"/>
  <c r="V239" i="4"/>
  <c r="V254" i="4"/>
  <c r="C110" i="3"/>
  <c r="D117" i="3"/>
  <c r="C119" i="3"/>
  <c r="B121" i="3"/>
  <c r="B123" i="3"/>
  <c r="C125" i="3"/>
  <c r="D132" i="3"/>
  <c r="E139" i="3"/>
  <c r="V6" i="4"/>
  <c r="N12" i="4"/>
  <c r="M12" i="4"/>
  <c r="V14" i="4"/>
  <c r="W14" i="4" s="1"/>
  <c r="R15" i="4"/>
  <c r="N19" i="4"/>
  <c r="M19" i="4"/>
  <c r="T25" i="4"/>
  <c r="N25" i="4"/>
  <c r="V26" i="4"/>
  <c r="W26" i="4" s="1"/>
  <c r="T49" i="4"/>
  <c r="V51" i="4"/>
  <c r="V79" i="4"/>
  <c r="V89" i="4"/>
  <c r="T97" i="4"/>
  <c r="V109" i="4"/>
  <c r="V154" i="4"/>
  <c r="W154" i="4" s="1"/>
  <c r="C103" i="3"/>
  <c r="D110" i="3"/>
  <c r="B112" i="3"/>
  <c r="E117" i="3"/>
  <c r="D119" i="3"/>
  <c r="C121" i="3"/>
  <c r="C123" i="3"/>
  <c r="D125" i="3"/>
  <c r="B130" i="3"/>
  <c r="V7" i="4"/>
  <c r="W7" i="4" s="1"/>
  <c r="V20" i="4"/>
  <c r="W20" i="4" s="1"/>
  <c r="R21" i="4"/>
  <c r="V27" i="4"/>
  <c r="W27" i="4" s="1"/>
  <c r="T41" i="4"/>
  <c r="W41" i="4" s="1"/>
  <c r="N41" i="4"/>
  <c r="V42" i="4"/>
  <c r="W42" i="4" s="1"/>
  <c r="V58" i="4"/>
  <c r="V100" i="4"/>
  <c r="W100" i="4" s="1"/>
  <c r="V110" i="4"/>
  <c r="W110" i="4" s="1"/>
  <c r="V165" i="4"/>
  <c r="N235" i="4"/>
  <c r="M235" i="4"/>
  <c r="U235" i="4"/>
  <c r="D103" i="3"/>
  <c r="B105" i="3"/>
  <c r="E110" i="3"/>
  <c r="C112" i="3"/>
  <c r="E119" i="3"/>
  <c r="D121" i="3"/>
  <c r="D123" i="3"/>
  <c r="E125" i="3"/>
  <c r="C130" i="3"/>
  <c r="W28" i="4"/>
  <c r="V43" i="4"/>
  <c r="W43" i="4" s="1"/>
  <c r="V59" i="4"/>
  <c r="W59" i="4" s="1"/>
  <c r="T99" i="4"/>
  <c r="W99" i="4" s="1"/>
  <c r="N99" i="4"/>
  <c r="M99" i="4"/>
  <c r="V101" i="4"/>
  <c r="W101" i="4" s="1"/>
  <c r="N172" i="4"/>
  <c r="M172" i="4"/>
  <c r="U172" i="4"/>
  <c r="V169" i="4"/>
  <c r="W169" i="4" s="1"/>
  <c r="T35" i="4"/>
  <c r="N35" i="4"/>
  <c r="M35" i="4"/>
  <c r="V36" i="4"/>
  <c r="W36" i="4" s="1"/>
  <c r="R37" i="4"/>
  <c r="V60" i="4"/>
  <c r="W60" i="4" s="1"/>
  <c r="V70" i="4"/>
  <c r="V81" i="4"/>
  <c r="V90" i="4"/>
  <c r="W90" i="4" s="1"/>
  <c r="V130" i="4"/>
  <c r="V155" i="4"/>
  <c r="T172" i="4"/>
  <c r="V174" i="4"/>
  <c r="W174" i="4" s="1"/>
  <c r="V2" i="4"/>
  <c r="V15" i="4"/>
  <c r="V16" i="4"/>
  <c r="W16" i="4" s="1"/>
  <c r="V21" i="4"/>
  <c r="W21" i="4" s="1"/>
  <c r="V29" i="4"/>
  <c r="V37" i="4"/>
  <c r="W37" i="4" s="1"/>
  <c r="V44" i="4"/>
  <c r="W44" i="4" s="1"/>
  <c r="R47" i="4"/>
  <c r="T51" i="4"/>
  <c r="N51" i="4"/>
  <c r="M51" i="4"/>
  <c r="V52" i="4"/>
  <c r="W52" i="4" s="1"/>
  <c r="R53" i="4"/>
  <c r="V61" i="4"/>
  <c r="V83" i="4"/>
  <c r="V91" i="4"/>
  <c r="W91" i="4" s="1"/>
  <c r="W102" i="4"/>
  <c r="M108" i="4"/>
  <c r="T108" i="4"/>
  <c r="N108" i="4"/>
  <c r="V129" i="4"/>
  <c r="V138" i="4"/>
  <c r="W138" i="4" s="1"/>
  <c r="V149" i="4"/>
  <c r="U149" i="4"/>
  <c r="N165" i="4"/>
  <c r="M165" i="4"/>
  <c r="U165" i="4"/>
  <c r="V214" i="4"/>
  <c r="V3" i="4"/>
  <c r="V9" i="4"/>
  <c r="V30" i="4"/>
  <c r="W30" i="4" s="1"/>
  <c r="V45" i="4"/>
  <c r="V53" i="4"/>
  <c r="W53" i="4" s="1"/>
  <c r="V62" i="4"/>
  <c r="V71" i="4"/>
  <c r="W71" i="4" s="1"/>
  <c r="W92" i="4"/>
  <c r="R95" i="4"/>
  <c r="V112" i="4"/>
  <c r="W112" i="4" s="1"/>
  <c r="V179" i="4"/>
  <c r="V213" i="4"/>
  <c r="N11" i="4"/>
  <c r="M18" i="4"/>
  <c r="N27" i="4"/>
  <c r="M34" i="4"/>
  <c r="N43" i="4"/>
  <c r="M50" i="4"/>
  <c r="N59" i="4"/>
  <c r="M66" i="4"/>
  <c r="N75" i="4"/>
  <c r="M82" i="4"/>
  <c r="N91" i="4"/>
  <c r="M98" i="4"/>
  <c r="V108" i="4"/>
  <c r="R127" i="4"/>
  <c r="T129" i="4"/>
  <c r="N140" i="4"/>
  <c r="M140" i="4"/>
  <c r="R142" i="4"/>
  <c r="U145" i="4"/>
  <c r="V173" i="4"/>
  <c r="M178" i="4"/>
  <c r="U178" i="4"/>
  <c r="W178" i="4" s="1"/>
  <c r="V206" i="4"/>
  <c r="N249" i="4"/>
  <c r="M249" i="4"/>
  <c r="U249" i="4"/>
  <c r="V251" i="4"/>
  <c r="V252" i="4"/>
  <c r="V297" i="4"/>
  <c r="V572" i="4"/>
  <c r="W572" i="4" s="1"/>
  <c r="V654" i="4"/>
  <c r="V655" i="4"/>
  <c r="U8" i="4"/>
  <c r="W8" i="4" s="1"/>
  <c r="U24" i="4"/>
  <c r="W24" i="4" s="1"/>
  <c r="U40" i="4"/>
  <c r="W40" i="4" s="1"/>
  <c r="U56" i="4"/>
  <c r="N57" i="4"/>
  <c r="T63" i="4"/>
  <c r="W63" i="4" s="1"/>
  <c r="U72" i="4"/>
  <c r="N73" i="4"/>
  <c r="T79" i="4"/>
  <c r="U88" i="4"/>
  <c r="N89" i="4"/>
  <c r="T95" i="4"/>
  <c r="V131" i="4"/>
  <c r="U134" i="4"/>
  <c r="V137" i="4"/>
  <c r="W137" i="4" s="1"/>
  <c r="V156" i="4"/>
  <c r="W156" i="4" s="1"/>
  <c r="R162" i="4"/>
  <c r="T165" i="4"/>
  <c r="V166" i="4"/>
  <c r="W173" i="4"/>
  <c r="U179" i="4"/>
  <c r="N179" i="4"/>
  <c r="V188" i="4"/>
  <c r="V189" i="4"/>
  <c r="V198" i="4"/>
  <c r="V199" i="4"/>
  <c r="W199" i="4" s="1"/>
  <c r="V217" i="4"/>
  <c r="V238" i="4"/>
  <c r="U63" i="4"/>
  <c r="U79" i="4"/>
  <c r="U95" i="4"/>
  <c r="V119" i="4"/>
  <c r="W119" i="4" s="1"/>
  <c r="T130" i="4"/>
  <c r="M130" i="4"/>
  <c r="V146" i="4"/>
  <c r="V150" i="4"/>
  <c r="V157" i="4"/>
  <c r="W157" i="4" s="1"/>
  <c r="V190" i="4"/>
  <c r="W190" i="4" s="1"/>
  <c r="U195" i="4"/>
  <c r="M195" i="4"/>
  <c r="V209" i="4"/>
  <c r="W209" i="4" s="1"/>
  <c r="V216" i="4"/>
  <c r="W216" i="4" s="1"/>
  <c r="V218" i="4"/>
  <c r="V393" i="4"/>
  <c r="V957" i="4"/>
  <c r="V918" i="4"/>
  <c r="W918" i="4" s="1"/>
  <c r="V959" i="4"/>
  <c r="V961" i="4"/>
  <c r="V945" i="4"/>
  <c r="V929" i="4"/>
  <c r="W929" i="4" s="1"/>
  <c r="V954" i="4"/>
  <c r="W954" i="4" s="1"/>
  <c r="V943" i="4"/>
  <c r="W943" i="4" s="1"/>
  <c r="V888" i="4"/>
  <c r="V920" i="4"/>
  <c r="V936" i="4"/>
  <c r="V911" i="4"/>
  <c r="V870" i="4"/>
  <c r="V854" i="4"/>
  <c r="V838" i="4"/>
  <c r="V941" i="4"/>
  <c r="V895" i="4"/>
  <c r="W895" i="4" s="1"/>
  <c r="V902" i="4"/>
  <c r="V913" i="4"/>
  <c r="V865" i="4"/>
  <c r="W865" i="4" s="1"/>
  <c r="V849" i="4"/>
  <c r="W849" i="4" s="1"/>
  <c r="V952" i="4"/>
  <c r="V897" i="4"/>
  <c r="W897" i="4" s="1"/>
  <c r="V886" i="4"/>
  <c r="V927" i="4"/>
  <c r="V904" i="4"/>
  <c r="W904" i="4" s="1"/>
  <c r="V831" i="4"/>
  <c r="V872" i="4"/>
  <c r="V859" i="4"/>
  <c r="V847" i="4"/>
  <c r="V784" i="4"/>
  <c r="V905" i="4"/>
  <c r="W905" i="4" s="1"/>
  <c r="V879" i="4"/>
  <c r="V787" i="4"/>
  <c r="V960" i="4"/>
  <c r="V864" i="4"/>
  <c r="W864" i="4" s="1"/>
  <c r="V824" i="4"/>
  <c r="V815" i="4"/>
  <c r="V812" i="4"/>
  <c r="W812" i="4" s="1"/>
  <c r="V809" i="4"/>
  <c r="V806" i="4"/>
  <c r="V937" i="4"/>
  <c r="W937" i="4" s="1"/>
  <c r="V896" i="4"/>
  <c r="V840" i="4"/>
  <c r="W840" i="4" s="1"/>
  <c r="V833" i="4"/>
  <c r="V923" i="4"/>
  <c r="V912" i="4"/>
  <c r="W912" i="4" s="1"/>
  <c r="V863" i="4"/>
  <c r="V743" i="4"/>
  <c r="W743" i="4" s="1"/>
  <c r="V731" i="4"/>
  <c r="V798" i="4"/>
  <c r="V760" i="4"/>
  <c r="V754" i="4"/>
  <c r="W754" i="4" s="1"/>
  <c r="V721" i="4"/>
  <c r="V693" i="4"/>
  <c r="W693" i="4" s="1"/>
  <c r="V843" i="4"/>
  <c r="V881" i="4"/>
  <c r="V796" i="4"/>
  <c r="W796" i="4" s="1"/>
  <c r="V781" i="4"/>
  <c r="V724" i="4"/>
  <c r="V710" i="4"/>
  <c r="V700" i="4"/>
  <c r="V676" i="4"/>
  <c r="V822" i="4"/>
  <c r="W822" i="4" s="1"/>
  <c r="V769" i="4"/>
  <c r="W769" i="4" s="1"/>
  <c r="V780" i="4"/>
  <c r="W780" i="4" s="1"/>
  <c r="V753" i="4"/>
  <c r="V739" i="4"/>
  <c r="V727" i="4"/>
  <c r="V795" i="4"/>
  <c r="V762" i="4"/>
  <c r="V726" i="4"/>
  <c r="V801" i="4"/>
  <c r="W801" i="4" s="1"/>
  <c r="V793" i="4"/>
  <c r="W793" i="4" s="1"/>
  <c r="V699" i="4"/>
  <c r="V826" i="4"/>
  <c r="W826" i="4" s="1"/>
  <c r="V817" i="4"/>
  <c r="V737" i="4"/>
  <c r="V705" i="4"/>
  <c r="W705" i="4" s="1"/>
  <c r="V856" i="4"/>
  <c r="V746" i="4"/>
  <c r="W746" i="4" s="1"/>
  <c r="V694" i="4"/>
  <c r="W694" i="4" s="1"/>
  <c r="V777" i="4"/>
  <c r="V669" i="4"/>
  <c r="V715" i="4"/>
  <c r="W715" i="4" s="1"/>
  <c r="V704" i="4"/>
  <c r="V596" i="4"/>
  <c r="W596" i="4" s="1"/>
  <c r="V644" i="4"/>
  <c r="V770" i="4"/>
  <c r="V649" i="4"/>
  <c r="V643" i="4"/>
  <c r="V606" i="4"/>
  <c r="V599" i="4"/>
  <c r="V585" i="4"/>
  <c r="V790" i="4"/>
  <c r="V711" i="4"/>
  <c r="V671" i="4"/>
  <c r="W671" i="4" s="1"/>
  <c r="V638" i="4"/>
  <c r="V736" i="4"/>
  <c r="V660" i="4"/>
  <c r="W660" i="4" s="1"/>
  <c r="V776" i="4"/>
  <c r="V624" i="4"/>
  <c r="V617" i="4"/>
  <c r="V612" i="4"/>
  <c r="W612" i="4" s="1"/>
  <c r="V628" i="4"/>
  <c r="V574" i="4"/>
  <c r="V558" i="4"/>
  <c r="V542" i="4"/>
  <c r="V526" i="4"/>
  <c r="V674" i="4"/>
  <c r="V601" i="4"/>
  <c r="V583" i="4"/>
  <c r="W583" i="4" s="1"/>
  <c r="V567" i="4"/>
  <c r="W567" i="4" s="1"/>
  <c r="V551" i="4"/>
  <c r="V799" i="4"/>
  <c r="V633" i="4"/>
  <c r="V588" i="4"/>
  <c r="V519" i="4"/>
  <c r="V594" i="4"/>
  <c r="W594" i="4" s="1"/>
  <c r="V535" i="4"/>
  <c r="V554" i="4"/>
  <c r="V543" i="4"/>
  <c r="V586" i="4"/>
  <c r="V510" i="4"/>
  <c r="V503" i="4"/>
  <c r="W503" i="4" s="1"/>
  <c r="V627" i="4"/>
  <c r="V560" i="4"/>
  <c r="V506" i="4"/>
  <c r="V553" i="4"/>
  <c r="W553" i="4" s="1"/>
  <c r="V570" i="4"/>
  <c r="V470" i="4"/>
  <c r="V623" i="4"/>
  <c r="W623" i="4" s="1"/>
  <c r="V604" i="4"/>
  <c r="W604" i="4" s="1"/>
  <c r="V569" i="4"/>
  <c r="W569" i="4" s="1"/>
  <c r="V536" i="4"/>
  <c r="W536" i="4" s="1"/>
  <c r="V508" i="4"/>
  <c r="W508" i="4" s="1"/>
  <c r="V494" i="4"/>
  <c r="V512" i="4"/>
  <c r="W512" i="4" s="1"/>
  <c r="V462" i="4"/>
  <c r="V611" i="4"/>
  <c r="V509" i="4"/>
  <c r="V479" i="4"/>
  <c r="V473" i="4"/>
  <c r="V446" i="4"/>
  <c r="V438" i="4"/>
  <c r="W438" i="4" s="1"/>
  <c r="V417" i="4"/>
  <c r="W417" i="4" s="1"/>
  <c r="V414" i="4"/>
  <c r="V401" i="4"/>
  <c r="W401" i="4" s="1"/>
  <c r="V398" i="4"/>
  <c r="W398" i="4" s="1"/>
  <c r="V430" i="4"/>
  <c r="V478" i="4"/>
  <c r="W478" i="4" s="1"/>
  <c r="V472" i="4"/>
  <c r="W472" i="4" s="1"/>
  <c r="V533" i="4"/>
  <c r="V540" i="4"/>
  <c r="V454" i="4"/>
  <c r="V576" i="4"/>
  <c r="V429" i="4"/>
  <c r="V422" i="4"/>
  <c r="V319" i="4"/>
  <c r="V303" i="4"/>
  <c r="W303" i="4" s="1"/>
  <c r="V463" i="4"/>
  <c r="W463" i="4" s="1"/>
  <c r="V439" i="4"/>
  <c r="V418" i="4"/>
  <c r="V415" i="4"/>
  <c r="W415" i="4" s="1"/>
  <c r="V399" i="4"/>
  <c r="W399" i="4" s="1"/>
  <c r="V360" i="4"/>
  <c r="V366" i="4"/>
  <c r="W366" i="4" s="1"/>
  <c r="V305" i="4"/>
  <c r="V344" i="4"/>
  <c r="V298" i="4"/>
  <c r="W298" i="4" s="1"/>
  <c r="V376" i="4"/>
  <c r="V481" i="4"/>
  <c r="V406" i="4"/>
  <c r="V328" i="4"/>
  <c r="V382" i="4"/>
  <c r="V394" i="4"/>
  <c r="W394" i="4" s="1"/>
  <c r="V412" i="4"/>
  <c r="W412" i="4" s="1"/>
  <c r="V358" i="4"/>
  <c r="W358" i="4" s="1"/>
  <c r="V353" i="4"/>
  <c r="V291" i="4"/>
  <c r="W291" i="4" s="1"/>
  <c r="V402" i="4"/>
  <c r="V392" i="4"/>
  <c r="V378" i="4"/>
  <c r="W378" i="4" s="1"/>
  <c r="V342" i="4"/>
  <c r="W342" i="4" s="1"/>
  <c r="V334" i="4"/>
  <c r="V299" i="4"/>
  <c r="V296" i="4"/>
  <c r="V345" i="4"/>
  <c r="V312" i="4"/>
  <c r="V361" i="4"/>
  <c r="V180" i="4"/>
  <c r="V284" i="4"/>
  <c r="V265" i="4"/>
  <c r="W265" i="4" s="1"/>
  <c r="V220" i="4"/>
  <c r="V212" i="4"/>
  <c r="W212" i="4" s="1"/>
  <c r="V248" i="4"/>
  <c r="W248" i="4" s="1"/>
  <c r="V208" i="4"/>
  <c r="V201" i="4"/>
  <c r="W201" i="4" s="1"/>
  <c r="V233" i="4"/>
  <c r="W233" i="4" s="1"/>
  <c r="V196" i="4"/>
  <c r="W196" i="4" s="1"/>
  <c r="V192" i="4"/>
  <c r="V374" i="4"/>
  <c r="W374" i="4" s="1"/>
  <c r="V276" i="4"/>
  <c r="V258" i="4"/>
  <c r="V211" i="4"/>
  <c r="V176" i="4"/>
  <c r="W176" i="4" s="1"/>
  <c r="V268" i="4"/>
  <c r="V242" i="4"/>
  <c r="W242" i="4" s="1"/>
  <c r="V219" i="4"/>
  <c r="W219" i="4" s="1"/>
  <c r="V200" i="4"/>
  <c r="W200" i="4" s="1"/>
  <c r="V232" i="4"/>
  <c r="W232" i="4" s="1"/>
  <c r="V457" i="4"/>
  <c r="V330" i="4"/>
  <c r="W330" i="4" s="1"/>
  <c r="V267" i="4"/>
  <c r="W267" i="4" s="1"/>
  <c r="V281" i="4"/>
  <c r="W281" i="4" s="1"/>
  <c r="V274" i="4"/>
  <c r="U6" i="4"/>
  <c r="U22" i="4"/>
  <c r="N23" i="4"/>
  <c r="M30" i="4"/>
  <c r="U38" i="4"/>
  <c r="N39" i="4"/>
  <c r="M46" i="4"/>
  <c r="U54" i="4"/>
  <c r="N55" i="4"/>
  <c r="M62" i="4"/>
  <c r="U70" i="4"/>
  <c r="N71" i="4"/>
  <c r="M78" i="4"/>
  <c r="U86" i="4"/>
  <c r="N87" i="4"/>
  <c r="M94" i="4"/>
  <c r="T109" i="4"/>
  <c r="T126" i="4"/>
  <c r="U127" i="4"/>
  <c r="W127" i="4" s="1"/>
  <c r="U131" i="4"/>
  <c r="R143" i="4"/>
  <c r="T145" i="4"/>
  <c r="W150" i="4"/>
  <c r="N156" i="4"/>
  <c r="M156" i="4"/>
  <c r="R158" i="4"/>
  <c r="V162" i="4"/>
  <c r="U166" i="4"/>
  <c r="T186" i="4"/>
  <c r="N186" i="4"/>
  <c r="M186" i="4"/>
  <c r="V226" i="4"/>
  <c r="D136" i="3"/>
  <c r="B138" i="3"/>
  <c r="E143" i="3"/>
  <c r="U13" i="4"/>
  <c r="W13" i="4" s="1"/>
  <c r="U29" i="4"/>
  <c r="U45" i="4"/>
  <c r="U61" i="4"/>
  <c r="U77" i="4"/>
  <c r="U93" i="4"/>
  <c r="W93" i="4" s="1"/>
  <c r="U109" i="4"/>
  <c r="V175" i="4"/>
  <c r="W175" i="4" s="1"/>
  <c r="N187" i="4"/>
  <c r="M187" i="4"/>
  <c r="U187" i="4"/>
  <c r="V191" i="4"/>
  <c r="V227" i="4"/>
  <c r="N239" i="4"/>
  <c r="M239" i="4"/>
  <c r="U239" i="4"/>
  <c r="V347" i="4"/>
  <c r="V352" i="4"/>
  <c r="W352" i="4" s="1"/>
  <c r="M28" i="4"/>
  <c r="M44" i="4"/>
  <c r="M60" i="4"/>
  <c r="M76" i="4"/>
  <c r="M92" i="4"/>
  <c r="U113" i="4"/>
  <c r="M118" i="4"/>
  <c r="V132" i="4"/>
  <c r="M144" i="4"/>
  <c r="V147" i="4"/>
  <c r="W147" i="4" s="1"/>
  <c r="V153" i="4"/>
  <c r="W153" i="4" s="1"/>
  <c r="R159" i="4"/>
  <c r="V167" i="4"/>
  <c r="W167" i="4" s="1"/>
  <c r="M168" i="4"/>
  <c r="N177" i="4"/>
  <c r="W210" i="4"/>
  <c r="W218" i="4"/>
  <c r="T239" i="4"/>
  <c r="V339" i="4"/>
  <c r="W339" i="4" s="1"/>
  <c r="G24" i="5"/>
  <c r="H17" i="5"/>
  <c r="H9" i="5"/>
  <c r="H34" i="5"/>
  <c r="H26" i="5"/>
  <c r="G17" i="5"/>
  <c r="G9" i="5"/>
  <c r="G34" i="5"/>
  <c r="I34" i="5" s="1"/>
  <c r="G26" i="5"/>
  <c r="I26" i="5" s="1"/>
  <c r="H19" i="5"/>
  <c r="H28" i="5"/>
  <c r="G19" i="5"/>
  <c r="H12" i="5"/>
  <c r="H33" i="5"/>
  <c r="G28" i="5"/>
  <c r="H21" i="5"/>
  <c r="G12" i="5"/>
  <c r="G33" i="5"/>
  <c r="H30" i="5"/>
  <c r="G21" i="5"/>
  <c r="H14" i="5"/>
  <c r="H6" i="5"/>
  <c r="G30" i="5"/>
  <c r="H23" i="5"/>
  <c r="G14" i="5"/>
  <c r="I14" i="5" s="1"/>
  <c r="H11" i="5"/>
  <c r="G6" i="5"/>
  <c r="H32" i="5"/>
  <c r="G23" i="5"/>
  <c r="H16" i="5"/>
  <c r="G11" i="5"/>
  <c r="H8" i="5"/>
  <c r="G32" i="5"/>
  <c r="I32" i="5" s="1"/>
  <c r="H25" i="5"/>
  <c r="G16" i="5"/>
  <c r="G8" i="5"/>
  <c r="G25" i="5"/>
  <c r="H18" i="5"/>
  <c r="H10" i="5"/>
  <c r="H27" i="5"/>
  <c r="G18" i="5"/>
  <c r="I18" i="5" s="1"/>
  <c r="G10" i="5"/>
  <c r="I10" i="5" s="1"/>
  <c r="G27" i="5"/>
  <c r="H20" i="5"/>
  <c r="H29" i="5"/>
  <c r="G20" i="5"/>
  <c r="H13" i="5"/>
  <c r="H5" i="5"/>
  <c r="G29" i="5"/>
  <c r="H22" i="5"/>
  <c r="G13" i="5"/>
  <c r="G5" i="5"/>
  <c r="H31" i="5"/>
  <c r="G22" i="5"/>
  <c r="H15" i="5"/>
  <c r="H7" i="5"/>
  <c r="G31" i="5"/>
  <c r="I31" i="5" s="1"/>
  <c r="H24" i="5"/>
  <c r="G15" i="5"/>
  <c r="G7" i="5"/>
  <c r="N28" i="4"/>
  <c r="N44" i="4"/>
  <c r="N60" i="4"/>
  <c r="N76" i="4"/>
  <c r="V113" i="4"/>
  <c r="N118" i="4"/>
  <c r="V123" i="4"/>
  <c r="W123" i="4" s="1"/>
  <c r="W124" i="4"/>
  <c r="V128" i="4"/>
  <c r="W128" i="4" s="1"/>
  <c r="V135" i="4"/>
  <c r="W135" i="4" s="1"/>
  <c r="N144" i="4"/>
  <c r="T146" i="4"/>
  <c r="W146" i="4" s="1"/>
  <c r="M146" i="4"/>
  <c r="V163" i="4"/>
  <c r="W163" i="4" s="1"/>
  <c r="N217" i="4"/>
  <c r="M217" i="4"/>
  <c r="U217" i="4"/>
  <c r="N226" i="4"/>
  <c r="M226" i="4"/>
  <c r="V228" i="4"/>
  <c r="W228" i="4"/>
  <c r="V244" i="4"/>
  <c r="W244" i="4" s="1"/>
  <c r="V329" i="4"/>
  <c r="W329" i="4" s="1"/>
  <c r="V350" i="4"/>
  <c r="D131" i="3"/>
  <c r="B133" i="3"/>
  <c r="E138" i="3"/>
  <c r="C140" i="3"/>
  <c r="D31" i="5"/>
  <c r="C22" i="5"/>
  <c r="D15" i="5"/>
  <c r="C31" i="5"/>
  <c r="D24" i="5"/>
  <c r="C15" i="5"/>
  <c r="C24" i="5"/>
  <c r="D17" i="5"/>
  <c r="D26" i="5"/>
  <c r="C17" i="5"/>
  <c r="C26" i="5"/>
  <c r="D19" i="5"/>
  <c r="D28" i="5"/>
  <c r="C19" i="5"/>
  <c r="C28" i="5"/>
  <c r="D21" i="5"/>
  <c r="D30" i="5"/>
  <c r="C21" i="5"/>
  <c r="D14" i="5"/>
  <c r="C30" i="5"/>
  <c r="D23" i="5"/>
  <c r="C14" i="5"/>
  <c r="D32" i="5"/>
  <c r="C23" i="5"/>
  <c r="D16" i="5"/>
  <c r="C32" i="5"/>
  <c r="D25" i="5"/>
  <c r="C16" i="5"/>
  <c r="C25" i="5"/>
  <c r="D18" i="5"/>
  <c r="D27" i="5"/>
  <c r="C18" i="5"/>
  <c r="C27" i="5"/>
  <c r="D20" i="5"/>
  <c r="D29" i="5"/>
  <c r="C20" i="5"/>
  <c r="D13" i="5"/>
  <c r="C29" i="5"/>
  <c r="D22" i="5"/>
  <c r="C13" i="5"/>
  <c r="U2" i="4"/>
  <c r="T57" i="4"/>
  <c r="W57" i="4" s="1"/>
  <c r="T73" i="4"/>
  <c r="W73" i="4" s="1"/>
  <c r="T89" i="4"/>
  <c r="W89" i="4" s="1"/>
  <c r="V117" i="4"/>
  <c r="W117" i="4" s="1"/>
  <c r="U120" i="4"/>
  <c r="T142" i="4"/>
  <c r="W142" i="4" s="1"/>
  <c r="T162" i="4"/>
  <c r="M162" i="4"/>
  <c r="N181" i="4"/>
  <c r="M181" i="4"/>
  <c r="U181" i="4"/>
  <c r="V182" i="4"/>
  <c r="W182" i="4" s="1"/>
  <c r="T217" i="4"/>
  <c r="W217" i="4" s="1"/>
  <c r="R222" i="4"/>
  <c r="T226" i="4"/>
  <c r="V245" i="4"/>
  <c r="V340" i="4"/>
  <c r="W340" i="4" s="1"/>
  <c r="V82" i="4"/>
  <c r="W82" i="4" s="1"/>
  <c r="V98" i="4"/>
  <c r="W98" i="4" s="1"/>
  <c r="V114" i="4"/>
  <c r="N117" i="4"/>
  <c r="M117" i="4"/>
  <c r="V120" i="4"/>
  <c r="V143" i="4"/>
  <c r="W143" i="4" s="1"/>
  <c r="V311" i="4"/>
  <c r="M8" i="4"/>
  <c r="M24" i="4"/>
  <c r="M40" i="4"/>
  <c r="M56" i="4"/>
  <c r="M72" i="4"/>
  <c r="M88" i="4"/>
  <c r="W107" i="4"/>
  <c r="T113" i="4"/>
  <c r="M134" i="4"/>
  <c r="W139" i="4"/>
  <c r="V148" i="4"/>
  <c r="W148" i="4" s="1"/>
  <c r="V164" i="4"/>
  <c r="W164" i="4" s="1"/>
  <c r="M179" i="4"/>
  <c r="V183" i="4"/>
  <c r="W183" i="4" s="1"/>
  <c r="V203" i="4"/>
  <c r="W203" i="4" s="1"/>
  <c r="V260" i="4"/>
  <c r="D142" i="3"/>
  <c r="B144" i="3"/>
  <c r="T46" i="4"/>
  <c r="W46" i="4" s="1"/>
  <c r="T62" i="4"/>
  <c r="W62" i="4" s="1"/>
  <c r="M63" i="4"/>
  <c r="T78" i="4"/>
  <c r="M79" i="4"/>
  <c r="T94" i="4"/>
  <c r="W94" i="4" s="1"/>
  <c r="M95" i="4"/>
  <c r="R108" i="4"/>
  <c r="V118" i="4"/>
  <c r="V125" i="4"/>
  <c r="W125" i="4" s="1"/>
  <c r="M126" i="4"/>
  <c r="N130" i="4"/>
  <c r="V144" i="4"/>
  <c r="N145" i="4"/>
  <c r="N195" i="4"/>
  <c r="N202" i="4"/>
  <c r="M202" i="4"/>
  <c r="V222" i="4"/>
  <c r="M230" i="4"/>
  <c r="T230" i="4"/>
  <c r="N230" i="4"/>
  <c r="N231" i="4"/>
  <c r="M231" i="4"/>
  <c r="U231" i="4"/>
  <c r="V249" i="4"/>
  <c r="V313" i="4"/>
  <c r="D135" i="3"/>
  <c r="B137" i="3"/>
  <c r="E142" i="3"/>
  <c r="C144" i="3"/>
  <c r="M6" i="4"/>
  <c r="N124" i="4"/>
  <c r="M124" i="4"/>
  <c r="V133" i="4"/>
  <c r="W133" i="4" s="1"/>
  <c r="N161" i="4"/>
  <c r="V171" i="4"/>
  <c r="W171" i="4" s="1"/>
  <c r="V223" i="4"/>
  <c r="N229" i="4"/>
  <c r="M229" i="4"/>
  <c r="T229" i="4"/>
  <c r="U229" i="4"/>
  <c r="N112" i="4"/>
  <c r="T114" i="4"/>
  <c r="M114" i="4"/>
  <c r="V115" i="4"/>
  <c r="T118" i="4"/>
  <c r="R130" i="4"/>
  <c r="N133" i="4"/>
  <c r="M133" i="4"/>
  <c r="U140" i="4"/>
  <c r="U144" i="4"/>
  <c r="R156" i="4"/>
  <c r="N159" i="4"/>
  <c r="M159" i="4"/>
  <c r="V160" i="4"/>
  <c r="W160" i="4" s="1"/>
  <c r="N166" i="4"/>
  <c r="U168" i="4"/>
  <c r="N183" i="4"/>
  <c r="M183" i="4"/>
  <c r="V184" i="4"/>
  <c r="W184" i="4" s="1"/>
  <c r="R206" i="4"/>
  <c r="V224" i="4"/>
  <c r="W224" i="4" s="1"/>
  <c r="V69" i="4"/>
  <c r="W69" i="4" s="1"/>
  <c r="V85" i="4"/>
  <c r="W85" i="4" s="1"/>
  <c r="R105" i="4"/>
  <c r="V111" i="4"/>
  <c r="V121" i="4"/>
  <c r="W121" i="4" s="1"/>
  <c r="V140" i="4"/>
  <c r="W140" i="4" s="1"/>
  <c r="W155" i="4"/>
  <c r="V168" i="4"/>
  <c r="U177" i="4"/>
  <c r="M177" i="4"/>
  <c r="V194" i="4"/>
  <c r="W194" i="4" s="1"/>
  <c r="V204" i="4"/>
  <c r="W214" i="4"/>
  <c r="V235" i="4"/>
  <c r="W258" i="4"/>
  <c r="U259" i="4"/>
  <c r="N259" i="4"/>
  <c r="M259" i="4"/>
  <c r="V270" i="4"/>
  <c r="V272" i="4"/>
  <c r="N123" i="4"/>
  <c r="N139" i="4"/>
  <c r="N155" i="4"/>
  <c r="N171" i="4"/>
  <c r="V181" i="4"/>
  <c r="N197" i="4"/>
  <c r="M197" i="4"/>
  <c r="T197" i="4"/>
  <c r="U198" i="4"/>
  <c r="W198" i="4" s="1"/>
  <c r="M207" i="4"/>
  <c r="M215" i="4"/>
  <c r="M223" i="4"/>
  <c r="M227" i="4"/>
  <c r="V231" i="4"/>
  <c r="V240" i="4"/>
  <c r="W240" i="4"/>
  <c r="N246" i="4"/>
  <c r="V250" i="4"/>
  <c r="W250" i="4" s="1"/>
  <c r="M251" i="4"/>
  <c r="V255" i="4"/>
  <c r="T259" i="4"/>
  <c r="N265" i="4"/>
  <c r="M265" i="4"/>
  <c r="V273" i="4"/>
  <c r="W273" i="4" s="1"/>
  <c r="R297" i="4"/>
  <c r="N320" i="4"/>
  <c r="M320" i="4"/>
  <c r="T320" i="4"/>
  <c r="V362" i="4"/>
  <c r="W362" i="4" s="1"/>
  <c r="V256" i="4"/>
  <c r="W256" i="4" s="1"/>
  <c r="V261" i="4"/>
  <c r="N272" i="4"/>
  <c r="M272" i="4"/>
  <c r="V280" i="4"/>
  <c r="W280" i="4" s="1"/>
  <c r="V286" i="4"/>
  <c r="V287" i="4"/>
  <c r="W287" i="4" s="1"/>
  <c r="V314" i="4"/>
  <c r="W314" i="4" s="1"/>
  <c r="V324" i="4"/>
  <c r="W324" i="4" s="1"/>
  <c r="R331" i="4"/>
  <c r="W393" i="4"/>
  <c r="V564" i="4"/>
  <c r="W564" i="4" s="1"/>
  <c r="R182" i="4"/>
  <c r="T187" i="4"/>
  <c r="R195" i="4"/>
  <c r="N213" i="4"/>
  <c r="M213" i="4"/>
  <c r="T213" i="4"/>
  <c r="W213" i="4" s="1"/>
  <c r="R227" i="4"/>
  <c r="R236" i="4"/>
  <c r="V241" i="4"/>
  <c r="W241" i="4" s="1"/>
  <c r="R242" i="4"/>
  <c r="V288" i="4"/>
  <c r="W288" i="4" s="1"/>
  <c r="W311" i="4"/>
  <c r="V368" i="4"/>
  <c r="W368" i="4" s="1"/>
  <c r="V369" i="4"/>
  <c r="V380" i="4"/>
  <c r="V456" i="4"/>
  <c r="V246" i="4"/>
  <c r="W246" i="4" s="1"/>
  <c r="N255" i="4"/>
  <c r="M255" i="4"/>
  <c r="V257" i="4"/>
  <c r="W257" i="4" s="1"/>
  <c r="W262" i="4"/>
  <c r="V282" i="4"/>
  <c r="N296" i="4"/>
  <c r="M296" i="4"/>
  <c r="W306" i="4"/>
  <c r="V315" i="4"/>
  <c r="M351" i="4"/>
  <c r="T351" i="4"/>
  <c r="N351" i="4"/>
  <c r="U351" i="4"/>
  <c r="V379" i="4"/>
  <c r="N158" i="4"/>
  <c r="N174" i="4"/>
  <c r="U223" i="4"/>
  <c r="T235" i="4"/>
  <c r="N245" i="4"/>
  <c r="M245" i="4"/>
  <c r="T245" i="4"/>
  <c r="U246" i="4"/>
  <c r="U251" i="4"/>
  <c r="T255" i="4"/>
  <c r="V262" i="4"/>
  <c r="V275" i="4"/>
  <c r="W275" i="4" s="1"/>
  <c r="V289" i="4"/>
  <c r="W289" i="4" s="1"/>
  <c r="T296" i="4"/>
  <c r="W296" i="4" s="1"/>
  <c r="V331" i="4"/>
  <c r="W331" i="4" s="1"/>
  <c r="N392" i="4"/>
  <c r="M392" i="4"/>
  <c r="U392" i="4"/>
  <c r="V447" i="4"/>
  <c r="T191" i="4"/>
  <c r="U207" i="4"/>
  <c r="W207" i="4" s="1"/>
  <c r="T215" i="4"/>
  <c r="W215" i="4" s="1"/>
  <c r="M243" i="4"/>
  <c r="V247" i="4"/>
  <c r="W247" i="4" s="1"/>
  <c r="R252" i="4"/>
  <c r="N261" i="4"/>
  <c r="M261" i="4"/>
  <c r="T261" i="4"/>
  <c r="V263" i="4"/>
  <c r="W263" i="4" s="1"/>
  <c r="N288" i="4"/>
  <c r="M288" i="4"/>
  <c r="R300" i="4"/>
  <c r="V317" i="4"/>
  <c r="W317" i="4" s="1"/>
  <c r="T392" i="4"/>
  <c r="W392" i="4" s="1"/>
  <c r="N243" i="4"/>
  <c r="N281" i="4"/>
  <c r="M281" i="4"/>
  <c r="W282" i="4"/>
  <c r="V300" i="4"/>
  <c r="W300" i="4" s="1"/>
  <c r="V343" i="4"/>
  <c r="W343" i="4" s="1"/>
  <c r="V385" i="4"/>
  <c r="V423" i="4"/>
  <c r="V431" i="4"/>
  <c r="W431" i="4" s="1"/>
  <c r="V237" i="4"/>
  <c r="W237" i="4" s="1"/>
  <c r="V283" i="4"/>
  <c r="W283" i="4" s="1"/>
  <c r="V290" i="4"/>
  <c r="V318" i="4"/>
  <c r="W318" i="4" s="1"/>
  <c r="V326" i="4"/>
  <c r="W326" i="4" s="1"/>
  <c r="N367" i="4"/>
  <c r="M367" i="4"/>
  <c r="T367" i="4"/>
  <c r="U367" i="4"/>
  <c r="N185" i="4"/>
  <c r="M185" i="4"/>
  <c r="V186" i="4"/>
  <c r="T189" i="4"/>
  <c r="U192" i="4"/>
  <c r="T195" i="4"/>
  <c r="T207" i="4"/>
  <c r="T223" i="4"/>
  <c r="T227" i="4"/>
  <c r="W227" i="4" s="1"/>
  <c r="T251" i="4"/>
  <c r="V269" i="4"/>
  <c r="W269" i="4" s="1"/>
  <c r="U283" i="4"/>
  <c r="R284" i="4"/>
  <c r="U290" i="4"/>
  <c r="M306" i="4"/>
  <c r="N306" i="4"/>
  <c r="V327" i="4"/>
  <c r="W327" i="4" s="1"/>
  <c r="V388" i="4"/>
  <c r="N242" i="4"/>
  <c r="M242" i="4"/>
  <c r="V243" i="4"/>
  <c r="V277" i="4"/>
  <c r="N299" i="4"/>
  <c r="M299" i="4"/>
  <c r="V301" i="4"/>
  <c r="W301" i="4" s="1"/>
  <c r="V308" i="4"/>
  <c r="W308" i="4" s="1"/>
  <c r="V333" i="4"/>
  <c r="V335" i="4"/>
  <c r="M175" i="4"/>
  <c r="V177" i="4"/>
  <c r="T179" i="4"/>
  <c r="V193" i="4"/>
  <c r="W193" i="4" s="1"/>
  <c r="M194" i="4"/>
  <c r="N198" i="4"/>
  <c r="U208" i="4"/>
  <c r="T211" i="4"/>
  <c r="W211" i="4" s="1"/>
  <c r="R225" i="4"/>
  <c r="V229" i="4"/>
  <c r="N240" i="4"/>
  <c r="W243" i="4"/>
  <c r="V253" i="4"/>
  <c r="W253" i="4" s="1"/>
  <c r="N258" i="4"/>
  <c r="M258" i="4"/>
  <c r="V259" i="4"/>
  <c r="V264" i="4"/>
  <c r="W264" i="4" s="1"/>
  <c r="T299" i="4"/>
  <c r="V302" i="4"/>
  <c r="W302" i="4" s="1"/>
  <c r="U320" i="4"/>
  <c r="R353" i="4"/>
  <c r="V403" i="4"/>
  <c r="W403" i="4" s="1"/>
  <c r="V197" i="4"/>
  <c r="R198" i="4"/>
  <c r="R209" i="4"/>
  <c r="V225" i="4"/>
  <c r="W225" i="4" s="1"/>
  <c r="V234" i="4"/>
  <c r="W234" i="4" s="1"/>
  <c r="W276" i="4"/>
  <c r="V310" i="4"/>
  <c r="W310" i="4" s="1"/>
  <c r="V390" i="4"/>
  <c r="W390" i="4" s="1"/>
  <c r="V404" i="4"/>
  <c r="N233" i="4"/>
  <c r="M233" i="4"/>
  <c r="V278" i="4"/>
  <c r="W278" i="4" s="1"/>
  <c r="V292" i="4"/>
  <c r="W292" i="4" s="1"/>
  <c r="V321" i="4"/>
  <c r="V337" i="4"/>
  <c r="V346" i="4"/>
  <c r="W346" i="4" s="1"/>
  <c r="N201" i="4"/>
  <c r="M201" i="4"/>
  <c r="V202" i="4"/>
  <c r="W202" i="4" s="1"/>
  <c r="V205" i="4"/>
  <c r="W205" i="4" s="1"/>
  <c r="V221" i="4"/>
  <c r="W221" i="4" s="1"/>
  <c r="V230" i="4"/>
  <c r="V266" i="4"/>
  <c r="W266" i="4" s="1"/>
  <c r="V271" i="4"/>
  <c r="W271" i="4" s="1"/>
  <c r="T272" i="4"/>
  <c r="R273" i="4"/>
  <c r="N277" i="4"/>
  <c r="M277" i="4"/>
  <c r="T277" i="4"/>
  <c r="V279" i="4"/>
  <c r="W279" i="4" s="1"/>
  <c r="V285" i="4"/>
  <c r="W285" i="4" s="1"/>
  <c r="V294" i="4"/>
  <c r="V295" i="4"/>
  <c r="W295" i="4" s="1"/>
  <c r="V322" i="4"/>
  <c r="W322" i="4" s="1"/>
  <c r="W333" i="4"/>
  <c r="M334" i="4"/>
  <c r="N334" i="4"/>
  <c r="U334" i="4"/>
  <c r="N315" i="4"/>
  <c r="M315" i="4"/>
  <c r="V316" i="4"/>
  <c r="W316" i="4" s="1"/>
  <c r="M321" i="4"/>
  <c r="V357" i="4"/>
  <c r="V386" i="4"/>
  <c r="N397" i="4"/>
  <c r="M397" i="4"/>
  <c r="V400" i="4"/>
  <c r="V409" i="4"/>
  <c r="V420" i="4"/>
  <c r="W420" i="4" s="1"/>
  <c r="V475" i="4"/>
  <c r="U274" i="4"/>
  <c r="U293" i="4"/>
  <c r="M304" i="4"/>
  <c r="U309" i="4"/>
  <c r="N321" i="4"/>
  <c r="T350" i="4"/>
  <c r="N353" i="4"/>
  <c r="W361" i="4"/>
  <c r="T365" i="4"/>
  <c r="R369" i="4"/>
  <c r="T373" i="4"/>
  <c r="N373" i="4"/>
  <c r="N385" i="4"/>
  <c r="M385" i="4"/>
  <c r="V387" i="4"/>
  <c r="W387" i="4" s="1"/>
  <c r="T397" i="4"/>
  <c r="W397" i="4" s="1"/>
  <c r="V465" i="4"/>
  <c r="W465" i="4" s="1"/>
  <c r="V492" i="4"/>
  <c r="M271" i="4"/>
  <c r="M287" i="4"/>
  <c r="T294" i="4"/>
  <c r="T334" i="4"/>
  <c r="U335" i="4"/>
  <c r="T357" i="4"/>
  <c r="N357" i="4"/>
  <c r="U369" i="4"/>
  <c r="W380" i="4"/>
  <c r="V389" i="4"/>
  <c r="V424" i="4"/>
  <c r="W424" i="4" s="1"/>
  <c r="V468" i="4"/>
  <c r="W470" i="4"/>
  <c r="V499" i="4"/>
  <c r="W499" i="4" s="1"/>
  <c r="V549" i="4"/>
  <c r="U206" i="4"/>
  <c r="U222" i="4"/>
  <c r="W222" i="4" s="1"/>
  <c r="U238" i="4"/>
  <c r="W238" i="4" s="1"/>
  <c r="U254" i="4"/>
  <c r="W254" i="4" s="1"/>
  <c r="M262" i="4"/>
  <c r="U270" i="4"/>
  <c r="N271" i="4"/>
  <c r="M278" i="4"/>
  <c r="U286" i="4"/>
  <c r="N287" i="4"/>
  <c r="R289" i="4"/>
  <c r="U294" i="4"/>
  <c r="V304" i="4"/>
  <c r="W304" i="4" s="1"/>
  <c r="V307" i="4"/>
  <c r="W307" i="4" s="1"/>
  <c r="U313" i="4"/>
  <c r="W313" i="4" s="1"/>
  <c r="N322" i="4"/>
  <c r="M341" i="4"/>
  <c r="M344" i="4"/>
  <c r="U353" i="4"/>
  <c r="V375" i="4"/>
  <c r="W375" i="4" s="1"/>
  <c r="V448" i="4"/>
  <c r="V565" i="4"/>
  <c r="V336" i="4"/>
  <c r="W336" i="4" s="1"/>
  <c r="V381" i="4"/>
  <c r="V449" i="4"/>
  <c r="W449" i="4" s="1"/>
  <c r="V487" i="4"/>
  <c r="N494" i="4"/>
  <c r="M494" i="4"/>
  <c r="U494" i="4"/>
  <c r="V537" i="4"/>
  <c r="W537" i="4" s="1"/>
  <c r="M180" i="4"/>
  <c r="U188" i="4"/>
  <c r="M196" i="4"/>
  <c r="U204" i="4"/>
  <c r="N205" i="4"/>
  <c r="U220" i="4"/>
  <c r="N221" i="4"/>
  <c r="U236" i="4"/>
  <c r="W236" i="4" s="1"/>
  <c r="N237" i="4"/>
  <c r="U252" i="4"/>
  <c r="N253" i="4"/>
  <c r="U268" i="4"/>
  <c r="N269" i="4"/>
  <c r="U284" i="4"/>
  <c r="N285" i="4"/>
  <c r="U297" i="4"/>
  <c r="W297" i="4" s="1"/>
  <c r="N324" i="4"/>
  <c r="M324" i="4"/>
  <c r="V325" i="4"/>
  <c r="W325" i="4" s="1"/>
  <c r="R332" i="4"/>
  <c r="R337" i="4"/>
  <c r="V348" i="4"/>
  <c r="W348" i="4" s="1"/>
  <c r="U381" i="4"/>
  <c r="W382" i="4"/>
  <c r="V432" i="4"/>
  <c r="W432" i="4" s="1"/>
  <c r="W328" i="4"/>
  <c r="V332" i="4"/>
  <c r="W332" i="4" s="1"/>
  <c r="N350" i="4"/>
  <c r="V359" i="4"/>
  <c r="W359" i="4" s="1"/>
  <c r="M365" i="4"/>
  <c r="V370" i="4"/>
  <c r="T389" i="4"/>
  <c r="N389" i="4"/>
  <c r="W406" i="4"/>
  <c r="V413" i="4"/>
  <c r="W413" i="4" s="1"/>
  <c r="V425" i="4"/>
  <c r="V488" i="4"/>
  <c r="M274" i="4"/>
  <c r="M293" i="4"/>
  <c r="M309" i="4"/>
  <c r="M312" i="4"/>
  <c r="T321" i="4"/>
  <c r="N331" i="4"/>
  <c r="M331" i="4"/>
  <c r="N338" i="4"/>
  <c r="N340" i="4"/>
  <c r="M340" i="4"/>
  <c r="V341" i="4"/>
  <c r="W341" i="4" s="1"/>
  <c r="V354" i="4"/>
  <c r="V363" i="4"/>
  <c r="W363" i="4" s="1"/>
  <c r="V364" i="4"/>
  <c r="W364" i="4" s="1"/>
  <c r="T369" i="4"/>
  <c r="M373" i="4"/>
  <c r="T376" i="4"/>
  <c r="W376" i="4" s="1"/>
  <c r="V383" i="4"/>
  <c r="T383" i="4"/>
  <c r="V395" i="4"/>
  <c r="V396" i="4"/>
  <c r="W396" i="4" s="1"/>
  <c r="V433" i="4"/>
  <c r="W433" i="4" s="1"/>
  <c r="V452" i="4"/>
  <c r="W452" i="4" s="1"/>
  <c r="U337" i="4"/>
  <c r="T344" i="4"/>
  <c r="V349" i="4"/>
  <c r="T353" i="4"/>
  <c r="V371" i="4"/>
  <c r="W371" i="4" s="1"/>
  <c r="V440" i="4"/>
  <c r="V441" i="4"/>
  <c r="U344" i="4"/>
  <c r="U349" i="4"/>
  <c r="T381" i="4"/>
  <c r="W381" i="4" s="1"/>
  <c r="V407" i="4"/>
  <c r="W407" i="4" s="1"/>
  <c r="W479" i="4"/>
  <c r="N292" i="4"/>
  <c r="M292" i="4"/>
  <c r="T315" i="4"/>
  <c r="U350" i="4"/>
  <c r="M354" i="4"/>
  <c r="T354" i="4"/>
  <c r="W354" i="4" s="1"/>
  <c r="V355" i="4"/>
  <c r="W355" i="4" s="1"/>
  <c r="M357" i="4"/>
  <c r="V365" i="4"/>
  <c r="V372" i="4"/>
  <c r="V377" i="4"/>
  <c r="W377" i="4" s="1"/>
  <c r="V384" i="4"/>
  <c r="W384" i="4" s="1"/>
  <c r="U385" i="4"/>
  <c r="W385" i="4" s="1"/>
  <c r="V391" i="4"/>
  <c r="W391" i="4" s="1"/>
  <c r="V397" i="4"/>
  <c r="U397" i="4"/>
  <c r="V416" i="4"/>
  <c r="R419" i="4"/>
  <c r="V444" i="4"/>
  <c r="W444" i="4" s="1"/>
  <c r="W454" i="4"/>
  <c r="V528" i="4"/>
  <c r="V293" i="4"/>
  <c r="W293" i="4" s="1"/>
  <c r="N308" i="4"/>
  <c r="M308" i="4"/>
  <c r="V309" i="4"/>
  <c r="U315" i="4"/>
  <c r="T360" i="4"/>
  <c r="U365" i="4"/>
  <c r="W365" i="4" s="1"/>
  <c r="V373" i="4"/>
  <c r="N376" i="4"/>
  <c r="M376" i="4"/>
  <c r="N383" i="4"/>
  <c r="M383" i="4"/>
  <c r="V428" i="4"/>
  <c r="V443" i="4"/>
  <c r="N524" i="4"/>
  <c r="M524" i="4"/>
  <c r="U524" i="4"/>
  <c r="T524" i="4"/>
  <c r="W524" i="4" s="1"/>
  <c r="M294" i="4"/>
  <c r="N335" i="4"/>
  <c r="V338" i="4"/>
  <c r="W345" i="4"/>
  <c r="V351" i="4"/>
  <c r="M352" i="4"/>
  <c r="V356" i="4"/>
  <c r="U360" i="4"/>
  <c r="M368" i="4"/>
  <c r="W481" i="4"/>
  <c r="T305" i="4"/>
  <c r="W305" i="4" s="1"/>
  <c r="U312" i="4"/>
  <c r="W312" i="4" s="1"/>
  <c r="R316" i="4"/>
  <c r="M317" i="4"/>
  <c r="V320" i="4"/>
  <c r="V323" i="4"/>
  <c r="W323" i="4" s="1"/>
  <c r="T337" i="4"/>
  <c r="T338" i="4"/>
  <c r="T349" i="4"/>
  <c r="N352" i="4"/>
  <c r="V367" i="4"/>
  <c r="N368" i="4"/>
  <c r="U373" i="4"/>
  <c r="V408" i="4"/>
  <c r="V436" i="4"/>
  <c r="W436" i="4" s="1"/>
  <c r="T422" i="4"/>
  <c r="W422" i="4" s="1"/>
  <c r="N447" i="4"/>
  <c r="M447" i="4"/>
  <c r="V458" i="4"/>
  <c r="W458" i="4" s="1"/>
  <c r="V496" i="4"/>
  <c r="V498" i="4"/>
  <c r="W498" i="4" s="1"/>
  <c r="U511" i="4"/>
  <c r="N511" i="4"/>
  <c r="M511" i="4"/>
  <c r="V538" i="4"/>
  <c r="V552" i="4"/>
  <c r="M366" i="4"/>
  <c r="M382" i="4"/>
  <c r="M398" i="4"/>
  <c r="R407" i="4"/>
  <c r="M414" i="4"/>
  <c r="V419" i="4"/>
  <c r="U429" i="4"/>
  <c r="W429" i="4" s="1"/>
  <c r="R449" i="4"/>
  <c r="T453" i="4"/>
  <c r="N453" i="4"/>
  <c r="N463" i="4"/>
  <c r="M463" i="4"/>
  <c r="T469" i="4"/>
  <c r="N469" i="4"/>
  <c r="M469" i="4"/>
  <c r="V471" i="4"/>
  <c r="W471" i="4" s="1"/>
  <c r="M472" i="4"/>
  <c r="V476" i="4"/>
  <c r="W476" i="4" s="1"/>
  <c r="R483" i="4"/>
  <c r="T494" i="4"/>
  <c r="V505" i="4"/>
  <c r="W505" i="4" s="1"/>
  <c r="V517" i="4"/>
  <c r="W517" i="4" s="1"/>
  <c r="V518" i="4"/>
  <c r="W518" i="4" s="1"/>
  <c r="V527" i="4"/>
  <c r="W527" i="4" s="1"/>
  <c r="V437" i="4"/>
  <c r="W437" i="4" s="1"/>
  <c r="N443" i="4"/>
  <c r="T443" i="4"/>
  <c r="V464" i="4"/>
  <c r="V482" i="4"/>
  <c r="W482" i="4" s="1"/>
  <c r="N640" i="4"/>
  <c r="M640" i="4"/>
  <c r="U640" i="4"/>
  <c r="V667" i="4"/>
  <c r="U356" i="4"/>
  <c r="U372" i="4"/>
  <c r="U388" i="4"/>
  <c r="T409" i="4"/>
  <c r="V410" i="4"/>
  <c r="W410" i="4" s="1"/>
  <c r="U419" i="4"/>
  <c r="V426" i="4"/>
  <c r="W426" i="4" s="1"/>
  <c r="W487" i="4"/>
  <c r="V489" i="4"/>
  <c r="W489" i="4" s="1"/>
  <c r="M497" i="4"/>
  <c r="U497" i="4"/>
  <c r="N497" i="4"/>
  <c r="V500" i="4"/>
  <c r="W500" i="4" s="1"/>
  <c r="U347" i="4"/>
  <c r="U363" i="4"/>
  <c r="T370" i="4"/>
  <c r="U379" i="4"/>
  <c r="W379" i="4" s="1"/>
  <c r="T386" i="4"/>
  <c r="U395" i="4"/>
  <c r="W395" i="4" s="1"/>
  <c r="T400" i="4"/>
  <c r="T404" i="4"/>
  <c r="T416" i="4"/>
  <c r="R433" i="4"/>
  <c r="U440" i="4"/>
  <c r="T448" i="4"/>
  <c r="V455" i="4"/>
  <c r="W455" i="4" s="1"/>
  <c r="V459" i="4"/>
  <c r="W459" i="4" s="1"/>
  <c r="N475" i="4"/>
  <c r="M475" i="4"/>
  <c r="T475" i="4"/>
  <c r="V477" i="4"/>
  <c r="W477" i="4" s="1"/>
  <c r="V541" i="4"/>
  <c r="W541" i="4" s="1"/>
  <c r="N551" i="4"/>
  <c r="U551" i="4"/>
  <c r="T551" i="4"/>
  <c r="M551" i="4"/>
  <c r="V568" i="4"/>
  <c r="W568" i="4" s="1"/>
  <c r="U370" i="4"/>
  <c r="U386" i="4"/>
  <c r="U400" i="4"/>
  <c r="U404" i="4"/>
  <c r="U416" i="4"/>
  <c r="T423" i="4"/>
  <c r="W430" i="4"/>
  <c r="V445" i="4"/>
  <c r="W445" i="4" s="1"/>
  <c r="V460" i="4"/>
  <c r="W460" i="4"/>
  <c r="V484" i="4"/>
  <c r="W484" i="4" s="1"/>
  <c r="V501" i="4"/>
  <c r="W501" i="4" s="1"/>
  <c r="W528" i="4"/>
  <c r="V557" i="4"/>
  <c r="W557" i="4" s="1"/>
  <c r="T384" i="4"/>
  <c r="T419" i="4"/>
  <c r="T440" i="4"/>
  <c r="V450" i="4"/>
  <c r="T464" i="4"/>
  <c r="V490" i="4"/>
  <c r="W490" i="4" s="1"/>
  <c r="V491" i="4"/>
  <c r="W491" i="4" s="1"/>
  <c r="V520" i="4"/>
  <c r="W520" i="4" s="1"/>
  <c r="M399" i="4"/>
  <c r="V405" i="4"/>
  <c r="W405" i="4" s="1"/>
  <c r="V411" i="4"/>
  <c r="W411" i="4" s="1"/>
  <c r="W414" i="4"/>
  <c r="M415" i="4"/>
  <c r="V427" i="4"/>
  <c r="W427" i="4" s="1"/>
  <c r="M439" i="4"/>
  <c r="M480" i="4"/>
  <c r="V502" i="4"/>
  <c r="W502" i="4" s="1"/>
  <c r="N540" i="4"/>
  <c r="U540" i="4"/>
  <c r="M540" i="4"/>
  <c r="V556" i="4"/>
  <c r="V421" i="4"/>
  <c r="R447" i="4"/>
  <c r="N459" i="4"/>
  <c r="M459" i="4"/>
  <c r="T459" i="4"/>
  <c r="V461" i="4"/>
  <c r="T461" i="4"/>
  <c r="V466" i="4"/>
  <c r="W509" i="4"/>
  <c r="V544" i="4"/>
  <c r="V434" i="4"/>
  <c r="W434" i="4" s="1"/>
  <c r="W446" i="4"/>
  <c r="V451" i="4"/>
  <c r="W451" i="4" s="1"/>
  <c r="V485" i="4"/>
  <c r="W485" i="4" s="1"/>
  <c r="W519" i="4"/>
  <c r="V581" i="4"/>
  <c r="N409" i="4"/>
  <c r="M422" i="4"/>
  <c r="M429" i="4"/>
  <c r="V442" i="4"/>
  <c r="W442" i="4" s="1"/>
  <c r="M443" i="4"/>
  <c r="V493" i="4"/>
  <c r="W493" i="4" s="1"/>
  <c r="V521" i="4"/>
  <c r="W521" i="4" s="1"/>
  <c r="N556" i="4"/>
  <c r="M556" i="4"/>
  <c r="U556" i="4"/>
  <c r="M356" i="4"/>
  <c r="M372" i="4"/>
  <c r="M388" i="4"/>
  <c r="M413" i="4"/>
  <c r="T421" i="4"/>
  <c r="M432" i="4"/>
  <c r="M448" i="4"/>
  <c r="R457" i="4"/>
  <c r="W462" i="4"/>
  <c r="V467" i="4"/>
  <c r="N470" i="4"/>
  <c r="V474" i="4"/>
  <c r="W474" i="4" s="1"/>
  <c r="V486" i="4"/>
  <c r="W486" i="4" s="1"/>
  <c r="V511" i="4"/>
  <c r="V522" i="4"/>
  <c r="M347" i="4"/>
  <c r="M363" i="4"/>
  <c r="M379" i="4"/>
  <c r="M395" i="4"/>
  <c r="M403" i="4"/>
  <c r="U447" i="4"/>
  <c r="N479" i="4"/>
  <c r="M479" i="4"/>
  <c r="V480" i="4"/>
  <c r="W480" i="4" s="1"/>
  <c r="V524" i="4"/>
  <c r="W535" i="4"/>
  <c r="M544" i="4"/>
  <c r="U544" i="4"/>
  <c r="N544" i="4"/>
  <c r="T408" i="4"/>
  <c r="M419" i="4"/>
  <c r="V435" i="4"/>
  <c r="W435" i="4" s="1"/>
  <c r="V453" i="4"/>
  <c r="N454" i="4"/>
  <c r="T456" i="4"/>
  <c r="W456" i="4" s="1"/>
  <c r="V469" i="4"/>
  <c r="R481" i="4"/>
  <c r="U492" i="4"/>
  <c r="N492" i="4"/>
  <c r="V495" i="4"/>
  <c r="W495" i="4" s="1"/>
  <c r="V504" i="4"/>
  <c r="W504" i="4" s="1"/>
  <c r="V525" i="4"/>
  <c r="W525" i="4" s="1"/>
  <c r="T497" i="4"/>
  <c r="T511" i="4"/>
  <c r="W511" i="4" s="1"/>
  <c r="T544" i="4"/>
  <c r="U545" i="4"/>
  <c r="R547" i="4"/>
  <c r="V582" i="4"/>
  <c r="W582" i="4" s="1"/>
  <c r="V597" i="4"/>
  <c r="W597" i="4" s="1"/>
  <c r="V598" i="4"/>
  <c r="W598" i="4" s="1"/>
  <c r="T640" i="4"/>
  <c r="V797" i="4"/>
  <c r="U477" i="4"/>
  <c r="N496" i="4"/>
  <c r="M510" i="4"/>
  <c r="T540" i="4"/>
  <c r="V546" i="4"/>
  <c r="W546" i="4" s="1"/>
  <c r="T556" i="4"/>
  <c r="N563" i="4"/>
  <c r="M563" i="4"/>
  <c r="V613" i="4"/>
  <c r="V625" i="4"/>
  <c r="W625" i="4" s="1"/>
  <c r="V656" i="4"/>
  <c r="W656" i="4" s="1"/>
  <c r="U436" i="4"/>
  <c r="U452" i="4"/>
  <c r="U468" i="4"/>
  <c r="W468" i="4" s="1"/>
  <c r="U488" i="4"/>
  <c r="W488" i="4" s="1"/>
  <c r="U502" i="4"/>
  <c r="R503" i="4"/>
  <c r="V513" i="4"/>
  <c r="V529" i="4"/>
  <c r="V534" i="4"/>
  <c r="T545" i="4"/>
  <c r="T575" i="4"/>
  <c r="V577" i="4"/>
  <c r="W577" i="4" s="1"/>
  <c r="V584" i="4"/>
  <c r="W584" i="4" s="1"/>
  <c r="V590" i="4"/>
  <c r="W590" i="4" s="1"/>
  <c r="V591" i="4"/>
  <c r="W591" i="4" s="1"/>
  <c r="W599" i="4"/>
  <c r="W606" i="4"/>
  <c r="V614" i="4"/>
  <c r="N633" i="4"/>
  <c r="M633" i="4"/>
  <c r="V547" i="4"/>
  <c r="W547" i="4" s="1"/>
  <c r="V559" i="4"/>
  <c r="W576" i="4"/>
  <c r="V626" i="4"/>
  <c r="W626" i="4" s="1"/>
  <c r="V636" i="4"/>
  <c r="V658" i="4"/>
  <c r="V744" i="4"/>
  <c r="W744" i="4" s="1"/>
  <c r="V751" i="4"/>
  <c r="V752" i="4"/>
  <c r="W752" i="4" s="1"/>
  <c r="U402" i="4"/>
  <c r="W402" i="4" s="1"/>
  <c r="M410" i="4"/>
  <c r="U418" i="4"/>
  <c r="W418" i="4" s="1"/>
  <c r="M426" i="4"/>
  <c r="U434" i="4"/>
  <c r="M442" i="4"/>
  <c r="U450" i="4"/>
  <c r="U466" i="4"/>
  <c r="N467" i="4"/>
  <c r="V483" i="4"/>
  <c r="U513" i="4"/>
  <c r="U529" i="4"/>
  <c r="T534" i="4"/>
  <c r="N535" i="4"/>
  <c r="R538" i="4"/>
  <c r="T542" i="4"/>
  <c r="W542" i="4" s="1"/>
  <c r="N543" i="4"/>
  <c r="V566" i="4"/>
  <c r="W566" i="4" s="1"/>
  <c r="V571" i="4"/>
  <c r="W571" i="4" s="1"/>
  <c r="V607" i="4"/>
  <c r="W607" i="4" s="1"/>
  <c r="N624" i="4"/>
  <c r="M624" i="4"/>
  <c r="U624" i="4"/>
  <c r="T624" i="4"/>
  <c r="V683" i="4"/>
  <c r="U425" i="4"/>
  <c r="W425" i="4" s="1"/>
  <c r="U441" i="4"/>
  <c r="U457" i="4"/>
  <c r="U473" i="4"/>
  <c r="U534" i="4"/>
  <c r="R543" i="4"/>
  <c r="U560" i="4"/>
  <c r="W560" i="4" s="1"/>
  <c r="V578" i="4"/>
  <c r="W578" i="4" s="1"/>
  <c r="N613" i="4"/>
  <c r="M613" i="4"/>
  <c r="U613" i="4"/>
  <c r="V659" i="4"/>
  <c r="V722" i="4"/>
  <c r="T510" i="4"/>
  <c r="V514" i="4"/>
  <c r="W514" i="4" s="1"/>
  <c r="V530" i="4"/>
  <c r="W530" i="4" s="1"/>
  <c r="V548" i="4"/>
  <c r="W548" i="4" s="1"/>
  <c r="V592" i="4"/>
  <c r="W592" i="4" s="1"/>
  <c r="V618" i="4"/>
  <c r="V661" i="4"/>
  <c r="V670" i="4"/>
  <c r="W670" i="4" s="1"/>
  <c r="U483" i="4"/>
  <c r="R487" i="4"/>
  <c r="U496" i="4"/>
  <c r="V507" i="4"/>
  <c r="M508" i="4"/>
  <c r="U510" i="4"/>
  <c r="T513" i="4"/>
  <c r="M516" i="4"/>
  <c r="M527" i="4"/>
  <c r="T529" i="4"/>
  <c r="M532" i="4"/>
  <c r="N547" i="4"/>
  <c r="M547" i="4"/>
  <c r="V561" i="4"/>
  <c r="V579" i="4"/>
  <c r="W579" i="4" s="1"/>
  <c r="T593" i="4"/>
  <c r="R594" i="4"/>
  <c r="V608" i="4"/>
  <c r="V609" i="4"/>
  <c r="M636" i="4"/>
  <c r="U636" i="4"/>
  <c r="N636" i="4"/>
  <c r="V639" i="4"/>
  <c r="V515" i="4"/>
  <c r="W515" i="4" s="1"/>
  <c r="N516" i="4"/>
  <c r="T526" i="4"/>
  <c r="W526" i="4" s="1"/>
  <c r="N527" i="4"/>
  <c r="V531" i="4"/>
  <c r="W531" i="4" s="1"/>
  <c r="N532" i="4"/>
  <c r="V573" i="4"/>
  <c r="W573" i="4" s="1"/>
  <c r="U593" i="4"/>
  <c r="R595" i="4"/>
  <c r="V602" i="4"/>
  <c r="M615" i="4"/>
  <c r="U615" i="4"/>
  <c r="T615" i="4"/>
  <c r="N615" i="4"/>
  <c r="V621" i="4"/>
  <c r="W621" i="4" s="1"/>
  <c r="V629" i="4"/>
  <c r="W629" i="4" s="1"/>
  <c r="V651" i="4"/>
  <c r="W658" i="4"/>
  <c r="V539" i="4"/>
  <c r="W539" i="4" s="1"/>
  <c r="M575" i="4"/>
  <c r="V587" i="4"/>
  <c r="W602" i="4"/>
  <c r="V620" i="4"/>
  <c r="W620" i="4" s="1"/>
  <c r="V652" i="4"/>
  <c r="V686" i="4"/>
  <c r="W686" i="4" s="1"/>
  <c r="T467" i="4"/>
  <c r="W467" i="4" s="1"/>
  <c r="M491" i="4"/>
  <c r="T496" i="4"/>
  <c r="V497" i="4"/>
  <c r="U507" i="4"/>
  <c r="N512" i="4"/>
  <c r="N517" i="4"/>
  <c r="N528" i="4"/>
  <c r="V550" i="4"/>
  <c r="W550" i="4" s="1"/>
  <c r="V555" i="4"/>
  <c r="W555" i="4" s="1"/>
  <c r="N572" i="4"/>
  <c r="M572" i="4"/>
  <c r="R575" i="4"/>
  <c r="N576" i="4"/>
  <c r="V580" i="4"/>
  <c r="W580" i="4"/>
  <c r="N608" i="4"/>
  <c r="M608" i="4"/>
  <c r="U608" i="4"/>
  <c r="V653" i="4"/>
  <c r="W653" i="4" s="1"/>
  <c r="V562" i="4"/>
  <c r="N579" i="4"/>
  <c r="M579" i="4"/>
  <c r="M586" i="4"/>
  <c r="U586" i="4"/>
  <c r="N586" i="4"/>
  <c r="V603" i="4"/>
  <c r="V610" i="4"/>
  <c r="W610" i="4" s="1"/>
  <c r="V640" i="4"/>
  <c r="V641" i="4"/>
  <c r="W641" i="4" s="1"/>
  <c r="M650" i="4"/>
  <c r="U650" i="4"/>
  <c r="T650" i="4"/>
  <c r="N650" i="4"/>
  <c r="M402" i="4"/>
  <c r="M450" i="4"/>
  <c r="M466" i="4"/>
  <c r="M499" i="4"/>
  <c r="N515" i="4"/>
  <c r="M515" i="4"/>
  <c r="V516" i="4"/>
  <c r="W516" i="4"/>
  <c r="V523" i="4"/>
  <c r="W523" i="4" s="1"/>
  <c r="N531" i="4"/>
  <c r="M531" i="4"/>
  <c r="V532" i="4"/>
  <c r="W532" i="4" s="1"/>
  <c r="T543" i="4"/>
  <c r="T561" i="4"/>
  <c r="T563" i="4"/>
  <c r="M583" i="4"/>
  <c r="T586" i="4"/>
  <c r="N601" i="4"/>
  <c r="M601" i="4"/>
  <c r="V622" i="4"/>
  <c r="M663" i="4"/>
  <c r="N663" i="4"/>
  <c r="U663" i="4"/>
  <c r="V545" i="4"/>
  <c r="V563" i="4"/>
  <c r="U563" i="4"/>
  <c r="V575" i="4"/>
  <c r="U575" i="4"/>
  <c r="N577" i="4"/>
  <c r="N587" i="4"/>
  <c r="M587" i="4"/>
  <c r="V595" i="4"/>
  <c r="U633" i="4"/>
  <c r="V642" i="4"/>
  <c r="W642" i="4" s="1"/>
  <c r="V672" i="4"/>
  <c r="V637" i="4"/>
  <c r="W637" i="4" s="1"/>
  <c r="V646" i="4"/>
  <c r="U659" i="4"/>
  <c r="T663" i="4"/>
  <c r="V706" i="4"/>
  <c r="V716" i="4"/>
  <c r="V745" i="4"/>
  <c r="W745" i="4" s="1"/>
  <c r="M550" i="4"/>
  <c r="U558" i="4"/>
  <c r="W558" i="4" s="1"/>
  <c r="M566" i="4"/>
  <c r="U574" i="4"/>
  <c r="M582" i="4"/>
  <c r="N588" i="4"/>
  <c r="M595" i="4"/>
  <c r="U620" i="4"/>
  <c r="W628" i="4"/>
  <c r="N645" i="4"/>
  <c r="M645" i="4"/>
  <c r="W655" i="4"/>
  <c r="V666" i="4"/>
  <c r="W666" i="4" s="1"/>
  <c r="V688" i="4"/>
  <c r="M697" i="4"/>
  <c r="U697" i="4"/>
  <c r="T697" i="4"/>
  <c r="N697" i="4"/>
  <c r="W700" i="4"/>
  <c r="U533" i="4"/>
  <c r="W533" i="4" s="1"/>
  <c r="U549" i="4"/>
  <c r="N550" i="4"/>
  <c r="U565" i="4"/>
  <c r="N566" i="4"/>
  <c r="U581" i="4"/>
  <c r="N582" i="4"/>
  <c r="N597" i="4"/>
  <c r="M597" i="4"/>
  <c r="V605" i="4"/>
  <c r="W605" i="4" s="1"/>
  <c r="U617" i="4"/>
  <c r="T645" i="4"/>
  <c r="V647" i="4"/>
  <c r="T647" i="4"/>
  <c r="U651" i="4"/>
  <c r="W651" i="4" s="1"/>
  <c r="N674" i="4"/>
  <c r="M674" i="4"/>
  <c r="V689" i="4"/>
  <c r="V717" i="4"/>
  <c r="W717" i="4" s="1"/>
  <c r="V634" i="4"/>
  <c r="W634" i="4" s="1"/>
  <c r="V675" i="4"/>
  <c r="V701" i="4"/>
  <c r="V708" i="4"/>
  <c r="V755" i="4"/>
  <c r="W755" i="4" s="1"/>
  <c r="V765" i="4"/>
  <c r="W765" i="4" s="1"/>
  <c r="V944" i="4"/>
  <c r="W944" i="4" s="1"/>
  <c r="T646" i="4"/>
  <c r="M646" i="4"/>
  <c r="V690" i="4"/>
  <c r="V709" i="4"/>
  <c r="W709" i="4" s="1"/>
  <c r="V725" i="4"/>
  <c r="W736" i="4"/>
  <c r="V874" i="4"/>
  <c r="W874" i="4" s="1"/>
  <c r="M482" i="4"/>
  <c r="U490" i="4"/>
  <c r="M498" i="4"/>
  <c r="U506" i="4"/>
  <c r="W506" i="4" s="1"/>
  <c r="M514" i="4"/>
  <c r="U522" i="4"/>
  <c r="W522" i="4" s="1"/>
  <c r="N523" i="4"/>
  <c r="M530" i="4"/>
  <c r="U538" i="4"/>
  <c r="N539" i="4"/>
  <c r="M546" i="4"/>
  <c r="U554" i="4"/>
  <c r="N555" i="4"/>
  <c r="M562" i="4"/>
  <c r="U570" i="4"/>
  <c r="N571" i="4"/>
  <c r="M578" i="4"/>
  <c r="T587" i="4"/>
  <c r="T601" i="4"/>
  <c r="W601" i="4" s="1"/>
  <c r="R630" i="4"/>
  <c r="N631" i="4"/>
  <c r="T633" i="4"/>
  <c r="U634" i="4"/>
  <c r="R643" i="4"/>
  <c r="V648" i="4"/>
  <c r="W648" i="4" s="1"/>
  <c r="R679" i="4"/>
  <c r="V684" i="4"/>
  <c r="W684" i="4" s="1"/>
  <c r="V702" i="4"/>
  <c r="W702" i="4" s="1"/>
  <c r="W726" i="4"/>
  <c r="V635" i="4"/>
  <c r="W635" i="4" s="1"/>
  <c r="V677" i="4"/>
  <c r="V678" i="4"/>
  <c r="W678" i="4" s="1"/>
  <c r="V691" i="4"/>
  <c r="V692" i="4"/>
  <c r="W692" i="4" s="1"/>
  <c r="V718" i="4"/>
  <c r="W718" i="4"/>
  <c r="V766" i="4"/>
  <c r="W766" i="4" s="1"/>
  <c r="U588" i="4"/>
  <c r="W588" i="4" s="1"/>
  <c r="T595" i="4"/>
  <c r="T617" i="4"/>
  <c r="T618" i="4"/>
  <c r="N629" i="4"/>
  <c r="M629" i="4"/>
  <c r="V630" i="4"/>
  <c r="N656" i="4"/>
  <c r="M656" i="4"/>
  <c r="V657" i="4"/>
  <c r="W657" i="4" s="1"/>
  <c r="V662" i="4"/>
  <c r="W662" i="4" s="1"/>
  <c r="R663" i="4"/>
  <c r="W701" i="4"/>
  <c r="N776" i="4"/>
  <c r="U776" i="4"/>
  <c r="T776" i="4"/>
  <c r="M776" i="4"/>
  <c r="V685" i="4"/>
  <c r="V789" i="4"/>
  <c r="T613" i="4"/>
  <c r="V631" i="4"/>
  <c r="W639" i="4"/>
  <c r="N661" i="4"/>
  <c r="M661" i="4"/>
  <c r="U661" i="4"/>
  <c r="V668" i="4"/>
  <c r="W668" i="4" s="1"/>
  <c r="V679" i="4"/>
  <c r="V680" i="4"/>
  <c r="V732" i="4"/>
  <c r="V589" i="4"/>
  <c r="W589" i="4" s="1"/>
  <c r="M590" i="4"/>
  <c r="R611" i="4"/>
  <c r="V619" i="4"/>
  <c r="W619" i="4" s="1"/>
  <c r="R627" i="4"/>
  <c r="U631" i="4"/>
  <c r="W631" i="4" s="1"/>
  <c r="W710" i="4"/>
  <c r="T728" i="4"/>
  <c r="W728" i="4" s="1"/>
  <c r="M728" i="4"/>
  <c r="U728" i="4"/>
  <c r="N728" i="4"/>
  <c r="V742" i="4"/>
  <c r="W742" i="4" s="1"/>
  <c r="N592" i="4"/>
  <c r="M592" i="4"/>
  <c r="V600" i="4"/>
  <c r="W600" i="4" s="1"/>
  <c r="V615" i="4"/>
  <c r="N620" i="4"/>
  <c r="T630" i="4"/>
  <c r="M630" i="4"/>
  <c r="W644" i="4"/>
  <c r="V650" i="4"/>
  <c r="M651" i="4"/>
  <c r="M659" i="4"/>
  <c r="V663" i="4"/>
  <c r="V673" i="4"/>
  <c r="W673" i="4" s="1"/>
  <c r="V681" i="4"/>
  <c r="W681" i="4" s="1"/>
  <c r="V695" i="4"/>
  <c r="W695" i="4" s="1"/>
  <c r="W704" i="4"/>
  <c r="V733" i="4"/>
  <c r="W733" i="4" s="1"/>
  <c r="V740" i="4"/>
  <c r="V761" i="4"/>
  <c r="W761" i="4" s="1"/>
  <c r="V792" i="4"/>
  <c r="W792" i="4" s="1"/>
  <c r="V593" i="4"/>
  <c r="T614" i="4"/>
  <c r="W614" i="4" s="1"/>
  <c r="M614" i="4"/>
  <c r="V632" i="4"/>
  <c r="W632" i="4" s="1"/>
  <c r="T643" i="4"/>
  <c r="W643" i="4" s="1"/>
  <c r="N646" i="4"/>
  <c r="V664" i="4"/>
  <c r="V698" i="4"/>
  <c r="W698" i="4" s="1"/>
  <c r="V720" i="4"/>
  <c r="W720" i="4" s="1"/>
  <c r="V750" i="4"/>
  <c r="M506" i="4"/>
  <c r="M522" i="4"/>
  <c r="T585" i="4"/>
  <c r="W585" i="4" s="1"/>
  <c r="T603" i="4"/>
  <c r="V645" i="4"/>
  <c r="N649" i="4"/>
  <c r="M649" i="4"/>
  <c r="M679" i="4"/>
  <c r="U679" i="4"/>
  <c r="N679" i="4"/>
  <c r="W722" i="4"/>
  <c r="V808" i="4"/>
  <c r="U611" i="4"/>
  <c r="W611" i="4" s="1"/>
  <c r="V616" i="4"/>
  <c r="M617" i="4"/>
  <c r="U627" i="4"/>
  <c r="W627" i="4" s="1"/>
  <c r="N634" i="4"/>
  <c r="U645" i="4"/>
  <c r="R646" i="4"/>
  <c r="N647" i="4"/>
  <c r="T649" i="4"/>
  <c r="W649" i="4" s="1"/>
  <c r="V665" i="4"/>
  <c r="W665" i="4" s="1"/>
  <c r="T679" i="4"/>
  <c r="V682" i="4"/>
  <c r="W682" i="4" s="1"/>
  <c r="W699" i="4"/>
  <c r="V734" i="4"/>
  <c r="W734" i="4" s="1"/>
  <c r="N760" i="4"/>
  <c r="U760" i="4"/>
  <c r="T760" i="4"/>
  <c r="M760" i="4"/>
  <c r="T770" i="4"/>
  <c r="W770" i="4" s="1"/>
  <c r="N770" i="4"/>
  <c r="M770" i="4"/>
  <c r="U622" i="4"/>
  <c r="U638" i="4"/>
  <c r="U654" i="4"/>
  <c r="W654" i="4" s="1"/>
  <c r="T664" i="4"/>
  <c r="U669" i="4"/>
  <c r="U677" i="4"/>
  <c r="W677" i="4" s="1"/>
  <c r="T680" i="4"/>
  <c r="U685" i="4"/>
  <c r="U708" i="4"/>
  <c r="N709" i="4"/>
  <c r="N713" i="4"/>
  <c r="U725" i="4"/>
  <c r="V730" i="4"/>
  <c r="M731" i="4"/>
  <c r="N741" i="4"/>
  <c r="M741" i="4"/>
  <c r="T741" i="4"/>
  <c r="N744" i="4"/>
  <c r="M757" i="4"/>
  <c r="N762" i="4"/>
  <c r="W809" i="4"/>
  <c r="V816" i="4"/>
  <c r="V834" i="4"/>
  <c r="W834" i="4" s="1"/>
  <c r="U691" i="4"/>
  <c r="N711" i="4"/>
  <c r="M711" i="4"/>
  <c r="V712" i="4"/>
  <c r="M729" i="4"/>
  <c r="T729" i="4"/>
  <c r="V771" i="4"/>
  <c r="W771" i="4" s="1"/>
  <c r="V783" i="4"/>
  <c r="W783" i="4" s="1"/>
  <c r="V800" i="4"/>
  <c r="V898" i="4"/>
  <c r="W898" i="4" s="1"/>
  <c r="V956" i="4"/>
  <c r="U652" i="4"/>
  <c r="U667" i="4"/>
  <c r="U683" i="4"/>
  <c r="R692" i="4"/>
  <c r="R709" i="4"/>
  <c r="T711" i="4"/>
  <c r="W711" i="4" s="1"/>
  <c r="V719" i="4"/>
  <c r="W719" i="4" s="1"/>
  <c r="N722" i="4"/>
  <c r="M722" i="4"/>
  <c r="V723" i="4"/>
  <c r="W723" i="4" s="1"/>
  <c r="W737" i="4"/>
  <c r="R747" i="4"/>
  <c r="V756" i="4"/>
  <c r="W815" i="4"/>
  <c r="W817" i="4"/>
  <c r="V866" i="4"/>
  <c r="N932" i="4"/>
  <c r="M932" i="4"/>
  <c r="T932" i="4"/>
  <c r="U932" i="4"/>
  <c r="V747" i="4"/>
  <c r="W747" i="4" s="1"/>
  <c r="M777" i="4"/>
  <c r="U777" i="4"/>
  <c r="V779" i="4"/>
  <c r="W779" i="4" s="1"/>
  <c r="N799" i="4"/>
  <c r="M799" i="4"/>
  <c r="U799" i="4"/>
  <c r="V848" i="4"/>
  <c r="W848" i="4" s="1"/>
  <c r="V921" i="4"/>
  <c r="W921" i="4" s="1"/>
  <c r="U675" i="4"/>
  <c r="W675" i="4" s="1"/>
  <c r="N676" i="4"/>
  <c r="V713" i="4"/>
  <c r="U716" i="4"/>
  <c r="T731" i="4"/>
  <c r="V757" i="4"/>
  <c r="V772" i="4"/>
  <c r="W772" i="4" s="1"/>
  <c r="T777" i="4"/>
  <c r="W784" i="4"/>
  <c r="T799" i="4"/>
  <c r="W799" i="4" s="1"/>
  <c r="W838" i="4"/>
  <c r="M693" i="4"/>
  <c r="T706" i="4"/>
  <c r="T712" i="4"/>
  <c r="M712" i="4"/>
  <c r="T713" i="4"/>
  <c r="U731" i="4"/>
  <c r="V738" i="4"/>
  <c r="N751" i="4"/>
  <c r="M751" i="4"/>
  <c r="U751" i="4"/>
  <c r="M754" i="4"/>
  <c r="U762" i="4"/>
  <c r="M781" i="4"/>
  <c r="V803" i="4"/>
  <c r="W803" i="4" s="1"/>
  <c r="V811" i="4"/>
  <c r="W811" i="4" s="1"/>
  <c r="V820" i="4"/>
  <c r="V827" i="4"/>
  <c r="W827" i="4" s="1"/>
  <c r="M866" i="4"/>
  <c r="U866" i="4"/>
  <c r="N866" i="4"/>
  <c r="T866" i="4"/>
  <c r="R676" i="4"/>
  <c r="U689" i="4"/>
  <c r="W689" i="4" s="1"/>
  <c r="N693" i="4"/>
  <c r="U713" i="4"/>
  <c r="R724" i="4"/>
  <c r="W753" i="4"/>
  <c r="N754" i="4"/>
  <c r="V767" i="4"/>
  <c r="V804" i="4"/>
  <c r="N695" i="4"/>
  <c r="M695" i="4"/>
  <c r="V696" i="4"/>
  <c r="R703" i="4"/>
  <c r="R735" i="4"/>
  <c r="V748" i="4"/>
  <c r="W748" i="4" s="1"/>
  <c r="V758" i="4"/>
  <c r="W758" i="4" s="1"/>
  <c r="R763" i="4"/>
  <c r="V768" i="4"/>
  <c r="W768" i="4" s="1"/>
  <c r="V785" i="4"/>
  <c r="W785" i="4" s="1"/>
  <c r="V850" i="4"/>
  <c r="W850" i="4" s="1"/>
  <c r="V703" i="4"/>
  <c r="W703" i="4" s="1"/>
  <c r="N706" i="4"/>
  <c r="M706" i="4"/>
  <c r="V707" i="4"/>
  <c r="W707" i="4" s="1"/>
  <c r="V714" i="4"/>
  <c r="W714" i="4" s="1"/>
  <c r="V735" i="4"/>
  <c r="W735" i="4" s="1"/>
  <c r="T757" i="4"/>
  <c r="W757" i="4" s="1"/>
  <c r="N757" i="4"/>
  <c r="V763" i="4"/>
  <c r="W763" i="4" s="1"/>
  <c r="V774" i="4"/>
  <c r="W774" i="4" s="1"/>
  <c r="V805" i="4"/>
  <c r="W805" i="4" s="1"/>
  <c r="T676" i="4"/>
  <c r="M677" i="4"/>
  <c r="W690" i="4"/>
  <c r="M691" i="4"/>
  <c r="M708" i="4"/>
  <c r="T724" i="4"/>
  <c r="W724" i="4" s="1"/>
  <c r="M725" i="4"/>
  <c r="N729" i="4"/>
  <c r="T732" i="4"/>
  <c r="W732" i="4" s="1"/>
  <c r="V759" i="4"/>
  <c r="T762" i="4"/>
  <c r="T773" i="4"/>
  <c r="N773" i="4"/>
  <c r="V786" i="4"/>
  <c r="V813" i="4"/>
  <c r="W813" i="4" s="1"/>
  <c r="V862" i="4"/>
  <c r="W863" i="4"/>
  <c r="V891" i="4"/>
  <c r="W891" i="4" s="1"/>
  <c r="N664" i="4"/>
  <c r="N680" i="4"/>
  <c r="V687" i="4"/>
  <c r="W687" i="4" s="1"/>
  <c r="V697" i="4"/>
  <c r="V728" i="4"/>
  <c r="N746" i="4"/>
  <c r="V749" i="4"/>
  <c r="W749" i="4" s="1"/>
  <c r="V775" i="4"/>
  <c r="U781" i="4"/>
  <c r="W781" i="4" s="1"/>
  <c r="N795" i="4"/>
  <c r="M795" i="4"/>
  <c r="V832" i="4"/>
  <c r="W879" i="4"/>
  <c r="T696" i="4"/>
  <c r="M696" i="4"/>
  <c r="N727" i="4"/>
  <c r="M727" i="4"/>
  <c r="N777" i="4"/>
  <c r="V788" i="4"/>
  <c r="W788" i="4"/>
  <c r="V814" i="4"/>
  <c r="W814" i="4" s="1"/>
  <c r="V823" i="4"/>
  <c r="W823" i="4" s="1"/>
  <c r="V883" i="4"/>
  <c r="W883" i="4" s="1"/>
  <c r="R661" i="4"/>
  <c r="W674" i="4"/>
  <c r="R677" i="4"/>
  <c r="R708" i="4"/>
  <c r="W721" i="4"/>
  <c r="R725" i="4"/>
  <c r="T727" i="4"/>
  <c r="V741" i="4"/>
  <c r="U741" i="4"/>
  <c r="R750" i="4"/>
  <c r="V764" i="4"/>
  <c r="W764" i="4" s="1"/>
  <c r="W832" i="4"/>
  <c r="V893" i="4"/>
  <c r="V729" i="4"/>
  <c r="M740" i="4"/>
  <c r="U740" i="4"/>
  <c r="V782" i="4"/>
  <c r="W782" i="4" s="1"/>
  <c r="W798" i="4"/>
  <c r="N836" i="4"/>
  <c r="M836" i="4"/>
  <c r="U836" i="4"/>
  <c r="V839" i="4"/>
  <c r="W839" i="4" s="1"/>
  <c r="V868" i="4"/>
  <c r="W868" i="4" s="1"/>
  <c r="V875" i="4"/>
  <c r="V876" i="4"/>
  <c r="W876" i="4" s="1"/>
  <c r="V882" i="4"/>
  <c r="W920" i="4"/>
  <c r="V955" i="4"/>
  <c r="W956" i="4"/>
  <c r="U738" i="4"/>
  <c r="U756" i="4"/>
  <c r="T759" i="4"/>
  <c r="U772" i="4"/>
  <c r="T775" i="4"/>
  <c r="V778" i="4"/>
  <c r="U786" i="4"/>
  <c r="U789" i="4"/>
  <c r="V802" i="4"/>
  <c r="R806" i="4"/>
  <c r="V818" i="4"/>
  <c r="M843" i="4"/>
  <c r="N843" i="4"/>
  <c r="T843" i="4"/>
  <c r="T856" i="4"/>
  <c r="W856" i="4" s="1"/>
  <c r="V857" i="4"/>
  <c r="N861" i="4"/>
  <c r="M861" i="4"/>
  <c r="W884" i="4"/>
  <c r="N900" i="4"/>
  <c r="M900" i="4"/>
  <c r="U900" i="4"/>
  <c r="T900" i="4"/>
  <c r="V903" i="4"/>
  <c r="U759" i="4"/>
  <c r="U775" i="4"/>
  <c r="T818" i="4"/>
  <c r="W870" i="4"/>
  <c r="W881" i="4"/>
  <c r="V949" i="4"/>
  <c r="W949" i="4" s="1"/>
  <c r="U672" i="4"/>
  <c r="U688" i="4"/>
  <c r="N705" i="4"/>
  <c r="N721" i="4"/>
  <c r="N737" i="4"/>
  <c r="N742" i="4"/>
  <c r="N752" i="4"/>
  <c r="U767" i="4"/>
  <c r="N768" i="4"/>
  <c r="T778" i="4"/>
  <c r="N779" i="4"/>
  <c r="R787" i="4"/>
  <c r="M791" i="4"/>
  <c r="M794" i="4"/>
  <c r="M797" i="4"/>
  <c r="M800" i="4"/>
  <c r="T802" i="4"/>
  <c r="T808" i="4"/>
  <c r="M816" i="4"/>
  <c r="U818" i="4"/>
  <c r="R819" i="4"/>
  <c r="R820" i="4"/>
  <c r="N841" i="4"/>
  <c r="V845" i="4"/>
  <c r="N879" i="4"/>
  <c r="V773" i="4"/>
  <c r="W773" i="4" s="1"/>
  <c r="U778" i="4"/>
  <c r="U790" i="4"/>
  <c r="W790" i="4" s="1"/>
  <c r="U802" i="4"/>
  <c r="R803" i="4"/>
  <c r="T806" i="4"/>
  <c r="W806" i="4" s="1"/>
  <c r="M827" i="4"/>
  <c r="N827" i="4"/>
  <c r="T827" i="4"/>
  <c r="M850" i="4"/>
  <c r="U850" i="4"/>
  <c r="N850" i="4"/>
  <c r="V871" i="4"/>
  <c r="W871" i="4" s="1"/>
  <c r="M875" i="4"/>
  <c r="N875" i="4"/>
  <c r="U875" i="4"/>
  <c r="V877" i="4"/>
  <c r="W877" i="4" s="1"/>
  <c r="N882" i="4"/>
  <c r="M882" i="4"/>
  <c r="U882" i="4"/>
  <c r="W911" i="4"/>
  <c r="W936" i="4"/>
  <c r="V819" i="4"/>
  <c r="W819" i="4" s="1"/>
  <c r="V846" i="4"/>
  <c r="W846" i="4" s="1"/>
  <c r="W847" i="4"/>
  <c r="T857" i="4"/>
  <c r="M857" i="4"/>
  <c r="V858" i="4"/>
  <c r="W858" i="4" s="1"/>
  <c r="T875" i="4"/>
  <c r="W887" i="4"/>
  <c r="W927" i="4"/>
  <c r="N946" i="4"/>
  <c r="M946" i="4"/>
  <c r="U946" i="4"/>
  <c r="R830" i="4"/>
  <c r="V852" i="4"/>
  <c r="W852" i="4" s="1"/>
  <c r="V925" i="4"/>
  <c r="V791" i="4"/>
  <c r="V829" i="4"/>
  <c r="V841" i="4"/>
  <c r="N845" i="4"/>
  <c r="M845" i="4"/>
  <c r="V887" i="4"/>
  <c r="V928" i="4"/>
  <c r="V794" i="4"/>
  <c r="V807" i="4"/>
  <c r="W807" i="4" s="1"/>
  <c r="T824" i="4"/>
  <c r="V825" i="4"/>
  <c r="W833" i="4"/>
  <c r="T845" i="4"/>
  <c r="W854" i="4"/>
  <c r="M856" i="4"/>
  <c r="W913" i="4"/>
  <c r="V939" i="4"/>
  <c r="T951" i="4"/>
  <c r="N951" i="4"/>
  <c r="M951" i="4"/>
  <c r="M738" i="4"/>
  <c r="T739" i="4"/>
  <c r="M783" i="4"/>
  <c r="T787" i="4"/>
  <c r="M792" i="4"/>
  <c r="T794" i="4"/>
  <c r="T797" i="4"/>
  <c r="V810" i="4"/>
  <c r="W810" i="4" s="1"/>
  <c r="M811" i="4"/>
  <c r="V821" i="4"/>
  <c r="W821" i="4" s="1"/>
  <c r="V830" i="4"/>
  <c r="W830" i="4" s="1"/>
  <c r="T830" i="4"/>
  <c r="M846" i="4"/>
  <c r="T846" i="4"/>
  <c r="V880" i="4"/>
  <c r="W880" i="4" s="1"/>
  <c r="U896" i="4"/>
  <c r="N896" i="4"/>
  <c r="N756" i="4"/>
  <c r="N772" i="4"/>
  <c r="M786" i="4"/>
  <c r="M789" i="4"/>
  <c r="T791" i="4"/>
  <c r="W791" i="4" s="1"/>
  <c r="U794" i="4"/>
  <c r="U797" i="4"/>
  <c r="W797" i="4" s="1"/>
  <c r="W831" i="4"/>
  <c r="M834" i="4"/>
  <c r="U834" i="4"/>
  <c r="N834" i="4"/>
  <c r="R837" i="4"/>
  <c r="R842" i="4"/>
  <c r="V855" i="4"/>
  <c r="W855" i="4" s="1"/>
  <c r="M905" i="4"/>
  <c r="U905" i="4"/>
  <c r="N820" i="4"/>
  <c r="M820" i="4"/>
  <c r="U820" i="4"/>
  <c r="N829" i="4"/>
  <c r="M829" i="4"/>
  <c r="T836" i="4"/>
  <c r="T841" i="4"/>
  <c r="M841" i="4"/>
  <c r="V842" i="4"/>
  <c r="W842" i="4" s="1"/>
  <c r="M859" i="4"/>
  <c r="N859" i="4"/>
  <c r="T859" i="4"/>
  <c r="W859" i="4" s="1"/>
  <c r="V873" i="4"/>
  <c r="V889" i="4"/>
  <c r="V907" i="4"/>
  <c r="W909" i="4"/>
  <c r="N916" i="4"/>
  <c r="M916" i="4"/>
  <c r="U916" i="4"/>
  <c r="T916" i="4"/>
  <c r="W952" i="4"/>
  <c r="M767" i="4"/>
  <c r="M778" i="4"/>
  <c r="R798" i="4"/>
  <c r="T800" i="4"/>
  <c r="W800" i="4" s="1"/>
  <c r="U804" i="4"/>
  <c r="T816" i="4"/>
  <c r="T825" i="4"/>
  <c r="M825" i="4"/>
  <c r="T829" i="4"/>
  <c r="V836" i="4"/>
  <c r="V837" i="4"/>
  <c r="W837" i="4" s="1"/>
  <c r="R862" i="4"/>
  <c r="R875" i="4"/>
  <c r="R882" i="4"/>
  <c r="W750" i="4"/>
  <c r="W795" i="4"/>
  <c r="M802" i="4"/>
  <c r="R814" i="4"/>
  <c r="M818" i="4"/>
  <c r="U843" i="4"/>
  <c r="N857" i="4"/>
  <c r="V861" i="4"/>
  <c r="W861" i="4" s="1"/>
  <c r="U861" i="4"/>
  <c r="R874" i="4"/>
  <c r="W888" i="4"/>
  <c r="V901" i="4"/>
  <c r="W901" i="4" s="1"/>
  <c r="V909" i="4"/>
  <c r="R946" i="4"/>
  <c r="M793" i="4"/>
  <c r="M809" i="4"/>
  <c r="T878" i="4"/>
  <c r="U886" i="4"/>
  <c r="W886" i="4" s="1"/>
  <c r="V894" i="4"/>
  <c r="R928" i="4"/>
  <c r="T934" i="4"/>
  <c r="U878" i="4"/>
  <c r="U889" i="4"/>
  <c r="N893" i="4"/>
  <c r="M893" i="4"/>
  <c r="M895" i="4"/>
  <c r="V934" i="4"/>
  <c r="V938" i="4"/>
  <c r="W938" i="4" s="1"/>
  <c r="R947" i="4"/>
  <c r="V958" i="4"/>
  <c r="W958" i="4" s="1"/>
  <c r="N895" i="4"/>
  <c r="V922" i="4"/>
  <c r="W922" i="4" s="1"/>
  <c r="V946" i="4"/>
  <c r="V947" i="4"/>
  <c r="W947" i="4" s="1"/>
  <c r="N852" i="4"/>
  <c r="M852" i="4"/>
  <c r="V853" i="4"/>
  <c r="U862" i="4"/>
  <c r="N868" i="4"/>
  <c r="M868" i="4"/>
  <c r="V869" i="4"/>
  <c r="W869" i="4" s="1"/>
  <c r="R890" i="4"/>
  <c r="T894" i="4"/>
  <c r="U902" i="4"/>
  <c r="V910" i="4"/>
  <c r="W910" i="4" s="1"/>
  <c r="U928" i="4"/>
  <c r="M873" i="4"/>
  <c r="V890" i="4"/>
  <c r="W890" i="4" s="1"/>
  <c r="U894" i="4"/>
  <c r="N909" i="4"/>
  <c r="M909" i="4"/>
  <c r="N918" i="4"/>
  <c r="M918" i="4"/>
  <c r="V919" i="4"/>
  <c r="W919" i="4" s="1"/>
  <c r="R930" i="4"/>
  <c r="N934" i="4"/>
  <c r="M934" i="4"/>
  <c r="V935" i="4"/>
  <c r="W935" i="4" s="1"/>
  <c r="V948" i="4"/>
  <c r="R963" i="4"/>
  <c r="V914" i="4"/>
  <c r="V940" i="4"/>
  <c r="W940" i="4" s="1"/>
  <c r="V953" i="4"/>
  <c r="W953" i="4" s="1"/>
  <c r="W960" i="4"/>
  <c r="V967" i="4"/>
  <c r="W967" i="4" s="1"/>
  <c r="V924" i="4"/>
  <c r="W924" i="4" s="1"/>
  <c r="T946" i="4"/>
  <c r="V962" i="4"/>
  <c r="W962" i="4" s="1"/>
  <c r="V963" i="4"/>
  <c r="W963" i="4" s="1"/>
  <c r="V964" i="4"/>
  <c r="V965" i="4"/>
  <c r="W965" i="4" s="1"/>
  <c r="V966" i="4"/>
  <c r="V828" i="4"/>
  <c r="V844" i="4"/>
  <c r="W844" i="4" s="1"/>
  <c r="V860" i="4"/>
  <c r="V884" i="4"/>
  <c r="N898" i="4"/>
  <c r="M898" i="4"/>
  <c r="V899" i="4"/>
  <c r="W899" i="4" s="1"/>
  <c r="W903" i="4"/>
  <c r="V906" i="4"/>
  <c r="W906" i="4" s="1"/>
  <c r="V915" i="4"/>
  <c r="V930" i="4"/>
  <c r="M943" i="4"/>
  <c r="N948" i="4"/>
  <c r="M948" i="4"/>
  <c r="T948" i="4"/>
  <c r="T950" i="4"/>
  <c r="N914" i="4"/>
  <c r="M914" i="4"/>
  <c r="V931" i="4"/>
  <c r="W931" i="4" s="1"/>
  <c r="V950" i="4"/>
  <c r="T959" i="4"/>
  <c r="W959" i="4" s="1"/>
  <c r="W828" i="4"/>
  <c r="M886" i="4"/>
  <c r="N889" i="4"/>
  <c r="V892" i="4"/>
  <c r="W892" i="4" s="1"/>
  <c r="T914" i="4"/>
  <c r="V916" i="4"/>
  <c r="M927" i="4"/>
  <c r="V942" i="4"/>
  <c r="W942" i="4" s="1"/>
  <c r="V835" i="4"/>
  <c r="W835" i="4" s="1"/>
  <c r="V851" i="4"/>
  <c r="W851" i="4" s="1"/>
  <c r="V867" i="4"/>
  <c r="W867" i="4" s="1"/>
  <c r="T873" i="4"/>
  <c r="V885" i="4"/>
  <c r="W885" i="4" s="1"/>
  <c r="V900" i="4"/>
  <c r="R912" i="4"/>
  <c r="V932" i="4"/>
  <c r="N962" i="4"/>
  <c r="M962" i="4"/>
  <c r="N884" i="4"/>
  <c r="M884" i="4"/>
  <c r="W893" i="4"/>
  <c r="V926" i="4"/>
  <c r="W926" i="4" s="1"/>
  <c r="N930" i="4"/>
  <c r="M930" i="4"/>
  <c r="N950" i="4"/>
  <c r="M950" i="4"/>
  <c r="V951" i="4"/>
  <c r="N877" i="4"/>
  <c r="M877" i="4"/>
  <c r="V878" i="4"/>
  <c r="M902" i="4"/>
  <c r="V908" i="4"/>
  <c r="W908" i="4" s="1"/>
  <c r="W915" i="4"/>
  <c r="V917" i="4"/>
  <c r="W917" i="4" s="1"/>
  <c r="T930" i="4"/>
  <c r="V933" i="4"/>
  <c r="W933" i="4" s="1"/>
  <c r="N891" i="4"/>
  <c r="N907" i="4"/>
  <c r="N923" i="4"/>
  <c r="N939" i="4"/>
  <c r="N955" i="4"/>
  <c r="M921" i="4"/>
  <c r="M937" i="4"/>
  <c r="U945" i="4"/>
  <c r="U961" i="4"/>
  <c r="M944" i="4"/>
  <c r="T966" i="4"/>
  <c r="M967" i="4"/>
  <c r="U966" i="4"/>
  <c r="U925" i="4"/>
  <c r="N926" i="4"/>
  <c r="U941" i="4"/>
  <c r="N942" i="4"/>
  <c r="U957" i="4"/>
  <c r="W957" i="4" s="1"/>
  <c r="M965" i="4"/>
  <c r="U964" i="4"/>
  <c r="U891" i="4"/>
  <c r="U907" i="4"/>
  <c r="U923" i="4"/>
  <c r="W923" i="4" s="1"/>
  <c r="U939" i="4"/>
  <c r="W939" i="4" s="1"/>
  <c r="U955" i="4"/>
  <c r="M963" i="4"/>
  <c r="M961" i="4"/>
  <c r="M966" i="4"/>
  <c r="T860" i="4"/>
  <c r="W860" i="4" s="1"/>
  <c r="T876" i="4"/>
  <c r="M925" i="4"/>
  <c r="M941" i="4"/>
  <c r="M957" i="4"/>
  <c r="M964" i="4"/>
  <c r="W645" i="4" l="1"/>
  <c r="W966" i="4"/>
  <c r="W716" i="4"/>
  <c r="W97" i="4"/>
  <c r="W421" i="4"/>
  <c r="W335" i="4"/>
  <c r="W882" i="4"/>
  <c r="W630" i="4"/>
  <c r="W538" i="4"/>
  <c r="W688" i="4"/>
  <c r="W652" i="4"/>
  <c r="F98" i="3" s="1"/>
  <c r="W453" i="4"/>
  <c r="W353" i="4"/>
  <c r="W118" i="4"/>
  <c r="W79" i="4"/>
  <c r="W759" i="4"/>
  <c r="W126" i="4"/>
  <c r="W2" i="4"/>
  <c r="W188" i="4"/>
  <c r="F14" i="3"/>
  <c r="W872" i="4"/>
  <c r="W853" i="4"/>
  <c r="W559" i="4"/>
  <c r="W132" i="4"/>
  <c r="W552" i="4"/>
  <c r="W419" i="4"/>
  <c r="W820" i="4"/>
  <c r="W862" i="4"/>
  <c r="W461" i="4"/>
  <c r="W284" i="4"/>
  <c r="W261" i="4"/>
  <c r="W204" i="4"/>
  <c r="W9" i="4"/>
  <c r="W81" i="4"/>
  <c r="W86" i="4"/>
  <c r="W789" i="4"/>
  <c r="W928" i="4"/>
  <c r="W786" i="4"/>
  <c r="W691" i="4"/>
  <c r="W195" i="4"/>
  <c r="W25" i="4"/>
  <c r="W932" i="4"/>
  <c r="W683" i="4"/>
  <c r="W475" i="4"/>
  <c r="W775" i="4"/>
  <c r="W907" i="4"/>
  <c r="W756" i="4"/>
  <c r="W373" i="4"/>
  <c r="W661" i="4"/>
  <c r="W586" i="4"/>
  <c r="W510" i="4"/>
  <c r="I13" i="5"/>
  <c r="W152" i="4"/>
  <c r="W95" i="4"/>
  <c r="W636" i="4"/>
  <c r="W383" i="4"/>
  <c r="W109" i="4"/>
  <c r="W497" i="4"/>
  <c r="W226" i="4"/>
  <c r="F34" i="3" s="1"/>
  <c r="W941" i="4"/>
  <c r="W914" i="4"/>
  <c r="W543" i="4"/>
  <c r="W448" i="4"/>
  <c r="W334" i="4"/>
  <c r="W179" i="4"/>
  <c r="W54" i="4"/>
  <c r="W561" i="4"/>
  <c r="W925" i="4"/>
  <c r="W804" i="4"/>
  <c r="W708" i="4"/>
  <c r="W613" i="4"/>
  <c r="W618" i="4"/>
  <c r="W309" i="4"/>
  <c r="W177" i="4"/>
  <c r="I20" i="5"/>
  <c r="W29" i="4"/>
  <c r="W49" i="4"/>
  <c r="F133" i="3"/>
  <c r="F64" i="3"/>
  <c r="H64" i="3" s="1"/>
  <c r="F59" i="3"/>
  <c r="H59" i="3" s="1"/>
  <c r="W955" i="4"/>
  <c r="W646" i="4"/>
  <c r="W556" i="4"/>
  <c r="W667" i="4"/>
  <c r="W494" i="4"/>
  <c r="W388" i="4"/>
  <c r="W259" i="4"/>
  <c r="F38" i="3" s="1"/>
  <c r="W843" i="4"/>
  <c r="W713" i="4"/>
  <c r="W647" i="4"/>
  <c r="W492" i="4"/>
  <c r="F73" i="3" s="1"/>
  <c r="W255" i="4"/>
  <c r="W208" i="4"/>
  <c r="W776" i="4"/>
  <c r="W945" i="4"/>
  <c r="F141" i="3" s="1"/>
  <c r="W794" i="4"/>
  <c r="F118" i="3" s="1"/>
  <c r="W866" i="4"/>
  <c r="F130" i="3" s="1"/>
  <c r="F75" i="3"/>
  <c r="W457" i="4"/>
  <c r="W669" i="4"/>
  <c r="W739" i="4"/>
  <c r="W760" i="4"/>
  <c r="W961" i="4"/>
  <c r="W206" i="4"/>
  <c r="W239" i="4"/>
  <c r="W22" i="4"/>
  <c r="W145" i="4"/>
  <c r="W680" i="4"/>
  <c r="F79" i="3"/>
  <c r="F46" i="3"/>
  <c r="G46" i="3" s="1"/>
  <c r="W315" i="4"/>
  <c r="W45" i="4"/>
  <c r="W134" i="4"/>
  <c r="W575" i="4"/>
  <c r="W450" i="4"/>
  <c r="F68" i="3" s="1"/>
  <c r="H68" i="3" s="1"/>
  <c r="W428" i="4"/>
  <c r="W290" i="4"/>
  <c r="W191" i="4"/>
  <c r="W114" i="4"/>
  <c r="W220" i="4"/>
  <c r="W439" i="4"/>
  <c r="W570" i="4"/>
  <c r="F85" i="3" s="1"/>
  <c r="W638" i="4"/>
  <c r="W731" i="4"/>
  <c r="W787" i="4"/>
  <c r="W902" i="4"/>
  <c r="F136" i="3" s="1"/>
  <c r="W166" i="4"/>
  <c r="W38" i="4"/>
  <c r="W889" i="4"/>
  <c r="W679" i="4"/>
  <c r="W513" i="4"/>
  <c r="W540" i="4"/>
  <c r="F76" i="3"/>
  <c r="G76" i="3" s="1"/>
  <c r="F49" i="3"/>
  <c r="W260" i="4"/>
  <c r="W165" i="4"/>
  <c r="W172" i="4"/>
  <c r="W115" i="4"/>
  <c r="W816" i="4"/>
  <c r="W875" i="4"/>
  <c r="W664" i="4"/>
  <c r="W650" i="4"/>
  <c r="F97" i="3" s="1"/>
  <c r="W706" i="4"/>
  <c r="F105" i="3" s="1"/>
  <c r="W529" i="4"/>
  <c r="W144" i="4"/>
  <c r="W61" i="4"/>
  <c r="F8" i="3" s="1"/>
  <c r="F127" i="3"/>
  <c r="H127" i="3" s="1"/>
  <c r="W946" i="4"/>
  <c r="W615" i="4"/>
  <c r="W659" i="4"/>
  <c r="W235" i="4"/>
  <c r="F35" i="3" s="1"/>
  <c r="W286" i="4"/>
  <c r="W181" i="4"/>
  <c r="I15" i="5"/>
  <c r="W268" i="4"/>
  <c r="W180" i="4"/>
  <c r="W319" i="4"/>
  <c r="W473" i="4"/>
  <c r="W676" i="4"/>
  <c r="F101" i="3" s="1"/>
  <c r="W507" i="4"/>
  <c r="W356" i="4"/>
  <c r="W6" i="4"/>
  <c r="W857" i="4"/>
  <c r="W593" i="4"/>
  <c r="W609" i="4"/>
  <c r="W416" i="4"/>
  <c r="W443" i="4"/>
  <c r="W565" i="4"/>
  <c r="W249" i="4"/>
  <c r="W120" i="4"/>
  <c r="W77" i="4"/>
  <c r="F139" i="3"/>
  <c r="W900" i="4"/>
  <c r="W767" i="4"/>
  <c r="F115" i="3" s="1"/>
  <c r="W741" i="4"/>
  <c r="W603" i="4"/>
  <c r="W878" i="4"/>
  <c r="W951" i="4"/>
  <c r="W696" i="4"/>
  <c r="W685" i="4"/>
  <c r="F103" i="3" s="1"/>
  <c r="W608" i="4"/>
  <c r="F91" i="3" s="1"/>
  <c r="W551" i="4"/>
  <c r="W404" i="4"/>
  <c r="W349" i="4"/>
  <c r="W223" i="4"/>
  <c r="F33" i="3" s="1"/>
  <c r="W347" i="4"/>
  <c r="W131" i="4"/>
  <c r="W129" i="4"/>
  <c r="F112" i="3"/>
  <c r="H112" i="3" s="1"/>
  <c r="F137" i="3"/>
  <c r="H137" i="3" s="1"/>
  <c r="F108" i="3"/>
  <c r="W672" i="4"/>
  <c r="W622" i="4"/>
  <c r="W483" i="4"/>
  <c r="F72" i="3" s="1"/>
  <c r="W400" i="4"/>
  <c r="W338" i="4"/>
  <c r="W70" i="4"/>
  <c r="F21" i="3"/>
  <c r="H21" i="3" s="1"/>
  <c r="I22" i="5"/>
  <c r="I17" i="5"/>
  <c r="W574" i="4"/>
  <c r="F86" i="3" s="1"/>
  <c r="W108" i="4"/>
  <c r="W33" i="4"/>
  <c r="W894" i="4"/>
  <c r="W712" i="4"/>
  <c r="F106" i="3" s="1"/>
  <c r="W730" i="4"/>
  <c r="F110" i="3" s="1"/>
  <c r="W740" i="4"/>
  <c r="W270" i="4"/>
  <c r="I25" i="5"/>
  <c r="W192" i="4"/>
  <c r="W554" i="4"/>
  <c r="W252" i="4"/>
  <c r="W31" i="4"/>
  <c r="W15" i="4"/>
  <c r="W595" i="4"/>
  <c r="F89" i="3" s="1"/>
  <c r="W930" i="4"/>
  <c r="W841" i="4"/>
  <c r="W916" i="4"/>
  <c r="W836" i="4"/>
  <c r="F128" i="3"/>
  <c r="H128" i="3" s="1"/>
  <c r="W808" i="4"/>
  <c r="F121" i="3" s="1"/>
  <c r="W738" i="4"/>
  <c r="F111" i="3" s="1"/>
  <c r="W725" i="4"/>
  <c r="W616" i="4"/>
  <c r="W562" i="4"/>
  <c r="W581" i="4"/>
  <c r="W372" i="4"/>
  <c r="W389" i="4"/>
  <c r="W294" i="4"/>
  <c r="W350" i="4"/>
  <c r="W272" i="4"/>
  <c r="W189" i="4"/>
  <c r="W231" i="4"/>
  <c r="W230" i="4"/>
  <c r="W113" i="4"/>
  <c r="I5" i="5"/>
  <c r="I8" i="5"/>
  <c r="I21" i="5"/>
  <c r="W274" i="4"/>
  <c r="W88" i="4"/>
  <c r="W72" i="4"/>
  <c r="F10" i="3" s="1"/>
  <c r="F138" i="3"/>
  <c r="F27" i="3"/>
  <c r="H75" i="3"/>
  <c r="G75" i="3"/>
  <c r="F81" i="3"/>
  <c r="G64" i="3"/>
  <c r="F40" i="3"/>
  <c r="F24" i="3"/>
  <c r="F16" i="3"/>
  <c r="F132" i="3"/>
  <c r="F129" i="3"/>
  <c r="F94" i="3"/>
  <c r="F78" i="3"/>
  <c r="F32" i="3"/>
  <c r="G130" i="3"/>
  <c r="H130" i="3"/>
  <c r="H14" i="3"/>
  <c r="G14" i="3"/>
  <c r="F57" i="3"/>
  <c r="F36" i="3"/>
  <c r="F43" i="3"/>
  <c r="F15" i="3"/>
  <c r="H49" i="3"/>
  <c r="G49" i="3"/>
  <c r="F99" i="3"/>
  <c r="G108" i="3"/>
  <c r="H108" i="3"/>
  <c r="H133" i="3"/>
  <c r="G133" i="3"/>
  <c r="F69" i="3"/>
  <c r="F60" i="3"/>
  <c r="H79" i="3"/>
  <c r="G79" i="3"/>
  <c r="F90" i="3"/>
  <c r="F65" i="3"/>
  <c r="G21" i="3"/>
  <c r="F119" i="3"/>
  <c r="H76" i="3"/>
  <c r="F42" i="3"/>
  <c r="F18" i="3"/>
  <c r="G128" i="3"/>
  <c r="F88" i="3"/>
  <c r="F50" i="3"/>
  <c r="F71" i="3"/>
  <c r="H139" i="3"/>
  <c r="G139" i="3"/>
  <c r="F117" i="3"/>
  <c r="F77" i="3"/>
  <c r="F125" i="3"/>
  <c r="F143" i="3"/>
  <c r="F47" i="3"/>
  <c r="F102" i="3"/>
  <c r="F107" i="3"/>
  <c r="W825" i="4"/>
  <c r="W697" i="4"/>
  <c r="F104" i="3" s="1"/>
  <c r="W545" i="4"/>
  <c r="W367" i="4"/>
  <c r="W320" i="4"/>
  <c r="W186" i="4"/>
  <c r="W111" i="4"/>
  <c r="W845" i="4"/>
  <c r="F126" i="3" s="1"/>
  <c r="W777" i="4"/>
  <c r="W729" i="4"/>
  <c r="W544" i="4"/>
  <c r="W337" i="4"/>
  <c r="F51" i="3" s="1"/>
  <c r="W277" i="4"/>
  <c r="F41" i="3" s="1"/>
  <c r="W251" i="4"/>
  <c r="I30" i="5"/>
  <c r="I9" i="5"/>
  <c r="W35" i="4"/>
  <c r="F5" i="3" s="1"/>
  <c r="W67" i="4"/>
  <c r="F9" i="3" s="1"/>
  <c r="F3" i="3"/>
  <c r="W778" i="4"/>
  <c r="F22" i="3"/>
  <c r="F6" i="3"/>
  <c r="W824" i="4"/>
  <c r="F123" i="3" s="1"/>
  <c r="W663" i="4"/>
  <c r="F100" i="3" s="1"/>
  <c r="W563" i="4"/>
  <c r="W496" i="4"/>
  <c r="F74" i="3" s="1"/>
  <c r="W534" i="4"/>
  <c r="F80" i="3" s="1"/>
  <c r="W751" i="4"/>
  <c r="F113" i="3" s="1"/>
  <c r="W386" i="4"/>
  <c r="F58" i="3" s="1"/>
  <c r="W360" i="4"/>
  <c r="F55" i="3" s="1"/>
  <c r="W321" i="4"/>
  <c r="F19" i="3"/>
  <c r="W51" i="4"/>
  <c r="F7" i="3" s="1"/>
  <c r="W818" i="4"/>
  <c r="F122" i="3" s="1"/>
  <c r="W441" i="4"/>
  <c r="W950" i="4"/>
  <c r="F4" i="3"/>
  <c r="W229" i="4"/>
  <c r="W197" i="4"/>
  <c r="F30" i="3" s="1"/>
  <c r="W948" i="4"/>
  <c r="W466" i="4"/>
  <c r="W423" i="4"/>
  <c r="F63" i="3" s="1"/>
  <c r="W370" i="4"/>
  <c r="W469" i="4"/>
  <c r="I33" i="5"/>
  <c r="W130" i="4"/>
  <c r="F20" i="3" s="1"/>
  <c r="W83" i="4"/>
  <c r="F12" i="3" s="1"/>
  <c r="W464" i="4"/>
  <c r="W440" i="4"/>
  <c r="W409" i="4"/>
  <c r="W299" i="4"/>
  <c r="F45" i="3" s="1"/>
  <c r="W447" i="4"/>
  <c r="I29" i="5"/>
  <c r="I12" i="5"/>
  <c r="I24" i="5"/>
  <c r="W633" i="4"/>
  <c r="F95" i="3" s="1"/>
  <c r="I16" i="5"/>
  <c r="W964" i="4"/>
  <c r="F144" i="3" s="1"/>
  <c r="W624" i="4"/>
  <c r="F93" i="3" s="1"/>
  <c r="W408" i="4"/>
  <c r="F61" i="3" s="1"/>
  <c r="W357" i="4"/>
  <c r="F54" i="3" s="1"/>
  <c r="W351" i="4"/>
  <c r="F53" i="3" s="1"/>
  <c r="W149" i="4"/>
  <c r="F23" i="3" s="1"/>
  <c r="W3" i="4"/>
  <c r="F2" i="3" s="1"/>
  <c r="W762" i="4"/>
  <c r="W640" i="4"/>
  <c r="F96" i="3" s="1"/>
  <c r="W369" i="4"/>
  <c r="W245" i="4"/>
  <c r="W187" i="4"/>
  <c r="I11" i="5"/>
  <c r="I28" i="5"/>
  <c r="W896" i="4"/>
  <c r="F62" i="3"/>
  <c r="F13" i="3"/>
  <c r="W617" i="4"/>
  <c r="I23" i="5"/>
  <c r="W727" i="4"/>
  <c r="F109" i="3" s="1"/>
  <c r="W873" i="4"/>
  <c r="F131" i="3" s="1"/>
  <c r="W934" i="4"/>
  <c r="F140" i="3" s="1"/>
  <c r="W829" i="4"/>
  <c r="F124" i="3" s="1"/>
  <c r="W802" i="4"/>
  <c r="F120" i="3" s="1"/>
  <c r="W587" i="4"/>
  <c r="F87" i="3" s="1"/>
  <c r="W162" i="4"/>
  <c r="I7" i="5"/>
  <c r="I19" i="5"/>
  <c r="W344" i="4"/>
  <c r="F52" i="3" s="1"/>
  <c r="W549" i="4"/>
  <c r="F83" i="3" s="1"/>
  <c r="W168" i="4"/>
  <c r="F26" i="3" s="1"/>
  <c r="W78" i="4"/>
  <c r="F11" i="3" s="1"/>
  <c r="I27" i="5"/>
  <c r="I6" i="5"/>
  <c r="H118" i="3" l="1"/>
  <c r="G118" i="3"/>
  <c r="G141" i="3"/>
  <c r="H141" i="3"/>
  <c r="G137" i="3"/>
  <c r="I137" i="3" s="1"/>
  <c r="J137" i="3" s="1"/>
  <c r="F135" i="3"/>
  <c r="F116" i="3"/>
  <c r="F17" i="3"/>
  <c r="H46" i="3"/>
  <c r="I46" i="3" s="1"/>
  <c r="J46" i="3" s="1"/>
  <c r="I133" i="3"/>
  <c r="J133" i="3" s="1"/>
  <c r="F29" i="3"/>
  <c r="F28" i="3"/>
  <c r="F37" i="3"/>
  <c r="H37" i="3" s="1"/>
  <c r="F48" i="3"/>
  <c r="G48" i="3" s="1"/>
  <c r="G59" i="3"/>
  <c r="I59" i="3" s="1"/>
  <c r="J59" i="3" s="1"/>
  <c r="F39" i="3"/>
  <c r="F31" i="3"/>
  <c r="F25" i="3"/>
  <c r="I79" i="3"/>
  <c r="J79" i="3" s="1"/>
  <c r="F67" i="3"/>
  <c r="G112" i="3"/>
  <c r="F92" i="3"/>
  <c r="F44" i="3"/>
  <c r="F114" i="3"/>
  <c r="F66" i="3"/>
  <c r="H66" i="3" s="1"/>
  <c r="I49" i="3"/>
  <c r="J49" i="3" s="1"/>
  <c r="H29" i="3"/>
  <c r="G29" i="3"/>
  <c r="G89" i="3"/>
  <c r="H89" i="3"/>
  <c r="I89" i="3" s="1"/>
  <c r="J89" i="3" s="1"/>
  <c r="H38" i="3"/>
  <c r="G38" i="3"/>
  <c r="H8" i="3"/>
  <c r="I8" i="3" s="1"/>
  <c r="J8" i="3" s="1"/>
  <c r="G8" i="3"/>
  <c r="H35" i="3"/>
  <c r="G35" i="3"/>
  <c r="H121" i="3"/>
  <c r="G121" i="3"/>
  <c r="G106" i="3"/>
  <c r="H106" i="3"/>
  <c r="H97" i="3"/>
  <c r="G97" i="3"/>
  <c r="B14" i="1"/>
  <c r="D14" i="1" s="1"/>
  <c r="E14" i="1" s="1"/>
  <c r="F70" i="3"/>
  <c r="I128" i="3"/>
  <c r="J128" i="3" s="1"/>
  <c r="I76" i="3"/>
  <c r="J76" i="3" s="1"/>
  <c r="I75" i="3"/>
  <c r="J75" i="3" s="1"/>
  <c r="F134" i="3"/>
  <c r="I21" i="3"/>
  <c r="J21" i="3" s="1"/>
  <c r="I108" i="3"/>
  <c r="J108" i="3" s="1"/>
  <c r="F82" i="3"/>
  <c r="G82" i="3" s="1"/>
  <c r="F142" i="3"/>
  <c r="H142" i="3" s="1"/>
  <c r="F84" i="3"/>
  <c r="H84" i="3" s="1"/>
  <c r="I112" i="3"/>
  <c r="J112" i="3" s="1"/>
  <c r="I118" i="3"/>
  <c r="J118" i="3" s="1"/>
  <c r="I14" i="3"/>
  <c r="J14" i="3" s="1"/>
  <c r="G68" i="3"/>
  <c r="I68" i="3" s="1"/>
  <c r="J68" i="3" s="1"/>
  <c r="G127" i="3"/>
  <c r="I127" i="3" s="1"/>
  <c r="J127" i="3" s="1"/>
  <c r="I139" i="3"/>
  <c r="J139" i="3" s="1"/>
  <c r="I130" i="3"/>
  <c r="J130" i="3" s="1"/>
  <c r="I64" i="3"/>
  <c r="J64" i="3" s="1"/>
  <c r="H12" i="3"/>
  <c r="G12" i="3"/>
  <c r="H53" i="3"/>
  <c r="G53" i="3"/>
  <c r="H5" i="3"/>
  <c r="G5" i="3"/>
  <c r="I5" i="3" s="1"/>
  <c r="J5" i="3" s="1"/>
  <c r="H54" i="3"/>
  <c r="G54" i="3"/>
  <c r="I54" i="3" s="1"/>
  <c r="J54" i="3" s="1"/>
  <c r="H113" i="3"/>
  <c r="G113" i="3"/>
  <c r="H41" i="3"/>
  <c r="G41" i="3"/>
  <c r="I41" i="3" s="1"/>
  <c r="J41" i="3" s="1"/>
  <c r="H51" i="3"/>
  <c r="G51" i="3"/>
  <c r="G26" i="3"/>
  <c r="H26" i="3"/>
  <c r="H74" i="3"/>
  <c r="G74" i="3"/>
  <c r="H82" i="3"/>
  <c r="H93" i="3"/>
  <c r="G93" i="3"/>
  <c r="G142" i="3"/>
  <c r="H52" i="3"/>
  <c r="G52" i="3"/>
  <c r="G100" i="3"/>
  <c r="H100" i="3"/>
  <c r="H135" i="3"/>
  <c r="G135" i="3"/>
  <c r="H126" i="3"/>
  <c r="G126" i="3"/>
  <c r="G144" i="3"/>
  <c r="H144" i="3"/>
  <c r="H30" i="3"/>
  <c r="G30" i="3"/>
  <c r="I30" i="3" s="1"/>
  <c r="J30" i="3" s="1"/>
  <c r="G17" i="3"/>
  <c r="H17" i="3"/>
  <c r="H80" i="3"/>
  <c r="G80" i="3"/>
  <c r="H67" i="3"/>
  <c r="G67" i="3"/>
  <c r="I67" i="3" s="1"/>
  <c r="J67" i="3" s="1"/>
  <c r="G28" i="3"/>
  <c r="H28" i="3"/>
  <c r="H25" i="3"/>
  <c r="G25" i="3"/>
  <c r="H45" i="3"/>
  <c r="G45" i="3"/>
  <c r="G87" i="3"/>
  <c r="H87" i="3"/>
  <c r="H120" i="3"/>
  <c r="G120" i="3"/>
  <c r="H96" i="3"/>
  <c r="G96" i="3"/>
  <c r="H124" i="3"/>
  <c r="G124" i="3"/>
  <c r="H114" i="3"/>
  <c r="G114" i="3"/>
  <c r="H70" i="3"/>
  <c r="G70" i="3"/>
  <c r="H7" i="3"/>
  <c r="G7" i="3"/>
  <c r="H9" i="3"/>
  <c r="G9" i="3"/>
  <c r="I9" i="3" s="1"/>
  <c r="J9" i="3" s="1"/>
  <c r="H104" i="3"/>
  <c r="G104" i="3"/>
  <c r="H109" i="3"/>
  <c r="G109" i="3"/>
  <c r="H98" i="3"/>
  <c r="G98" i="3"/>
  <c r="H111" i="3"/>
  <c r="G111" i="3"/>
  <c r="H86" i="3"/>
  <c r="G86" i="3"/>
  <c r="H129" i="3"/>
  <c r="G129" i="3"/>
  <c r="G24" i="3"/>
  <c r="H24" i="3"/>
  <c r="H34" i="3"/>
  <c r="G34" i="3"/>
  <c r="I34" i="3" s="1"/>
  <c r="J34" i="3" s="1"/>
  <c r="H122" i="3"/>
  <c r="G122" i="3"/>
  <c r="H90" i="3"/>
  <c r="G90" i="3"/>
  <c r="H132" i="3"/>
  <c r="G132" i="3"/>
  <c r="I132" i="3" s="1"/>
  <c r="J132" i="3" s="1"/>
  <c r="H40" i="3"/>
  <c r="G40" i="3"/>
  <c r="G23" i="3"/>
  <c r="H23" i="3"/>
  <c r="H83" i="3"/>
  <c r="G83" i="3"/>
  <c r="I83" i="3" s="1"/>
  <c r="J83" i="3" s="1"/>
  <c r="H107" i="3"/>
  <c r="G107" i="3"/>
  <c r="I107" i="3" s="1"/>
  <c r="J107" i="3" s="1"/>
  <c r="G103" i="3"/>
  <c r="H103" i="3"/>
  <c r="H19" i="3"/>
  <c r="G19" i="3"/>
  <c r="I19" i="3" s="1"/>
  <c r="J19" i="3" s="1"/>
  <c r="G92" i="3"/>
  <c r="H92" i="3"/>
  <c r="H58" i="3"/>
  <c r="G58" i="3"/>
  <c r="I58" i="3" s="1"/>
  <c r="J58" i="3" s="1"/>
  <c r="H115" i="3"/>
  <c r="G115" i="3"/>
  <c r="I115" i="3" s="1"/>
  <c r="J115" i="3" s="1"/>
  <c r="H63" i="3"/>
  <c r="G63" i="3"/>
  <c r="I63" i="3" s="1"/>
  <c r="J63" i="3" s="1"/>
  <c r="H6" i="3"/>
  <c r="G6" i="3"/>
  <c r="H116" i="3"/>
  <c r="G116" i="3"/>
  <c r="I116" i="3" s="1"/>
  <c r="J116" i="3" s="1"/>
  <c r="G85" i="3"/>
  <c r="H85" i="3"/>
  <c r="H99" i="3"/>
  <c r="G99" i="3"/>
  <c r="I99" i="3" s="1"/>
  <c r="J99" i="3" s="1"/>
  <c r="G125" i="3"/>
  <c r="I125" i="3" s="1"/>
  <c r="J125" i="3" s="1"/>
  <c r="H125" i="3"/>
  <c r="H95" i="3"/>
  <c r="G95" i="3"/>
  <c r="H2" i="3"/>
  <c r="G2" i="3"/>
  <c r="B18" i="1" s="1"/>
  <c r="G72" i="3"/>
  <c r="H72" i="3"/>
  <c r="H20" i="3"/>
  <c r="G20" i="3"/>
  <c r="G31" i="3"/>
  <c r="H31" i="3"/>
  <c r="I31" i="3" s="1"/>
  <c r="J31" i="3" s="1"/>
  <c r="G22" i="3"/>
  <c r="H22" i="3"/>
  <c r="G105" i="3"/>
  <c r="I105" i="3" s="1"/>
  <c r="J105" i="3" s="1"/>
  <c r="H105" i="3"/>
  <c r="H18" i="3"/>
  <c r="G18" i="3"/>
  <c r="I18" i="3" s="1"/>
  <c r="J18" i="3" s="1"/>
  <c r="G88" i="3"/>
  <c r="H88" i="3"/>
  <c r="G11" i="3"/>
  <c r="H11" i="3"/>
  <c r="H102" i="3"/>
  <c r="G102" i="3"/>
  <c r="G47" i="3"/>
  <c r="H47" i="3"/>
  <c r="I47" i="3" s="1"/>
  <c r="J47" i="3" s="1"/>
  <c r="H143" i="3"/>
  <c r="G143" i="3"/>
  <c r="G71" i="3"/>
  <c r="H71" i="3"/>
  <c r="G44" i="3"/>
  <c r="I44" i="3" s="1"/>
  <c r="J44" i="3" s="1"/>
  <c r="H44" i="3"/>
  <c r="H81" i="3"/>
  <c r="G81" i="3"/>
  <c r="I81" i="3" s="1"/>
  <c r="J81" i="3" s="1"/>
  <c r="H4" i="3"/>
  <c r="G4" i="3"/>
  <c r="I4" i="3" s="1"/>
  <c r="J4" i="3" s="1"/>
  <c r="H140" i="3"/>
  <c r="G140" i="3"/>
  <c r="I140" i="3" s="1"/>
  <c r="J140" i="3" s="1"/>
  <c r="H3" i="3"/>
  <c r="G3" i="3"/>
  <c r="I3" i="3" s="1"/>
  <c r="J3" i="3" s="1"/>
  <c r="F56" i="3"/>
  <c r="G50" i="3"/>
  <c r="H50" i="3"/>
  <c r="H42" i="3"/>
  <c r="G42" i="3"/>
  <c r="I42" i="3" s="1"/>
  <c r="J42" i="3" s="1"/>
  <c r="H27" i="3"/>
  <c r="G27" i="3"/>
  <c r="H138" i="3"/>
  <c r="G138" i="3"/>
  <c r="H33" i="3"/>
  <c r="G33" i="3"/>
  <c r="H91" i="3"/>
  <c r="G91" i="3"/>
  <c r="G136" i="3"/>
  <c r="I136" i="3" s="1"/>
  <c r="J136" i="3" s="1"/>
  <c r="H136" i="3"/>
  <c r="G55" i="3"/>
  <c r="H55" i="3"/>
  <c r="G43" i="3"/>
  <c r="H43" i="3"/>
  <c r="H32" i="3"/>
  <c r="G32" i="3"/>
  <c r="I32" i="3" s="1"/>
  <c r="J32" i="3" s="1"/>
  <c r="G15" i="3"/>
  <c r="I15" i="3" s="1"/>
  <c r="J15" i="3" s="1"/>
  <c r="H15" i="3"/>
  <c r="H61" i="3"/>
  <c r="G61" i="3"/>
  <c r="H77" i="3"/>
  <c r="G77" i="3"/>
  <c r="H36" i="3"/>
  <c r="G36" i="3"/>
  <c r="H119" i="3"/>
  <c r="G119" i="3"/>
  <c r="G13" i="3"/>
  <c r="H13" i="3"/>
  <c r="I13" i="3" s="1"/>
  <c r="J13" i="3" s="1"/>
  <c r="G60" i="3"/>
  <c r="H60" i="3"/>
  <c r="G131" i="3"/>
  <c r="H131" i="3"/>
  <c r="G10" i="3"/>
  <c r="H10" i="3"/>
  <c r="H110" i="3"/>
  <c r="G110" i="3"/>
  <c r="H65" i="3"/>
  <c r="G65" i="3"/>
  <c r="G73" i="3"/>
  <c r="H73" i="3"/>
  <c r="I73" i="3" s="1"/>
  <c r="J73" i="3" s="1"/>
  <c r="G57" i="3"/>
  <c r="H57" i="3"/>
  <c r="H78" i="3"/>
  <c r="G78" i="3"/>
  <c r="I78" i="3" s="1"/>
  <c r="J78" i="3" s="1"/>
  <c r="G123" i="3"/>
  <c r="H123" i="3"/>
  <c r="H62" i="3"/>
  <c r="G62" i="3"/>
  <c r="H117" i="3"/>
  <c r="G117" i="3"/>
  <c r="H101" i="3"/>
  <c r="G101" i="3"/>
  <c r="H69" i="3"/>
  <c r="G69" i="3"/>
  <c r="I69" i="3" s="1"/>
  <c r="J69" i="3" s="1"/>
  <c r="H94" i="3"/>
  <c r="G94" i="3"/>
  <c r="I94" i="3" s="1"/>
  <c r="J94" i="3" s="1"/>
  <c r="H16" i="3"/>
  <c r="G16" i="3"/>
  <c r="H48" i="3" l="1"/>
  <c r="I48" i="3" s="1"/>
  <c r="J48" i="3" s="1"/>
  <c r="G37" i="3"/>
  <c r="I37" i="3" s="1"/>
  <c r="J37" i="3" s="1"/>
  <c r="C4" i="2" s="1"/>
  <c r="G66" i="3"/>
  <c r="I66" i="3" s="1"/>
  <c r="J66" i="3" s="1"/>
  <c r="I144" i="3"/>
  <c r="J144" i="3" s="1"/>
  <c r="I77" i="3"/>
  <c r="J77" i="3" s="1"/>
  <c r="I33" i="3"/>
  <c r="J33" i="3" s="1"/>
  <c r="I40" i="3"/>
  <c r="J40" i="3" s="1"/>
  <c r="I97" i="3"/>
  <c r="J97" i="3" s="1"/>
  <c r="I28" i="3"/>
  <c r="J28" i="3" s="1"/>
  <c r="I138" i="3"/>
  <c r="J138" i="3" s="1"/>
  <c r="I10" i="3"/>
  <c r="J10" i="3" s="1"/>
  <c r="I98" i="3"/>
  <c r="J98" i="3" s="1"/>
  <c r="I124" i="3"/>
  <c r="J124" i="3" s="1"/>
  <c r="I101" i="3"/>
  <c r="J101" i="3" s="1"/>
  <c r="I52" i="3"/>
  <c r="J52" i="3" s="1"/>
  <c r="I121" i="3"/>
  <c r="J121" i="3" s="1"/>
  <c r="I62" i="3"/>
  <c r="J62" i="3" s="1"/>
  <c r="I131" i="3"/>
  <c r="J131" i="3" s="1"/>
  <c r="I22" i="3"/>
  <c r="J22" i="3" s="1"/>
  <c r="G84" i="3"/>
  <c r="I84" i="3" s="1"/>
  <c r="J84" i="3" s="1"/>
  <c r="I82" i="3"/>
  <c r="J82" i="3" s="1"/>
  <c r="I60" i="3"/>
  <c r="J60" i="3" s="1"/>
  <c r="I50" i="3"/>
  <c r="J50" i="3" s="1"/>
  <c r="I17" i="3"/>
  <c r="J17" i="3" s="1"/>
  <c r="I93" i="3"/>
  <c r="J93" i="3" s="1"/>
  <c r="I141" i="3"/>
  <c r="J141" i="3" s="1"/>
  <c r="I55" i="3"/>
  <c r="J55" i="3" s="1"/>
  <c r="I20" i="3"/>
  <c r="J20" i="3" s="1"/>
  <c r="G39" i="3"/>
  <c r="H39" i="3"/>
  <c r="I57" i="3"/>
  <c r="J57" i="3" s="1"/>
  <c r="I119" i="3"/>
  <c r="J119" i="3" s="1"/>
  <c r="I102" i="3"/>
  <c r="J102" i="3" s="1"/>
  <c r="I6" i="3"/>
  <c r="J6" i="3" s="1"/>
  <c r="I24" i="3"/>
  <c r="J24" i="3" s="1"/>
  <c r="I7" i="3"/>
  <c r="J7" i="3" s="1"/>
  <c r="I27" i="3"/>
  <c r="J27" i="3" s="1"/>
  <c r="I88" i="3"/>
  <c r="J88" i="3" s="1"/>
  <c r="I87" i="3"/>
  <c r="J87" i="3" s="1"/>
  <c r="I117" i="3"/>
  <c r="J117" i="3" s="1"/>
  <c r="I43" i="3"/>
  <c r="J43" i="3" s="1"/>
  <c r="I129" i="3"/>
  <c r="J129" i="3" s="1"/>
  <c r="I70" i="3"/>
  <c r="J70" i="3" s="1"/>
  <c r="I45" i="3"/>
  <c r="J45" i="3" s="1"/>
  <c r="I53" i="3"/>
  <c r="J53" i="3" s="1"/>
  <c r="E3" i="2" s="1"/>
  <c r="C6" i="5" s="1"/>
  <c r="H134" i="3"/>
  <c r="G134" i="3"/>
  <c r="I35" i="3"/>
  <c r="J35" i="3" s="1"/>
  <c r="I65" i="3"/>
  <c r="J65" i="3" s="1"/>
  <c r="I71" i="3"/>
  <c r="J71" i="3" s="1"/>
  <c r="I95" i="3"/>
  <c r="J95" i="3" s="1"/>
  <c r="I23" i="3"/>
  <c r="J23" i="3" s="1"/>
  <c r="I86" i="3"/>
  <c r="J86" i="3" s="1"/>
  <c r="I25" i="3"/>
  <c r="J25" i="3" s="1"/>
  <c r="I126" i="3"/>
  <c r="J126" i="3" s="1"/>
  <c r="I74" i="3"/>
  <c r="J74" i="3" s="1"/>
  <c r="I12" i="3"/>
  <c r="J12" i="3" s="1"/>
  <c r="I110" i="3"/>
  <c r="J110" i="3" s="1"/>
  <c r="I36" i="3"/>
  <c r="J36" i="3" s="1"/>
  <c r="I143" i="3"/>
  <c r="J143" i="3" s="1"/>
  <c r="I111" i="3"/>
  <c r="J111" i="3" s="1"/>
  <c r="I114" i="3"/>
  <c r="J114" i="3" s="1"/>
  <c r="I135" i="3"/>
  <c r="J135" i="3" s="1"/>
  <c r="I26" i="3"/>
  <c r="J26" i="3" s="1"/>
  <c r="I92" i="3"/>
  <c r="J92" i="3" s="1"/>
  <c r="I38" i="3"/>
  <c r="J38" i="3" s="1"/>
  <c r="E5" i="2" s="1"/>
  <c r="C8" i="5" s="1"/>
  <c r="I72" i="3"/>
  <c r="J72" i="3" s="1"/>
  <c r="I91" i="3"/>
  <c r="J91" i="3" s="1"/>
  <c r="I100" i="3"/>
  <c r="J100" i="3" s="1"/>
  <c r="I51" i="3"/>
  <c r="J51" i="3" s="1"/>
  <c r="I11" i="3"/>
  <c r="J11" i="3" s="1"/>
  <c r="I142" i="3"/>
  <c r="J142" i="3" s="1"/>
  <c r="I16" i="3"/>
  <c r="J16" i="3" s="1"/>
  <c r="I61" i="3"/>
  <c r="J61" i="3" s="1"/>
  <c r="I90" i="3"/>
  <c r="J90" i="3" s="1"/>
  <c r="I109" i="3"/>
  <c r="J109" i="3" s="1"/>
  <c r="I96" i="3"/>
  <c r="J96" i="3" s="1"/>
  <c r="I29" i="3"/>
  <c r="J29" i="3" s="1"/>
  <c r="I106" i="3"/>
  <c r="J106" i="3" s="1"/>
  <c r="I123" i="3"/>
  <c r="J123" i="3" s="1"/>
  <c r="I85" i="3"/>
  <c r="J85" i="3" s="1"/>
  <c r="I103" i="3"/>
  <c r="J103" i="3" s="1"/>
  <c r="I122" i="3"/>
  <c r="J122" i="3" s="1"/>
  <c r="I104" i="3"/>
  <c r="J104" i="3" s="1"/>
  <c r="I120" i="3"/>
  <c r="J120" i="3" s="1"/>
  <c r="I80" i="3"/>
  <c r="J80" i="3" s="1"/>
  <c r="I113" i="3"/>
  <c r="J113" i="3" s="1"/>
  <c r="D5" i="2"/>
  <c r="I2" i="3"/>
  <c r="J2" i="3" s="1"/>
  <c r="G56" i="3"/>
  <c r="H56" i="3"/>
  <c r="D3" i="2" l="1"/>
  <c r="B6" i="5" s="1"/>
  <c r="D4" i="2"/>
  <c r="B7" i="5" s="1"/>
  <c r="I39" i="3"/>
  <c r="J39" i="3" s="1"/>
  <c r="C3" i="2"/>
  <c r="I134" i="3"/>
  <c r="J134" i="3" s="1"/>
  <c r="I56" i="3"/>
  <c r="J56" i="3" s="1"/>
  <c r="C5" i="2"/>
  <c r="E4" i="2"/>
  <c r="C7" i="5" s="1"/>
  <c r="C7" i="2"/>
  <c r="E7" i="2"/>
  <c r="C10" i="5" s="1"/>
  <c r="D7" i="2"/>
  <c r="B9" i="1"/>
  <c r="D9" i="1" s="1"/>
  <c r="E9" i="1" s="1"/>
  <c r="B17" i="1"/>
  <c r="E2" i="2"/>
  <c r="C2" i="2"/>
  <c r="B19" i="1"/>
  <c r="D2" i="2"/>
  <c r="B8" i="5"/>
  <c r="F5" i="2"/>
  <c r="F3" i="2" l="1"/>
  <c r="D6" i="2"/>
  <c r="B10" i="1" s="1"/>
  <c r="D10" i="1" s="1"/>
  <c r="E10" i="1" s="1"/>
  <c r="E6" i="2"/>
  <c r="C9" i="5" s="1"/>
  <c r="C6" i="2"/>
  <c r="F4" i="2"/>
  <c r="D8" i="5"/>
  <c r="G5" i="2"/>
  <c r="D6" i="5"/>
  <c r="G3" i="2"/>
  <c r="D7" i="5"/>
  <c r="G4" i="2"/>
  <c r="B5" i="5"/>
  <c r="F2" i="2"/>
  <c r="C5" i="5"/>
  <c r="B10" i="5"/>
  <c r="F7" i="2"/>
  <c r="B11" i="1" l="1"/>
  <c r="D11" i="1" s="1"/>
  <c r="E11" i="1" s="1"/>
  <c r="B9" i="5"/>
  <c r="F6" i="2"/>
  <c r="D10" i="5"/>
  <c r="G7" i="2"/>
  <c r="D5" i="5"/>
  <c r="G2" i="2"/>
  <c r="B12" i="1"/>
  <c r="D12" i="1" s="1"/>
  <c r="E12" i="1" s="1"/>
  <c r="D9" i="5" l="1"/>
  <c r="G6" i="2"/>
</calcChain>
</file>

<file path=xl/sharedStrings.xml><?xml version="1.0" encoding="utf-8"?>
<sst xmlns="http://schemas.openxmlformats.org/spreadsheetml/2006/main" count="6848" uniqueCount="454">
  <si>
    <t>生鲜批发订单与对账核对页</t>
  </si>
  <si>
    <t>Excel 公式路径与 Python、SQLite 结果逐项对拍；截止日可编辑</t>
  </si>
  <si>
    <t>对账截止日</t>
  </si>
  <si>
    <t>金额口径</t>
  </si>
  <si>
    <t>交付金额、退货金额分别 ROUND 到分后相减</t>
  </si>
  <si>
    <t>核对项</t>
  </si>
  <si>
    <t>Excel</t>
  </si>
  <si>
    <t>独立参考</t>
  </si>
  <si>
    <t>差异</t>
  </si>
  <si>
    <t>状态</t>
  </si>
  <si>
    <t>明细行数</t>
  </si>
  <si>
    <t>订单数</t>
  </si>
  <si>
    <t>9 月净应收</t>
  </si>
  <si>
    <t>截止日已收</t>
  </si>
  <si>
    <t>截止日未结清</t>
  </si>
  <si>
    <t>09-30 已收</t>
  </si>
  <si>
    <t>数据质量异常</t>
  </si>
  <si>
    <t>截止日外回款（口径排除）</t>
  </si>
  <si>
    <t>暂缓订单</t>
  </si>
  <si>
    <t>抽样订单 SIM-20260901-C001</t>
  </si>
  <si>
    <t>抽样订单状态</t>
  </si>
  <si>
    <t>customer_id</t>
  </si>
  <si>
    <t>customer_name</t>
  </si>
  <si>
    <t>order_count</t>
  </si>
  <si>
    <t>net_receivable</t>
  </si>
  <si>
    <t>received</t>
  </si>
  <si>
    <t>balance</t>
  </si>
  <si>
    <t>status</t>
  </si>
  <si>
    <t>C001</t>
  </si>
  <si>
    <t>C002</t>
  </si>
  <si>
    <t>C003</t>
  </si>
  <si>
    <t>C004</t>
  </si>
  <si>
    <t>C005</t>
  </si>
  <si>
    <t>C006</t>
  </si>
  <si>
    <t>order_id</t>
  </si>
  <si>
    <t>order_date</t>
  </si>
  <si>
    <t>line_count</t>
  </si>
  <si>
    <t>blocked_line_count</t>
  </si>
  <si>
    <t>SIM-20260901-C001</t>
  </si>
  <si>
    <t>SIM-20260901-C002</t>
  </si>
  <si>
    <t>SIM-20260901-C003</t>
  </si>
  <si>
    <t>SIM-20260901-C004</t>
  </si>
  <si>
    <t>SIM-20260901-C005</t>
  </si>
  <si>
    <t>SIM-20260901-C006</t>
  </si>
  <si>
    <t>SIM-20260902-C001</t>
  </si>
  <si>
    <t>SIM-20260902-C002</t>
  </si>
  <si>
    <t>SIM-20260902-C003</t>
  </si>
  <si>
    <t>SIM-20260902-C005</t>
  </si>
  <si>
    <t>SIM-20260902-C006</t>
  </si>
  <si>
    <t>SIM-20260903-C001</t>
  </si>
  <si>
    <t>SIM-20260903-C002</t>
  </si>
  <si>
    <t>SIM-20260903-C003</t>
  </si>
  <si>
    <t>SIM-20260903-C004</t>
  </si>
  <si>
    <t>SIM-20260903-C005</t>
  </si>
  <si>
    <t>SIM-20260903-C006</t>
  </si>
  <si>
    <t>SIM-20260904-C001</t>
  </si>
  <si>
    <t>SIM-20260904-C002</t>
  </si>
  <si>
    <t>SIM-20260904-C003</t>
  </si>
  <si>
    <t>SIM-20260904-C005</t>
  </si>
  <si>
    <t>SIM-20260904-C006</t>
  </si>
  <si>
    <t>SIM-20260905-C001</t>
  </si>
  <si>
    <t>SIM-20260905-C002</t>
  </si>
  <si>
    <t>SIM-20260905-C003</t>
  </si>
  <si>
    <t>SIM-20260905-C004</t>
  </si>
  <si>
    <t>SIM-20260905-C006</t>
  </si>
  <si>
    <t>SIM-20260906-C002</t>
  </si>
  <si>
    <t>SIM-20260906-C006</t>
  </si>
  <si>
    <t>SIM-20260907-C001</t>
  </si>
  <si>
    <t>SIM-20260907-C003</t>
  </si>
  <si>
    <t>SIM-20260907-C005</t>
  </si>
  <si>
    <t>SIM-20260907-C006</t>
  </si>
  <si>
    <t>SIM-20260908-C001</t>
  </si>
  <si>
    <t>SIM-20260908-C002</t>
  </si>
  <si>
    <t>SIM-20260908-C003</t>
  </si>
  <si>
    <t>SIM-20260908-C004</t>
  </si>
  <si>
    <t>SIM-20260908-C005</t>
  </si>
  <si>
    <t>SIM-20260908-C006</t>
  </si>
  <si>
    <t>SIM-20260909-C001</t>
  </si>
  <si>
    <t>SIM-20260909-C002</t>
  </si>
  <si>
    <t>SIM-20260909-C003</t>
  </si>
  <si>
    <t>SIM-20260909-C005</t>
  </si>
  <si>
    <t>SIM-20260909-C006</t>
  </si>
  <si>
    <t>SIM-20260910-C001</t>
  </si>
  <si>
    <t>SIM-20260910-C002</t>
  </si>
  <si>
    <t>SIM-20260910-C003</t>
  </si>
  <si>
    <t>SIM-20260910-C004</t>
  </si>
  <si>
    <t>SIM-20260910-C005</t>
  </si>
  <si>
    <t>SIM-20260910-C006</t>
  </si>
  <si>
    <t>SIM-20260911-C001</t>
  </si>
  <si>
    <t>SIM-20260911-C002</t>
  </si>
  <si>
    <t>SIM-20260911-C003</t>
  </si>
  <si>
    <t>SIM-20260911-C005</t>
  </si>
  <si>
    <t>SIM-20260911-C006</t>
  </si>
  <si>
    <t>SIM-20260912-C001</t>
  </si>
  <si>
    <t>SIM-20260912-C002</t>
  </si>
  <si>
    <t>SIM-20260912-C003</t>
  </si>
  <si>
    <t>SIM-20260912-C004</t>
  </si>
  <si>
    <t>SIM-20260912-C006</t>
  </si>
  <si>
    <t>SIM-20260913-C002</t>
  </si>
  <si>
    <t>SIM-20260913-C006</t>
  </si>
  <si>
    <t>SIM-20260914-C001</t>
  </si>
  <si>
    <t>SIM-20260914-C003</t>
  </si>
  <si>
    <t>SIM-20260914-C005</t>
  </si>
  <si>
    <t>SIM-20260914-C006</t>
  </si>
  <si>
    <t>SIM-20260915-C001</t>
  </si>
  <si>
    <t>SIM-20260915-C002</t>
  </si>
  <si>
    <t>SIM-20260915-C003</t>
  </si>
  <si>
    <t>SIM-20260915-C004</t>
  </si>
  <si>
    <t>SIM-20260915-C005</t>
  </si>
  <si>
    <t>SIM-20260915-C006</t>
  </si>
  <si>
    <t>SIM-20260916-C001</t>
  </si>
  <si>
    <t>SIM-20260916-C002</t>
  </si>
  <si>
    <t>SIM-20260916-C003</t>
  </si>
  <si>
    <t>SIM-20260916-C005</t>
  </si>
  <si>
    <t>SIM-20260916-C006</t>
  </si>
  <si>
    <t>SIM-20260917-C001</t>
  </si>
  <si>
    <t>SIM-20260917-C002</t>
  </si>
  <si>
    <t>SIM-20260917-C003</t>
  </si>
  <si>
    <t>SIM-20260917-C004</t>
  </si>
  <si>
    <t>SIM-20260917-C005</t>
  </si>
  <si>
    <t>SIM-20260917-C006</t>
  </si>
  <si>
    <t>SIM-20260918-C001</t>
  </si>
  <si>
    <t>SIM-20260918-C002</t>
  </si>
  <si>
    <t>SIM-20260918-C003</t>
  </si>
  <si>
    <t>SIM-20260918-C005</t>
  </si>
  <si>
    <t>SIM-20260918-C006</t>
  </si>
  <si>
    <t>SIM-20260919-C001</t>
  </si>
  <si>
    <t>SIM-20260919-C002</t>
  </si>
  <si>
    <t>SIM-20260919-C003</t>
  </si>
  <si>
    <t>SIM-20260919-C004</t>
  </si>
  <si>
    <t>SIM-20260919-C006</t>
  </si>
  <si>
    <t>SIM-20260920-C002</t>
  </si>
  <si>
    <t>SIM-20260920-C005</t>
  </si>
  <si>
    <t>SIM-20260920-C006</t>
  </si>
  <si>
    <t>SIM-20260921-C001</t>
  </si>
  <si>
    <t>SIM-20260921-C003</t>
  </si>
  <si>
    <t>SIM-20260921-C005</t>
  </si>
  <si>
    <t>SIM-20260921-C006</t>
  </si>
  <si>
    <t>SIM-20260922-C001</t>
  </si>
  <si>
    <t>SIM-20260922-C002</t>
  </si>
  <si>
    <t>SIM-20260922-C003</t>
  </si>
  <si>
    <t>SIM-20260922-C004</t>
  </si>
  <si>
    <t>SIM-20260922-C005</t>
  </si>
  <si>
    <t>SIM-20260922-C006</t>
  </si>
  <si>
    <t>SIM-20260923-C001</t>
  </si>
  <si>
    <t>SIM-20260923-C002</t>
  </si>
  <si>
    <t>SIM-20260923-C003</t>
  </si>
  <si>
    <t>SIM-20260923-C005</t>
  </si>
  <si>
    <t>SIM-20260923-C006</t>
  </si>
  <si>
    <t>SIM-20260924-C001</t>
  </si>
  <si>
    <t>SIM-20260924-C002</t>
  </si>
  <si>
    <t>SIM-20260924-C003</t>
  </si>
  <si>
    <t>SIM-20260924-C004</t>
  </si>
  <si>
    <t>SIM-20260924-C005</t>
  </si>
  <si>
    <t>SIM-20260924-C006</t>
  </si>
  <si>
    <t>SIM-20260925-C001</t>
  </si>
  <si>
    <t>SIM-20260925-C002</t>
  </si>
  <si>
    <t>SIM-20260925-C003</t>
  </si>
  <si>
    <t>SIM-20260925-C006</t>
  </si>
  <si>
    <t>SIM-20260926-C001</t>
  </si>
  <si>
    <t>SIM-20260926-C002</t>
  </si>
  <si>
    <t>SIM-20260926-C003</t>
  </si>
  <si>
    <t>SIM-20260926-C004</t>
  </si>
  <si>
    <t>SIM-20260926-C006</t>
  </si>
  <si>
    <t>SIM-20260927-C002</t>
  </si>
  <si>
    <t>SIM-20260927-C006</t>
  </si>
  <si>
    <t>SIM-20260928-C001</t>
  </si>
  <si>
    <t>SIM-20260928-C003</t>
  </si>
  <si>
    <t>SIM-20260928-C005</t>
  </si>
  <si>
    <t>SIM-20260928-C006</t>
  </si>
  <si>
    <t>SIM-20260929-C001</t>
  </si>
  <si>
    <t>SIM-20260929-C002</t>
  </si>
  <si>
    <t>SIM-20260929-C003</t>
  </si>
  <si>
    <t>SIM-20260929-C004</t>
  </si>
  <si>
    <t>SIM-20260929-C005</t>
  </si>
  <si>
    <t>SIM-20260929-C006</t>
  </si>
  <si>
    <t>SIM-20260930-C001</t>
  </si>
  <si>
    <t>SIM-20260930-C002</t>
  </si>
  <si>
    <t>SIM-20260930-C003</t>
  </si>
  <si>
    <t>SIM-20260930-C005</t>
  </si>
  <si>
    <t>SIM-20260930-C006</t>
  </si>
  <si>
    <t>line_no</t>
  </si>
  <si>
    <t>product_id</t>
  </si>
  <si>
    <t>unit</t>
  </si>
  <si>
    <t>ordered_qty</t>
  </si>
  <si>
    <t>delivered_qty</t>
  </si>
  <si>
    <t>returned_qty</t>
  </si>
  <si>
    <t>unit_price</t>
  </si>
  <si>
    <t>delivery_note</t>
  </si>
  <si>
    <t>is_simulated</t>
  </si>
  <si>
    <t>product_name</t>
  </si>
  <si>
    <t>specification</t>
  </si>
  <si>
    <t>gross_amount</t>
  </si>
  <si>
    <t>return_amount</t>
  </si>
  <si>
    <t>net_amount</t>
  </si>
  <si>
    <t>quantity_exception</t>
  </si>
  <si>
    <t>unit_exception</t>
  </si>
  <si>
    <t>price_exception</t>
  </si>
  <si>
    <t>duplicate_key</t>
  </si>
  <si>
    <t>data_quality_status</t>
  </si>
  <si>
    <t>交叉汇总视图</t>
  </si>
  <si>
    <t>公式汇总与 calc_customers、calc_lines 对拍；在 Excel 中可从 calc_lines 插入原生透视表</t>
  </si>
  <si>
    <t>客户</t>
  </si>
  <si>
    <t>净应收</t>
  </si>
  <si>
    <t>已收</t>
  </si>
  <si>
    <t>未结清</t>
  </si>
  <si>
    <t>日期</t>
  </si>
  <si>
    <t>下单数量</t>
  </si>
  <si>
    <t>交付数量</t>
  </si>
  <si>
    <t>少送数量</t>
  </si>
  <si>
    <t>商品</t>
  </si>
  <si>
    <t>单位</t>
  </si>
  <si>
    <t>退货数量</t>
  </si>
  <si>
    <t>异常清单</t>
  </si>
  <si>
    <t>当前原始快照无数据质量异常；截止日外回款属于口径排除，见 checklist。脏数据规则由 tests/fixtures/dirty 覆盖。</t>
  </si>
  <si>
    <t>source</t>
  </si>
  <si>
    <t>line</t>
  </si>
  <si>
    <t>key</t>
  </si>
  <si>
    <t>kind</t>
  </si>
  <si>
    <t>detail</t>
  </si>
  <si>
    <t>classification</t>
  </si>
  <si>
    <t>blocking</t>
  </si>
  <si>
    <t>当前样本无异常</t>
  </si>
  <si>
    <t>否</t>
  </si>
  <si>
    <t>P012</t>
  </si>
  <si>
    <t>公斤</t>
  </si>
  <si>
    <t>正常交付</t>
  </si>
  <si>
    <t>true</t>
  </si>
  <si>
    <t>P005</t>
  </si>
  <si>
    <t>P002</t>
  </si>
  <si>
    <t>P004</t>
  </si>
  <si>
    <t>P016</t>
  </si>
  <si>
    <t>P015</t>
  </si>
  <si>
    <t>P019</t>
  </si>
  <si>
    <t>桶</t>
  </si>
  <si>
    <t>P018</t>
  </si>
  <si>
    <t>袋</t>
  </si>
  <si>
    <t>P011</t>
  </si>
  <si>
    <t>P001</t>
  </si>
  <si>
    <t>P006</t>
  </si>
  <si>
    <t>P013</t>
  </si>
  <si>
    <t>P003</t>
  </si>
  <si>
    <t>P017</t>
  </si>
  <si>
    <t>P008</t>
  </si>
  <si>
    <t>P020</t>
  </si>
  <si>
    <t>P010</t>
  </si>
  <si>
    <t>到货不足；按实际交付计费</t>
  </si>
  <si>
    <t>P009</t>
  </si>
  <si>
    <t>P007</t>
  </si>
  <si>
    <t>正常交付；签收时挑出黄叶退回</t>
  </si>
  <si>
    <t>P014</t>
  </si>
  <si>
    <t>正常交付；签收时破损退回</t>
  </si>
  <si>
    <t>到货不足；按实际交付计费；签收时挑出黄叶退回</t>
  </si>
  <si>
    <t>category</t>
  </si>
  <si>
    <t>simulated_price_min</t>
  </si>
  <si>
    <t>simulated_price_max</t>
  </si>
  <si>
    <t>土豆</t>
  </si>
  <si>
    <t>散装鲜菜</t>
  </si>
  <si>
    <t>根茎菜</t>
  </si>
  <si>
    <t>白萝卜</t>
  </si>
  <si>
    <t>包菜</t>
  </si>
  <si>
    <t>甘蓝菜</t>
  </si>
  <si>
    <t>冬瓜</t>
  </si>
  <si>
    <t>瓜菜</t>
  </si>
  <si>
    <t>南瓜</t>
  </si>
  <si>
    <t>茄子</t>
  </si>
  <si>
    <t>茄果菜</t>
  </si>
  <si>
    <t>青椒</t>
  </si>
  <si>
    <t>黄瓜</t>
  </si>
  <si>
    <t>西红柿</t>
  </si>
  <si>
    <t>空心菜</t>
  </si>
  <si>
    <t>叶菜</t>
  </si>
  <si>
    <t>红薯叶</t>
  </si>
  <si>
    <t>小白菜</t>
  </si>
  <si>
    <t>豇豆</t>
  </si>
  <si>
    <t>豆类菜</t>
  </si>
  <si>
    <t>丝瓜</t>
  </si>
  <si>
    <t>小葱</t>
  </si>
  <si>
    <t>调味鲜菜</t>
  </si>
  <si>
    <t>鸡蛋</t>
  </si>
  <si>
    <t>普通鲜鸡蛋按净重</t>
  </si>
  <si>
    <t>禽蛋</t>
  </si>
  <si>
    <t>籼米</t>
  </si>
  <si>
    <t>25公斤/袋普通籼米</t>
  </si>
  <si>
    <t>粮食</t>
  </si>
  <si>
    <t>小麦粉</t>
  </si>
  <si>
    <t>25公斤/袋普通小麦粉</t>
  </si>
  <si>
    <t>菜籽油</t>
  </si>
  <si>
    <t>5升/桶普通菜籽油</t>
  </si>
  <si>
    <t>食用油</t>
  </si>
  <si>
    <t>大豆油</t>
  </si>
  <si>
    <t>5升/桶普通大豆油</t>
  </si>
  <si>
    <t>customer_type</t>
  </si>
  <si>
    <t>service_area</t>
  </si>
  <si>
    <t>meal_scale_assumption</t>
  </si>
  <si>
    <t>delivery_schedule</t>
  </si>
  <si>
    <t>settlement_cycle</t>
  </si>
  <si>
    <t>payment_due_date</t>
  </si>
  <si>
    <t>模拟_榕树下粉面店</t>
  </si>
  <si>
    <t>粉面早餐店</t>
  </si>
  <si>
    <t>镇区</t>
  </si>
  <si>
    <t>70—100人次/日</t>
  </si>
  <si>
    <t>每周一至六</t>
  </si>
  <si>
    <t>自然月</t>
  </si>
  <si>
    <t>模拟_桥头家常菜馆</t>
  </si>
  <si>
    <t>家常菜馆</t>
  </si>
  <si>
    <t>60—100人次/日</t>
  </si>
  <si>
    <t>每周二至日</t>
  </si>
  <si>
    <t>模拟_兴街快餐店</t>
  </si>
  <si>
    <t>快餐店</t>
  </si>
  <si>
    <t>100—160人次/日</t>
  </si>
  <si>
    <t>模拟_田畔饭店</t>
  </si>
  <si>
    <t>乡村饭店</t>
  </si>
  <si>
    <t>周边村庄</t>
  </si>
  <si>
    <t>平日40—60/周末80—120人次</t>
  </si>
  <si>
    <t>每周二四六</t>
  </si>
  <si>
    <t>模拟_青禾小学食堂</t>
  </si>
  <si>
    <t>学校食堂</t>
  </si>
  <si>
    <t>240人午餐/供餐日</t>
  </si>
  <si>
    <t>教学日</t>
  </si>
  <si>
    <t>模拟_溪桥医院食堂</t>
  </si>
  <si>
    <t>医院食堂</t>
  </si>
  <si>
    <t>约180人午餐/日</t>
  </si>
  <si>
    <t>每日配送</t>
  </si>
  <si>
    <t>payment_id</t>
  </si>
  <si>
    <t>payment_date</t>
  </si>
  <si>
    <t>amount</t>
  </si>
  <si>
    <t>receipt_id</t>
  </si>
  <si>
    <t>allocation_rule</t>
  </si>
  <si>
    <t>SIM-P0001</t>
  </si>
  <si>
    <t>SIM-R0001</t>
  </si>
  <si>
    <t>模拟确认：按订单日期及编号先后分配</t>
  </si>
  <si>
    <t>SIM-P0002</t>
  </si>
  <si>
    <t>SIM-P0003</t>
  </si>
  <si>
    <t>SIM-P0004</t>
  </si>
  <si>
    <t>SIM-P0005</t>
  </si>
  <si>
    <t>SIM-P0006</t>
  </si>
  <si>
    <t>SIM-R0002</t>
  </si>
  <si>
    <t>SIM-P0007</t>
  </si>
  <si>
    <t>SIM-P0008</t>
  </si>
  <si>
    <t>SIM-P0009</t>
  </si>
  <si>
    <t>SIM-P0010</t>
  </si>
  <si>
    <t>SIM-P0011</t>
  </si>
  <si>
    <t>SIM-P0012</t>
  </si>
  <si>
    <t>SIM-P0013</t>
  </si>
  <si>
    <t>SIM-P0014</t>
  </si>
  <si>
    <t>SIM-P0015</t>
  </si>
  <si>
    <t>SIM-P0016</t>
  </si>
  <si>
    <t>SIM-P0017</t>
  </si>
  <si>
    <t>SIM-R0003</t>
  </si>
  <si>
    <t>SIM-P0018</t>
  </si>
  <si>
    <t>SIM-P0019</t>
  </si>
  <si>
    <t>SIM-P0020</t>
  </si>
  <si>
    <t>SIM-P0021</t>
  </si>
  <si>
    <t>SIM-P0022</t>
  </si>
  <si>
    <t>SIM-P0023</t>
  </si>
  <si>
    <t>SIM-P0024</t>
  </si>
  <si>
    <t>SIM-P0025</t>
  </si>
  <si>
    <t>SIM-P0026</t>
  </si>
  <si>
    <t>SIM-P0027</t>
  </si>
  <si>
    <t>SIM-P0028</t>
  </si>
  <si>
    <t>SIM-P0029</t>
  </si>
  <si>
    <t>SIM-P0030</t>
  </si>
  <si>
    <t>SIM-P0031</t>
  </si>
  <si>
    <t>SIM-P0032</t>
  </si>
  <si>
    <t>SIM-P0033</t>
  </si>
  <si>
    <t>SIM-P0034</t>
  </si>
  <si>
    <t>SIM-P0035</t>
  </si>
  <si>
    <t>SIM-P0036</t>
  </si>
  <si>
    <t>SIM-P0037</t>
  </si>
  <si>
    <t>SIM-P0038</t>
  </si>
  <si>
    <t>SIM-P0039</t>
  </si>
  <si>
    <t>SIM-P0040</t>
  </si>
  <si>
    <t>SIM-P0041</t>
  </si>
  <si>
    <t>SIM-P0042</t>
  </si>
  <si>
    <t>SIM-P0043</t>
  </si>
  <si>
    <t>SIM-R0004</t>
  </si>
  <si>
    <t>SIM-P0044</t>
  </si>
  <si>
    <t>SIM-P0045</t>
  </si>
  <si>
    <t>SIM-P0046</t>
  </si>
  <si>
    <t>SIM-P0047</t>
  </si>
  <si>
    <t>SIM-P0048</t>
  </si>
  <si>
    <t>SIM-P0049</t>
  </si>
  <si>
    <t>SIM-P0050</t>
  </si>
  <si>
    <t>SIM-P0051</t>
  </si>
  <si>
    <t>SIM-P0052</t>
  </si>
  <si>
    <t>SIM-R0005</t>
  </si>
  <si>
    <t>SIM-P0053</t>
  </si>
  <si>
    <t>SIM-P0054</t>
  </si>
  <si>
    <t>SIM-P0055</t>
  </si>
  <si>
    <t>SIM-P0056</t>
  </si>
  <si>
    <t>SIM-P0057</t>
  </si>
  <si>
    <t>SIM-P0058</t>
  </si>
  <si>
    <t>SIM-P0059</t>
  </si>
  <si>
    <t>SIM-P0060</t>
  </si>
  <si>
    <t>SIM-P0061</t>
  </si>
  <si>
    <t>SIM-P0062</t>
  </si>
  <si>
    <t>SIM-P0063</t>
  </si>
  <si>
    <t>SIM-P0064</t>
  </si>
  <si>
    <t>SIM-P0065</t>
  </si>
  <si>
    <t>SIM-P0066</t>
  </si>
  <si>
    <t>SIM-P0067</t>
  </si>
  <si>
    <t>SIM-P0068</t>
  </si>
  <si>
    <t>SIM-P0069</t>
  </si>
  <si>
    <t>SIM-P0070</t>
  </si>
  <si>
    <t>SIM-P0071</t>
  </si>
  <si>
    <t>SIM-P0072</t>
  </si>
  <si>
    <t>SIM-P0073</t>
  </si>
  <si>
    <t>SIM-P0074</t>
  </si>
  <si>
    <t>SIM-R0006</t>
  </si>
  <si>
    <t>SIM-P0075</t>
  </si>
  <si>
    <t>SIM-P0076</t>
  </si>
  <si>
    <t>SIM-P0077</t>
  </si>
  <si>
    <t>SIM-P0078</t>
  </si>
  <si>
    <t>SIM-P0079</t>
  </si>
  <si>
    <t>SIM-P0080</t>
  </si>
  <si>
    <t>SIM-P0081</t>
  </si>
  <si>
    <t>SIM-P0082</t>
  </si>
  <si>
    <t>SIM-P0083</t>
  </si>
  <si>
    <t>SIM-P0084</t>
  </si>
  <si>
    <t>SIM-P0085</t>
  </si>
  <si>
    <t>SIM-P0086</t>
  </si>
  <si>
    <t>SIM-P0087</t>
  </si>
  <si>
    <t>SIM-P0088</t>
  </si>
  <si>
    <t>SIM-R0007</t>
  </si>
  <si>
    <t>SIM-P0089</t>
  </si>
  <si>
    <t>SIM-P0090</t>
  </si>
  <si>
    <t>SIM-P0091</t>
  </si>
  <si>
    <t>SIM-P0092</t>
  </si>
  <si>
    <t>SIM-P0093</t>
  </si>
  <si>
    <t>SIM-P0094</t>
  </si>
  <si>
    <t>SIM-P0095</t>
  </si>
  <si>
    <t>SIM-P0096</t>
  </si>
  <si>
    <t>SIM-P0097</t>
  </si>
  <si>
    <t>SIM-P0098</t>
  </si>
  <si>
    <t>SIM-P0099</t>
  </si>
  <si>
    <t>SIM-P0100</t>
  </si>
  <si>
    <t>payment_method</t>
  </si>
  <si>
    <t>settlement_month</t>
  </si>
  <si>
    <t>memo</t>
  </si>
  <si>
    <t>微信转账</t>
  </si>
  <si>
    <t>2026-09</t>
  </si>
  <si>
    <t>模拟9月月结货款</t>
  </si>
  <si>
    <t>银行转账</t>
  </si>
  <si>
    <t>Native pivot tables</t>
  </si>
  <si>
    <t>Pivot tables use calc_lines as their source and can be refreshed in Excel.</t>
  </si>
  <si>
    <t>行标签</t>
  </si>
  <si>
    <t>总计</t>
  </si>
  <si>
    <t>Net receivable</t>
  </si>
  <si>
    <t>值</t>
  </si>
  <si>
    <t>Gross amount</t>
  </si>
  <si>
    <t>Delivered quantity</t>
  </si>
  <si>
    <t>Returned quantity</t>
  </si>
  <si>
    <t>Ordered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</si>
</sst>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9">
    <font>
      <sz val="11"/>
      <name val="Carlito"/>
    </font>
    <font>
      <b/>
      <sz val="10"/>
      <color rgb="FFFFFFFF"/>
      <name val="Aptos"/>
      <family val="2"/>
    </font>
    <font>
      <sz val="10"/>
      <color rgb="FF1F2937"/>
      <name val="Aptos"/>
      <family val="2"/>
    </font>
    <font>
      <b/>
      <sz val="16"/>
      <color rgb="FFFFFFFF"/>
      <name val="Aptos"/>
      <family val="2"/>
    </font>
    <font>
      <i/>
      <sz val="10"/>
      <color rgb="FF475569"/>
      <name val="Aptos"/>
      <family val="2"/>
    </font>
    <font>
      <b/>
      <sz val="10"/>
      <color rgb="FF334155"/>
      <name val="Aptos"/>
      <family val="2"/>
    </font>
    <font>
      <sz val="10"/>
      <color rgb="FF166534"/>
      <name val="Aptos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2" fillId="0" borderId="1" xfId="1" applyFont="1" applyBorder="1"/>
    <xf numFmtId="176" fontId="2" fillId="0" borderId="1" xfId="1" applyNumberFormat="1" applyFont="1" applyBorder="1"/>
    <xf numFmtId="177" fontId="2" fillId="0" borderId="1" xfId="1" applyNumberFormat="1" applyFont="1" applyBorder="1"/>
    <xf numFmtId="2" fontId="2" fillId="0" borderId="1" xfId="1" applyNumberFormat="1" applyFont="1" applyBorder="1"/>
    <xf numFmtId="4" fontId="2" fillId="0" borderId="1" xfId="1" applyNumberFormat="1" applyFont="1" applyBorder="1"/>
    <xf numFmtId="0" fontId="1" fillId="2" borderId="2" xfId="1" applyFont="1" applyFill="1" applyBorder="1" applyAlignment="1">
      <alignment vertical="center" wrapText="1"/>
    </xf>
    <xf numFmtId="0" fontId="0" fillId="0" borderId="1" xfId="1" applyFont="1" applyBorder="1"/>
    <xf numFmtId="4" fontId="0" fillId="0" borderId="1" xfId="1" applyNumberFormat="1" applyFont="1" applyBorder="1"/>
    <xf numFmtId="0" fontId="0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176" fontId="0" fillId="4" borderId="0" xfId="1" applyNumberFormat="1" applyFont="1" applyFill="1" applyAlignment="1">
      <alignment vertical="center"/>
    </xf>
    <xf numFmtId="0" fontId="0" fillId="0" borderId="2" xfId="1" applyFont="1" applyBorder="1" applyAlignment="1">
      <alignment vertical="center"/>
    </xf>
    <xf numFmtId="4" fontId="0" fillId="0" borderId="2" xfId="1" applyNumberFormat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4" fontId="0" fillId="0" borderId="1" xfId="1" applyNumberFormat="1" applyFont="1" applyBorder="1" applyAlignment="1">
      <alignment vertical="center"/>
    </xf>
    <xf numFmtId="177" fontId="0" fillId="0" borderId="1" xfId="1" applyNumberFormat="1" applyFont="1" applyBorder="1"/>
    <xf numFmtId="176" fontId="0" fillId="0" borderId="1" xfId="1" applyNumberFormat="1" applyFont="1" applyBorder="1"/>
    <xf numFmtId="0" fontId="6" fillId="0" borderId="1" xfId="1" applyFont="1" applyBorder="1"/>
    <xf numFmtId="0" fontId="3" fillId="3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76" fontId="0" fillId="0" borderId="0" xfId="0" applyNumberFormat="1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7">
    <dxf>
      <font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win He" refreshedDate="46302.929303009259" createdVersion="3" refreshedVersion="8" minRefreshableVersion="3" recordCount="966" xr:uid="{56349775-914D-4778-991B-ED11564AC67B}">
  <cacheSource type="worksheet">
    <worksheetSource ref="A1:W967" sheet="calc_lines"/>
  </cacheSource>
  <cacheFields count="23">
    <cacheField name="order_id" numFmtId="0">
      <sharedItems/>
    </cacheField>
    <cacheField name="line_no" numFmtId="0">
      <sharedItems containsSemiMixedTypes="0" containsString="0" containsNumber="1" containsInteger="1" minValue="1" maxValue="10"/>
    </cacheField>
    <cacheField name="customer_id" numFmtId="0">
      <sharedItems/>
    </cacheField>
    <cacheField name="order_date" numFmtId="176">
      <sharedItems containsSemiMixedTypes="0" containsNonDate="0" containsDate="1" containsString="0" minDate="2026-09-01T00:00:00" maxDate="2026-10-01T00:00:00"/>
    </cacheField>
    <cacheField name="product_id" numFmtId="0">
      <sharedItems/>
    </cacheField>
    <cacheField name="unit" numFmtId="0">
      <sharedItems/>
    </cacheField>
    <cacheField name="ordered_qty" numFmtId="177">
      <sharedItems containsSemiMixedTypes="0" containsString="0" containsNumber="1" minValue="0.5" maxValue="17.3"/>
    </cacheField>
    <cacheField name="delivered_qty" numFmtId="177">
      <sharedItems containsSemiMixedTypes="0" containsString="0" containsNumber="1" minValue="0.3" maxValue="17.3"/>
    </cacheField>
    <cacheField name="returned_qty" numFmtId="177">
      <sharedItems containsSemiMixedTypes="0" containsString="0" containsNumber="1" minValue="0" maxValue="0.5"/>
    </cacheField>
    <cacheField name="unit_price" numFmtId="2">
      <sharedItems containsSemiMixedTypes="0" containsString="0" containsNumber="1" minValue="2.2000000000000002" maxValue="119"/>
    </cacheField>
    <cacheField name="delivery_note" numFmtId="0">
      <sharedItems/>
    </cacheField>
    <cacheField name="is_simulated" numFmtId="0">
      <sharedItems/>
    </cacheField>
    <cacheField name="product_name" numFmtId="0">
      <sharedItems/>
    </cacheField>
    <cacheField name="specification" numFmtId="0">
      <sharedItems/>
    </cacheField>
    <cacheField name="customer_name" numFmtId="0">
      <sharedItems count="6">
        <s v="模拟_榕树下粉面店"/>
        <s v="模拟_桥头家常菜馆"/>
        <s v="模拟_兴街快餐店"/>
        <s v="模拟_田畔饭店"/>
        <s v="模拟_青禾小学食堂"/>
        <s v="模拟_溪桥医院食堂"/>
      </sharedItems>
    </cacheField>
    <cacheField name="gross_amount" numFmtId="4">
      <sharedItems containsSemiMixedTypes="0" containsString="0" containsNumber="1" minValue="2.19" maxValue="714"/>
    </cacheField>
    <cacheField name="return_amount" numFmtId="4">
      <sharedItems containsSemiMixedTypes="0" containsString="0" containsNumber="1" minValue="0" maxValue="2.5"/>
    </cacheField>
    <cacheField name="net_amount" numFmtId="4">
      <sharedItems containsSemiMixedTypes="0" containsString="0" containsNumber="1" minValue="2.19" maxValue="714"/>
    </cacheField>
    <cacheField name="quantity_exception" numFmtId="0">
      <sharedItems/>
    </cacheField>
    <cacheField name="unit_exception" numFmtId="0">
      <sharedItems/>
    </cacheField>
    <cacheField name="price_exception" numFmtId="0">
      <sharedItems/>
    </cacheField>
    <cacheField name="duplicate_key" numFmtId="0">
      <sharedItems/>
    </cacheField>
    <cacheField name="data_quality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win He" refreshedDate="46302.929304745368" createdVersion="3" refreshedVersion="8" minRefreshableVersion="3" recordCount="966" xr:uid="{87C141D7-3C19-4F50-BDFA-00C9B95DF3BC}">
  <cacheSource type="worksheet">
    <worksheetSource ref="A1:W967" sheet="calc_lines"/>
  </cacheSource>
  <cacheFields count="23">
    <cacheField name="order_id" numFmtId="0">
      <sharedItems/>
    </cacheField>
    <cacheField name="line_no" numFmtId="0">
      <sharedItems containsSemiMixedTypes="0" containsString="0" containsNumber="1" containsInteger="1" minValue="1" maxValue="10"/>
    </cacheField>
    <cacheField name="customer_id" numFmtId="0">
      <sharedItems/>
    </cacheField>
    <cacheField name="order_date" numFmtId="176">
      <sharedItems containsSemiMixedTypes="0" containsNonDate="0" containsDate="1" containsString="0" minDate="2026-09-01T00:00:00" maxDate="2026-10-01T00:00:00"/>
    </cacheField>
    <cacheField name="product_id" numFmtId="0">
      <sharedItems/>
    </cacheField>
    <cacheField name="unit" numFmtId="0">
      <sharedItems count="3">
        <s v="公斤"/>
        <s v="桶"/>
        <s v="袋"/>
      </sharedItems>
    </cacheField>
    <cacheField name="ordered_qty" numFmtId="177">
      <sharedItems containsSemiMixedTypes="0" containsString="0" containsNumber="1" minValue="0.5" maxValue="17.3"/>
    </cacheField>
    <cacheField name="delivered_qty" numFmtId="177">
      <sharedItems containsSemiMixedTypes="0" containsString="0" containsNumber="1" minValue="0.3" maxValue="17.3"/>
    </cacheField>
    <cacheField name="returned_qty" numFmtId="177">
      <sharedItems containsSemiMixedTypes="0" containsString="0" containsNumber="1" minValue="0" maxValue="0.5"/>
    </cacheField>
    <cacheField name="unit_price" numFmtId="2">
      <sharedItems containsSemiMixedTypes="0" containsString="0" containsNumber="1" minValue="2.2000000000000002" maxValue="119"/>
    </cacheField>
    <cacheField name="delivery_note" numFmtId="0">
      <sharedItems/>
    </cacheField>
    <cacheField name="is_simulated" numFmtId="0">
      <sharedItems/>
    </cacheField>
    <cacheField name="product_name" numFmtId="0">
      <sharedItems count="20">
        <s v="小白菜"/>
        <s v="南瓜"/>
        <s v="白萝卜"/>
        <s v="冬瓜"/>
        <s v="鸡蛋"/>
        <s v="小葱"/>
        <s v="菜籽油"/>
        <s v="小麦粉"/>
        <s v="红薯叶"/>
        <s v="土豆"/>
        <s v="茄子"/>
        <s v="豇豆"/>
        <s v="包菜"/>
        <s v="籼米"/>
        <s v="黄瓜"/>
        <s v="大豆油"/>
        <s v="空心菜"/>
        <s v="西红柿"/>
        <s v="青椒"/>
        <s v="丝瓜"/>
      </sharedItems>
    </cacheField>
    <cacheField name="specification" numFmtId="0">
      <sharedItems/>
    </cacheField>
    <cacheField name="customer_name" numFmtId="0">
      <sharedItems/>
    </cacheField>
    <cacheField name="gross_amount" numFmtId="4">
      <sharedItems containsSemiMixedTypes="0" containsString="0" containsNumber="1" minValue="2.19" maxValue="714"/>
    </cacheField>
    <cacheField name="return_amount" numFmtId="4">
      <sharedItems containsSemiMixedTypes="0" containsString="0" containsNumber="1" minValue="0" maxValue="2.5"/>
    </cacheField>
    <cacheField name="net_amount" numFmtId="4">
      <sharedItems containsSemiMixedTypes="0" containsString="0" containsNumber="1" minValue="2.19" maxValue="714"/>
    </cacheField>
    <cacheField name="quantity_exception" numFmtId="0">
      <sharedItems/>
    </cacheField>
    <cacheField name="unit_exception" numFmtId="0">
      <sharedItems/>
    </cacheField>
    <cacheField name="price_exception" numFmtId="0">
      <sharedItems/>
    </cacheField>
    <cacheField name="duplicate_key" numFmtId="0">
      <sharedItems/>
    </cacheField>
    <cacheField name="data_quality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win He" refreshedDate="46302.9293056713" createdVersion="3" refreshedVersion="8" minRefreshableVersion="3" recordCount="966" xr:uid="{32B5E840-F20C-48E0-BD9C-E64E2BEBE686}">
  <cacheSource type="worksheet">
    <worksheetSource ref="A1:W967" sheet="calc_lines"/>
  </cacheSource>
  <cacheFields count="23">
    <cacheField name="order_id" numFmtId="0">
      <sharedItems/>
    </cacheField>
    <cacheField name="line_no" numFmtId="0">
      <sharedItems containsSemiMixedTypes="0" containsString="0" containsNumber="1" containsInteger="1" minValue="1" maxValue="10"/>
    </cacheField>
    <cacheField name="customer_id" numFmtId="0">
      <sharedItems/>
    </cacheField>
    <cacheField name="order_date" numFmtId="176">
      <sharedItems containsSemiMixedTypes="0" containsNonDate="0" containsDate="1" containsString="0" minDate="2026-09-01T00:00:00" maxDate="2026-10-01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product_id" numFmtId="0">
      <sharedItems/>
    </cacheField>
    <cacheField name="unit" numFmtId="0">
      <sharedItems/>
    </cacheField>
    <cacheField name="ordered_qty" numFmtId="177">
      <sharedItems containsSemiMixedTypes="0" containsString="0" containsNumber="1" minValue="0.5" maxValue="17.3"/>
    </cacheField>
    <cacheField name="delivered_qty" numFmtId="177">
      <sharedItems containsSemiMixedTypes="0" containsString="0" containsNumber="1" minValue="0.3" maxValue="17.3"/>
    </cacheField>
    <cacheField name="returned_qty" numFmtId="177">
      <sharedItems containsSemiMixedTypes="0" containsString="0" containsNumber="1" minValue="0" maxValue="0.5"/>
    </cacheField>
    <cacheField name="unit_price" numFmtId="2">
      <sharedItems containsSemiMixedTypes="0" containsString="0" containsNumber="1" minValue="2.2000000000000002" maxValue="119"/>
    </cacheField>
    <cacheField name="delivery_note" numFmtId="0">
      <sharedItems/>
    </cacheField>
    <cacheField name="is_simulated" numFmtId="0">
      <sharedItems/>
    </cacheField>
    <cacheField name="product_name" numFmtId="0">
      <sharedItems/>
    </cacheField>
    <cacheField name="specification" numFmtId="0">
      <sharedItems/>
    </cacheField>
    <cacheField name="customer_name" numFmtId="0">
      <sharedItems/>
    </cacheField>
    <cacheField name="gross_amount" numFmtId="4">
      <sharedItems containsSemiMixedTypes="0" containsString="0" containsNumber="1" minValue="2.19" maxValue="714"/>
    </cacheField>
    <cacheField name="return_amount" numFmtId="4">
      <sharedItems containsSemiMixedTypes="0" containsString="0" containsNumber="1" minValue="0" maxValue="2.5"/>
    </cacheField>
    <cacheField name="net_amount" numFmtId="4">
      <sharedItems containsSemiMixedTypes="0" containsString="0" containsNumber="1" minValue="2.19" maxValue="714"/>
    </cacheField>
    <cacheField name="quantity_exception" numFmtId="0">
      <sharedItems/>
    </cacheField>
    <cacheField name="unit_exception" numFmtId="0">
      <sharedItems/>
    </cacheField>
    <cacheField name="price_exception" numFmtId="0">
      <sharedItems/>
    </cacheField>
    <cacheField name="duplicate_key" numFmtId="0">
      <sharedItems/>
    </cacheField>
    <cacheField name="data_quality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">
  <r>
    <s v="SIM-20260901-C001"/>
    <n v="1"/>
    <s v="C001"/>
    <d v="2026-09-01T00:00:00"/>
    <s v="P012"/>
    <s v="公斤"/>
    <n v="4.0999999999999996"/>
    <n v="4.0999999999999996"/>
    <n v="0"/>
    <n v="4.5999999999999996"/>
    <s v="正常交付"/>
    <s v="true"/>
    <s v="小白菜"/>
    <s v="散装鲜菜"/>
    <x v="0"/>
    <n v="18.86"/>
    <n v="0"/>
    <n v="18.86"/>
    <s v=""/>
    <s v=""/>
    <s v=""/>
    <s v=""/>
    <s v="通过"/>
  </r>
  <r>
    <s v="SIM-20260901-C001"/>
    <n v="2"/>
    <s v="C001"/>
    <d v="2026-09-01T00:00:00"/>
    <s v="P005"/>
    <s v="公斤"/>
    <n v="3.3"/>
    <n v="3.3"/>
    <n v="0"/>
    <n v="2.7"/>
    <s v="正常交付"/>
    <s v="true"/>
    <s v="南瓜"/>
    <s v="散装鲜菜"/>
    <x v="0"/>
    <n v="8.91"/>
    <n v="0"/>
    <n v="8.91"/>
    <s v=""/>
    <s v=""/>
    <s v=""/>
    <s v=""/>
    <s v="通过"/>
  </r>
  <r>
    <s v="SIM-20260901-C001"/>
    <n v="3"/>
    <s v="C001"/>
    <d v="2026-09-01T00:00:00"/>
    <s v="P002"/>
    <s v="公斤"/>
    <n v="2.6"/>
    <n v="2.6"/>
    <n v="0"/>
    <n v="2.2999999999999998"/>
    <s v="正常交付"/>
    <s v="true"/>
    <s v="白萝卜"/>
    <s v="散装鲜菜"/>
    <x v="0"/>
    <n v="5.98"/>
    <n v="0"/>
    <n v="5.98"/>
    <s v=""/>
    <s v=""/>
    <s v=""/>
    <s v=""/>
    <s v="通过"/>
  </r>
  <r>
    <s v="SIM-20260901-C001"/>
    <n v="4"/>
    <s v="C001"/>
    <d v="2026-09-01T00:00:00"/>
    <s v="P004"/>
    <s v="公斤"/>
    <n v="3"/>
    <n v="3"/>
    <n v="0"/>
    <n v="2.2999999999999998"/>
    <s v="正常交付"/>
    <s v="true"/>
    <s v="冬瓜"/>
    <s v="散装鲜菜"/>
    <x v="0"/>
    <n v="6.9"/>
    <n v="0"/>
    <n v="6.9"/>
    <s v=""/>
    <s v=""/>
    <s v=""/>
    <s v=""/>
    <s v="通过"/>
  </r>
  <r>
    <s v="SIM-20260901-C001"/>
    <n v="5"/>
    <s v="C001"/>
    <d v="2026-09-01T00:00:00"/>
    <s v="P016"/>
    <s v="公斤"/>
    <n v="3"/>
    <n v="3"/>
    <n v="0"/>
    <n v="10.1"/>
    <s v="正常交付"/>
    <s v="true"/>
    <s v="鸡蛋"/>
    <s v="普通鲜鸡蛋按净重"/>
    <x v="0"/>
    <n v="30.3"/>
    <n v="0"/>
    <n v="30.3"/>
    <s v=""/>
    <s v=""/>
    <s v=""/>
    <s v=""/>
    <s v="通过"/>
  </r>
  <r>
    <s v="SIM-20260901-C001"/>
    <n v="6"/>
    <s v="C001"/>
    <d v="2026-09-01T00:00:00"/>
    <s v="P015"/>
    <s v="公斤"/>
    <n v="0.5"/>
    <n v="0.5"/>
    <n v="0"/>
    <n v="7.3"/>
    <s v="正常交付"/>
    <s v="true"/>
    <s v="小葱"/>
    <s v="散装鲜菜"/>
    <x v="0"/>
    <n v="3.65"/>
    <n v="0"/>
    <n v="3.65"/>
    <s v=""/>
    <s v=""/>
    <s v=""/>
    <s v=""/>
    <s v="通过"/>
  </r>
  <r>
    <s v="SIM-20260901-C001"/>
    <n v="7"/>
    <s v="C001"/>
    <d v="2026-09-01T00:00:00"/>
    <s v="P019"/>
    <s v="桶"/>
    <n v="1"/>
    <n v="1"/>
    <n v="0"/>
    <n v="71"/>
    <s v="正常交付"/>
    <s v="true"/>
    <s v="菜籽油"/>
    <s v="5升/桶普通菜籽油"/>
    <x v="0"/>
    <n v="71"/>
    <n v="0"/>
    <n v="71"/>
    <s v=""/>
    <s v=""/>
    <s v=""/>
    <s v=""/>
    <s v="通过"/>
  </r>
  <r>
    <s v="SIM-20260901-C001"/>
    <n v="8"/>
    <s v="C001"/>
    <d v="2026-09-01T00:00:00"/>
    <s v="P018"/>
    <s v="袋"/>
    <n v="1"/>
    <n v="1"/>
    <n v="0"/>
    <n v="111"/>
    <s v="正常交付"/>
    <s v="true"/>
    <s v="小麦粉"/>
    <s v="25公斤/袋普通小麦粉"/>
    <x v="0"/>
    <n v="111"/>
    <n v="0"/>
    <n v="111"/>
    <s v=""/>
    <s v=""/>
    <s v=""/>
    <s v=""/>
    <s v="通过"/>
  </r>
  <r>
    <s v="SIM-20260901-C002"/>
    <n v="1"/>
    <s v="C002"/>
    <d v="2026-09-01T00:00:00"/>
    <s v="P011"/>
    <s v="公斤"/>
    <n v="4.5"/>
    <n v="4.5"/>
    <n v="0"/>
    <n v="4.4000000000000004"/>
    <s v="正常交付"/>
    <s v="true"/>
    <s v="红薯叶"/>
    <s v="散装鲜菜"/>
    <x v="1"/>
    <n v="19.8"/>
    <n v="0"/>
    <n v="19.8"/>
    <s v=""/>
    <s v=""/>
    <s v=""/>
    <s v=""/>
    <s v="通过"/>
  </r>
  <r>
    <s v="SIM-20260901-C002"/>
    <n v="2"/>
    <s v="C002"/>
    <d v="2026-09-01T00:00:00"/>
    <s v="P001"/>
    <s v="公斤"/>
    <n v="4.5"/>
    <n v="4.5"/>
    <n v="0"/>
    <n v="3.3"/>
    <s v="正常交付"/>
    <s v="true"/>
    <s v="土豆"/>
    <s v="散装鲜菜"/>
    <x v="1"/>
    <n v="14.85"/>
    <n v="0"/>
    <n v="14.85"/>
    <s v=""/>
    <s v=""/>
    <s v=""/>
    <s v=""/>
    <s v="通过"/>
  </r>
  <r>
    <s v="SIM-20260901-C002"/>
    <n v="3"/>
    <s v="C002"/>
    <d v="2026-09-01T00:00:00"/>
    <s v="P006"/>
    <s v="公斤"/>
    <n v="9"/>
    <n v="9"/>
    <n v="0"/>
    <n v="4.5999999999999996"/>
    <s v="正常交付"/>
    <s v="true"/>
    <s v="茄子"/>
    <s v="散装鲜菜"/>
    <x v="1"/>
    <n v="41.4"/>
    <n v="0"/>
    <n v="41.4"/>
    <s v=""/>
    <s v=""/>
    <s v=""/>
    <s v=""/>
    <s v="通过"/>
  </r>
  <r>
    <s v="SIM-20260901-C002"/>
    <n v="4"/>
    <s v="C002"/>
    <d v="2026-09-01T00:00:00"/>
    <s v="P013"/>
    <s v="公斤"/>
    <n v="4.5"/>
    <n v="4.5"/>
    <n v="0"/>
    <n v="6.3"/>
    <s v="正常交付"/>
    <s v="true"/>
    <s v="豇豆"/>
    <s v="散装鲜菜"/>
    <x v="1"/>
    <n v="28.35"/>
    <n v="0"/>
    <n v="28.35"/>
    <s v=""/>
    <s v=""/>
    <s v=""/>
    <s v=""/>
    <s v="通过"/>
  </r>
  <r>
    <s v="SIM-20260901-C002"/>
    <n v="5"/>
    <s v="C002"/>
    <d v="2026-09-01T00:00:00"/>
    <s v="P003"/>
    <s v="公斤"/>
    <n v="6.4"/>
    <n v="6.4"/>
    <n v="0"/>
    <n v="3.3"/>
    <s v="正常交付"/>
    <s v="true"/>
    <s v="包菜"/>
    <s v="散装鲜菜"/>
    <x v="1"/>
    <n v="21.12"/>
    <n v="0"/>
    <n v="21.12"/>
    <s v=""/>
    <s v=""/>
    <s v=""/>
    <s v=""/>
    <s v="通过"/>
  </r>
  <r>
    <s v="SIM-20260901-C002"/>
    <n v="6"/>
    <s v="C002"/>
    <d v="2026-09-01T00:00:00"/>
    <s v="P016"/>
    <s v="公斤"/>
    <n v="4"/>
    <n v="4"/>
    <n v="0"/>
    <n v="10.1"/>
    <s v="正常交付"/>
    <s v="true"/>
    <s v="鸡蛋"/>
    <s v="普通鲜鸡蛋按净重"/>
    <x v="1"/>
    <n v="40.4"/>
    <n v="0"/>
    <n v="40.4"/>
    <s v=""/>
    <s v=""/>
    <s v=""/>
    <s v=""/>
    <s v="通过"/>
  </r>
  <r>
    <s v="SIM-20260901-C002"/>
    <n v="7"/>
    <s v="C002"/>
    <d v="2026-09-01T00:00:00"/>
    <s v="P015"/>
    <s v="公斤"/>
    <n v="1"/>
    <n v="1"/>
    <n v="0"/>
    <n v="7.3"/>
    <s v="正常交付"/>
    <s v="true"/>
    <s v="小葱"/>
    <s v="散装鲜菜"/>
    <x v="1"/>
    <n v="7.3"/>
    <n v="0"/>
    <n v="7.3"/>
    <s v=""/>
    <s v=""/>
    <s v=""/>
    <s v=""/>
    <s v="通过"/>
  </r>
  <r>
    <s v="SIM-20260901-C002"/>
    <n v="8"/>
    <s v="C002"/>
    <d v="2026-09-01T00:00:00"/>
    <s v="P017"/>
    <s v="袋"/>
    <n v="3"/>
    <n v="3"/>
    <n v="0"/>
    <n v="118"/>
    <s v="正常交付"/>
    <s v="true"/>
    <s v="籼米"/>
    <s v="25公斤/袋普通籼米"/>
    <x v="1"/>
    <n v="354"/>
    <n v="0"/>
    <n v="354"/>
    <s v=""/>
    <s v=""/>
    <s v=""/>
    <s v=""/>
    <s v="通过"/>
  </r>
  <r>
    <s v="SIM-20260901-C002"/>
    <n v="9"/>
    <s v="C002"/>
    <d v="2026-09-01T00:00:00"/>
    <s v="P019"/>
    <s v="桶"/>
    <n v="1"/>
    <n v="1"/>
    <n v="0"/>
    <n v="71"/>
    <s v="正常交付"/>
    <s v="true"/>
    <s v="菜籽油"/>
    <s v="5升/桶普通菜籽油"/>
    <x v="1"/>
    <n v="71"/>
    <n v="0"/>
    <n v="71"/>
    <s v=""/>
    <s v=""/>
    <s v=""/>
    <s v=""/>
    <s v="通过"/>
  </r>
  <r>
    <s v="SIM-20260901-C003"/>
    <n v="1"/>
    <s v="C003"/>
    <d v="2026-09-01T00:00:00"/>
    <s v="P011"/>
    <s v="公斤"/>
    <n v="7.6"/>
    <n v="7.6"/>
    <n v="0"/>
    <n v="4.4000000000000004"/>
    <s v="正常交付"/>
    <s v="true"/>
    <s v="红薯叶"/>
    <s v="散装鲜菜"/>
    <x v="2"/>
    <n v="33.44"/>
    <n v="0"/>
    <n v="33.44"/>
    <s v=""/>
    <s v=""/>
    <s v=""/>
    <s v=""/>
    <s v="通过"/>
  </r>
  <r>
    <s v="SIM-20260901-C003"/>
    <n v="2"/>
    <s v="C003"/>
    <d v="2026-09-01T00:00:00"/>
    <s v="P004"/>
    <s v="公斤"/>
    <n v="3.5"/>
    <n v="3.5"/>
    <n v="0"/>
    <n v="2.2999999999999998"/>
    <s v="正常交付"/>
    <s v="true"/>
    <s v="冬瓜"/>
    <s v="散装鲜菜"/>
    <x v="2"/>
    <n v="8.0500000000000007"/>
    <n v="0"/>
    <n v="8.0500000000000007"/>
    <s v=""/>
    <s v=""/>
    <s v=""/>
    <s v=""/>
    <s v="通过"/>
  </r>
  <r>
    <s v="SIM-20260901-C003"/>
    <n v="3"/>
    <s v="C003"/>
    <d v="2026-09-01T00:00:00"/>
    <s v="P005"/>
    <s v="公斤"/>
    <n v="8.1"/>
    <n v="8.1"/>
    <n v="0"/>
    <n v="2.7"/>
    <s v="正常交付"/>
    <s v="true"/>
    <s v="南瓜"/>
    <s v="散装鲜菜"/>
    <x v="2"/>
    <n v="21.87"/>
    <n v="0"/>
    <n v="21.87"/>
    <s v=""/>
    <s v=""/>
    <s v=""/>
    <s v=""/>
    <s v="通过"/>
  </r>
  <r>
    <s v="SIM-20260901-C003"/>
    <n v="4"/>
    <s v="C003"/>
    <d v="2026-09-01T00:00:00"/>
    <s v="P003"/>
    <s v="公斤"/>
    <n v="6.6"/>
    <n v="6.6"/>
    <n v="0"/>
    <n v="3.3"/>
    <s v="正常交付"/>
    <s v="true"/>
    <s v="包菜"/>
    <s v="散装鲜菜"/>
    <x v="2"/>
    <n v="21.78"/>
    <n v="0"/>
    <n v="21.78"/>
    <s v=""/>
    <s v=""/>
    <s v=""/>
    <s v=""/>
    <s v="通过"/>
  </r>
  <r>
    <s v="SIM-20260901-C003"/>
    <n v="5"/>
    <s v="C003"/>
    <d v="2026-09-01T00:00:00"/>
    <s v="P001"/>
    <s v="公斤"/>
    <n v="7.1"/>
    <n v="7.1"/>
    <n v="0"/>
    <n v="3.3"/>
    <s v="正常交付"/>
    <s v="true"/>
    <s v="土豆"/>
    <s v="散装鲜菜"/>
    <x v="2"/>
    <n v="23.43"/>
    <n v="0"/>
    <n v="23.43"/>
    <s v=""/>
    <s v=""/>
    <s v=""/>
    <s v=""/>
    <s v="通过"/>
  </r>
  <r>
    <s v="SIM-20260901-C003"/>
    <n v="6"/>
    <s v="C003"/>
    <d v="2026-09-01T00:00:00"/>
    <s v="P008"/>
    <s v="公斤"/>
    <n v="4.0999999999999996"/>
    <n v="4.0999999999999996"/>
    <n v="0"/>
    <n v="4.0999999999999996"/>
    <s v="正常交付"/>
    <s v="true"/>
    <s v="黄瓜"/>
    <s v="散装鲜菜"/>
    <x v="2"/>
    <n v="16.809999999999999"/>
    <n v="0"/>
    <n v="16.809999999999999"/>
    <s v=""/>
    <s v=""/>
    <s v=""/>
    <s v=""/>
    <s v="通过"/>
  </r>
  <r>
    <s v="SIM-20260901-C003"/>
    <n v="7"/>
    <s v="C003"/>
    <d v="2026-09-01T00:00:00"/>
    <s v="P016"/>
    <s v="公斤"/>
    <n v="6"/>
    <n v="6"/>
    <n v="0"/>
    <n v="10.1"/>
    <s v="正常交付"/>
    <s v="true"/>
    <s v="鸡蛋"/>
    <s v="普通鲜鸡蛋按净重"/>
    <x v="2"/>
    <n v="60.6"/>
    <n v="0"/>
    <n v="60.6"/>
    <s v=""/>
    <s v=""/>
    <s v=""/>
    <s v=""/>
    <s v="通过"/>
  </r>
  <r>
    <s v="SIM-20260901-C003"/>
    <n v="8"/>
    <s v="C003"/>
    <d v="2026-09-01T00:00:00"/>
    <s v="P015"/>
    <s v="公斤"/>
    <n v="1"/>
    <n v="1"/>
    <n v="0"/>
    <n v="7.3"/>
    <s v="正常交付"/>
    <s v="true"/>
    <s v="小葱"/>
    <s v="散装鲜菜"/>
    <x v="2"/>
    <n v="7.3"/>
    <n v="0"/>
    <n v="7.3"/>
    <s v=""/>
    <s v=""/>
    <s v=""/>
    <s v=""/>
    <s v="通过"/>
  </r>
  <r>
    <s v="SIM-20260901-C003"/>
    <n v="9"/>
    <s v="C003"/>
    <d v="2026-09-01T00:00:00"/>
    <s v="P017"/>
    <s v="袋"/>
    <n v="5"/>
    <n v="5"/>
    <n v="0"/>
    <n v="118"/>
    <s v="正常交付"/>
    <s v="true"/>
    <s v="籼米"/>
    <s v="25公斤/袋普通籼米"/>
    <x v="2"/>
    <n v="590"/>
    <n v="0"/>
    <n v="590"/>
    <s v=""/>
    <s v=""/>
    <s v=""/>
    <s v=""/>
    <s v="通过"/>
  </r>
  <r>
    <s v="SIM-20260901-C003"/>
    <n v="10"/>
    <s v="C003"/>
    <d v="2026-09-01T00:00:00"/>
    <s v="P020"/>
    <s v="桶"/>
    <n v="2"/>
    <n v="2"/>
    <n v="0"/>
    <n v="59"/>
    <s v="正常交付"/>
    <s v="true"/>
    <s v="大豆油"/>
    <s v="5升/桶普通大豆油"/>
    <x v="2"/>
    <n v="118"/>
    <n v="0"/>
    <n v="118"/>
    <s v=""/>
    <s v=""/>
    <s v=""/>
    <s v=""/>
    <s v="通过"/>
  </r>
  <r>
    <s v="SIM-20260901-C004"/>
    <n v="1"/>
    <s v="C004"/>
    <d v="2026-09-01T00:00:00"/>
    <s v="P010"/>
    <s v="公斤"/>
    <n v="5"/>
    <n v="5"/>
    <n v="0"/>
    <n v="5"/>
    <s v="正常交付"/>
    <s v="true"/>
    <s v="空心菜"/>
    <s v="散装鲜菜"/>
    <x v="3"/>
    <n v="25"/>
    <n v="0"/>
    <n v="25"/>
    <s v=""/>
    <s v=""/>
    <s v=""/>
    <s v=""/>
    <s v="通过"/>
  </r>
  <r>
    <s v="SIM-20260901-C004"/>
    <n v="2"/>
    <s v="C004"/>
    <d v="2026-09-01T00:00:00"/>
    <s v="P005"/>
    <s v="公斤"/>
    <n v="7.5"/>
    <n v="7.5"/>
    <n v="0"/>
    <n v="2.7"/>
    <s v="正常交付"/>
    <s v="true"/>
    <s v="南瓜"/>
    <s v="散装鲜菜"/>
    <x v="3"/>
    <n v="20.25"/>
    <n v="0"/>
    <n v="20.25"/>
    <s v=""/>
    <s v=""/>
    <s v=""/>
    <s v=""/>
    <s v="通过"/>
  </r>
  <r>
    <s v="SIM-20260901-C004"/>
    <n v="3"/>
    <s v="C004"/>
    <d v="2026-09-01T00:00:00"/>
    <s v="P001"/>
    <s v="公斤"/>
    <n v="5.5"/>
    <n v="5.5"/>
    <n v="0"/>
    <n v="3.3"/>
    <s v="正常交付"/>
    <s v="true"/>
    <s v="土豆"/>
    <s v="散装鲜菜"/>
    <x v="3"/>
    <n v="18.149999999999999"/>
    <n v="0"/>
    <n v="18.149999999999999"/>
    <s v=""/>
    <s v=""/>
    <s v=""/>
    <s v=""/>
    <s v="通过"/>
  </r>
  <r>
    <s v="SIM-20260901-C004"/>
    <n v="4"/>
    <s v="C004"/>
    <d v="2026-09-01T00:00:00"/>
    <s v="P003"/>
    <s v="公斤"/>
    <n v="5.5"/>
    <n v="5"/>
    <n v="0"/>
    <n v="3.3"/>
    <s v="到货不足；按实际交付计费"/>
    <s v="true"/>
    <s v="包菜"/>
    <s v="散装鲜菜"/>
    <x v="3"/>
    <n v="16.5"/>
    <n v="0"/>
    <n v="16.5"/>
    <s v=""/>
    <s v=""/>
    <s v=""/>
    <s v=""/>
    <s v="通过"/>
  </r>
  <r>
    <s v="SIM-20260901-C004"/>
    <n v="5"/>
    <s v="C004"/>
    <d v="2026-09-01T00:00:00"/>
    <s v="P009"/>
    <s v="公斤"/>
    <n v="6.5"/>
    <n v="6.5"/>
    <n v="0"/>
    <n v="5"/>
    <s v="正常交付"/>
    <s v="true"/>
    <s v="西红柿"/>
    <s v="散装鲜菜"/>
    <x v="3"/>
    <n v="32.5"/>
    <n v="0"/>
    <n v="32.5"/>
    <s v=""/>
    <s v=""/>
    <s v=""/>
    <s v=""/>
    <s v="通过"/>
  </r>
  <r>
    <s v="SIM-20260901-C004"/>
    <n v="6"/>
    <s v="C004"/>
    <d v="2026-09-01T00:00:00"/>
    <s v="P008"/>
    <s v="公斤"/>
    <n v="6.5"/>
    <n v="6.5"/>
    <n v="0"/>
    <n v="4.0999999999999996"/>
    <s v="正常交付"/>
    <s v="true"/>
    <s v="黄瓜"/>
    <s v="散装鲜菜"/>
    <x v="3"/>
    <n v="26.65"/>
    <n v="0"/>
    <n v="26.65"/>
    <s v=""/>
    <s v=""/>
    <s v=""/>
    <s v=""/>
    <s v="通过"/>
  </r>
  <r>
    <s v="SIM-20260901-C004"/>
    <n v="7"/>
    <s v="C004"/>
    <d v="2026-09-01T00:00:00"/>
    <s v="P016"/>
    <s v="公斤"/>
    <n v="5"/>
    <n v="4.8"/>
    <n v="0"/>
    <n v="10.1"/>
    <s v="到货不足；按实际交付计费"/>
    <s v="true"/>
    <s v="鸡蛋"/>
    <s v="普通鲜鸡蛋按净重"/>
    <x v="3"/>
    <n v="48.48"/>
    <n v="0"/>
    <n v="48.48"/>
    <s v=""/>
    <s v=""/>
    <s v=""/>
    <s v=""/>
    <s v="通过"/>
  </r>
  <r>
    <s v="SIM-20260901-C004"/>
    <n v="8"/>
    <s v="C004"/>
    <d v="2026-09-01T00:00:00"/>
    <s v="P015"/>
    <s v="公斤"/>
    <n v="1"/>
    <n v="1"/>
    <n v="0"/>
    <n v="7.3"/>
    <s v="正常交付"/>
    <s v="true"/>
    <s v="小葱"/>
    <s v="散装鲜菜"/>
    <x v="3"/>
    <n v="7.3"/>
    <n v="0"/>
    <n v="7.3"/>
    <s v=""/>
    <s v=""/>
    <s v=""/>
    <s v=""/>
    <s v="通过"/>
  </r>
  <r>
    <s v="SIM-20260901-C004"/>
    <n v="9"/>
    <s v="C004"/>
    <d v="2026-09-01T00:00:00"/>
    <s v="P017"/>
    <s v="袋"/>
    <n v="3"/>
    <n v="3"/>
    <n v="0"/>
    <n v="118"/>
    <s v="正常交付"/>
    <s v="true"/>
    <s v="籼米"/>
    <s v="25公斤/袋普通籼米"/>
    <x v="3"/>
    <n v="354"/>
    <n v="0"/>
    <n v="354"/>
    <s v=""/>
    <s v=""/>
    <s v=""/>
    <s v=""/>
    <s v="通过"/>
  </r>
  <r>
    <s v="SIM-20260901-C004"/>
    <n v="10"/>
    <s v="C004"/>
    <d v="2026-09-01T00:00:00"/>
    <s v="P019"/>
    <s v="桶"/>
    <n v="1"/>
    <n v="1"/>
    <n v="0"/>
    <n v="71"/>
    <s v="正常交付"/>
    <s v="true"/>
    <s v="菜籽油"/>
    <s v="5升/桶普通菜籽油"/>
    <x v="3"/>
    <n v="71"/>
    <n v="0"/>
    <n v="71"/>
    <s v=""/>
    <s v=""/>
    <s v=""/>
    <s v=""/>
    <s v="通过"/>
  </r>
  <r>
    <s v="SIM-20260901-C005"/>
    <n v="1"/>
    <s v="C005"/>
    <d v="2026-09-01T00:00:00"/>
    <s v="P011"/>
    <s v="公斤"/>
    <n v="14.4"/>
    <n v="14.4"/>
    <n v="0"/>
    <n v="4.4000000000000004"/>
    <s v="正常交付"/>
    <s v="true"/>
    <s v="红薯叶"/>
    <s v="散装鲜菜"/>
    <x v="4"/>
    <n v="63.36"/>
    <n v="0"/>
    <n v="63.36"/>
    <s v=""/>
    <s v=""/>
    <s v=""/>
    <s v=""/>
    <s v="通过"/>
  </r>
  <r>
    <s v="SIM-20260901-C005"/>
    <n v="2"/>
    <s v="C005"/>
    <d v="2026-09-01T00:00:00"/>
    <s v="P007"/>
    <s v="公斤"/>
    <n v="12.6"/>
    <n v="12.6"/>
    <n v="0"/>
    <n v="5.15"/>
    <s v="正常交付"/>
    <s v="true"/>
    <s v="青椒"/>
    <s v="散装鲜菜"/>
    <x v="4"/>
    <n v="64.89"/>
    <n v="0"/>
    <n v="64.89"/>
    <s v=""/>
    <s v=""/>
    <s v=""/>
    <s v=""/>
    <s v="通过"/>
  </r>
  <r>
    <s v="SIM-20260901-C005"/>
    <n v="3"/>
    <s v="C005"/>
    <d v="2026-09-01T00:00:00"/>
    <s v="P001"/>
    <s v="公斤"/>
    <n v="12.6"/>
    <n v="12.6"/>
    <n v="0"/>
    <n v="3.3"/>
    <s v="正常交付"/>
    <s v="true"/>
    <s v="土豆"/>
    <s v="散装鲜菜"/>
    <x v="4"/>
    <n v="41.58"/>
    <n v="0"/>
    <n v="41.58"/>
    <s v=""/>
    <s v=""/>
    <s v=""/>
    <s v=""/>
    <s v="通过"/>
  </r>
  <r>
    <s v="SIM-20260901-C005"/>
    <n v="4"/>
    <s v="C005"/>
    <d v="2026-09-01T00:00:00"/>
    <s v="P004"/>
    <s v="公斤"/>
    <n v="12.6"/>
    <n v="12.6"/>
    <n v="0"/>
    <n v="2.2999999999999998"/>
    <s v="正常交付"/>
    <s v="true"/>
    <s v="冬瓜"/>
    <s v="散装鲜菜"/>
    <x v="4"/>
    <n v="28.98"/>
    <n v="0"/>
    <n v="28.98"/>
    <s v=""/>
    <s v=""/>
    <s v=""/>
    <s v=""/>
    <s v="通过"/>
  </r>
  <r>
    <s v="SIM-20260901-C005"/>
    <n v="5"/>
    <s v="C005"/>
    <d v="2026-09-01T00:00:00"/>
    <s v="P006"/>
    <s v="公斤"/>
    <n v="8.1"/>
    <n v="8.1"/>
    <n v="0"/>
    <n v="4.5999999999999996"/>
    <s v="正常交付"/>
    <s v="true"/>
    <s v="茄子"/>
    <s v="散装鲜菜"/>
    <x v="4"/>
    <n v="37.26"/>
    <n v="0"/>
    <n v="37.26"/>
    <s v=""/>
    <s v=""/>
    <s v=""/>
    <s v=""/>
    <s v="通过"/>
  </r>
  <r>
    <s v="SIM-20260901-C005"/>
    <n v="6"/>
    <s v="C005"/>
    <d v="2026-09-01T00:00:00"/>
    <s v="P005"/>
    <s v="公斤"/>
    <n v="9"/>
    <n v="9"/>
    <n v="0"/>
    <n v="2.7"/>
    <s v="正常交付"/>
    <s v="true"/>
    <s v="南瓜"/>
    <s v="散装鲜菜"/>
    <x v="4"/>
    <n v="24.3"/>
    <n v="0"/>
    <n v="24.3"/>
    <s v=""/>
    <s v=""/>
    <s v=""/>
    <s v=""/>
    <s v="通过"/>
  </r>
  <r>
    <s v="SIM-20260901-C005"/>
    <n v="7"/>
    <s v="C005"/>
    <d v="2026-09-01T00:00:00"/>
    <s v="P016"/>
    <s v="公斤"/>
    <n v="12"/>
    <n v="12"/>
    <n v="0"/>
    <n v="10.1"/>
    <s v="正常交付"/>
    <s v="true"/>
    <s v="鸡蛋"/>
    <s v="普通鲜鸡蛋按净重"/>
    <x v="4"/>
    <n v="121.2"/>
    <n v="0"/>
    <n v="121.2"/>
    <s v=""/>
    <s v=""/>
    <s v=""/>
    <s v=""/>
    <s v="通过"/>
  </r>
  <r>
    <s v="SIM-20260901-C005"/>
    <n v="8"/>
    <s v="C005"/>
    <d v="2026-09-01T00:00:00"/>
    <s v="P015"/>
    <s v="公斤"/>
    <n v="1"/>
    <n v="0.7"/>
    <n v="0"/>
    <n v="7.3"/>
    <s v="到货不足；按实际交付计费"/>
    <s v="true"/>
    <s v="小葱"/>
    <s v="散装鲜菜"/>
    <x v="4"/>
    <n v="5.1100000000000003"/>
    <n v="0"/>
    <n v="5.1100000000000003"/>
    <s v=""/>
    <s v=""/>
    <s v=""/>
    <s v=""/>
    <s v="通过"/>
  </r>
  <r>
    <s v="SIM-20260901-C005"/>
    <n v="9"/>
    <s v="C005"/>
    <d v="2026-09-01T00:00:00"/>
    <s v="P017"/>
    <s v="袋"/>
    <n v="6"/>
    <n v="6"/>
    <n v="0"/>
    <n v="118"/>
    <s v="正常交付"/>
    <s v="true"/>
    <s v="籼米"/>
    <s v="25公斤/袋普通籼米"/>
    <x v="4"/>
    <n v="708"/>
    <n v="0"/>
    <n v="708"/>
    <s v=""/>
    <s v=""/>
    <s v=""/>
    <s v=""/>
    <s v="通过"/>
  </r>
  <r>
    <s v="SIM-20260901-C005"/>
    <n v="10"/>
    <s v="C005"/>
    <d v="2026-09-01T00:00:00"/>
    <s v="P020"/>
    <s v="桶"/>
    <n v="2"/>
    <n v="2"/>
    <n v="0"/>
    <n v="59"/>
    <s v="正常交付"/>
    <s v="true"/>
    <s v="大豆油"/>
    <s v="5升/桶普通大豆油"/>
    <x v="4"/>
    <n v="118"/>
    <n v="0"/>
    <n v="118"/>
    <s v=""/>
    <s v=""/>
    <s v=""/>
    <s v=""/>
    <s v="通过"/>
  </r>
  <r>
    <s v="SIM-20260901-C006"/>
    <n v="1"/>
    <s v="C006"/>
    <d v="2026-09-01T00:00:00"/>
    <s v="P010"/>
    <s v="公斤"/>
    <n v="7.6"/>
    <n v="7.6"/>
    <n v="0"/>
    <n v="5"/>
    <s v="正常交付"/>
    <s v="true"/>
    <s v="空心菜"/>
    <s v="散装鲜菜"/>
    <x v="5"/>
    <n v="38"/>
    <n v="0"/>
    <n v="38"/>
    <s v=""/>
    <s v=""/>
    <s v=""/>
    <s v=""/>
    <s v="通过"/>
  </r>
  <r>
    <s v="SIM-20260901-C006"/>
    <n v="2"/>
    <s v="C006"/>
    <d v="2026-09-01T00:00:00"/>
    <s v="P013"/>
    <s v="公斤"/>
    <n v="6.7"/>
    <n v="6.7"/>
    <n v="0"/>
    <n v="6.3"/>
    <s v="正常交付"/>
    <s v="true"/>
    <s v="豇豆"/>
    <s v="散装鲜菜"/>
    <x v="5"/>
    <n v="42.21"/>
    <n v="0"/>
    <n v="42.21"/>
    <s v=""/>
    <s v=""/>
    <s v=""/>
    <s v=""/>
    <s v="通过"/>
  </r>
  <r>
    <s v="SIM-20260901-C006"/>
    <n v="3"/>
    <s v="C006"/>
    <d v="2026-09-01T00:00:00"/>
    <s v="P008"/>
    <s v="公斤"/>
    <n v="7.6"/>
    <n v="7.6"/>
    <n v="0"/>
    <n v="4.0999999999999996"/>
    <s v="正常交付"/>
    <s v="true"/>
    <s v="黄瓜"/>
    <s v="散装鲜菜"/>
    <x v="5"/>
    <n v="31.16"/>
    <n v="0"/>
    <n v="31.16"/>
    <s v=""/>
    <s v=""/>
    <s v=""/>
    <s v=""/>
    <s v="通过"/>
  </r>
  <r>
    <s v="SIM-20260901-C006"/>
    <n v="4"/>
    <s v="C006"/>
    <d v="2026-09-01T00:00:00"/>
    <s v="P005"/>
    <s v="公斤"/>
    <n v="6.7"/>
    <n v="6.7"/>
    <n v="0"/>
    <n v="2.7"/>
    <s v="正常交付"/>
    <s v="true"/>
    <s v="南瓜"/>
    <s v="散装鲜菜"/>
    <x v="5"/>
    <n v="18.09"/>
    <n v="0"/>
    <n v="18.09"/>
    <s v=""/>
    <s v=""/>
    <s v=""/>
    <s v=""/>
    <s v="通过"/>
  </r>
  <r>
    <s v="SIM-20260901-C006"/>
    <n v="5"/>
    <s v="C006"/>
    <d v="2026-09-01T00:00:00"/>
    <s v="P009"/>
    <s v="公斤"/>
    <n v="9.3000000000000007"/>
    <n v="9.3000000000000007"/>
    <n v="0"/>
    <n v="5"/>
    <s v="正常交付"/>
    <s v="true"/>
    <s v="西红柿"/>
    <s v="散装鲜菜"/>
    <x v="5"/>
    <n v="46.5"/>
    <n v="0"/>
    <n v="46.5"/>
    <s v=""/>
    <s v=""/>
    <s v=""/>
    <s v=""/>
    <s v="通过"/>
  </r>
  <r>
    <s v="SIM-20260901-C006"/>
    <n v="6"/>
    <s v="C006"/>
    <d v="2026-09-01T00:00:00"/>
    <s v="P006"/>
    <s v="公斤"/>
    <n v="13.5"/>
    <n v="13.5"/>
    <n v="0"/>
    <n v="4.5999999999999996"/>
    <s v="正常交付"/>
    <s v="true"/>
    <s v="茄子"/>
    <s v="散装鲜菜"/>
    <x v="5"/>
    <n v="62.1"/>
    <n v="0"/>
    <n v="62.1"/>
    <s v=""/>
    <s v=""/>
    <s v=""/>
    <s v=""/>
    <s v="通过"/>
  </r>
  <r>
    <s v="SIM-20260901-C006"/>
    <n v="7"/>
    <s v="C006"/>
    <d v="2026-09-01T00:00:00"/>
    <s v="P016"/>
    <s v="公斤"/>
    <n v="9"/>
    <n v="9"/>
    <n v="0"/>
    <n v="10.1"/>
    <s v="正常交付"/>
    <s v="true"/>
    <s v="鸡蛋"/>
    <s v="普通鲜鸡蛋按净重"/>
    <x v="5"/>
    <n v="90.9"/>
    <n v="0"/>
    <n v="90.9"/>
    <s v=""/>
    <s v=""/>
    <s v=""/>
    <s v=""/>
    <s v="通过"/>
  </r>
  <r>
    <s v="SIM-20260901-C006"/>
    <n v="8"/>
    <s v="C006"/>
    <d v="2026-09-01T00:00:00"/>
    <s v="P015"/>
    <s v="公斤"/>
    <n v="1"/>
    <n v="1"/>
    <n v="0"/>
    <n v="7.3"/>
    <s v="正常交付"/>
    <s v="true"/>
    <s v="小葱"/>
    <s v="散装鲜菜"/>
    <x v="5"/>
    <n v="7.3"/>
    <n v="0"/>
    <n v="7.3"/>
    <s v=""/>
    <s v=""/>
    <s v=""/>
    <s v=""/>
    <s v="通过"/>
  </r>
  <r>
    <s v="SIM-20260901-C006"/>
    <n v="9"/>
    <s v="C006"/>
    <d v="2026-09-01T00:00:00"/>
    <s v="P017"/>
    <s v="袋"/>
    <n v="4"/>
    <n v="4"/>
    <n v="0"/>
    <n v="118"/>
    <s v="正常交付"/>
    <s v="true"/>
    <s v="籼米"/>
    <s v="25公斤/袋普通籼米"/>
    <x v="5"/>
    <n v="472"/>
    <n v="0"/>
    <n v="472"/>
    <s v=""/>
    <s v=""/>
    <s v=""/>
    <s v=""/>
    <s v="通过"/>
  </r>
  <r>
    <s v="SIM-20260901-C006"/>
    <n v="10"/>
    <s v="C006"/>
    <d v="2026-09-01T00:00:00"/>
    <s v="P020"/>
    <s v="桶"/>
    <n v="2"/>
    <n v="2"/>
    <n v="0"/>
    <n v="59"/>
    <s v="正常交付"/>
    <s v="true"/>
    <s v="大豆油"/>
    <s v="5升/桶普通大豆油"/>
    <x v="5"/>
    <n v="118"/>
    <n v="0"/>
    <n v="118"/>
    <s v=""/>
    <s v=""/>
    <s v=""/>
    <s v=""/>
    <s v="通过"/>
  </r>
  <r>
    <s v="SIM-20260902-C001"/>
    <n v="1"/>
    <s v="C001"/>
    <d v="2026-09-02T00:00:00"/>
    <s v="P011"/>
    <s v="公斤"/>
    <n v="2.6"/>
    <n v="2.6"/>
    <n v="0.3"/>
    <n v="4.4000000000000004"/>
    <s v="正常交付；签收时挑出黄叶退回"/>
    <s v="true"/>
    <s v="红薯叶"/>
    <s v="散装鲜菜"/>
    <x v="0"/>
    <n v="11.44"/>
    <n v="1.32"/>
    <n v="10.119999999999999"/>
    <s v=""/>
    <s v=""/>
    <s v=""/>
    <s v=""/>
    <s v="通过"/>
  </r>
  <r>
    <s v="SIM-20260902-C001"/>
    <n v="2"/>
    <s v="C001"/>
    <d v="2026-09-02T00:00:00"/>
    <s v="P008"/>
    <s v="公斤"/>
    <n v="3.2"/>
    <n v="3.2"/>
    <n v="0"/>
    <n v="4.0999999999999996"/>
    <s v="正常交付"/>
    <s v="true"/>
    <s v="黄瓜"/>
    <s v="散装鲜菜"/>
    <x v="0"/>
    <n v="13.12"/>
    <n v="0"/>
    <n v="13.12"/>
    <s v=""/>
    <s v=""/>
    <s v=""/>
    <s v=""/>
    <s v="通过"/>
  </r>
  <r>
    <s v="SIM-20260902-C001"/>
    <n v="3"/>
    <s v="C001"/>
    <d v="2026-09-02T00:00:00"/>
    <s v="P014"/>
    <s v="公斤"/>
    <n v="3"/>
    <n v="3"/>
    <n v="0"/>
    <n v="4.7"/>
    <s v="正常交付"/>
    <s v="true"/>
    <s v="丝瓜"/>
    <s v="散装鲜菜"/>
    <x v="0"/>
    <n v="14.1"/>
    <n v="0"/>
    <n v="14.1"/>
    <s v=""/>
    <s v=""/>
    <s v=""/>
    <s v=""/>
    <s v="通过"/>
  </r>
  <r>
    <s v="SIM-20260902-C001"/>
    <n v="4"/>
    <s v="C001"/>
    <d v="2026-09-02T00:00:00"/>
    <s v="P003"/>
    <s v="公斤"/>
    <n v="3.2"/>
    <n v="3.2"/>
    <n v="0"/>
    <n v="3.3"/>
    <s v="正常交付"/>
    <s v="true"/>
    <s v="包菜"/>
    <s v="散装鲜菜"/>
    <x v="0"/>
    <n v="10.56"/>
    <n v="0"/>
    <n v="10.56"/>
    <s v=""/>
    <s v=""/>
    <s v=""/>
    <s v=""/>
    <s v="通过"/>
  </r>
  <r>
    <s v="SIM-20260902-C002"/>
    <n v="1"/>
    <s v="C002"/>
    <d v="2026-09-02T00:00:00"/>
    <s v="P011"/>
    <s v="公斤"/>
    <n v="3.5"/>
    <n v="3.5"/>
    <n v="0"/>
    <n v="4.4000000000000004"/>
    <s v="正常交付"/>
    <s v="true"/>
    <s v="红薯叶"/>
    <s v="散装鲜菜"/>
    <x v="1"/>
    <n v="15.4"/>
    <n v="0"/>
    <n v="15.4"/>
    <s v=""/>
    <s v=""/>
    <s v=""/>
    <s v=""/>
    <s v="通过"/>
  </r>
  <r>
    <s v="SIM-20260902-C002"/>
    <n v="2"/>
    <s v="C002"/>
    <d v="2026-09-02T00:00:00"/>
    <s v="P002"/>
    <s v="公斤"/>
    <n v="6.5"/>
    <n v="6.5"/>
    <n v="0"/>
    <n v="2.2999999999999998"/>
    <s v="正常交付"/>
    <s v="true"/>
    <s v="白萝卜"/>
    <s v="散装鲜菜"/>
    <x v="1"/>
    <n v="14.95"/>
    <n v="0"/>
    <n v="14.95"/>
    <s v=""/>
    <s v=""/>
    <s v=""/>
    <s v=""/>
    <s v="通过"/>
  </r>
  <r>
    <s v="SIM-20260902-C002"/>
    <n v="3"/>
    <s v="C002"/>
    <d v="2026-09-02T00:00:00"/>
    <s v="P006"/>
    <s v="公斤"/>
    <n v="6.5"/>
    <n v="6.5"/>
    <n v="0"/>
    <n v="4.5999999999999996"/>
    <s v="正常交付"/>
    <s v="true"/>
    <s v="茄子"/>
    <s v="散装鲜菜"/>
    <x v="1"/>
    <n v="29.9"/>
    <n v="0"/>
    <n v="29.9"/>
    <s v=""/>
    <s v=""/>
    <s v=""/>
    <s v=""/>
    <s v="通过"/>
  </r>
  <r>
    <s v="SIM-20260902-C002"/>
    <n v="4"/>
    <s v="C002"/>
    <d v="2026-09-02T00:00:00"/>
    <s v="P004"/>
    <s v="公斤"/>
    <n v="7"/>
    <n v="7"/>
    <n v="0"/>
    <n v="2.2999999999999998"/>
    <s v="正常交付"/>
    <s v="true"/>
    <s v="冬瓜"/>
    <s v="散装鲜菜"/>
    <x v="1"/>
    <n v="16.100000000000001"/>
    <n v="0"/>
    <n v="16.100000000000001"/>
    <s v=""/>
    <s v=""/>
    <s v=""/>
    <s v=""/>
    <s v="通过"/>
  </r>
  <r>
    <s v="SIM-20260902-C002"/>
    <n v="5"/>
    <s v="C002"/>
    <d v="2026-09-02T00:00:00"/>
    <s v="P001"/>
    <s v="公斤"/>
    <n v="5.5"/>
    <n v="5.5"/>
    <n v="0"/>
    <n v="3.3"/>
    <s v="正常交付"/>
    <s v="true"/>
    <s v="土豆"/>
    <s v="散装鲜菜"/>
    <x v="1"/>
    <n v="18.149999999999999"/>
    <n v="0"/>
    <n v="18.149999999999999"/>
    <s v=""/>
    <s v=""/>
    <s v=""/>
    <s v=""/>
    <s v="通过"/>
  </r>
  <r>
    <s v="SIM-20260902-C003"/>
    <n v="1"/>
    <s v="C003"/>
    <d v="2026-09-02T00:00:00"/>
    <s v="P012"/>
    <s v="公斤"/>
    <n v="6.8"/>
    <n v="6.8"/>
    <n v="0"/>
    <n v="4.5999999999999996"/>
    <s v="正常交付"/>
    <s v="true"/>
    <s v="小白菜"/>
    <s v="散装鲜菜"/>
    <x v="2"/>
    <n v="31.28"/>
    <n v="0"/>
    <n v="31.28"/>
    <s v=""/>
    <s v=""/>
    <s v=""/>
    <s v=""/>
    <s v="通过"/>
  </r>
  <r>
    <s v="SIM-20260902-C003"/>
    <n v="2"/>
    <s v="C003"/>
    <d v="2026-09-02T00:00:00"/>
    <s v="P009"/>
    <s v="公斤"/>
    <n v="5.0999999999999996"/>
    <n v="5.0999999999999996"/>
    <n v="0"/>
    <n v="5"/>
    <s v="正常交付"/>
    <s v="true"/>
    <s v="西红柿"/>
    <s v="散装鲜菜"/>
    <x v="2"/>
    <n v="25.5"/>
    <n v="0"/>
    <n v="25.5"/>
    <s v=""/>
    <s v=""/>
    <s v=""/>
    <s v=""/>
    <s v="通过"/>
  </r>
  <r>
    <s v="SIM-20260902-C003"/>
    <n v="3"/>
    <s v="C003"/>
    <d v="2026-09-02T00:00:00"/>
    <s v="P008"/>
    <s v="公斤"/>
    <n v="6.3"/>
    <n v="6.3"/>
    <n v="0"/>
    <n v="4.0999999999999996"/>
    <s v="正常交付"/>
    <s v="true"/>
    <s v="黄瓜"/>
    <s v="散装鲜菜"/>
    <x v="2"/>
    <n v="25.83"/>
    <n v="0"/>
    <n v="25.83"/>
    <s v=""/>
    <s v=""/>
    <s v=""/>
    <s v=""/>
    <s v="通过"/>
  </r>
  <r>
    <s v="SIM-20260902-C003"/>
    <n v="4"/>
    <s v="C003"/>
    <d v="2026-09-02T00:00:00"/>
    <s v="P003"/>
    <s v="公斤"/>
    <n v="6.3"/>
    <n v="6.3"/>
    <n v="0"/>
    <n v="3.3"/>
    <s v="正常交付"/>
    <s v="true"/>
    <s v="包菜"/>
    <s v="散装鲜菜"/>
    <x v="2"/>
    <n v="20.79"/>
    <n v="0"/>
    <n v="20.79"/>
    <s v=""/>
    <s v=""/>
    <s v=""/>
    <s v=""/>
    <s v="通过"/>
  </r>
  <r>
    <s v="SIM-20260902-C003"/>
    <n v="5"/>
    <s v="C003"/>
    <d v="2026-09-02T00:00:00"/>
    <s v="P001"/>
    <s v="公斤"/>
    <n v="8"/>
    <n v="8"/>
    <n v="0"/>
    <n v="3.3"/>
    <s v="正常交付"/>
    <s v="true"/>
    <s v="土豆"/>
    <s v="散装鲜菜"/>
    <x v="2"/>
    <n v="26.4"/>
    <n v="0"/>
    <n v="26.4"/>
    <s v=""/>
    <s v=""/>
    <s v=""/>
    <s v=""/>
    <s v="通过"/>
  </r>
  <r>
    <s v="SIM-20260902-C003"/>
    <n v="6"/>
    <s v="C003"/>
    <d v="2026-09-02T00:00:00"/>
    <s v="P007"/>
    <s v="公斤"/>
    <n v="5.7"/>
    <n v="5.7"/>
    <n v="0"/>
    <n v="5.15"/>
    <s v="正常交付"/>
    <s v="true"/>
    <s v="青椒"/>
    <s v="散装鲜菜"/>
    <x v="2"/>
    <n v="29.36"/>
    <n v="0"/>
    <n v="29.36"/>
    <s v=""/>
    <s v=""/>
    <s v=""/>
    <s v=""/>
    <s v="通过"/>
  </r>
  <r>
    <s v="SIM-20260902-C005"/>
    <n v="1"/>
    <s v="C005"/>
    <d v="2026-09-02T00:00:00"/>
    <s v="P012"/>
    <s v="公斤"/>
    <n v="11.4"/>
    <n v="11.4"/>
    <n v="0"/>
    <n v="4.5999999999999996"/>
    <s v="正常交付"/>
    <s v="true"/>
    <s v="小白菜"/>
    <s v="散装鲜菜"/>
    <x v="4"/>
    <n v="52.44"/>
    <n v="0"/>
    <n v="52.44"/>
    <s v=""/>
    <s v=""/>
    <s v=""/>
    <s v=""/>
    <s v="通过"/>
  </r>
  <r>
    <s v="SIM-20260902-C005"/>
    <n v="2"/>
    <s v="C005"/>
    <d v="2026-09-02T00:00:00"/>
    <s v="P006"/>
    <s v="公斤"/>
    <n v="15.2"/>
    <n v="15.2"/>
    <n v="0"/>
    <n v="4.5999999999999996"/>
    <s v="正常交付"/>
    <s v="true"/>
    <s v="茄子"/>
    <s v="散装鲜菜"/>
    <x v="4"/>
    <n v="69.92"/>
    <n v="0"/>
    <n v="69.92"/>
    <s v=""/>
    <s v=""/>
    <s v=""/>
    <s v=""/>
    <s v="通过"/>
  </r>
  <r>
    <s v="SIM-20260902-C005"/>
    <n v="3"/>
    <s v="C005"/>
    <d v="2026-09-02T00:00:00"/>
    <s v="P013"/>
    <s v="公斤"/>
    <n v="7.6"/>
    <n v="7.6"/>
    <n v="0"/>
    <n v="6.3"/>
    <s v="正常交付"/>
    <s v="true"/>
    <s v="豇豆"/>
    <s v="散装鲜菜"/>
    <x v="4"/>
    <n v="47.88"/>
    <n v="0"/>
    <n v="47.88"/>
    <s v=""/>
    <s v=""/>
    <s v=""/>
    <s v=""/>
    <s v="通过"/>
  </r>
  <r>
    <s v="SIM-20260902-C005"/>
    <n v="4"/>
    <s v="C005"/>
    <d v="2026-09-02T00:00:00"/>
    <s v="P004"/>
    <s v="公斤"/>
    <n v="8.6"/>
    <n v="8.6"/>
    <n v="0"/>
    <n v="2.2999999999999998"/>
    <s v="正常交付"/>
    <s v="true"/>
    <s v="冬瓜"/>
    <s v="散装鲜菜"/>
    <x v="4"/>
    <n v="19.78"/>
    <n v="0"/>
    <n v="19.78"/>
    <s v=""/>
    <s v=""/>
    <s v=""/>
    <s v=""/>
    <s v="通过"/>
  </r>
  <r>
    <s v="SIM-20260902-C005"/>
    <n v="5"/>
    <s v="C005"/>
    <d v="2026-09-02T00:00:00"/>
    <s v="P002"/>
    <s v="公斤"/>
    <n v="12.4"/>
    <n v="12.4"/>
    <n v="0"/>
    <n v="2.2999999999999998"/>
    <s v="正常交付"/>
    <s v="true"/>
    <s v="白萝卜"/>
    <s v="散装鲜菜"/>
    <x v="4"/>
    <n v="28.52"/>
    <n v="0"/>
    <n v="28.52"/>
    <s v=""/>
    <s v=""/>
    <s v=""/>
    <s v=""/>
    <s v="通过"/>
  </r>
  <r>
    <s v="SIM-20260902-C005"/>
    <n v="6"/>
    <s v="C005"/>
    <d v="2026-09-02T00:00:00"/>
    <s v="P001"/>
    <s v="公斤"/>
    <n v="10.5"/>
    <n v="10.5"/>
    <n v="0"/>
    <n v="3.3"/>
    <s v="正常交付"/>
    <s v="true"/>
    <s v="土豆"/>
    <s v="散装鲜菜"/>
    <x v="4"/>
    <n v="34.65"/>
    <n v="0"/>
    <n v="34.65"/>
    <s v=""/>
    <s v=""/>
    <s v=""/>
    <s v=""/>
    <s v="通过"/>
  </r>
  <r>
    <s v="SIM-20260902-C006"/>
    <n v="1"/>
    <s v="C006"/>
    <d v="2026-09-02T00:00:00"/>
    <s v="P010"/>
    <s v="公斤"/>
    <n v="9"/>
    <n v="9"/>
    <n v="0"/>
    <n v="5"/>
    <s v="正常交付"/>
    <s v="true"/>
    <s v="空心菜"/>
    <s v="散装鲜菜"/>
    <x v="5"/>
    <n v="45"/>
    <n v="0"/>
    <n v="45"/>
    <s v=""/>
    <s v=""/>
    <s v=""/>
    <s v=""/>
    <s v="通过"/>
  </r>
  <r>
    <s v="SIM-20260902-C006"/>
    <n v="2"/>
    <s v="C006"/>
    <d v="2026-09-02T00:00:00"/>
    <s v="P009"/>
    <s v="公斤"/>
    <n v="10.4"/>
    <n v="10.4"/>
    <n v="0"/>
    <n v="5"/>
    <s v="正常交付"/>
    <s v="true"/>
    <s v="西红柿"/>
    <s v="散装鲜菜"/>
    <x v="5"/>
    <n v="52"/>
    <n v="0"/>
    <n v="52"/>
    <s v=""/>
    <s v=""/>
    <s v=""/>
    <s v=""/>
    <s v="通过"/>
  </r>
  <r>
    <s v="SIM-20260902-C006"/>
    <n v="3"/>
    <s v="C006"/>
    <d v="2026-09-02T00:00:00"/>
    <s v="P008"/>
    <s v="公斤"/>
    <n v="8.3000000000000007"/>
    <n v="8.3000000000000007"/>
    <n v="0"/>
    <n v="4.0999999999999996"/>
    <s v="正常交付"/>
    <s v="true"/>
    <s v="黄瓜"/>
    <s v="散装鲜菜"/>
    <x v="5"/>
    <n v="34.03"/>
    <n v="0"/>
    <n v="34.03"/>
    <s v=""/>
    <s v=""/>
    <s v=""/>
    <s v=""/>
    <s v="通过"/>
  </r>
  <r>
    <s v="SIM-20260902-C006"/>
    <n v="4"/>
    <s v="C006"/>
    <d v="2026-09-02T00:00:00"/>
    <s v="P014"/>
    <s v="公斤"/>
    <n v="4.8"/>
    <n v="4.8"/>
    <n v="0"/>
    <n v="4.7"/>
    <s v="正常交付"/>
    <s v="true"/>
    <s v="丝瓜"/>
    <s v="散装鲜菜"/>
    <x v="5"/>
    <n v="22.56"/>
    <n v="0"/>
    <n v="22.56"/>
    <s v=""/>
    <s v=""/>
    <s v=""/>
    <s v=""/>
    <s v="通过"/>
  </r>
  <r>
    <s v="SIM-20260902-C006"/>
    <n v="5"/>
    <s v="C006"/>
    <d v="2026-09-02T00:00:00"/>
    <s v="P013"/>
    <s v="公斤"/>
    <n v="8.3000000000000007"/>
    <n v="8.3000000000000007"/>
    <n v="0"/>
    <n v="6.3"/>
    <s v="正常交付"/>
    <s v="true"/>
    <s v="豇豆"/>
    <s v="散装鲜菜"/>
    <x v="5"/>
    <n v="52.29"/>
    <n v="0"/>
    <n v="52.29"/>
    <s v=""/>
    <s v=""/>
    <s v=""/>
    <s v=""/>
    <s v="通过"/>
  </r>
  <r>
    <s v="SIM-20260902-C006"/>
    <n v="6"/>
    <s v="C006"/>
    <d v="2026-09-02T00:00:00"/>
    <s v="P001"/>
    <s v="公斤"/>
    <n v="4.8"/>
    <n v="4.8"/>
    <n v="0"/>
    <n v="3.3"/>
    <s v="正常交付"/>
    <s v="true"/>
    <s v="土豆"/>
    <s v="散装鲜菜"/>
    <x v="5"/>
    <n v="15.84"/>
    <n v="0"/>
    <n v="15.84"/>
    <s v=""/>
    <s v=""/>
    <s v=""/>
    <s v=""/>
    <s v="通过"/>
  </r>
  <r>
    <s v="SIM-20260903-C001"/>
    <n v="1"/>
    <s v="C001"/>
    <d v="2026-09-03T00:00:00"/>
    <s v="P011"/>
    <s v="公斤"/>
    <n v="2.6"/>
    <n v="2.4"/>
    <n v="0"/>
    <n v="4.4000000000000004"/>
    <s v="到货不足；按实际交付计费"/>
    <s v="true"/>
    <s v="红薯叶"/>
    <s v="散装鲜菜"/>
    <x v="0"/>
    <n v="10.56"/>
    <n v="0"/>
    <n v="10.56"/>
    <s v=""/>
    <s v=""/>
    <s v=""/>
    <s v=""/>
    <s v="通过"/>
  </r>
  <r>
    <s v="SIM-20260903-C001"/>
    <n v="2"/>
    <s v="C001"/>
    <d v="2026-09-03T00:00:00"/>
    <s v="P009"/>
    <s v="公斤"/>
    <n v="2.8"/>
    <n v="2.8"/>
    <n v="0"/>
    <n v="5"/>
    <s v="正常交付"/>
    <s v="true"/>
    <s v="西红柿"/>
    <s v="散装鲜菜"/>
    <x v="0"/>
    <n v="14"/>
    <n v="0"/>
    <n v="14"/>
    <s v=""/>
    <s v=""/>
    <s v=""/>
    <s v=""/>
    <s v="通过"/>
  </r>
  <r>
    <s v="SIM-20260903-C001"/>
    <n v="3"/>
    <s v="C001"/>
    <d v="2026-09-03T00:00:00"/>
    <s v="P007"/>
    <s v="公斤"/>
    <n v="3"/>
    <n v="2.5"/>
    <n v="0"/>
    <n v="5.15"/>
    <s v="到货不足；按实际交付计费"/>
    <s v="true"/>
    <s v="青椒"/>
    <s v="散装鲜菜"/>
    <x v="0"/>
    <n v="12.88"/>
    <n v="0"/>
    <n v="12.88"/>
    <s v=""/>
    <s v=""/>
    <s v=""/>
    <s v=""/>
    <s v="通过"/>
  </r>
  <r>
    <s v="SIM-20260903-C001"/>
    <n v="4"/>
    <s v="C001"/>
    <d v="2026-09-03T00:00:00"/>
    <s v="P001"/>
    <s v="公斤"/>
    <n v="3"/>
    <n v="3"/>
    <n v="0"/>
    <n v="3.3"/>
    <s v="正常交付"/>
    <s v="true"/>
    <s v="土豆"/>
    <s v="散装鲜菜"/>
    <x v="0"/>
    <n v="9.9"/>
    <n v="0"/>
    <n v="9.9"/>
    <s v=""/>
    <s v=""/>
    <s v=""/>
    <s v=""/>
    <s v="通过"/>
  </r>
  <r>
    <s v="SIM-20260903-C001"/>
    <n v="5"/>
    <s v="C001"/>
    <d v="2026-09-03T00:00:00"/>
    <s v="P016"/>
    <s v="公斤"/>
    <n v="3"/>
    <n v="3"/>
    <n v="0"/>
    <n v="10.1"/>
    <s v="正常交付"/>
    <s v="true"/>
    <s v="鸡蛋"/>
    <s v="普通鲜鸡蛋按净重"/>
    <x v="0"/>
    <n v="30.3"/>
    <n v="0"/>
    <n v="30.3"/>
    <s v=""/>
    <s v=""/>
    <s v=""/>
    <s v=""/>
    <s v="通过"/>
  </r>
  <r>
    <s v="SIM-20260903-C002"/>
    <n v="1"/>
    <s v="C002"/>
    <d v="2026-09-03T00:00:00"/>
    <s v="P011"/>
    <s v="公斤"/>
    <n v="5.8"/>
    <n v="5.8"/>
    <n v="0"/>
    <n v="4.4000000000000004"/>
    <s v="正常交付"/>
    <s v="true"/>
    <s v="红薯叶"/>
    <s v="散装鲜菜"/>
    <x v="1"/>
    <n v="25.52"/>
    <n v="0"/>
    <n v="25.52"/>
    <s v=""/>
    <s v=""/>
    <s v=""/>
    <s v=""/>
    <s v="通过"/>
  </r>
  <r>
    <s v="SIM-20260903-C002"/>
    <n v="2"/>
    <s v="C002"/>
    <d v="2026-09-03T00:00:00"/>
    <s v="P003"/>
    <s v="公斤"/>
    <n v="3.5"/>
    <n v="3.5"/>
    <n v="0"/>
    <n v="3.3"/>
    <s v="正常交付"/>
    <s v="true"/>
    <s v="包菜"/>
    <s v="散装鲜菜"/>
    <x v="1"/>
    <n v="11.55"/>
    <n v="0"/>
    <n v="11.55"/>
    <s v=""/>
    <s v=""/>
    <s v=""/>
    <s v=""/>
    <s v="通过"/>
  </r>
  <r>
    <s v="SIM-20260903-C002"/>
    <n v="3"/>
    <s v="C002"/>
    <d v="2026-09-03T00:00:00"/>
    <s v="P004"/>
    <s v="公斤"/>
    <n v="7.1"/>
    <n v="7.1"/>
    <n v="0"/>
    <n v="2.2999999999999998"/>
    <s v="正常交付"/>
    <s v="true"/>
    <s v="冬瓜"/>
    <s v="散装鲜菜"/>
    <x v="1"/>
    <n v="16.329999999999998"/>
    <n v="0"/>
    <n v="16.329999999999998"/>
    <s v=""/>
    <s v=""/>
    <s v=""/>
    <s v=""/>
    <s v="通过"/>
  </r>
  <r>
    <s v="SIM-20260903-C002"/>
    <n v="4"/>
    <s v="C002"/>
    <d v="2026-09-03T00:00:00"/>
    <s v="P002"/>
    <s v="公斤"/>
    <n v="4.9000000000000004"/>
    <n v="4.7"/>
    <n v="0"/>
    <n v="2.2999999999999998"/>
    <s v="到货不足；按实际交付计费"/>
    <s v="true"/>
    <s v="白萝卜"/>
    <s v="散装鲜菜"/>
    <x v="1"/>
    <n v="10.81"/>
    <n v="0"/>
    <n v="10.81"/>
    <s v=""/>
    <s v=""/>
    <s v=""/>
    <s v=""/>
    <s v="通过"/>
  </r>
  <r>
    <s v="SIM-20260903-C002"/>
    <n v="5"/>
    <s v="C002"/>
    <d v="2026-09-03T00:00:00"/>
    <s v="P013"/>
    <s v="公斤"/>
    <n v="5.3"/>
    <n v="5.3"/>
    <n v="0"/>
    <n v="6.3"/>
    <s v="正常交付"/>
    <s v="true"/>
    <s v="豇豆"/>
    <s v="散装鲜菜"/>
    <x v="1"/>
    <n v="33.39"/>
    <n v="0"/>
    <n v="33.39"/>
    <s v=""/>
    <s v=""/>
    <s v=""/>
    <s v=""/>
    <s v="通过"/>
  </r>
  <r>
    <s v="SIM-20260903-C002"/>
    <n v="6"/>
    <s v="C002"/>
    <d v="2026-09-03T00:00:00"/>
    <s v="P016"/>
    <s v="公斤"/>
    <n v="4"/>
    <n v="4"/>
    <n v="0"/>
    <n v="10.1"/>
    <s v="正常交付"/>
    <s v="true"/>
    <s v="鸡蛋"/>
    <s v="普通鲜鸡蛋按净重"/>
    <x v="1"/>
    <n v="40.4"/>
    <n v="0"/>
    <n v="40.4"/>
    <s v=""/>
    <s v=""/>
    <s v=""/>
    <s v=""/>
    <s v="通过"/>
  </r>
  <r>
    <s v="SIM-20260903-C003"/>
    <n v="1"/>
    <s v="C003"/>
    <d v="2026-09-03T00:00:00"/>
    <s v="P010"/>
    <s v="公斤"/>
    <n v="8.1999999999999993"/>
    <n v="8.1999999999999993"/>
    <n v="0"/>
    <n v="5"/>
    <s v="正常交付"/>
    <s v="true"/>
    <s v="空心菜"/>
    <s v="散装鲜菜"/>
    <x v="2"/>
    <n v="41"/>
    <n v="0"/>
    <n v="41"/>
    <s v=""/>
    <s v=""/>
    <s v=""/>
    <s v=""/>
    <s v="通过"/>
  </r>
  <r>
    <s v="SIM-20260903-C003"/>
    <n v="2"/>
    <s v="C003"/>
    <d v="2026-09-03T00:00:00"/>
    <s v="P009"/>
    <s v="公斤"/>
    <n v="4.5999999999999996"/>
    <n v="4.5999999999999996"/>
    <n v="0"/>
    <n v="5"/>
    <s v="正常交付"/>
    <s v="true"/>
    <s v="西红柿"/>
    <s v="散装鲜菜"/>
    <x v="2"/>
    <n v="23"/>
    <n v="0"/>
    <n v="23"/>
    <s v=""/>
    <s v=""/>
    <s v=""/>
    <s v=""/>
    <s v="通过"/>
  </r>
  <r>
    <s v="SIM-20260903-C003"/>
    <n v="3"/>
    <s v="C003"/>
    <d v="2026-09-03T00:00:00"/>
    <s v="P002"/>
    <s v="公斤"/>
    <n v="6.2"/>
    <n v="6.2"/>
    <n v="0"/>
    <n v="2.2999999999999998"/>
    <s v="正常交付"/>
    <s v="true"/>
    <s v="白萝卜"/>
    <s v="散装鲜菜"/>
    <x v="2"/>
    <n v="14.26"/>
    <n v="0"/>
    <n v="14.26"/>
    <s v=""/>
    <s v=""/>
    <s v=""/>
    <s v=""/>
    <s v="通过"/>
  </r>
  <r>
    <s v="SIM-20260903-C003"/>
    <n v="4"/>
    <s v="C003"/>
    <d v="2026-09-03T00:00:00"/>
    <s v="P006"/>
    <s v="公斤"/>
    <n v="6.7"/>
    <n v="6.7"/>
    <n v="0"/>
    <n v="4.5999999999999996"/>
    <s v="正常交付"/>
    <s v="true"/>
    <s v="茄子"/>
    <s v="散装鲜菜"/>
    <x v="2"/>
    <n v="30.82"/>
    <n v="0"/>
    <n v="30.82"/>
    <s v=""/>
    <s v=""/>
    <s v=""/>
    <s v=""/>
    <s v="通过"/>
  </r>
  <r>
    <s v="SIM-20260903-C003"/>
    <n v="5"/>
    <s v="C003"/>
    <d v="2026-09-03T00:00:00"/>
    <s v="P014"/>
    <s v="公斤"/>
    <n v="7.2"/>
    <n v="7.2"/>
    <n v="0"/>
    <n v="4.7"/>
    <s v="正常交付"/>
    <s v="true"/>
    <s v="丝瓜"/>
    <s v="散装鲜菜"/>
    <x v="2"/>
    <n v="33.840000000000003"/>
    <n v="0"/>
    <n v="33.840000000000003"/>
    <s v=""/>
    <s v=""/>
    <s v=""/>
    <s v=""/>
    <s v="通过"/>
  </r>
  <r>
    <s v="SIM-20260903-C003"/>
    <n v="6"/>
    <s v="C003"/>
    <d v="2026-09-03T00:00:00"/>
    <s v="P003"/>
    <s v="公斤"/>
    <n v="6.2"/>
    <n v="5.7"/>
    <n v="0"/>
    <n v="3.3"/>
    <s v="到货不足；按实际交付计费"/>
    <s v="true"/>
    <s v="包菜"/>
    <s v="散装鲜菜"/>
    <x v="2"/>
    <n v="18.809999999999999"/>
    <n v="0"/>
    <n v="18.809999999999999"/>
    <s v=""/>
    <s v=""/>
    <s v=""/>
    <s v=""/>
    <s v="通过"/>
  </r>
  <r>
    <s v="SIM-20260903-C003"/>
    <n v="7"/>
    <s v="C003"/>
    <d v="2026-09-03T00:00:00"/>
    <s v="P016"/>
    <s v="公斤"/>
    <n v="6"/>
    <n v="6"/>
    <n v="0"/>
    <n v="10.1"/>
    <s v="正常交付"/>
    <s v="true"/>
    <s v="鸡蛋"/>
    <s v="普通鲜鸡蛋按净重"/>
    <x v="2"/>
    <n v="60.6"/>
    <n v="0"/>
    <n v="60.6"/>
    <s v=""/>
    <s v=""/>
    <s v=""/>
    <s v=""/>
    <s v="通过"/>
  </r>
  <r>
    <s v="SIM-20260903-C004"/>
    <n v="1"/>
    <s v="C004"/>
    <d v="2026-09-03T00:00:00"/>
    <s v="P010"/>
    <s v="公斤"/>
    <n v="5.6"/>
    <n v="5.6"/>
    <n v="0"/>
    <n v="5"/>
    <s v="正常交付"/>
    <s v="true"/>
    <s v="空心菜"/>
    <s v="散装鲜菜"/>
    <x v="3"/>
    <n v="28"/>
    <n v="0"/>
    <n v="28"/>
    <s v=""/>
    <s v=""/>
    <s v=""/>
    <s v=""/>
    <s v="通过"/>
  </r>
  <r>
    <s v="SIM-20260903-C004"/>
    <n v="2"/>
    <s v="C004"/>
    <d v="2026-09-03T00:00:00"/>
    <s v="P006"/>
    <s v="公斤"/>
    <n v="4.0999999999999996"/>
    <n v="4.0999999999999996"/>
    <n v="0"/>
    <n v="4.5999999999999996"/>
    <s v="正常交付"/>
    <s v="true"/>
    <s v="茄子"/>
    <s v="散装鲜菜"/>
    <x v="3"/>
    <n v="18.86"/>
    <n v="0"/>
    <n v="18.86"/>
    <s v=""/>
    <s v=""/>
    <s v=""/>
    <s v=""/>
    <s v="通过"/>
  </r>
  <r>
    <s v="SIM-20260903-C004"/>
    <n v="3"/>
    <s v="C004"/>
    <d v="2026-09-03T00:00:00"/>
    <s v="P003"/>
    <s v="公斤"/>
    <n v="7.6"/>
    <n v="7.6"/>
    <n v="0"/>
    <n v="3.3"/>
    <s v="正常交付"/>
    <s v="true"/>
    <s v="包菜"/>
    <s v="散装鲜菜"/>
    <x v="3"/>
    <n v="25.08"/>
    <n v="0"/>
    <n v="25.08"/>
    <s v=""/>
    <s v=""/>
    <s v=""/>
    <s v=""/>
    <s v="通过"/>
  </r>
  <r>
    <s v="SIM-20260903-C004"/>
    <n v="4"/>
    <s v="C004"/>
    <d v="2026-09-03T00:00:00"/>
    <s v="P013"/>
    <s v="公斤"/>
    <n v="7.6"/>
    <n v="7.6"/>
    <n v="0"/>
    <n v="6.3"/>
    <s v="正常交付"/>
    <s v="true"/>
    <s v="豇豆"/>
    <s v="散装鲜菜"/>
    <x v="3"/>
    <n v="47.88"/>
    <n v="0"/>
    <n v="47.88"/>
    <s v=""/>
    <s v=""/>
    <s v=""/>
    <s v=""/>
    <s v="通过"/>
  </r>
  <r>
    <s v="SIM-20260903-C004"/>
    <n v="5"/>
    <s v="C004"/>
    <d v="2026-09-03T00:00:00"/>
    <s v="P007"/>
    <s v="公斤"/>
    <n v="7.1"/>
    <n v="7.1"/>
    <n v="0"/>
    <n v="5.15"/>
    <s v="正常交付"/>
    <s v="true"/>
    <s v="青椒"/>
    <s v="散装鲜菜"/>
    <x v="3"/>
    <n v="36.57"/>
    <n v="0"/>
    <n v="36.57"/>
    <s v=""/>
    <s v=""/>
    <s v=""/>
    <s v=""/>
    <s v="通过"/>
  </r>
  <r>
    <s v="SIM-20260903-C004"/>
    <n v="6"/>
    <s v="C004"/>
    <d v="2026-09-03T00:00:00"/>
    <s v="P009"/>
    <s v="公斤"/>
    <n v="7.1"/>
    <n v="7.1"/>
    <n v="0"/>
    <n v="5"/>
    <s v="正常交付"/>
    <s v="true"/>
    <s v="西红柿"/>
    <s v="散装鲜菜"/>
    <x v="3"/>
    <n v="35.5"/>
    <n v="0"/>
    <n v="35.5"/>
    <s v=""/>
    <s v=""/>
    <s v=""/>
    <s v=""/>
    <s v="通过"/>
  </r>
  <r>
    <s v="SIM-20260903-C005"/>
    <n v="1"/>
    <s v="C005"/>
    <d v="2026-09-03T00:00:00"/>
    <s v="P010"/>
    <s v="公斤"/>
    <n v="8.1999999999999993"/>
    <n v="8.1999999999999993"/>
    <n v="0"/>
    <n v="5"/>
    <s v="正常交付"/>
    <s v="true"/>
    <s v="空心菜"/>
    <s v="散装鲜菜"/>
    <x v="4"/>
    <n v="41"/>
    <n v="0"/>
    <n v="41"/>
    <s v=""/>
    <s v=""/>
    <s v=""/>
    <s v=""/>
    <s v="通过"/>
  </r>
  <r>
    <s v="SIM-20260903-C005"/>
    <n v="2"/>
    <s v="C005"/>
    <d v="2026-09-03T00:00:00"/>
    <s v="P001"/>
    <s v="公斤"/>
    <n v="8.1999999999999993"/>
    <n v="8.1999999999999993"/>
    <n v="0"/>
    <n v="3.3"/>
    <s v="正常交付"/>
    <s v="true"/>
    <s v="土豆"/>
    <s v="散装鲜菜"/>
    <x v="4"/>
    <n v="27.06"/>
    <n v="0"/>
    <n v="27.06"/>
    <s v=""/>
    <s v=""/>
    <s v=""/>
    <s v=""/>
    <s v="通过"/>
  </r>
  <r>
    <s v="SIM-20260903-C005"/>
    <n v="3"/>
    <s v="C005"/>
    <d v="2026-09-03T00:00:00"/>
    <s v="P008"/>
    <s v="公斤"/>
    <n v="13.3"/>
    <n v="13.3"/>
    <n v="0"/>
    <n v="4.0999999999999996"/>
    <s v="正常交付"/>
    <s v="true"/>
    <s v="黄瓜"/>
    <s v="散装鲜菜"/>
    <x v="4"/>
    <n v="54.53"/>
    <n v="0"/>
    <n v="54.53"/>
    <s v=""/>
    <s v=""/>
    <s v=""/>
    <s v=""/>
    <s v="通过"/>
  </r>
  <r>
    <s v="SIM-20260903-C005"/>
    <n v="4"/>
    <s v="C005"/>
    <d v="2026-09-03T00:00:00"/>
    <s v="P009"/>
    <s v="公斤"/>
    <n v="7.2"/>
    <n v="7.2"/>
    <n v="0"/>
    <n v="5"/>
    <s v="正常交付"/>
    <s v="true"/>
    <s v="西红柿"/>
    <s v="散装鲜菜"/>
    <x v="4"/>
    <n v="36"/>
    <n v="0"/>
    <n v="36"/>
    <s v=""/>
    <s v=""/>
    <s v=""/>
    <s v=""/>
    <s v="通过"/>
  </r>
  <r>
    <s v="SIM-20260903-C005"/>
    <n v="5"/>
    <s v="C005"/>
    <d v="2026-09-03T00:00:00"/>
    <s v="P013"/>
    <s v="公斤"/>
    <n v="8.1999999999999993"/>
    <n v="8.1999999999999993"/>
    <n v="0"/>
    <n v="6.3"/>
    <s v="正常交付"/>
    <s v="true"/>
    <s v="豇豆"/>
    <s v="散装鲜菜"/>
    <x v="4"/>
    <n v="51.66"/>
    <n v="0"/>
    <n v="51.66"/>
    <s v=""/>
    <s v=""/>
    <s v=""/>
    <s v=""/>
    <s v="通过"/>
  </r>
  <r>
    <s v="SIM-20260903-C005"/>
    <n v="6"/>
    <s v="C005"/>
    <d v="2026-09-03T00:00:00"/>
    <s v="P005"/>
    <s v="公斤"/>
    <n v="16.399999999999999"/>
    <n v="16.399999999999999"/>
    <n v="0"/>
    <n v="2.7"/>
    <s v="正常交付"/>
    <s v="true"/>
    <s v="南瓜"/>
    <s v="散装鲜菜"/>
    <x v="4"/>
    <n v="44.28"/>
    <n v="0"/>
    <n v="44.28"/>
    <s v=""/>
    <s v=""/>
    <s v=""/>
    <s v=""/>
    <s v="通过"/>
  </r>
  <r>
    <s v="SIM-20260903-C005"/>
    <n v="7"/>
    <s v="C005"/>
    <d v="2026-09-03T00:00:00"/>
    <s v="P016"/>
    <s v="公斤"/>
    <n v="12"/>
    <n v="12"/>
    <n v="0"/>
    <n v="10.1"/>
    <s v="正常交付"/>
    <s v="true"/>
    <s v="鸡蛋"/>
    <s v="普通鲜鸡蛋按净重"/>
    <x v="4"/>
    <n v="121.2"/>
    <n v="0"/>
    <n v="121.2"/>
    <s v=""/>
    <s v=""/>
    <s v=""/>
    <s v=""/>
    <s v="通过"/>
  </r>
  <r>
    <s v="SIM-20260903-C006"/>
    <n v="1"/>
    <s v="C006"/>
    <d v="2026-09-03T00:00:00"/>
    <s v="P011"/>
    <s v="公斤"/>
    <n v="5"/>
    <n v="5"/>
    <n v="0"/>
    <n v="4.4000000000000004"/>
    <s v="正常交付"/>
    <s v="true"/>
    <s v="红薯叶"/>
    <s v="散装鲜菜"/>
    <x v="5"/>
    <n v="22"/>
    <n v="0"/>
    <n v="22"/>
    <s v=""/>
    <s v=""/>
    <s v=""/>
    <s v=""/>
    <s v="通过"/>
  </r>
  <r>
    <s v="SIM-20260903-C006"/>
    <n v="2"/>
    <s v="C006"/>
    <d v="2026-09-03T00:00:00"/>
    <s v="P004"/>
    <s v="公斤"/>
    <n v="4.4000000000000004"/>
    <n v="4.4000000000000004"/>
    <n v="0"/>
    <n v="2.2999999999999998"/>
    <s v="正常交付"/>
    <s v="true"/>
    <s v="冬瓜"/>
    <s v="散装鲜菜"/>
    <x v="5"/>
    <n v="10.119999999999999"/>
    <n v="0"/>
    <n v="10.119999999999999"/>
    <s v=""/>
    <s v=""/>
    <s v=""/>
    <s v=""/>
    <s v="通过"/>
  </r>
  <r>
    <s v="SIM-20260903-C006"/>
    <n v="3"/>
    <s v="C006"/>
    <d v="2026-09-03T00:00:00"/>
    <s v="P003"/>
    <s v="公斤"/>
    <n v="8.8000000000000007"/>
    <n v="8.8000000000000007"/>
    <n v="0"/>
    <n v="3.3"/>
    <s v="正常交付"/>
    <s v="true"/>
    <s v="包菜"/>
    <s v="散装鲜菜"/>
    <x v="5"/>
    <n v="29.04"/>
    <n v="0"/>
    <n v="29.04"/>
    <s v=""/>
    <s v=""/>
    <s v=""/>
    <s v=""/>
    <s v="通过"/>
  </r>
  <r>
    <s v="SIM-20260903-C006"/>
    <n v="4"/>
    <s v="C006"/>
    <d v="2026-09-03T00:00:00"/>
    <s v="P014"/>
    <s v="公斤"/>
    <n v="9.5"/>
    <n v="9.5"/>
    <n v="0"/>
    <n v="4.7"/>
    <s v="正常交付"/>
    <s v="true"/>
    <s v="丝瓜"/>
    <s v="散装鲜菜"/>
    <x v="5"/>
    <n v="44.65"/>
    <n v="0"/>
    <n v="44.65"/>
    <s v=""/>
    <s v=""/>
    <s v=""/>
    <s v=""/>
    <s v="通过"/>
  </r>
  <r>
    <s v="SIM-20260903-C006"/>
    <n v="5"/>
    <s v="C006"/>
    <d v="2026-09-03T00:00:00"/>
    <s v="P002"/>
    <s v="公斤"/>
    <n v="10.1"/>
    <n v="10.1"/>
    <n v="0"/>
    <n v="2.2999999999999998"/>
    <s v="正常交付"/>
    <s v="true"/>
    <s v="白萝卜"/>
    <s v="散装鲜菜"/>
    <x v="5"/>
    <n v="23.23"/>
    <n v="0"/>
    <n v="23.23"/>
    <s v=""/>
    <s v=""/>
    <s v=""/>
    <s v=""/>
    <s v="通过"/>
  </r>
  <r>
    <s v="SIM-20260903-C006"/>
    <n v="6"/>
    <s v="C006"/>
    <d v="2026-09-03T00:00:00"/>
    <s v="P008"/>
    <s v="公斤"/>
    <n v="8.1999999999999993"/>
    <n v="8.1999999999999993"/>
    <n v="0"/>
    <n v="4.0999999999999996"/>
    <s v="正常交付"/>
    <s v="true"/>
    <s v="黄瓜"/>
    <s v="散装鲜菜"/>
    <x v="5"/>
    <n v="33.619999999999997"/>
    <n v="0"/>
    <n v="33.619999999999997"/>
    <s v=""/>
    <s v=""/>
    <s v=""/>
    <s v=""/>
    <s v="通过"/>
  </r>
  <r>
    <s v="SIM-20260903-C006"/>
    <n v="7"/>
    <s v="C006"/>
    <d v="2026-09-03T00:00:00"/>
    <s v="P016"/>
    <s v="公斤"/>
    <n v="9"/>
    <n v="9"/>
    <n v="0"/>
    <n v="10.1"/>
    <s v="正常交付"/>
    <s v="true"/>
    <s v="鸡蛋"/>
    <s v="普通鲜鸡蛋按净重"/>
    <x v="5"/>
    <n v="90.9"/>
    <n v="0"/>
    <n v="90.9"/>
    <s v=""/>
    <s v=""/>
    <s v=""/>
    <s v=""/>
    <s v="通过"/>
  </r>
  <r>
    <s v="SIM-20260904-C001"/>
    <n v="1"/>
    <s v="C001"/>
    <d v="2026-09-04T00:00:00"/>
    <s v="P012"/>
    <s v="公斤"/>
    <n v="2.6"/>
    <n v="2.6"/>
    <n v="0"/>
    <n v="4.5999999999999996"/>
    <s v="正常交付"/>
    <s v="true"/>
    <s v="小白菜"/>
    <s v="散装鲜菜"/>
    <x v="0"/>
    <n v="11.96"/>
    <n v="0"/>
    <n v="11.96"/>
    <s v=""/>
    <s v=""/>
    <s v=""/>
    <s v=""/>
    <s v="通过"/>
  </r>
  <r>
    <s v="SIM-20260904-C001"/>
    <n v="2"/>
    <s v="C001"/>
    <d v="2026-09-04T00:00:00"/>
    <s v="P008"/>
    <s v="公斤"/>
    <n v="2"/>
    <n v="2"/>
    <n v="0"/>
    <n v="4.0999999999999996"/>
    <s v="正常交付"/>
    <s v="true"/>
    <s v="黄瓜"/>
    <s v="散装鲜菜"/>
    <x v="0"/>
    <n v="8.1999999999999993"/>
    <n v="0"/>
    <n v="8.1999999999999993"/>
    <s v=""/>
    <s v=""/>
    <s v=""/>
    <s v=""/>
    <s v="通过"/>
  </r>
  <r>
    <s v="SIM-20260904-C001"/>
    <n v="3"/>
    <s v="C001"/>
    <d v="2026-09-04T00:00:00"/>
    <s v="P007"/>
    <s v="公斤"/>
    <n v="3.1"/>
    <n v="3.1"/>
    <n v="0"/>
    <n v="5.15"/>
    <s v="正常交付"/>
    <s v="true"/>
    <s v="青椒"/>
    <s v="散装鲜菜"/>
    <x v="0"/>
    <n v="15.97"/>
    <n v="0"/>
    <n v="15.97"/>
    <s v=""/>
    <s v=""/>
    <s v=""/>
    <s v=""/>
    <s v="通过"/>
  </r>
  <r>
    <s v="SIM-20260904-C001"/>
    <n v="4"/>
    <s v="C001"/>
    <d v="2026-09-04T00:00:00"/>
    <s v="P009"/>
    <s v="公斤"/>
    <n v="2.9"/>
    <n v="2.9"/>
    <n v="0"/>
    <n v="5"/>
    <s v="正常交付"/>
    <s v="true"/>
    <s v="西红柿"/>
    <s v="散装鲜菜"/>
    <x v="0"/>
    <n v="14.5"/>
    <n v="0"/>
    <n v="14.5"/>
    <s v=""/>
    <s v=""/>
    <s v=""/>
    <s v=""/>
    <s v="通过"/>
  </r>
  <r>
    <s v="SIM-20260904-C001"/>
    <n v="5"/>
    <s v="C001"/>
    <d v="2026-09-04T00:00:00"/>
    <s v="P015"/>
    <s v="公斤"/>
    <n v="0.5"/>
    <n v="0.3"/>
    <n v="0"/>
    <n v="7.3"/>
    <s v="到货不足；按实际交付计费"/>
    <s v="true"/>
    <s v="小葱"/>
    <s v="散装鲜菜"/>
    <x v="0"/>
    <n v="2.19"/>
    <n v="0"/>
    <n v="2.19"/>
    <s v=""/>
    <s v=""/>
    <s v=""/>
    <s v=""/>
    <s v="通过"/>
  </r>
  <r>
    <s v="SIM-20260904-C002"/>
    <n v="1"/>
    <s v="C002"/>
    <d v="2026-09-04T00:00:00"/>
    <s v="P012"/>
    <s v="公斤"/>
    <n v="4.2"/>
    <n v="4.2"/>
    <n v="0.5"/>
    <n v="4.5999999999999996"/>
    <s v="正常交付；签收时挑出黄叶退回"/>
    <s v="true"/>
    <s v="小白菜"/>
    <s v="散装鲜菜"/>
    <x v="1"/>
    <n v="19.32"/>
    <n v="2.2999999999999998"/>
    <n v="17.02"/>
    <s v=""/>
    <s v=""/>
    <s v=""/>
    <s v=""/>
    <s v="通过"/>
  </r>
  <r>
    <s v="SIM-20260904-C002"/>
    <n v="2"/>
    <s v="C002"/>
    <d v="2026-09-04T00:00:00"/>
    <s v="P014"/>
    <s v="公斤"/>
    <n v="6"/>
    <n v="6"/>
    <n v="0"/>
    <n v="4.7"/>
    <s v="正常交付"/>
    <s v="true"/>
    <s v="丝瓜"/>
    <s v="散装鲜菜"/>
    <x v="1"/>
    <n v="28.2"/>
    <n v="0"/>
    <n v="28.2"/>
    <s v=""/>
    <s v=""/>
    <s v=""/>
    <s v=""/>
    <s v="通过"/>
  </r>
  <r>
    <s v="SIM-20260904-C002"/>
    <n v="3"/>
    <s v="C002"/>
    <d v="2026-09-04T00:00:00"/>
    <s v="P002"/>
    <s v="公斤"/>
    <n v="6.7"/>
    <n v="6.7"/>
    <n v="0"/>
    <n v="2.2999999999999998"/>
    <s v="正常交付"/>
    <s v="true"/>
    <s v="白萝卜"/>
    <s v="散装鲜菜"/>
    <x v="1"/>
    <n v="15.41"/>
    <n v="0"/>
    <n v="15.41"/>
    <s v=""/>
    <s v=""/>
    <s v=""/>
    <s v=""/>
    <s v="通过"/>
  </r>
  <r>
    <s v="SIM-20260904-C002"/>
    <n v="4"/>
    <s v="C002"/>
    <d v="2026-09-04T00:00:00"/>
    <s v="P006"/>
    <s v="公斤"/>
    <n v="9.1"/>
    <n v="9.1"/>
    <n v="0"/>
    <n v="4.5999999999999996"/>
    <s v="正常交付"/>
    <s v="true"/>
    <s v="茄子"/>
    <s v="散装鲜菜"/>
    <x v="1"/>
    <n v="41.86"/>
    <n v="0"/>
    <n v="41.86"/>
    <s v=""/>
    <s v=""/>
    <s v=""/>
    <s v=""/>
    <s v="通过"/>
  </r>
  <r>
    <s v="SIM-20260904-C002"/>
    <n v="5"/>
    <s v="C002"/>
    <d v="2026-09-04T00:00:00"/>
    <s v="P013"/>
    <s v="公斤"/>
    <n v="7.3"/>
    <n v="7.3"/>
    <n v="0"/>
    <n v="6.3"/>
    <s v="正常交付"/>
    <s v="true"/>
    <s v="豇豆"/>
    <s v="散装鲜菜"/>
    <x v="1"/>
    <n v="45.99"/>
    <n v="0"/>
    <n v="45.99"/>
    <s v=""/>
    <s v=""/>
    <s v=""/>
    <s v=""/>
    <s v="通过"/>
  </r>
  <r>
    <s v="SIM-20260904-C002"/>
    <n v="6"/>
    <s v="C002"/>
    <d v="2026-09-04T00:00:00"/>
    <s v="P015"/>
    <s v="公斤"/>
    <n v="1"/>
    <n v="1"/>
    <n v="0"/>
    <n v="7.3"/>
    <s v="正常交付"/>
    <s v="true"/>
    <s v="小葱"/>
    <s v="散装鲜菜"/>
    <x v="1"/>
    <n v="7.3"/>
    <n v="0"/>
    <n v="7.3"/>
    <s v=""/>
    <s v=""/>
    <s v=""/>
    <s v=""/>
    <s v="通过"/>
  </r>
  <r>
    <s v="SIM-20260904-C003"/>
    <n v="1"/>
    <s v="C003"/>
    <d v="2026-09-04T00:00:00"/>
    <s v="P011"/>
    <s v="公斤"/>
    <n v="8.6999999999999993"/>
    <n v="8.6999999999999993"/>
    <n v="0"/>
    <n v="4.4000000000000004"/>
    <s v="正常交付"/>
    <s v="true"/>
    <s v="红薯叶"/>
    <s v="散装鲜菜"/>
    <x v="2"/>
    <n v="38.28"/>
    <n v="0"/>
    <n v="38.28"/>
    <s v=""/>
    <s v=""/>
    <s v=""/>
    <s v=""/>
    <s v="通过"/>
  </r>
  <r>
    <s v="SIM-20260904-C003"/>
    <n v="2"/>
    <s v="C003"/>
    <d v="2026-09-04T00:00:00"/>
    <s v="P007"/>
    <s v="公斤"/>
    <n v="5.3"/>
    <n v="5.3"/>
    <n v="0"/>
    <n v="5.15"/>
    <s v="正常交付"/>
    <s v="true"/>
    <s v="青椒"/>
    <s v="散装鲜菜"/>
    <x v="2"/>
    <n v="27.3"/>
    <n v="0"/>
    <n v="27.3"/>
    <s v=""/>
    <s v=""/>
    <s v=""/>
    <s v=""/>
    <s v="通过"/>
  </r>
  <r>
    <s v="SIM-20260904-C003"/>
    <n v="3"/>
    <s v="C003"/>
    <d v="2026-09-04T00:00:00"/>
    <s v="P002"/>
    <s v="公斤"/>
    <n v="8"/>
    <n v="8"/>
    <n v="0"/>
    <n v="2.2999999999999998"/>
    <s v="正常交付"/>
    <s v="true"/>
    <s v="白萝卜"/>
    <s v="散装鲜菜"/>
    <x v="2"/>
    <n v="18.399999999999999"/>
    <n v="0"/>
    <n v="18.399999999999999"/>
    <s v=""/>
    <s v=""/>
    <s v=""/>
    <s v=""/>
    <s v="通过"/>
  </r>
  <r>
    <s v="SIM-20260904-C003"/>
    <n v="4"/>
    <s v="C003"/>
    <d v="2026-09-04T00:00:00"/>
    <s v="P013"/>
    <s v="公斤"/>
    <n v="10.7"/>
    <n v="10.7"/>
    <n v="0"/>
    <n v="6.3"/>
    <s v="正常交付"/>
    <s v="true"/>
    <s v="豇豆"/>
    <s v="散装鲜菜"/>
    <x v="2"/>
    <n v="67.41"/>
    <n v="0"/>
    <n v="67.41"/>
    <s v=""/>
    <s v=""/>
    <s v=""/>
    <s v=""/>
    <s v="通过"/>
  </r>
  <r>
    <s v="SIM-20260904-C003"/>
    <n v="5"/>
    <s v="C003"/>
    <d v="2026-09-04T00:00:00"/>
    <s v="P003"/>
    <s v="公斤"/>
    <n v="5.3"/>
    <n v="5.3"/>
    <n v="0"/>
    <n v="3.3"/>
    <s v="正常交付"/>
    <s v="true"/>
    <s v="包菜"/>
    <s v="散装鲜菜"/>
    <x v="2"/>
    <n v="17.489999999999998"/>
    <n v="0"/>
    <n v="17.489999999999998"/>
    <s v=""/>
    <s v=""/>
    <s v=""/>
    <s v=""/>
    <s v="通过"/>
  </r>
  <r>
    <s v="SIM-20260904-C003"/>
    <n v="6"/>
    <s v="C003"/>
    <d v="2026-09-04T00:00:00"/>
    <s v="P014"/>
    <s v="公斤"/>
    <n v="6"/>
    <n v="6"/>
    <n v="0"/>
    <n v="4.7"/>
    <s v="正常交付"/>
    <s v="true"/>
    <s v="丝瓜"/>
    <s v="散装鲜菜"/>
    <x v="2"/>
    <n v="28.2"/>
    <n v="0"/>
    <n v="28.2"/>
    <s v=""/>
    <s v=""/>
    <s v=""/>
    <s v=""/>
    <s v="通过"/>
  </r>
  <r>
    <s v="SIM-20260904-C003"/>
    <n v="7"/>
    <s v="C003"/>
    <d v="2026-09-04T00:00:00"/>
    <s v="P015"/>
    <s v="公斤"/>
    <n v="1"/>
    <n v="1"/>
    <n v="0"/>
    <n v="7.3"/>
    <s v="正常交付"/>
    <s v="true"/>
    <s v="小葱"/>
    <s v="散装鲜菜"/>
    <x v="2"/>
    <n v="7.3"/>
    <n v="0"/>
    <n v="7.3"/>
    <s v=""/>
    <s v=""/>
    <s v=""/>
    <s v=""/>
    <s v="通过"/>
  </r>
  <r>
    <s v="SIM-20260904-C005"/>
    <n v="1"/>
    <s v="C005"/>
    <d v="2026-09-04T00:00:00"/>
    <s v="P012"/>
    <s v="公斤"/>
    <n v="15.2"/>
    <n v="15.2"/>
    <n v="0"/>
    <n v="4.5999999999999996"/>
    <s v="正常交付"/>
    <s v="true"/>
    <s v="小白菜"/>
    <s v="散装鲜菜"/>
    <x v="4"/>
    <n v="69.92"/>
    <n v="0"/>
    <n v="69.92"/>
    <s v=""/>
    <s v=""/>
    <s v=""/>
    <s v=""/>
    <s v="通过"/>
  </r>
  <r>
    <s v="SIM-20260904-C005"/>
    <n v="2"/>
    <s v="C005"/>
    <d v="2026-09-04T00:00:00"/>
    <s v="P008"/>
    <s v="公斤"/>
    <n v="11.9"/>
    <n v="11.9"/>
    <n v="0"/>
    <n v="4.0999999999999996"/>
    <s v="正常交付"/>
    <s v="true"/>
    <s v="黄瓜"/>
    <s v="散装鲜菜"/>
    <x v="4"/>
    <n v="48.79"/>
    <n v="0"/>
    <n v="48.79"/>
    <s v=""/>
    <s v=""/>
    <s v=""/>
    <s v=""/>
    <s v="通过"/>
  </r>
  <r>
    <s v="SIM-20260904-C005"/>
    <n v="3"/>
    <s v="C005"/>
    <d v="2026-09-04T00:00:00"/>
    <s v="P003"/>
    <s v="公斤"/>
    <n v="8.6999999999999993"/>
    <n v="8.6999999999999993"/>
    <n v="0"/>
    <n v="3.3"/>
    <s v="正常交付"/>
    <s v="true"/>
    <s v="包菜"/>
    <s v="散装鲜菜"/>
    <x v="4"/>
    <n v="28.71"/>
    <n v="0"/>
    <n v="28.71"/>
    <s v=""/>
    <s v=""/>
    <s v=""/>
    <s v=""/>
    <s v="通过"/>
  </r>
  <r>
    <s v="SIM-20260904-C005"/>
    <n v="4"/>
    <s v="C005"/>
    <d v="2026-09-04T00:00:00"/>
    <s v="P002"/>
    <s v="公斤"/>
    <n v="7.6"/>
    <n v="7.6"/>
    <n v="0"/>
    <n v="2.2999999999999998"/>
    <s v="正常交付"/>
    <s v="true"/>
    <s v="白萝卜"/>
    <s v="散装鲜菜"/>
    <x v="4"/>
    <n v="17.48"/>
    <n v="0"/>
    <n v="17.48"/>
    <s v=""/>
    <s v=""/>
    <s v=""/>
    <s v=""/>
    <s v="通过"/>
  </r>
  <r>
    <s v="SIM-20260904-C005"/>
    <n v="5"/>
    <s v="C005"/>
    <d v="2026-09-04T00:00:00"/>
    <s v="P006"/>
    <s v="公斤"/>
    <n v="17.3"/>
    <n v="17.3"/>
    <n v="0"/>
    <n v="4.5999999999999996"/>
    <s v="正常交付"/>
    <s v="true"/>
    <s v="茄子"/>
    <s v="散装鲜菜"/>
    <x v="4"/>
    <n v="79.58"/>
    <n v="0"/>
    <n v="79.58"/>
    <s v=""/>
    <s v=""/>
    <s v=""/>
    <s v=""/>
    <s v="通过"/>
  </r>
  <r>
    <s v="SIM-20260904-C005"/>
    <n v="6"/>
    <s v="C005"/>
    <d v="2026-09-04T00:00:00"/>
    <s v="P004"/>
    <s v="公斤"/>
    <n v="7.6"/>
    <n v="7.6"/>
    <n v="0"/>
    <n v="2.2999999999999998"/>
    <s v="正常交付"/>
    <s v="true"/>
    <s v="冬瓜"/>
    <s v="散装鲜菜"/>
    <x v="4"/>
    <n v="17.48"/>
    <n v="0"/>
    <n v="17.48"/>
    <s v=""/>
    <s v=""/>
    <s v=""/>
    <s v=""/>
    <s v="通过"/>
  </r>
  <r>
    <s v="SIM-20260904-C005"/>
    <n v="7"/>
    <s v="C005"/>
    <d v="2026-09-04T00:00:00"/>
    <s v="P015"/>
    <s v="公斤"/>
    <n v="1"/>
    <n v="1"/>
    <n v="0"/>
    <n v="7.3"/>
    <s v="正常交付"/>
    <s v="true"/>
    <s v="小葱"/>
    <s v="散装鲜菜"/>
    <x v="4"/>
    <n v="7.3"/>
    <n v="0"/>
    <n v="7.3"/>
    <s v=""/>
    <s v=""/>
    <s v=""/>
    <s v=""/>
    <s v="通过"/>
  </r>
  <r>
    <s v="SIM-20260904-C006"/>
    <n v="1"/>
    <s v="C006"/>
    <d v="2026-09-04T00:00:00"/>
    <s v="P012"/>
    <s v="公斤"/>
    <n v="6"/>
    <n v="6"/>
    <n v="0"/>
    <n v="4.5999999999999996"/>
    <s v="正常交付"/>
    <s v="true"/>
    <s v="小白菜"/>
    <s v="散装鲜菜"/>
    <x v="5"/>
    <n v="27.6"/>
    <n v="0"/>
    <n v="27.6"/>
    <s v=""/>
    <s v=""/>
    <s v=""/>
    <s v=""/>
    <s v="通过"/>
  </r>
  <r>
    <s v="SIM-20260904-C006"/>
    <n v="2"/>
    <s v="C006"/>
    <d v="2026-09-04T00:00:00"/>
    <s v="P003"/>
    <s v="公斤"/>
    <n v="8"/>
    <n v="8"/>
    <n v="0"/>
    <n v="3.3"/>
    <s v="正常交付"/>
    <s v="true"/>
    <s v="包菜"/>
    <s v="散装鲜菜"/>
    <x v="5"/>
    <n v="26.4"/>
    <n v="0"/>
    <n v="26.4"/>
    <s v=""/>
    <s v=""/>
    <s v=""/>
    <s v=""/>
    <s v="通过"/>
  </r>
  <r>
    <s v="SIM-20260904-C006"/>
    <n v="3"/>
    <s v="C006"/>
    <d v="2026-09-04T00:00:00"/>
    <s v="P002"/>
    <s v="公斤"/>
    <n v="8"/>
    <n v="8"/>
    <n v="0"/>
    <n v="2.2999999999999998"/>
    <s v="正常交付"/>
    <s v="true"/>
    <s v="白萝卜"/>
    <s v="散装鲜菜"/>
    <x v="5"/>
    <n v="18.399999999999999"/>
    <n v="0"/>
    <n v="18.399999999999999"/>
    <s v=""/>
    <s v=""/>
    <s v=""/>
    <s v=""/>
    <s v="通过"/>
  </r>
  <r>
    <s v="SIM-20260904-C006"/>
    <n v="4"/>
    <s v="C006"/>
    <d v="2026-09-04T00:00:00"/>
    <s v="P009"/>
    <s v="公斤"/>
    <n v="8.6"/>
    <n v="8.6"/>
    <n v="0"/>
    <n v="5"/>
    <s v="正常交付"/>
    <s v="true"/>
    <s v="西红柿"/>
    <s v="散装鲜菜"/>
    <x v="5"/>
    <n v="43"/>
    <n v="0"/>
    <n v="43"/>
    <s v=""/>
    <s v=""/>
    <s v=""/>
    <s v=""/>
    <s v="通过"/>
  </r>
  <r>
    <s v="SIM-20260904-C006"/>
    <n v="5"/>
    <s v="C006"/>
    <d v="2026-09-04T00:00:00"/>
    <s v="P014"/>
    <s v="公斤"/>
    <n v="8"/>
    <n v="8"/>
    <n v="0"/>
    <n v="4.7"/>
    <s v="正常交付"/>
    <s v="true"/>
    <s v="丝瓜"/>
    <s v="散装鲜菜"/>
    <x v="5"/>
    <n v="37.6"/>
    <n v="0"/>
    <n v="37.6"/>
    <s v=""/>
    <s v=""/>
    <s v=""/>
    <s v=""/>
    <s v="通过"/>
  </r>
  <r>
    <s v="SIM-20260904-C006"/>
    <n v="6"/>
    <s v="C006"/>
    <d v="2026-09-04T00:00:00"/>
    <s v="P005"/>
    <s v="公斤"/>
    <n v="4.7"/>
    <n v="4.7"/>
    <n v="0"/>
    <n v="2.7"/>
    <s v="正常交付"/>
    <s v="true"/>
    <s v="南瓜"/>
    <s v="散装鲜菜"/>
    <x v="5"/>
    <n v="12.69"/>
    <n v="0"/>
    <n v="12.69"/>
    <s v=""/>
    <s v=""/>
    <s v=""/>
    <s v=""/>
    <s v="通过"/>
  </r>
  <r>
    <s v="SIM-20260904-C006"/>
    <n v="7"/>
    <s v="C006"/>
    <d v="2026-09-04T00:00:00"/>
    <s v="P015"/>
    <s v="公斤"/>
    <n v="1"/>
    <n v="1"/>
    <n v="0"/>
    <n v="7.3"/>
    <s v="正常交付"/>
    <s v="true"/>
    <s v="小葱"/>
    <s v="散装鲜菜"/>
    <x v="5"/>
    <n v="7.3"/>
    <n v="0"/>
    <n v="7.3"/>
    <s v=""/>
    <s v=""/>
    <s v=""/>
    <s v=""/>
    <s v="通过"/>
  </r>
  <r>
    <s v="SIM-20260905-C001"/>
    <n v="1"/>
    <s v="C001"/>
    <d v="2026-09-05T00:00:00"/>
    <s v="P010"/>
    <s v="公斤"/>
    <n v="3.1"/>
    <n v="3.1"/>
    <n v="0"/>
    <n v="5"/>
    <s v="正常交付"/>
    <s v="true"/>
    <s v="空心菜"/>
    <s v="散装鲜菜"/>
    <x v="0"/>
    <n v="15.5"/>
    <n v="0"/>
    <n v="15.5"/>
    <s v=""/>
    <s v=""/>
    <s v=""/>
    <s v=""/>
    <s v="通过"/>
  </r>
  <r>
    <s v="SIM-20260905-C001"/>
    <n v="2"/>
    <s v="C001"/>
    <d v="2026-09-05T00:00:00"/>
    <s v="P014"/>
    <s v="公斤"/>
    <n v="2.4"/>
    <n v="2.4"/>
    <n v="0"/>
    <n v="4.7"/>
    <s v="正常交付"/>
    <s v="true"/>
    <s v="丝瓜"/>
    <s v="散装鲜菜"/>
    <x v="0"/>
    <n v="11.28"/>
    <n v="0"/>
    <n v="11.28"/>
    <s v=""/>
    <s v=""/>
    <s v=""/>
    <s v=""/>
    <s v="通过"/>
  </r>
  <r>
    <s v="SIM-20260905-C001"/>
    <n v="3"/>
    <s v="C001"/>
    <d v="2026-09-05T00:00:00"/>
    <s v="P003"/>
    <s v="公斤"/>
    <n v="3.1"/>
    <n v="3.1"/>
    <n v="0"/>
    <n v="3.3"/>
    <s v="正常交付"/>
    <s v="true"/>
    <s v="包菜"/>
    <s v="散装鲜菜"/>
    <x v="0"/>
    <n v="10.23"/>
    <n v="0"/>
    <n v="10.23"/>
    <s v=""/>
    <s v=""/>
    <s v=""/>
    <s v=""/>
    <s v="通过"/>
  </r>
  <r>
    <s v="SIM-20260905-C001"/>
    <n v="4"/>
    <s v="C001"/>
    <d v="2026-09-05T00:00:00"/>
    <s v="P007"/>
    <s v="公斤"/>
    <n v="2.9"/>
    <n v="2.9"/>
    <n v="0"/>
    <n v="5.15"/>
    <s v="正常交付"/>
    <s v="true"/>
    <s v="青椒"/>
    <s v="散装鲜菜"/>
    <x v="0"/>
    <n v="14.94"/>
    <n v="0"/>
    <n v="14.94"/>
    <s v=""/>
    <s v=""/>
    <s v=""/>
    <s v=""/>
    <s v="通过"/>
  </r>
  <r>
    <s v="SIM-20260905-C001"/>
    <n v="5"/>
    <s v="C001"/>
    <d v="2026-09-05T00:00:00"/>
    <s v="P016"/>
    <s v="公斤"/>
    <n v="3"/>
    <n v="3"/>
    <n v="0"/>
    <n v="10.1"/>
    <s v="正常交付"/>
    <s v="true"/>
    <s v="鸡蛋"/>
    <s v="普通鲜鸡蛋按净重"/>
    <x v="0"/>
    <n v="30.3"/>
    <n v="0"/>
    <n v="30.3"/>
    <s v=""/>
    <s v=""/>
    <s v=""/>
    <s v=""/>
    <s v="通过"/>
  </r>
  <r>
    <s v="SIM-20260905-C002"/>
    <n v="1"/>
    <s v="C002"/>
    <d v="2026-09-05T00:00:00"/>
    <s v="P012"/>
    <s v="公斤"/>
    <n v="7.5"/>
    <n v="7.5"/>
    <n v="0"/>
    <n v="4.5999999999999996"/>
    <s v="正常交付"/>
    <s v="true"/>
    <s v="小白菜"/>
    <s v="散装鲜菜"/>
    <x v="1"/>
    <n v="34.5"/>
    <n v="0"/>
    <n v="34.5"/>
    <s v=""/>
    <s v=""/>
    <s v=""/>
    <s v=""/>
    <s v="通过"/>
  </r>
  <r>
    <s v="SIM-20260905-C002"/>
    <n v="2"/>
    <s v="C002"/>
    <d v="2026-09-05T00:00:00"/>
    <s v="P013"/>
    <s v="公斤"/>
    <n v="8.8000000000000007"/>
    <n v="8.8000000000000007"/>
    <n v="0"/>
    <n v="6.3"/>
    <s v="正常交付"/>
    <s v="true"/>
    <s v="豇豆"/>
    <s v="散装鲜菜"/>
    <x v="1"/>
    <n v="55.44"/>
    <n v="0"/>
    <n v="55.44"/>
    <s v=""/>
    <s v=""/>
    <s v=""/>
    <s v=""/>
    <s v="通过"/>
  </r>
  <r>
    <s v="SIM-20260905-C002"/>
    <n v="3"/>
    <s v="C002"/>
    <d v="2026-09-05T00:00:00"/>
    <s v="P003"/>
    <s v="公斤"/>
    <n v="6.3"/>
    <n v="6.3"/>
    <n v="0"/>
    <n v="3.3"/>
    <s v="正常交付"/>
    <s v="true"/>
    <s v="包菜"/>
    <s v="散装鲜菜"/>
    <x v="1"/>
    <n v="20.79"/>
    <n v="0"/>
    <n v="20.79"/>
    <s v=""/>
    <s v=""/>
    <s v=""/>
    <s v=""/>
    <s v="通过"/>
  </r>
  <r>
    <s v="SIM-20260905-C002"/>
    <n v="4"/>
    <s v="C002"/>
    <d v="2026-09-05T00:00:00"/>
    <s v="P007"/>
    <s v="公斤"/>
    <n v="6.9"/>
    <n v="6.9"/>
    <n v="0"/>
    <n v="5.15"/>
    <s v="正常交付"/>
    <s v="true"/>
    <s v="青椒"/>
    <s v="散装鲜菜"/>
    <x v="1"/>
    <n v="35.54"/>
    <n v="0"/>
    <n v="35.54"/>
    <s v=""/>
    <s v=""/>
    <s v=""/>
    <s v=""/>
    <s v="通过"/>
  </r>
  <r>
    <s v="SIM-20260905-C002"/>
    <n v="5"/>
    <s v="C002"/>
    <d v="2026-09-05T00:00:00"/>
    <s v="P008"/>
    <s v="公斤"/>
    <n v="9.4"/>
    <n v="9.4"/>
    <n v="0"/>
    <n v="4.0999999999999996"/>
    <s v="正常交付"/>
    <s v="true"/>
    <s v="黄瓜"/>
    <s v="散装鲜菜"/>
    <x v="1"/>
    <n v="38.54"/>
    <n v="0"/>
    <n v="38.54"/>
    <s v=""/>
    <s v=""/>
    <s v=""/>
    <s v=""/>
    <s v="通过"/>
  </r>
  <r>
    <s v="SIM-20260905-C002"/>
    <n v="6"/>
    <s v="C002"/>
    <d v="2026-09-05T00:00:00"/>
    <s v="P016"/>
    <s v="公斤"/>
    <n v="4"/>
    <n v="4"/>
    <n v="0"/>
    <n v="10.1"/>
    <s v="正常交付"/>
    <s v="true"/>
    <s v="鸡蛋"/>
    <s v="普通鲜鸡蛋按净重"/>
    <x v="1"/>
    <n v="40.4"/>
    <n v="0"/>
    <n v="40.4"/>
    <s v=""/>
    <s v=""/>
    <s v=""/>
    <s v=""/>
    <s v="通过"/>
  </r>
  <r>
    <s v="SIM-20260905-C003"/>
    <n v="1"/>
    <s v="C003"/>
    <d v="2026-09-05T00:00:00"/>
    <s v="P011"/>
    <s v="公斤"/>
    <n v="6.6"/>
    <n v="6.6"/>
    <n v="0"/>
    <n v="4.4000000000000004"/>
    <s v="正常交付"/>
    <s v="true"/>
    <s v="红薯叶"/>
    <s v="散装鲜菜"/>
    <x v="2"/>
    <n v="29.04"/>
    <n v="0"/>
    <n v="29.04"/>
    <s v=""/>
    <s v=""/>
    <s v=""/>
    <s v=""/>
    <s v="通过"/>
  </r>
  <r>
    <s v="SIM-20260905-C003"/>
    <n v="2"/>
    <s v="C003"/>
    <d v="2026-09-05T00:00:00"/>
    <s v="P009"/>
    <s v="公斤"/>
    <n v="6.6"/>
    <n v="6.6"/>
    <n v="0"/>
    <n v="5"/>
    <s v="正常交付"/>
    <s v="true"/>
    <s v="西红柿"/>
    <s v="散装鲜菜"/>
    <x v="2"/>
    <n v="33"/>
    <n v="0"/>
    <n v="33"/>
    <s v=""/>
    <s v=""/>
    <s v=""/>
    <s v=""/>
    <s v="通过"/>
  </r>
  <r>
    <s v="SIM-20260905-C003"/>
    <n v="3"/>
    <s v="C003"/>
    <d v="2026-09-05T00:00:00"/>
    <s v="P005"/>
    <s v="公斤"/>
    <n v="6.6"/>
    <n v="6.6"/>
    <n v="0"/>
    <n v="2.7"/>
    <s v="正常交付"/>
    <s v="true"/>
    <s v="南瓜"/>
    <s v="散装鲜菜"/>
    <x v="2"/>
    <n v="17.82"/>
    <n v="0"/>
    <n v="17.82"/>
    <s v=""/>
    <s v=""/>
    <s v=""/>
    <s v=""/>
    <s v="通过"/>
  </r>
  <r>
    <s v="SIM-20260905-C003"/>
    <n v="4"/>
    <s v="C003"/>
    <d v="2026-09-05T00:00:00"/>
    <s v="P001"/>
    <s v="公斤"/>
    <n v="4.9000000000000004"/>
    <n v="4.9000000000000004"/>
    <n v="0"/>
    <n v="3.3"/>
    <s v="正常交付"/>
    <s v="true"/>
    <s v="土豆"/>
    <s v="散装鲜菜"/>
    <x v="2"/>
    <n v="16.170000000000002"/>
    <n v="0"/>
    <n v="16.170000000000002"/>
    <s v=""/>
    <s v=""/>
    <s v=""/>
    <s v=""/>
    <s v="通过"/>
  </r>
  <r>
    <s v="SIM-20260905-C003"/>
    <n v="5"/>
    <s v="C003"/>
    <d v="2026-09-05T00:00:00"/>
    <s v="P002"/>
    <s v="公斤"/>
    <n v="4.9000000000000004"/>
    <n v="4.9000000000000004"/>
    <n v="0"/>
    <n v="2.2999999999999998"/>
    <s v="正常交付"/>
    <s v="true"/>
    <s v="白萝卜"/>
    <s v="散装鲜菜"/>
    <x v="2"/>
    <n v="11.27"/>
    <n v="0"/>
    <n v="11.27"/>
    <s v=""/>
    <s v=""/>
    <s v=""/>
    <s v=""/>
    <s v="通过"/>
  </r>
  <r>
    <s v="SIM-20260905-C003"/>
    <n v="6"/>
    <s v="C003"/>
    <d v="2026-09-05T00:00:00"/>
    <s v="P008"/>
    <s v="公斤"/>
    <n v="8.1999999999999993"/>
    <n v="8.1999999999999993"/>
    <n v="0"/>
    <n v="4.0999999999999996"/>
    <s v="正常交付"/>
    <s v="true"/>
    <s v="黄瓜"/>
    <s v="散装鲜菜"/>
    <x v="2"/>
    <n v="33.619999999999997"/>
    <n v="0"/>
    <n v="33.619999999999997"/>
    <s v=""/>
    <s v=""/>
    <s v=""/>
    <s v=""/>
    <s v="通过"/>
  </r>
  <r>
    <s v="SIM-20260905-C003"/>
    <n v="7"/>
    <s v="C003"/>
    <d v="2026-09-05T00:00:00"/>
    <s v="P016"/>
    <s v="公斤"/>
    <n v="6"/>
    <n v="6"/>
    <n v="0"/>
    <n v="10.1"/>
    <s v="正常交付"/>
    <s v="true"/>
    <s v="鸡蛋"/>
    <s v="普通鲜鸡蛋按净重"/>
    <x v="2"/>
    <n v="60.6"/>
    <n v="0"/>
    <n v="60.6"/>
    <s v=""/>
    <s v=""/>
    <s v=""/>
    <s v=""/>
    <s v="通过"/>
  </r>
  <r>
    <s v="SIM-20260905-C004"/>
    <n v="1"/>
    <s v="C004"/>
    <d v="2026-09-05T00:00:00"/>
    <s v="P012"/>
    <s v="公斤"/>
    <n v="9.4"/>
    <n v="9.4"/>
    <n v="0"/>
    <n v="4.5999999999999996"/>
    <s v="正常交付"/>
    <s v="true"/>
    <s v="小白菜"/>
    <s v="散装鲜菜"/>
    <x v="3"/>
    <n v="43.24"/>
    <n v="0"/>
    <n v="43.24"/>
    <s v=""/>
    <s v=""/>
    <s v=""/>
    <s v=""/>
    <s v="通过"/>
  </r>
  <r>
    <s v="SIM-20260905-C004"/>
    <n v="2"/>
    <s v="C004"/>
    <d v="2026-09-05T00:00:00"/>
    <s v="P001"/>
    <s v="公斤"/>
    <n v="8.6999999999999993"/>
    <n v="8.6999999999999993"/>
    <n v="0"/>
    <n v="3.3"/>
    <s v="正常交付"/>
    <s v="true"/>
    <s v="土豆"/>
    <s v="散装鲜菜"/>
    <x v="3"/>
    <n v="28.71"/>
    <n v="0"/>
    <n v="28.71"/>
    <s v=""/>
    <s v=""/>
    <s v=""/>
    <s v=""/>
    <s v="通过"/>
  </r>
  <r>
    <s v="SIM-20260905-C004"/>
    <n v="3"/>
    <s v="C004"/>
    <d v="2026-09-05T00:00:00"/>
    <s v="P008"/>
    <s v="公斤"/>
    <n v="5.0999999999999996"/>
    <n v="5.0999999999999996"/>
    <n v="0"/>
    <n v="4.0999999999999996"/>
    <s v="正常交付"/>
    <s v="true"/>
    <s v="黄瓜"/>
    <s v="散装鲜菜"/>
    <x v="3"/>
    <n v="20.91"/>
    <n v="0"/>
    <n v="20.91"/>
    <s v=""/>
    <s v=""/>
    <s v=""/>
    <s v=""/>
    <s v="通过"/>
  </r>
  <r>
    <s v="SIM-20260905-C004"/>
    <n v="4"/>
    <s v="C004"/>
    <d v="2026-09-05T00:00:00"/>
    <s v="P003"/>
    <s v="公斤"/>
    <n v="5.0999999999999996"/>
    <n v="4.5999999999999996"/>
    <n v="0"/>
    <n v="3.3"/>
    <s v="到货不足；按实际交付计费"/>
    <s v="true"/>
    <s v="包菜"/>
    <s v="散装鲜菜"/>
    <x v="3"/>
    <n v="15.18"/>
    <n v="0"/>
    <n v="15.18"/>
    <s v=""/>
    <s v=""/>
    <s v=""/>
    <s v=""/>
    <s v="通过"/>
  </r>
  <r>
    <s v="SIM-20260905-C004"/>
    <n v="5"/>
    <s v="C004"/>
    <d v="2026-09-05T00:00:00"/>
    <s v="P002"/>
    <s v="公斤"/>
    <n v="11.6"/>
    <n v="11.6"/>
    <n v="0"/>
    <n v="2.2999999999999998"/>
    <s v="正常交付"/>
    <s v="true"/>
    <s v="白萝卜"/>
    <s v="散装鲜菜"/>
    <x v="3"/>
    <n v="26.68"/>
    <n v="0"/>
    <n v="26.68"/>
    <s v=""/>
    <s v=""/>
    <s v=""/>
    <s v=""/>
    <s v="通过"/>
  </r>
  <r>
    <s v="SIM-20260905-C004"/>
    <n v="6"/>
    <s v="C004"/>
    <d v="2026-09-05T00:00:00"/>
    <s v="P013"/>
    <s v="公斤"/>
    <n v="8.6999999999999993"/>
    <n v="8.6999999999999993"/>
    <n v="0"/>
    <n v="6.3"/>
    <s v="正常交付"/>
    <s v="true"/>
    <s v="豇豆"/>
    <s v="散装鲜菜"/>
    <x v="3"/>
    <n v="54.81"/>
    <n v="0"/>
    <n v="54.81"/>
    <s v=""/>
    <s v=""/>
    <s v=""/>
    <s v=""/>
    <s v="通过"/>
  </r>
  <r>
    <s v="SIM-20260905-C004"/>
    <n v="7"/>
    <s v="C004"/>
    <d v="2026-09-05T00:00:00"/>
    <s v="P016"/>
    <s v="公斤"/>
    <n v="5"/>
    <n v="5"/>
    <n v="0"/>
    <n v="10.1"/>
    <s v="正常交付"/>
    <s v="true"/>
    <s v="鸡蛋"/>
    <s v="普通鲜鸡蛋按净重"/>
    <x v="3"/>
    <n v="50.5"/>
    <n v="0"/>
    <n v="50.5"/>
    <s v=""/>
    <s v=""/>
    <s v=""/>
    <s v=""/>
    <s v="通过"/>
  </r>
  <r>
    <s v="SIM-20260905-C006"/>
    <n v="1"/>
    <s v="C006"/>
    <d v="2026-09-05T00:00:00"/>
    <s v="P012"/>
    <s v="公斤"/>
    <n v="6.1"/>
    <n v="6.1"/>
    <n v="0"/>
    <n v="4.5999999999999996"/>
    <s v="正常交付"/>
    <s v="true"/>
    <s v="小白菜"/>
    <s v="散装鲜菜"/>
    <x v="5"/>
    <n v="28.06"/>
    <n v="0"/>
    <n v="28.06"/>
    <s v=""/>
    <s v=""/>
    <s v=""/>
    <s v=""/>
    <s v="通过"/>
  </r>
  <r>
    <s v="SIM-20260905-C006"/>
    <n v="2"/>
    <s v="C006"/>
    <d v="2026-09-05T00:00:00"/>
    <s v="P001"/>
    <s v="公斤"/>
    <n v="9.4"/>
    <n v="8.9"/>
    <n v="0"/>
    <n v="3.3"/>
    <s v="到货不足；按实际交付计费"/>
    <s v="true"/>
    <s v="土豆"/>
    <s v="散装鲜菜"/>
    <x v="5"/>
    <n v="29.37"/>
    <n v="0"/>
    <n v="29.37"/>
    <s v=""/>
    <s v=""/>
    <s v=""/>
    <s v=""/>
    <s v="通过"/>
  </r>
  <r>
    <s v="SIM-20260905-C006"/>
    <n v="3"/>
    <s v="C006"/>
    <d v="2026-09-05T00:00:00"/>
    <s v="P007"/>
    <s v="公斤"/>
    <n v="8.1"/>
    <n v="8.1"/>
    <n v="0"/>
    <n v="5.15"/>
    <s v="正常交付"/>
    <s v="true"/>
    <s v="青椒"/>
    <s v="散装鲜菜"/>
    <x v="5"/>
    <n v="41.72"/>
    <n v="0"/>
    <n v="41.72"/>
    <s v=""/>
    <s v=""/>
    <s v=""/>
    <s v=""/>
    <s v="通过"/>
  </r>
  <r>
    <s v="SIM-20260905-C006"/>
    <n v="4"/>
    <s v="C006"/>
    <d v="2026-09-05T00:00:00"/>
    <s v="P004"/>
    <s v="公斤"/>
    <n v="10.8"/>
    <n v="10.8"/>
    <n v="0"/>
    <n v="2.2999999999999998"/>
    <s v="正常交付"/>
    <s v="true"/>
    <s v="冬瓜"/>
    <s v="散装鲜菜"/>
    <x v="5"/>
    <n v="24.84"/>
    <n v="0"/>
    <n v="24.84"/>
    <s v=""/>
    <s v=""/>
    <s v=""/>
    <s v=""/>
    <s v="通过"/>
  </r>
  <r>
    <s v="SIM-20260905-C006"/>
    <n v="5"/>
    <s v="C006"/>
    <d v="2026-09-05T00:00:00"/>
    <s v="P003"/>
    <s v="公斤"/>
    <n v="8.1"/>
    <n v="8.1"/>
    <n v="0"/>
    <n v="3.3"/>
    <s v="正常交付"/>
    <s v="true"/>
    <s v="包菜"/>
    <s v="散装鲜菜"/>
    <x v="5"/>
    <n v="26.73"/>
    <n v="0"/>
    <n v="26.73"/>
    <s v=""/>
    <s v=""/>
    <s v=""/>
    <s v=""/>
    <s v="通过"/>
  </r>
  <r>
    <s v="SIM-20260905-C006"/>
    <n v="6"/>
    <s v="C006"/>
    <d v="2026-09-05T00:00:00"/>
    <s v="P009"/>
    <s v="公斤"/>
    <n v="7.4"/>
    <n v="7.4"/>
    <n v="0"/>
    <n v="5"/>
    <s v="正常交付"/>
    <s v="true"/>
    <s v="西红柿"/>
    <s v="散装鲜菜"/>
    <x v="5"/>
    <n v="37"/>
    <n v="0"/>
    <n v="37"/>
    <s v=""/>
    <s v=""/>
    <s v=""/>
    <s v=""/>
    <s v="通过"/>
  </r>
  <r>
    <s v="SIM-20260905-C006"/>
    <n v="7"/>
    <s v="C006"/>
    <d v="2026-09-05T00:00:00"/>
    <s v="P016"/>
    <s v="公斤"/>
    <n v="9"/>
    <n v="9"/>
    <n v="0"/>
    <n v="10.1"/>
    <s v="正常交付"/>
    <s v="true"/>
    <s v="鸡蛋"/>
    <s v="普通鲜鸡蛋按净重"/>
    <x v="5"/>
    <n v="90.9"/>
    <n v="0"/>
    <n v="90.9"/>
    <s v=""/>
    <s v=""/>
    <s v=""/>
    <s v=""/>
    <s v="通过"/>
  </r>
  <r>
    <s v="SIM-20260906-C002"/>
    <n v="1"/>
    <s v="C002"/>
    <d v="2026-09-06T00:00:00"/>
    <s v="P012"/>
    <s v="公斤"/>
    <n v="7.8"/>
    <n v="7.8"/>
    <n v="0.3"/>
    <n v="4.5999999999999996"/>
    <s v="正常交付；签收时挑出黄叶退回"/>
    <s v="true"/>
    <s v="小白菜"/>
    <s v="散装鲜菜"/>
    <x v="1"/>
    <n v="35.880000000000003"/>
    <n v="1.38"/>
    <n v="34.5"/>
    <s v=""/>
    <s v=""/>
    <s v=""/>
    <s v=""/>
    <s v="通过"/>
  </r>
  <r>
    <s v="SIM-20260906-C002"/>
    <n v="2"/>
    <s v="C002"/>
    <d v="2026-09-06T00:00:00"/>
    <s v="P006"/>
    <s v="公斤"/>
    <n v="6.7"/>
    <n v="6.7"/>
    <n v="0"/>
    <n v="4.5999999999999996"/>
    <s v="正常交付"/>
    <s v="true"/>
    <s v="茄子"/>
    <s v="散装鲜菜"/>
    <x v="1"/>
    <n v="30.82"/>
    <n v="0"/>
    <n v="30.82"/>
    <s v=""/>
    <s v=""/>
    <s v=""/>
    <s v=""/>
    <s v="通过"/>
  </r>
  <r>
    <s v="SIM-20260906-C002"/>
    <n v="3"/>
    <s v="C002"/>
    <d v="2026-09-06T00:00:00"/>
    <s v="P008"/>
    <s v="公斤"/>
    <n v="4.0999999999999996"/>
    <n v="4.0999999999999996"/>
    <n v="0"/>
    <n v="4.0999999999999996"/>
    <s v="正常交付"/>
    <s v="true"/>
    <s v="黄瓜"/>
    <s v="散装鲜菜"/>
    <x v="1"/>
    <n v="16.809999999999999"/>
    <n v="0"/>
    <n v="16.809999999999999"/>
    <s v=""/>
    <s v=""/>
    <s v=""/>
    <s v=""/>
    <s v="通过"/>
  </r>
  <r>
    <s v="SIM-20260906-C002"/>
    <n v="4"/>
    <s v="C002"/>
    <d v="2026-09-06T00:00:00"/>
    <s v="P014"/>
    <s v="公斤"/>
    <n v="7.2"/>
    <n v="7.2"/>
    <n v="0"/>
    <n v="4.7"/>
    <s v="正常交付"/>
    <s v="true"/>
    <s v="丝瓜"/>
    <s v="散装鲜菜"/>
    <x v="1"/>
    <n v="33.840000000000003"/>
    <n v="0"/>
    <n v="33.840000000000003"/>
    <s v=""/>
    <s v=""/>
    <s v=""/>
    <s v=""/>
    <s v="通过"/>
  </r>
  <r>
    <s v="SIM-20260906-C002"/>
    <n v="5"/>
    <s v="C002"/>
    <d v="2026-09-06T00:00:00"/>
    <s v="P007"/>
    <s v="公斤"/>
    <n v="6.7"/>
    <n v="6.7"/>
    <n v="0"/>
    <n v="5.15"/>
    <s v="正常交付"/>
    <s v="true"/>
    <s v="青椒"/>
    <s v="散装鲜菜"/>
    <x v="1"/>
    <n v="34.51"/>
    <n v="0"/>
    <n v="34.51"/>
    <s v=""/>
    <s v=""/>
    <s v=""/>
    <s v=""/>
    <s v="通过"/>
  </r>
  <r>
    <s v="SIM-20260906-C002"/>
    <n v="6"/>
    <s v="C002"/>
    <d v="2026-09-06T00:00:00"/>
    <s v="P017"/>
    <s v="袋"/>
    <n v="3"/>
    <n v="3"/>
    <n v="0"/>
    <n v="118"/>
    <s v="正常交付"/>
    <s v="true"/>
    <s v="籼米"/>
    <s v="25公斤/袋普通籼米"/>
    <x v="1"/>
    <n v="354"/>
    <n v="0"/>
    <n v="354"/>
    <s v=""/>
    <s v=""/>
    <s v=""/>
    <s v=""/>
    <s v="通过"/>
  </r>
  <r>
    <s v="SIM-20260906-C002"/>
    <n v="7"/>
    <s v="C002"/>
    <d v="2026-09-06T00:00:00"/>
    <s v="P019"/>
    <s v="桶"/>
    <n v="1"/>
    <n v="1"/>
    <n v="0"/>
    <n v="71"/>
    <s v="正常交付"/>
    <s v="true"/>
    <s v="菜籽油"/>
    <s v="5升/桶普通菜籽油"/>
    <x v="1"/>
    <n v="71"/>
    <n v="0"/>
    <n v="71"/>
    <s v=""/>
    <s v=""/>
    <s v=""/>
    <s v=""/>
    <s v="通过"/>
  </r>
  <r>
    <s v="SIM-20260906-C006"/>
    <n v="1"/>
    <s v="C006"/>
    <d v="2026-09-06T00:00:00"/>
    <s v="P011"/>
    <s v="公斤"/>
    <n v="7.6"/>
    <n v="7.6"/>
    <n v="0"/>
    <n v="4.4000000000000004"/>
    <s v="正常交付"/>
    <s v="true"/>
    <s v="红薯叶"/>
    <s v="散装鲜菜"/>
    <x v="5"/>
    <n v="33.44"/>
    <n v="0"/>
    <n v="33.44"/>
    <s v=""/>
    <s v=""/>
    <s v=""/>
    <s v=""/>
    <s v="通过"/>
  </r>
  <r>
    <s v="SIM-20260906-C006"/>
    <n v="2"/>
    <s v="C006"/>
    <d v="2026-09-06T00:00:00"/>
    <s v="P013"/>
    <s v="公斤"/>
    <n v="4.8"/>
    <n v="4.8"/>
    <n v="0"/>
    <n v="6.3"/>
    <s v="正常交付"/>
    <s v="true"/>
    <s v="豇豆"/>
    <s v="散装鲜菜"/>
    <x v="5"/>
    <n v="30.24"/>
    <n v="0"/>
    <n v="30.24"/>
    <s v=""/>
    <s v=""/>
    <s v=""/>
    <s v=""/>
    <s v="通过"/>
  </r>
  <r>
    <s v="SIM-20260906-C006"/>
    <n v="3"/>
    <s v="C006"/>
    <d v="2026-09-06T00:00:00"/>
    <s v="P002"/>
    <s v="公斤"/>
    <n v="11"/>
    <n v="11"/>
    <n v="0"/>
    <n v="2.2999999999999998"/>
    <s v="正常交付"/>
    <s v="true"/>
    <s v="白萝卜"/>
    <s v="散装鲜菜"/>
    <x v="5"/>
    <n v="25.3"/>
    <n v="0"/>
    <n v="25.3"/>
    <s v=""/>
    <s v=""/>
    <s v=""/>
    <s v=""/>
    <s v="通过"/>
  </r>
  <r>
    <s v="SIM-20260906-C006"/>
    <n v="4"/>
    <s v="C006"/>
    <d v="2026-09-06T00:00:00"/>
    <s v="P014"/>
    <s v="公斤"/>
    <n v="7.6"/>
    <n v="7.6"/>
    <n v="0"/>
    <n v="4.7"/>
    <s v="正常交付"/>
    <s v="true"/>
    <s v="丝瓜"/>
    <s v="散装鲜菜"/>
    <x v="5"/>
    <n v="35.72"/>
    <n v="0"/>
    <n v="35.72"/>
    <s v=""/>
    <s v=""/>
    <s v=""/>
    <s v=""/>
    <s v="通过"/>
  </r>
  <r>
    <s v="SIM-20260906-C006"/>
    <n v="5"/>
    <s v="C006"/>
    <d v="2026-09-06T00:00:00"/>
    <s v="P003"/>
    <s v="公斤"/>
    <n v="5.5"/>
    <n v="5.5"/>
    <n v="0"/>
    <n v="3.3"/>
    <s v="正常交付"/>
    <s v="true"/>
    <s v="包菜"/>
    <s v="散装鲜菜"/>
    <x v="5"/>
    <n v="18.149999999999999"/>
    <n v="0"/>
    <n v="18.149999999999999"/>
    <s v=""/>
    <s v=""/>
    <s v=""/>
    <s v=""/>
    <s v="通过"/>
  </r>
  <r>
    <s v="SIM-20260906-C006"/>
    <n v="6"/>
    <s v="C006"/>
    <d v="2026-09-06T00:00:00"/>
    <s v="P009"/>
    <s v="公斤"/>
    <n v="9.6"/>
    <n v="9.6"/>
    <n v="0"/>
    <n v="5"/>
    <s v="正常交付"/>
    <s v="true"/>
    <s v="西红柿"/>
    <s v="散装鲜菜"/>
    <x v="5"/>
    <n v="48"/>
    <n v="0"/>
    <n v="48"/>
    <s v=""/>
    <s v=""/>
    <s v=""/>
    <s v=""/>
    <s v="通过"/>
  </r>
  <r>
    <s v="SIM-20260906-C006"/>
    <n v="7"/>
    <s v="C006"/>
    <d v="2026-09-06T00:00:00"/>
    <s v="P017"/>
    <s v="袋"/>
    <n v="4"/>
    <n v="4"/>
    <n v="0"/>
    <n v="118"/>
    <s v="正常交付"/>
    <s v="true"/>
    <s v="籼米"/>
    <s v="25公斤/袋普通籼米"/>
    <x v="5"/>
    <n v="472"/>
    <n v="0"/>
    <n v="472"/>
    <s v=""/>
    <s v=""/>
    <s v=""/>
    <s v=""/>
    <s v="通过"/>
  </r>
  <r>
    <s v="SIM-20260906-C006"/>
    <n v="8"/>
    <s v="C006"/>
    <d v="2026-09-06T00:00:00"/>
    <s v="P020"/>
    <s v="桶"/>
    <n v="2"/>
    <n v="2"/>
    <n v="0"/>
    <n v="59"/>
    <s v="正常交付"/>
    <s v="true"/>
    <s v="大豆油"/>
    <s v="5升/桶普通大豆油"/>
    <x v="5"/>
    <n v="118"/>
    <n v="0"/>
    <n v="118"/>
    <s v=""/>
    <s v=""/>
    <s v=""/>
    <s v=""/>
    <s v="通过"/>
  </r>
  <r>
    <s v="SIM-20260907-C001"/>
    <n v="1"/>
    <s v="C001"/>
    <d v="2026-09-07T00:00:00"/>
    <s v="P010"/>
    <s v="公斤"/>
    <n v="3.3"/>
    <n v="3.3"/>
    <n v="0"/>
    <n v="5"/>
    <s v="正常交付"/>
    <s v="true"/>
    <s v="空心菜"/>
    <s v="散装鲜菜"/>
    <x v="0"/>
    <n v="16.5"/>
    <n v="0"/>
    <n v="16.5"/>
    <s v=""/>
    <s v=""/>
    <s v=""/>
    <s v=""/>
    <s v="通过"/>
  </r>
  <r>
    <s v="SIM-20260907-C001"/>
    <n v="2"/>
    <s v="C001"/>
    <d v="2026-09-07T00:00:00"/>
    <s v="P005"/>
    <s v="公斤"/>
    <n v="2.1"/>
    <n v="2.1"/>
    <n v="0"/>
    <n v="2.7"/>
    <s v="正常交付"/>
    <s v="true"/>
    <s v="南瓜"/>
    <s v="散装鲜菜"/>
    <x v="0"/>
    <n v="5.67"/>
    <n v="0"/>
    <n v="5.67"/>
    <s v=""/>
    <s v=""/>
    <s v=""/>
    <s v=""/>
    <s v="通过"/>
  </r>
  <r>
    <s v="SIM-20260907-C001"/>
    <n v="3"/>
    <s v="C001"/>
    <d v="2026-09-07T00:00:00"/>
    <s v="P001"/>
    <s v="公斤"/>
    <n v="3.3"/>
    <n v="3.3"/>
    <n v="0"/>
    <n v="3.3"/>
    <s v="正常交付"/>
    <s v="true"/>
    <s v="土豆"/>
    <s v="散装鲜菜"/>
    <x v="0"/>
    <n v="10.89"/>
    <n v="0"/>
    <n v="10.89"/>
    <s v=""/>
    <s v=""/>
    <s v=""/>
    <s v=""/>
    <s v="通过"/>
  </r>
  <r>
    <s v="SIM-20260907-C001"/>
    <n v="4"/>
    <s v="C001"/>
    <d v="2026-09-07T00:00:00"/>
    <s v="P008"/>
    <s v="公斤"/>
    <n v="3.8"/>
    <n v="3.8"/>
    <n v="0"/>
    <n v="4.0999999999999996"/>
    <s v="正常交付"/>
    <s v="true"/>
    <s v="黄瓜"/>
    <s v="散装鲜菜"/>
    <x v="0"/>
    <n v="15.58"/>
    <n v="0"/>
    <n v="15.58"/>
    <s v=""/>
    <s v=""/>
    <s v=""/>
    <s v=""/>
    <s v="通过"/>
  </r>
  <r>
    <s v="SIM-20260907-C001"/>
    <n v="5"/>
    <s v="C001"/>
    <d v="2026-09-07T00:00:00"/>
    <s v="P019"/>
    <s v="桶"/>
    <n v="1"/>
    <n v="1"/>
    <n v="0"/>
    <n v="71"/>
    <s v="正常交付"/>
    <s v="true"/>
    <s v="菜籽油"/>
    <s v="5升/桶普通菜籽油"/>
    <x v="0"/>
    <n v="71"/>
    <n v="0"/>
    <n v="71"/>
    <s v=""/>
    <s v=""/>
    <s v=""/>
    <s v=""/>
    <s v="通过"/>
  </r>
  <r>
    <s v="SIM-20260907-C001"/>
    <n v="6"/>
    <s v="C001"/>
    <d v="2026-09-07T00:00:00"/>
    <s v="P018"/>
    <s v="袋"/>
    <n v="1"/>
    <n v="1"/>
    <n v="0"/>
    <n v="111"/>
    <s v="正常交付"/>
    <s v="true"/>
    <s v="小麦粉"/>
    <s v="25公斤/袋普通小麦粉"/>
    <x v="0"/>
    <n v="111"/>
    <n v="0"/>
    <n v="111"/>
    <s v=""/>
    <s v=""/>
    <s v=""/>
    <s v=""/>
    <s v="通过"/>
  </r>
  <r>
    <s v="SIM-20260907-C003"/>
    <n v="1"/>
    <s v="C003"/>
    <d v="2026-09-07T00:00:00"/>
    <s v="P012"/>
    <s v="公斤"/>
    <n v="5.5"/>
    <n v="5.5"/>
    <n v="0"/>
    <n v="4.5999999999999996"/>
    <s v="正常交付"/>
    <s v="true"/>
    <s v="小白菜"/>
    <s v="散装鲜菜"/>
    <x v="2"/>
    <n v="25.3"/>
    <n v="0"/>
    <n v="25.3"/>
    <s v=""/>
    <s v=""/>
    <s v=""/>
    <s v=""/>
    <s v="通过"/>
  </r>
  <r>
    <s v="SIM-20260907-C003"/>
    <n v="2"/>
    <s v="C003"/>
    <d v="2026-09-07T00:00:00"/>
    <s v="P008"/>
    <s v="公斤"/>
    <n v="4.4000000000000004"/>
    <n v="4.4000000000000004"/>
    <n v="0"/>
    <n v="4.0999999999999996"/>
    <s v="正常交付"/>
    <s v="true"/>
    <s v="黄瓜"/>
    <s v="散装鲜菜"/>
    <x v="2"/>
    <n v="18.04"/>
    <n v="0"/>
    <n v="18.04"/>
    <s v=""/>
    <s v=""/>
    <s v=""/>
    <s v=""/>
    <s v="通过"/>
  </r>
  <r>
    <s v="SIM-20260907-C003"/>
    <n v="3"/>
    <s v="C003"/>
    <d v="2026-09-07T00:00:00"/>
    <s v="P009"/>
    <s v="公斤"/>
    <n v="7.2"/>
    <n v="7.2"/>
    <n v="0"/>
    <n v="5"/>
    <s v="正常交付"/>
    <s v="true"/>
    <s v="西红柿"/>
    <s v="散装鲜菜"/>
    <x v="2"/>
    <n v="36"/>
    <n v="0"/>
    <n v="36"/>
    <s v=""/>
    <s v=""/>
    <s v=""/>
    <s v=""/>
    <s v="通过"/>
  </r>
  <r>
    <s v="SIM-20260907-C003"/>
    <n v="4"/>
    <s v="C003"/>
    <d v="2026-09-07T00:00:00"/>
    <s v="P002"/>
    <s v="公斤"/>
    <n v="6.1"/>
    <n v="5.6"/>
    <n v="0"/>
    <n v="2.2999999999999998"/>
    <s v="到货不足；按实际交付计费"/>
    <s v="true"/>
    <s v="白萝卜"/>
    <s v="散装鲜菜"/>
    <x v="2"/>
    <n v="12.88"/>
    <n v="0"/>
    <n v="12.88"/>
    <s v=""/>
    <s v=""/>
    <s v=""/>
    <s v=""/>
    <s v="通过"/>
  </r>
  <r>
    <s v="SIM-20260907-C003"/>
    <n v="5"/>
    <s v="C003"/>
    <d v="2026-09-07T00:00:00"/>
    <s v="P006"/>
    <s v="公斤"/>
    <n v="8.8000000000000007"/>
    <n v="8.8000000000000007"/>
    <n v="0"/>
    <n v="4.5999999999999996"/>
    <s v="正常交付"/>
    <s v="true"/>
    <s v="茄子"/>
    <s v="散装鲜菜"/>
    <x v="2"/>
    <n v="40.479999999999997"/>
    <n v="0"/>
    <n v="40.479999999999997"/>
    <s v=""/>
    <s v=""/>
    <s v=""/>
    <s v=""/>
    <s v="通过"/>
  </r>
  <r>
    <s v="SIM-20260907-C003"/>
    <n v="6"/>
    <s v="C003"/>
    <d v="2026-09-07T00:00:00"/>
    <s v="P007"/>
    <s v="公斤"/>
    <n v="8.8000000000000007"/>
    <n v="8.8000000000000007"/>
    <n v="0"/>
    <n v="5.15"/>
    <s v="正常交付"/>
    <s v="true"/>
    <s v="青椒"/>
    <s v="散装鲜菜"/>
    <x v="2"/>
    <n v="45.32"/>
    <n v="0"/>
    <n v="45.32"/>
    <s v=""/>
    <s v=""/>
    <s v=""/>
    <s v=""/>
    <s v="通过"/>
  </r>
  <r>
    <s v="SIM-20260907-C003"/>
    <n v="7"/>
    <s v="C003"/>
    <d v="2026-09-07T00:00:00"/>
    <s v="P017"/>
    <s v="袋"/>
    <n v="5"/>
    <n v="5"/>
    <n v="0"/>
    <n v="118"/>
    <s v="正常交付"/>
    <s v="true"/>
    <s v="籼米"/>
    <s v="25公斤/袋普通籼米"/>
    <x v="2"/>
    <n v="590"/>
    <n v="0"/>
    <n v="590"/>
    <s v=""/>
    <s v=""/>
    <s v=""/>
    <s v=""/>
    <s v="通过"/>
  </r>
  <r>
    <s v="SIM-20260907-C003"/>
    <n v="8"/>
    <s v="C003"/>
    <d v="2026-09-07T00:00:00"/>
    <s v="P020"/>
    <s v="桶"/>
    <n v="2"/>
    <n v="2"/>
    <n v="0"/>
    <n v="59"/>
    <s v="正常交付"/>
    <s v="true"/>
    <s v="大豆油"/>
    <s v="5升/桶普通大豆油"/>
    <x v="2"/>
    <n v="118"/>
    <n v="0"/>
    <n v="118"/>
    <s v=""/>
    <s v=""/>
    <s v=""/>
    <s v=""/>
    <s v="通过"/>
  </r>
  <r>
    <s v="SIM-20260907-C005"/>
    <n v="1"/>
    <s v="C005"/>
    <d v="2026-09-07T00:00:00"/>
    <s v="P012"/>
    <s v="公斤"/>
    <n v="12"/>
    <n v="12"/>
    <n v="0"/>
    <n v="4.5999999999999996"/>
    <s v="正常交付"/>
    <s v="true"/>
    <s v="小白菜"/>
    <s v="散装鲜菜"/>
    <x v="4"/>
    <n v="55.2"/>
    <n v="0"/>
    <n v="55.2"/>
    <s v=""/>
    <s v=""/>
    <s v=""/>
    <s v=""/>
    <s v="通过"/>
  </r>
  <r>
    <s v="SIM-20260907-C005"/>
    <n v="2"/>
    <s v="C005"/>
    <d v="2026-09-07T00:00:00"/>
    <s v="P006"/>
    <s v="公斤"/>
    <n v="9"/>
    <n v="9"/>
    <n v="0"/>
    <n v="4.5999999999999996"/>
    <s v="正常交付"/>
    <s v="true"/>
    <s v="茄子"/>
    <s v="散装鲜菜"/>
    <x v="4"/>
    <n v="41.4"/>
    <n v="0"/>
    <n v="41.4"/>
    <s v=""/>
    <s v=""/>
    <s v=""/>
    <s v=""/>
    <s v="通过"/>
  </r>
  <r>
    <s v="SIM-20260907-C005"/>
    <n v="3"/>
    <s v="C005"/>
    <d v="2026-09-07T00:00:00"/>
    <s v="P004"/>
    <s v="公斤"/>
    <n v="12"/>
    <n v="12"/>
    <n v="0"/>
    <n v="2.2999999999999998"/>
    <s v="正常交付"/>
    <s v="true"/>
    <s v="冬瓜"/>
    <s v="散装鲜菜"/>
    <x v="4"/>
    <n v="27.6"/>
    <n v="0"/>
    <n v="27.6"/>
    <s v=""/>
    <s v=""/>
    <s v=""/>
    <s v=""/>
    <s v="通过"/>
  </r>
  <r>
    <s v="SIM-20260907-C005"/>
    <n v="4"/>
    <s v="C005"/>
    <d v="2026-09-07T00:00:00"/>
    <s v="P002"/>
    <s v="公斤"/>
    <n v="8"/>
    <n v="8"/>
    <n v="0"/>
    <n v="2.2999999999999998"/>
    <s v="正常交付"/>
    <s v="true"/>
    <s v="白萝卜"/>
    <s v="散装鲜菜"/>
    <x v="4"/>
    <n v="18.399999999999999"/>
    <n v="0"/>
    <n v="18.399999999999999"/>
    <s v=""/>
    <s v=""/>
    <s v=""/>
    <s v=""/>
    <s v="通过"/>
  </r>
  <r>
    <s v="SIM-20260907-C005"/>
    <n v="5"/>
    <s v="C005"/>
    <d v="2026-09-07T00:00:00"/>
    <s v="P014"/>
    <s v="公斤"/>
    <n v="10"/>
    <n v="10"/>
    <n v="0"/>
    <n v="4.7"/>
    <s v="正常交付"/>
    <s v="true"/>
    <s v="丝瓜"/>
    <s v="散装鲜菜"/>
    <x v="4"/>
    <n v="47"/>
    <n v="0"/>
    <n v="47"/>
    <s v=""/>
    <s v=""/>
    <s v=""/>
    <s v=""/>
    <s v="通过"/>
  </r>
  <r>
    <s v="SIM-20260907-C005"/>
    <n v="6"/>
    <s v="C005"/>
    <d v="2026-09-07T00:00:00"/>
    <s v="P001"/>
    <s v="公斤"/>
    <n v="14"/>
    <n v="14"/>
    <n v="0"/>
    <n v="3.3"/>
    <s v="正常交付"/>
    <s v="true"/>
    <s v="土豆"/>
    <s v="散装鲜菜"/>
    <x v="4"/>
    <n v="46.2"/>
    <n v="0"/>
    <n v="46.2"/>
    <s v=""/>
    <s v=""/>
    <s v=""/>
    <s v=""/>
    <s v="通过"/>
  </r>
  <r>
    <s v="SIM-20260907-C005"/>
    <n v="7"/>
    <s v="C005"/>
    <d v="2026-09-07T00:00:00"/>
    <s v="P016"/>
    <s v="公斤"/>
    <n v="12"/>
    <n v="12"/>
    <n v="0"/>
    <n v="10.1"/>
    <s v="正常交付"/>
    <s v="true"/>
    <s v="鸡蛋"/>
    <s v="普通鲜鸡蛋按净重"/>
    <x v="4"/>
    <n v="121.2"/>
    <n v="0"/>
    <n v="121.2"/>
    <s v=""/>
    <s v=""/>
    <s v=""/>
    <s v=""/>
    <s v="通过"/>
  </r>
  <r>
    <s v="SIM-20260907-C006"/>
    <n v="1"/>
    <s v="C006"/>
    <d v="2026-09-07T00:00:00"/>
    <s v="P010"/>
    <s v="公斤"/>
    <n v="4.5999999999999996"/>
    <n v="4.5999999999999996"/>
    <n v="0"/>
    <n v="5"/>
    <s v="正常交付"/>
    <s v="true"/>
    <s v="空心菜"/>
    <s v="散装鲜菜"/>
    <x v="5"/>
    <n v="23"/>
    <n v="0"/>
    <n v="23"/>
    <s v=""/>
    <s v=""/>
    <s v=""/>
    <s v=""/>
    <s v="通过"/>
  </r>
  <r>
    <s v="SIM-20260907-C006"/>
    <n v="2"/>
    <s v="C006"/>
    <d v="2026-09-07T00:00:00"/>
    <s v="P001"/>
    <s v="公斤"/>
    <n v="8.6"/>
    <n v="8.6"/>
    <n v="0"/>
    <n v="3.3"/>
    <s v="正常交付"/>
    <s v="true"/>
    <s v="土豆"/>
    <s v="散装鲜菜"/>
    <x v="5"/>
    <n v="28.38"/>
    <n v="0"/>
    <n v="28.38"/>
    <s v=""/>
    <s v=""/>
    <s v=""/>
    <s v=""/>
    <s v="通过"/>
  </r>
  <r>
    <s v="SIM-20260907-C006"/>
    <n v="3"/>
    <s v="C006"/>
    <d v="2026-09-07T00:00:00"/>
    <s v="P006"/>
    <s v="公斤"/>
    <n v="7.3"/>
    <n v="7.3"/>
    <n v="0"/>
    <n v="4.5999999999999996"/>
    <s v="正常交付"/>
    <s v="true"/>
    <s v="茄子"/>
    <s v="散装鲜菜"/>
    <x v="5"/>
    <n v="33.58"/>
    <n v="0"/>
    <n v="33.58"/>
    <s v=""/>
    <s v=""/>
    <s v=""/>
    <s v=""/>
    <s v="通过"/>
  </r>
  <r>
    <s v="SIM-20260907-C006"/>
    <n v="4"/>
    <s v="C006"/>
    <d v="2026-09-07T00:00:00"/>
    <s v="P013"/>
    <s v="公斤"/>
    <n v="9.3000000000000007"/>
    <n v="9.3000000000000007"/>
    <n v="0"/>
    <n v="6.3"/>
    <s v="正常交付"/>
    <s v="true"/>
    <s v="豇豆"/>
    <s v="散装鲜菜"/>
    <x v="5"/>
    <n v="58.59"/>
    <n v="0"/>
    <n v="58.59"/>
    <s v=""/>
    <s v=""/>
    <s v=""/>
    <s v=""/>
    <s v="通过"/>
  </r>
  <r>
    <s v="SIM-20260907-C006"/>
    <n v="5"/>
    <s v="C006"/>
    <d v="2026-09-07T00:00:00"/>
    <s v="P002"/>
    <s v="公斤"/>
    <n v="8"/>
    <n v="8"/>
    <n v="0"/>
    <n v="2.2999999999999998"/>
    <s v="正常交付"/>
    <s v="true"/>
    <s v="白萝卜"/>
    <s v="散装鲜菜"/>
    <x v="5"/>
    <n v="18.399999999999999"/>
    <n v="0"/>
    <n v="18.399999999999999"/>
    <s v=""/>
    <s v=""/>
    <s v=""/>
    <s v=""/>
    <s v="通过"/>
  </r>
  <r>
    <s v="SIM-20260907-C006"/>
    <n v="6"/>
    <s v="C006"/>
    <d v="2026-09-07T00:00:00"/>
    <s v="P003"/>
    <s v="公斤"/>
    <n v="9.3000000000000007"/>
    <n v="9.3000000000000007"/>
    <n v="0"/>
    <n v="3.3"/>
    <s v="正常交付"/>
    <s v="true"/>
    <s v="包菜"/>
    <s v="散装鲜菜"/>
    <x v="5"/>
    <n v="30.69"/>
    <n v="0"/>
    <n v="30.69"/>
    <s v=""/>
    <s v=""/>
    <s v=""/>
    <s v=""/>
    <s v="通过"/>
  </r>
  <r>
    <s v="SIM-20260907-C006"/>
    <n v="7"/>
    <s v="C006"/>
    <d v="2026-09-07T00:00:00"/>
    <s v="P016"/>
    <s v="公斤"/>
    <n v="9"/>
    <n v="9"/>
    <n v="0"/>
    <n v="10.1"/>
    <s v="正常交付"/>
    <s v="true"/>
    <s v="鸡蛋"/>
    <s v="普通鲜鸡蛋按净重"/>
    <x v="5"/>
    <n v="90.9"/>
    <n v="0"/>
    <n v="90.9"/>
    <s v=""/>
    <s v=""/>
    <s v=""/>
    <s v=""/>
    <s v="通过"/>
  </r>
  <r>
    <s v="SIM-20260907-C006"/>
    <n v="8"/>
    <s v="C006"/>
    <d v="2026-09-07T00:00:00"/>
    <s v="P015"/>
    <s v="公斤"/>
    <n v="1"/>
    <n v="1"/>
    <n v="0"/>
    <n v="7.3"/>
    <s v="正常交付"/>
    <s v="true"/>
    <s v="小葱"/>
    <s v="散装鲜菜"/>
    <x v="5"/>
    <n v="7.3"/>
    <n v="0"/>
    <n v="7.3"/>
    <s v=""/>
    <s v=""/>
    <s v=""/>
    <s v=""/>
    <s v="通过"/>
  </r>
  <r>
    <s v="SIM-20260908-C001"/>
    <n v="1"/>
    <s v="C001"/>
    <d v="2026-09-08T00:00:00"/>
    <s v="P012"/>
    <s v="公斤"/>
    <n v="2.6"/>
    <n v="2.6"/>
    <n v="0"/>
    <n v="5"/>
    <s v="正常交付"/>
    <s v="true"/>
    <s v="小白菜"/>
    <s v="散装鲜菜"/>
    <x v="0"/>
    <n v="13"/>
    <n v="0"/>
    <n v="13"/>
    <s v=""/>
    <s v=""/>
    <s v=""/>
    <s v=""/>
    <s v="通过"/>
  </r>
  <r>
    <s v="SIM-20260908-C001"/>
    <n v="2"/>
    <s v="C001"/>
    <d v="2026-09-08T00:00:00"/>
    <s v="P006"/>
    <s v="公斤"/>
    <n v="2.2999999999999998"/>
    <n v="2.2999999999999998"/>
    <n v="0"/>
    <n v="4.8"/>
    <s v="正常交付"/>
    <s v="true"/>
    <s v="茄子"/>
    <s v="散装鲜菜"/>
    <x v="0"/>
    <n v="11.04"/>
    <n v="0"/>
    <n v="11.04"/>
    <s v=""/>
    <s v=""/>
    <s v=""/>
    <s v=""/>
    <s v="通过"/>
  </r>
  <r>
    <s v="SIM-20260908-C001"/>
    <n v="3"/>
    <s v="C001"/>
    <d v="2026-09-08T00:00:00"/>
    <s v="P014"/>
    <s v="公斤"/>
    <n v="3.1"/>
    <n v="3.1"/>
    <n v="0"/>
    <n v="5"/>
    <s v="正常交付"/>
    <s v="true"/>
    <s v="丝瓜"/>
    <s v="散装鲜菜"/>
    <x v="0"/>
    <n v="15.5"/>
    <n v="0"/>
    <n v="15.5"/>
    <s v=""/>
    <s v=""/>
    <s v=""/>
    <s v=""/>
    <s v="通过"/>
  </r>
  <r>
    <s v="SIM-20260908-C001"/>
    <n v="4"/>
    <s v="C001"/>
    <d v="2026-09-08T00:00:00"/>
    <s v="P005"/>
    <s v="公斤"/>
    <n v="3.1"/>
    <n v="3.1"/>
    <n v="0"/>
    <n v="2.7"/>
    <s v="正常交付"/>
    <s v="true"/>
    <s v="南瓜"/>
    <s v="散装鲜菜"/>
    <x v="0"/>
    <n v="8.3699999999999992"/>
    <n v="0"/>
    <n v="8.3699999999999992"/>
    <s v=""/>
    <s v=""/>
    <s v=""/>
    <s v=""/>
    <s v="通过"/>
  </r>
  <r>
    <s v="SIM-20260908-C001"/>
    <n v="5"/>
    <s v="C001"/>
    <d v="2026-09-08T00:00:00"/>
    <s v="P016"/>
    <s v="公斤"/>
    <n v="3"/>
    <n v="3"/>
    <n v="0"/>
    <n v="10.4"/>
    <s v="正常交付"/>
    <s v="true"/>
    <s v="鸡蛋"/>
    <s v="普通鲜鸡蛋按净重"/>
    <x v="0"/>
    <n v="31.2"/>
    <n v="0"/>
    <n v="31.2"/>
    <s v=""/>
    <s v=""/>
    <s v=""/>
    <s v=""/>
    <s v="通过"/>
  </r>
  <r>
    <s v="SIM-20260908-C001"/>
    <n v="6"/>
    <s v="C001"/>
    <d v="2026-09-08T00:00:00"/>
    <s v="P015"/>
    <s v="公斤"/>
    <n v="0.5"/>
    <n v="0.5"/>
    <n v="0"/>
    <n v="7.2"/>
    <s v="正常交付"/>
    <s v="true"/>
    <s v="小葱"/>
    <s v="散装鲜菜"/>
    <x v="0"/>
    <n v="3.6"/>
    <n v="0"/>
    <n v="3.6"/>
    <s v=""/>
    <s v=""/>
    <s v=""/>
    <s v=""/>
    <s v="通过"/>
  </r>
  <r>
    <s v="SIM-20260908-C002"/>
    <n v="1"/>
    <s v="C002"/>
    <d v="2026-09-08T00:00:00"/>
    <s v="P011"/>
    <s v="公斤"/>
    <n v="5.7"/>
    <n v="5.7"/>
    <n v="0.5"/>
    <n v="4.3"/>
    <s v="正常交付；签收时挑出黄叶退回"/>
    <s v="true"/>
    <s v="红薯叶"/>
    <s v="散装鲜菜"/>
    <x v="1"/>
    <n v="24.51"/>
    <n v="2.15"/>
    <n v="22.360000000000003"/>
    <s v=""/>
    <s v=""/>
    <s v=""/>
    <s v=""/>
    <s v="通过"/>
  </r>
  <r>
    <s v="SIM-20260908-C002"/>
    <n v="2"/>
    <s v="C002"/>
    <d v="2026-09-08T00:00:00"/>
    <s v="P013"/>
    <s v="公斤"/>
    <n v="8"/>
    <n v="8"/>
    <n v="0"/>
    <n v="6"/>
    <s v="正常交付"/>
    <s v="true"/>
    <s v="豇豆"/>
    <s v="散装鲜菜"/>
    <x v="1"/>
    <n v="48"/>
    <n v="0"/>
    <n v="48"/>
    <s v=""/>
    <s v=""/>
    <s v=""/>
    <s v=""/>
    <s v="通过"/>
  </r>
  <r>
    <s v="SIM-20260908-C002"/>
    <n v="3"/>
    <s v="C002"/>
    <d v="2026-09-08T00:00:00"/>
    <s v="P005"/>
    <s v="公斤"/>
    <n v="4"/>
    <n v="4"/>
    <n v="0"/>
    <n v="2.7"/>
    <s v="正常交付"/>
    <s v="true"/>
    <s v="南瓜"/>
    <s v="散装鲜菜"/>
    <x v="1"/>
    <n v="10.8"/>
    <n v="0"/>
    <n v="10.8"/>
    <s v=""/>
    <s v=""/>
    <s v=""/>
    <s v=""/>
    <s v="通过"/>
  </r>
  <r>
    <s v="SIM-20260908-C002"/>
    <n v="4"/>
    <s v="C002"/>
    <d v="2026-09-08T00:00:00"/>
    <s v="P009"/>
    <s v="公斤"/>
    <n v="4.5999999999999996"/>
    <n v="4.5999999999999996"/>
    <n v="0"/>
    <n v="5"/>
    <s v="正常交付"/>
    <s v="true"/>
    <s v="西红柿"/>
    <s v="散装鲜菜"/>
    <x v="1"/>
    <n v="23"/>
    <n v="0"/>
    <n v="23"/>
    <s v=""/>
    <s v=""/>
    <s v=""/>
    <s v=""/>
    <s v="通过"/>
  </r>
  <r>
    <s v="SIM-20260908-C002"/>
    <n v="5"/>
    <s v="C002"/>
    <d v="2026-09-08T00:00:00"/>
    <s v="P006"/>
    <s v="公斤"/>
    <n v="5.0999999999999996"/>
    <n v="5.0999999999999996"/>
    <n v="0"/>
    <n v="4.8"/>
    <s v="正常交付"/>
    <s v="true"/>
    <s v="茄子"/>
    <s v="散装鲜菜"/>
    <x v="1"/>
    <n v="24.48"/>
    <n v="0"/>
    <n v="24.48"/>
    <s v=""/>
    <s v=""/>
    <s v=""/>
    <s v=""/>
    <s v="通过"/>
  </r>
  <r>
    <s v="SIM-20260908-C002"/>
    <n v="6"/>
    <s v="C002"/>
    <d v="2026-09-08T00:00:00"/>
    <s v="P016"/>
    <s v="公斤"/>
    <n v="4"/>
    <n v="4"/>
    <n v="0"/>
    <n v="10.4"/>
    <s v="正常交付"/>
    <s v="true"/>
    <s v="鸡蛋"/>
    <s v="普通鲜鸡蛋按净重"/>
    <x v="1"/>
    <n v="41.6"/>
    <n v="0"/>
    <n v="41.6"/>
    <s v=""/>
    <s v=""/>
    <s v=""/>
    <s v=""/>
    <s v="通过"/>
  </r>
  <r>
    <s v="SIM-20260908-C002"/>
    <n v="7"/>
    <s v="C002"/>
    <d v="2026-09-08T00:00:00"/>
    <s v="P015"/>
    <s v="公斤"/>
    <n v="1"/>
    <n v="1"/>
    <n v="0"/>
    <n v="7.2"/>
    <s v="正常交付"/>
    <s v="true"/>
    <s v="小葱"/>
    <s v="散装鲜菜"/>
    <x v="1"/>
    <n v="7.2"/>
    <n v="0"/>
    <n v="7.2"/>
    <s v=""/>
    <s v=""/>
    <s v=""/>
    <s v=""/>
    <s v="通过"/>
  </r>
  <r>
    <s v="SIM-20260908-C003"/>
    <n v="1"/>
    <s v="C003"/>
    <d v="2026-09-08T00:00:00"/>
    <s v="P011"/>
    <s v="公斤"/>
    <n v="4.9000000000000004"/>
    <n v="4.9000000000000004"/>
    <n v="0.3"/>
    <n v="4.3"/>
    <s v="正常交付；签收时挑出黄叶退回"/>
    <s v="true"/>
    <s v="红薯叶"/>
    <s v="散装鲜菜"/>
    <x v="2"/>
    <n v="21.07"/>
    <n v="1.29"/>
    <n v="19.78"/>
    <s v=""/>
    <s v=""/>
    <s v=""/>
    <s v=""/>
    <s v="通过"/>
  </r>
  <r>
    <s v="SIM-20260908-C003"/>
    <n v="2"/>
    <s v="C003"/>
    <d v="2026-09-08T00:00:00"/>
    <s v="P003"/>
    <s v="公斤"/>
    <n v="8.6"/>
    <n v="8.6"/>
    <n v="0"/>
    <n v="2.9"/>
    <s v="正常交付"/>
    <s v="true"/>
    <s v="包菜"/>
    <s v="散装鲜菜"/>
    <x v="2"/>
    <n v="24.94"/>
    <n v="0"/>
    <n v="24.94"/>
    <s v=""/>
    <s v=""/>
    <s v=""/>
    <s v=""/>
    <s v="通过"/>
  </r>
  <r>
    <s v="SIM-20260908-C003"/>
    <n v="3"/>
    <s v="C003"/>
    <d v="2026-09-08T00:00:00"/>
    <s v="P014"/>
    <s v="公斤"/>
    <n v="5.9"/>
    <n v="5.9"/>
    <n v="0"/>
    <n v="5"/>
    <s v="正常交付"/>
    <s v="true"/>
    <s v="丝瓜"/>
    <s v="散装鲜菜"/>
    <x v="2"/>
    <n v="29.5"/>
    <n v="0"/>
    <n v="29.5"/>
    <s v=""/>
    <s v=""/>
    <s v=""/>
    <s v=""/>
    <s v="通过"/>
  </r>
  <r>
    <s v="SIM-20260908-C003"/>
    <n v="4"/>
    <s v="C003"/>
    <d v="2026-09-08T00:00:00"/>
    <s v="P008"/>
    <s v="公斤"/>
    <n v="8.6"/>
    <n v="8.6"/>
    <n v="0"/>
    <n v="4.4000000000000004"/>
    <s v="正常交付"/>
    <s v="true"/>
    <s v="黄瓜"/>
    <s v="散装鲜菜"/>
    <x v="2"/>
    <n v="37.840000000000003"/>
    <n v="0"/>
    <n v="37.840000000000003"/>
    <s v=""/>
    <s v=""/>
    <s v=""/>
    <s v=""/>
    <s v="通过"/>
  </r>
  <r>
    <s v="SIM-20260908-C003"/>
    <n v="5"/>
    <s v="C003"/>
    <d v="2026-09-08T00:00:00"/>
    <s v="P002"/>
    <s v="公斤"/>
    <n v="8.6"/>
    <n v="8.6"/>
    <n v="0"/>
    <n v="2.7"/>
    <s v="正常交付"/>
    <s v="true"/>
    <s v="白萝卜"/>
    <s v="散装鲜菜"/>
    <x v="2"/>
    <n v="23.22"/>
    <n v="0"/>
    <n v="23.22"/>
    <s v=""/>
    <s v=""/>
    <s v=""/>
    <s v=""/>
    <s v="通过"/>
  </r>
  <r>
    <s v="SIM-20260908-C003"/>
    <n v="6"/>
    <s v="C003"/>
    <d v="2026-09-08T00:00:00"/>
    <s v="P009"/>
    <s v="公斤"/>
    <n v="8.6"/>
    <n v="8.4"/>
    <n v="0"/>
    <n v="5"/>
    <s v="到货不足；按实际交付计费"/>
    <s v="true"/>
    <s v="西红柿"/>
    <s v="散装鲜菜"/>
    <x v="2"/>
    <n v="42"/>
    <n v="0"/>
    <n v="42"/>
    <s v=""/>
    <s v=""/>
    <s v=""/>
    <s v=""/>
    <s v="通过"/>
  </r>
  <r>
    <s v="SIM-20260908-C003"/>
    <n v="7"/>
    <s v="C003"/>
    <d v="2026-09-08T00:00:00"/>
    <s v="P016"/>
    <s v="公斤"/>
    <n v="6"/>
    <n v="6"/>
    <n v="0"/>
    <n v="10.4"/>
    <s v="正常交付"/>
    <s v="true"/>
    <s v="鸡蛋"/>
    <s v="普通鲜鸡蛋按净重"/>
    <x v="2"/>
    <n v="62.4"/>
    <n v="0"/>
    <n v="62.4"/>
    <s v=""/>
    <s v=""/>
    <s v=""/>
    <s v=""/>
    <s v="通过"/>
  </r>
  <r>
    <s v="SIM-20260908-C003"/>
    <n v="8"/>
    <s v="C003"/>
    <d v="2026-09-08T00:00:00"/>
    <s v="P015"/>
    <s v="公斤"/>
    <n v="1"/>
    <n v="1"/>
    <n v="0"/>
    <n v="7.2"/>
    <s v="正常交付"/>
    <s v="true"/>
    <s v="小葱"/>
    <s v="散装鲜菜"/>
    <x v="2"/>
    <n v="7.2"/>
    <n v="0"/>
    <n v="7.2"/>
    <s v=""/>
    <s v=""/>
    <s v=""/>
    <s v=""/>
    <s v="通过"/>
  </r>
  <r>
    <s v="SIM-20260908-C004"/>
    <n v="1"/>
    <s v="C004"/>
    <d v="2026-09-08T00:00:00"/>
    <s v="P011"/>
    <s v="公斤"/>
    <n v="6.4"/>
    <n v="6.4"/>
    <n v="0"/>
    <n v="4.3"/>
    <s v="正常交付"/>
    <s v="true"/>
    <s v="红薯叶"/>
    <s v="散装鲜菜"/>
    <x v="3"/>
    <n v="27.52"/>
    <n v="0"/>
    <n v="27.52"/>
    <s v=""/>
    <s v=""/>
    <s v=""/>
    <s v=""/>
    <s v="通过"/>
  </r>
  <r>
    <s v="SIM-20260908-C004"/>
    <n v="2"/>
    <s v="C004"/>
    <d v="2026-09-08T00:00:00"/>
    <s v="P014"/>
    <s v="公斤"/>
    <n v="4.4000000000000004"/>
    <n v="4.4000000000000004"/>
    <n v="0"/>
    <n v="5"/>
    <s v="正常交付"/>
    <s v="true"/>
    <s v="丝瓜"/>
    <s v="散装鲜菜"/>
    <x v="3"/>
    <n v="22"/>
    <n v="0"/>
    <n v="22"/>
    <s v=""/>
    <s v=""/>
    <s v=""/>
    <s v=""/>
    <s v="通过"/>
  </r>
  <r>
    <s v="SIM-20260908-C004"/>
    <n v="3"/>
    <s v="C004"/>
    <d v="2026-09-08T00:00:00"/>
    <s v="P001"/>
    <s v="公斤"/>
    <n v="5.6"/>
    <n v="5.6"/>
    <n v="0"/>
    <n v="3.3"/>
    <s v="正常交付"/>
    <s v="true"/>
    <s v="土豆"/>
    <s v="散装鲜菜"/>
    <x v="3"/>
    <n v="18.48"/>
    <n v="0"/>
    <n v="18.48"/>
    <s v=""/>
    <s v=""/>
    <s v=""/>
    <s v=""/>
    <s v="通过"/>
  </r>
  <r>
    <s v="SIM-20260908-C004"/>
    <n v="4"/>
    <s v="C004"/>
    <d v="2026-09-08T00:00:00"/>
    <s v="P007"/>
    <s v="公斤"/>
    <n v="6.4"/>
    <n v="6.4"/>
    <n v="0"/>
    <n v="5.45"/>
    <s v="正常交付"/>
    <s v="true"/>
    <s v="青椒"/>
    <s v="散装鲜菜"/>
    <x v="3"/>
    <n v="34.880000000000003"/>
    <n v="0"/>
    <n v="34.880000000000003"/>
    <s v=""/>
    <s v=""/>
    <s v=""/>
    <s v=""/>
    <s v="通过"/>
  </r>
  <r>
    <s v="SIM-20260908-C004"/>
    <n v="5"/>
    <s v="C004"/>
    <d v="2026-09-08T00:00:00"/>
    <s v="P003"/>
    <s v="公斤"/>
    <n v="6"/>
    <n v="6"/>
    <n v="0"/>
    <n v="2.9"/>
    <s v="正常交付"/>
    <s v="true"/>
    <s v="包菜"/>
    <s v="散装鲜菜"/>
    <x v="3"/>
    <n v="17.399999999999999"/>
    <n v="0"/>
    <n v="17.399999999999999"/>
    <s v=""/>
    <s v=""/>
    <s v=""/>
    <s v=""/>
    <s v="通过"/>
  </r>
  <r>
    <s v="SIM-20260908-C004"/>
    <n v="6"/>
    <s v="C004"/>
    <d v="2026-09-08T00:00:00"/>
    <s v="P013"/>
    <s v="公斤"/>
    <n v="6"/>
    <n v="6"/>
    <n v="0"/>
    <n v="6"/>
    <s v="正常交付"/>
    <s v="true"/>
    <s v="豇豆"/>
    <s v="散装鲜菜"/>
    <x v="3"/>
    <n v="36"/>
    <n v="0"/>
    <n v="36"/>
    <s v=""/>
    <s v=""/>
    <s v=""/>
    <s v=""/>
    <s v="通过"/>
  </r>
  <r>
    <s v="SIM-20260908-C004"/>
    <n v="7"/>
    <s v="C004"/>
    <d v="2026-09-08T00:00:00"/>
    <s v="P015"/>
    <s v="公斤"/>
    <n v="1"/>
    <n v="1"/>
    <n v="0"/>
    <n v="7.2"/>
    <s v="正常交付"/>
    <s v="true"/>
    <s v="小葱"/>
    <s v="散装鲜菜"/>
    <x v="3"/>
    <n v="7.2"/>
    <n v="0"/>
    <n v="7.2"/>
    <s v=""/>
    <s v=""/>
    <s v=""/>
    <s v=""/>
    <s v="通过"/>
  </r>
  <r>
    <s v="SIM-20260908-C005"/>
    <n v="1"/>
    <s v="C005"/>
    <d v="2026-09-08T00:00:00"/>
    <s v="P011"/>
    <s v="公斤"/>
    <n v="7.4"/>
    <n v="7.4"/>
    <n v="0"/>
    <n v="4.3"/>
    <s v="正常交付"/>
    <s v="true"/>
    <s v="红薯叶"/>
    <s v="散装鲜菜"/>
    <x v="4"/>
    <n v="31.82"/>
    <n v="0"/>
    <n v="31.82"/>
    <s v=""/>
    <s v=""/>
    <s v=""/>
    <s v=""/>
    <s v="通过"/>
  </r>
  <r>
    <s v="SIM-20260908-C005"/>
    <n v="2"/>
    <s v="C005"/>
    <d v="2026-09-08T00:00:00"/>
    <s v="P001"/>
    <s v="公斤"/>
    <n v="6.5"/>
    <n v="6.5"/>
    <n v="0"/>
    <n v="3.3"/>
    <s v="正常交付"/>
    <s v="true"/>
    <s v="土豆"/>
    <s v="散装鲜菜"/>
    <x v="4"/>
    <n v="21.45"/>
    <n v="0"/>
    <n v="21.45"/>
    <s v=""/>
    <s v=""/>
    <s v=""/>
    <s v=""/>
    <s v="通过"/>
  </r>
  <r>
    <s v="SIM-20260908-C005"/>
    <n v="3"/>
    <s v="C005"/>
    <d v="2026-09-08T00:00:00"/>
    <s v="P002"/>
    <s v="公斤"/>
    <n v="6.5"/>
    <n v="6.2"/>
    <n v="0"/>
    <n v="2.7"/>
    <s v="到货不足；按实际交付计费"/>
    <s v="true"/>
    <s v="白萝卜"/>
    <s v="散装鲜菜"/>
    <x v="4"/>
    <n v="16.739999999999998"/>
    <n v="0"/>
    <n v="16.739999999999998"/>
    <s v=""/>
    <s v=""/>
    <s v=""/>
    <s v=""/>
    <s v="通过"/>
  </r>
  <r>
    <s v="SIM-20260908-C005"/>
    <n v="4"/>
    <s v="C005"/>
    <d v="2026-09-08T00:00:00"/>
    <s v="P003"/>
    <s v="公斤"/>
    <n v="14.9"/>
    <n v="14.9"/>
    <n v="0"/>
    <n v="2.9"/>
    <s v="正常交付"/>
    <s v="true"/>
    <s v="包菜"/>
    <s v="散装鲜菜"/>
    <x v="4"/>
    <n v="43.21"/>
    <n v="0"/>
    <n v="43.21"/>
    <s v=""/>
    <s v=""/>
    <s v=""/>
    <s v=""/>
    <s v="通过"/>
  </r>
  <r>
    <s v="SIM-20260908-C005"/>
    <n v="5"/>
    <s v="C005"/>
    <d v="2026-09-08T00:00:00"/>
    <s v="P009"/>
    <s v="公斤"/>
    <n v="10.199999999999999"/>
    <n v="10.199999999999999"/>
    <n v="0"/>
    <n v="5"/>
    <s v="正常交付"/>
    <s v="true"/>
    <s v="西红柿"/>
    <s v="散装鲜菜"/>
    <x v="4"/>
    <n v="51"/>
    <n v="0"/>
    <n v="51"/>
    <s v=""/>
    <s v=""/>
    <s v=""/>
    <s v=""/>
    <s v="通过"/>
  </r>
  <r>
    <s v="SIM-20260908-C005"/>
    <n v="6"/>
    <s v="C005"/>
    <d v="2026-09-08T00:00:00"/>
    <s v="P013"/>
    <s v="公斤"/>
    <n v="10.199999999999999"/>
    <n v="10.199999999999999"/>
    <n v="0"/>
    <n v="6"/>
    <s v="正常交付"/>
    <s v="true"/>
    <s v="豇豆"/>
    <s v="散装鲜菜"/>
    <x v="4"/>
    <n v="61.2"/>
    <n v="0"/>
    <n v="61.2"/>
    <s v=""/>
    <s v=""/>
    <s v=""/>
    <s v=""/>
    <s v="通过"/>
  </r>
  <r>
    <s v="SIM-20260908-C005"/>
    <n v="7"/>
    <s v="C005"/>
    <d v="2026-09-08T00:00:00"/>
    <s v="P017"/>
    <s v="袋"/>
    <n v="6"/>
    <n v="6"/>
    <n v="0"/>
    <n v="116"/>
    <s v="正常交付"/>
    <s v="true"/>
    <s v="籼米"/>
    <s v="25公斤/袋普通籼米"/>
    <x v="4"/>
    <n v="696"/>
    <n v="0"/>
    <n v="696"/>
    <s v=""/>
    <s v=""/>
    <s v=""/>
    <s v=""/>
    <s v="通过"/>
  </r>
  <r>
    <s v="SIM-20260908-C005"/>
    <n v="8"/>
    <s v="C005"/>
    <d v="2026-09-08T00:00:00"/>
    <s v="P020"/>
    <s v="桶"/>
    <n v="2"/>
    <n v="2"/>
    <n v="0"/>
    <n v="59"/>
    <s v="正常交付"/>
    <s v="true"/>
    <s v="大豆油"/>
    <s v="5升/桶普通大豆油"/>
    <x v="4"/>
    <n v="118"/>
    <n v="0"/>
    <n v="118"/>
    <s v=""/>
    <s v=""/>
    <s v=""/>
    <s v=""/>
    <s v="通过"/>
  </r>
  <r>
    <s v="SIM-20260908-C006"/>
    <n v="1"/>
    <s v="C006"/>
    <d v="2026-09-08T00:00:00"/>
    <s v="P010"/>
    <s v="公斤"/>
    <n v="10.1"/>
    <n v="10.1"/>
    <n v="0.5"/>
    <n v="5"/>
    <s v="正常交付；签收时挑出黄叶退回"/>
    <s v="true"/>
    <s v="空心菜"/>
    <s v="散装鲜菜"/>
    <x v="5"/>
    <n v="50.5"/>
    <n v="2.5"/>
    <n v="48"/>
    <s v=""/>
    <s v=""/>
    <s v=""/>
    <s v=""/>
    <s v="通过"/>
  </r>
  <r>
    <s v="SIM-20260908-C006"/>
    <n v="2"/>
    <s v="C006"/>
    <d v="2026-09-08T00:00:00"/>
    <s v="P005"/>
    <s v="公斤"/>
    <n v="8.4"/>
    <n v="8.4"/>
    <n v="0"/>
    <n v="2.7"/>
    <s v="正常交付"/>
    <s v="true"/>
    <s v="南瓜"/>
    <s v="散装鲜菜"/>
    <x v="5"/>
    <n v="22.68"/>
    <n v="0"/>
    <n v="22.68"/>
    <s v=""/>
    <s v=""/>
    <s v=""/>
    <s v=""/>
    <s v="通过"/>
  </r>
  <r>
    <s v="SIM-20260908-C006"/>
    <n v="3"/>
    <s v="C006"/>
    <d v="2026-09-08T00:00:00"/>
    <s v="P009"/>
    <s v="公斤"/>
    <n v="8.4"/>
    <n v="8.4"/>
    <n v="0"/>
    <n v="5"/>
    <s v="正常交付"/>
    <s v="true"/>
    <s v="西红柿"/>
    <s v="散装鲜菜"/>
    <x v="5"/>
    <n v="42"/>
    <n v="0"/>
    <n v="42"/>
    <s v=""/>
    <s v=""/>
    <s v=""/>
    <s v=""/>
    <s v="通过"/>
  </r>
  <r>
    <s v="SIM-20260908-C006"/>
    <n v="4"/>
    <s v="C006"/>
    <d v="2026-09-08T00:00:00"/>
    <s v="P003"/>
    <s v="公斤"/>
    <n v="9.3000000000000007"/>
    <n v="9.3000000000000007"/>
    <n v="0"/>
    <n v="2.9"/>
    <s v="正常交付"/>
    <s v="true"/>
    <s v="包菜"/>
    <s v="散装鲜菜"/>
    <x v="5"/>
    <n v="26.97"/>
    <n v="0"/>
    <n v="26.97"/>
    <s v=""/>
    <s v=""/>
    <s v=""/>
    <s v=""/>
    <s v="通过"/>
  </r>
  <r>
    <s v="SIM-20260908-C006"/>
    <n v="5"/>
    <s v="C006"/>
    <d v="2026-09-08T00:00:00"/>
    <s v="P004"/>
    <s v="公斤"/>
    <n v="5.9"/>
    <n v="5.9"/>
    <n v="0"/>
    <n v="2.7"/>
    <s v="正常交付"/>
    <s v="true"/>
    <s v="冬瓜"/>
    <s v="散装鲜菜"/>
    <x v="5"/>
    <n v="15.93"/>
    <n v="0"/>
    <n v="15.93"/>
    <s v=""/>
    <s v=""/>
    <s v=""/>
    <s v=""/>
    <s v="通过"/>
  </r>
  <r>
    <s v="SIM-20260908-C006"/>
    <n v="6"/>
    <s v="C006"/>
    <d v="2026-09-08T00:00:00"/>
    <s v="P006"/>
    <s v="公斤"/>
    <n v="6.8"/>
    <n v="6.8"/>
    <n v="0"/>
    <n v="4.8"/>
    <s v="正常交付"/>
    <s v="true"/>
    <s v="茄子"/>
    <s v="散装鲜菜"/>
    <x v="5"/>
    <n v="32.64"/>
    <n v="0"/>
    <n v="32.64"/>
    <s v=""/>
    <s v=""/>
    <s v=""/>
    <s v=""/>
    <s v="通过"/>
  </r>
  <r>
    <s v="SIM-20260909-C001"/>
    <n v="1"/>
    <s v="C001"/>
    <d v="2026-09-09T00:00:00"/>
    <s v="P011"/>
    <s v="公斤"/>
    <n v="3.4"/>
    <n v="3.4"/>
    <n v="0"/>
    <n v="4.3"/>
    <s v="正常交付"/>
    <s v="true"/>
    <s v="红薯叶"/>
    <s v="散装鲜菜"/>
    <x v="0"/>
    <n v="14.62"/>
    <n v="0"/>
    <n v="14.62"/>
    <s v=""/>
    <s v=""/>
    <s v=""/>
    <s v=""/>
    <s v="通过"/>
  </r>
  <r>
    <s v="SIM-20260909-C001"/>
    <n v="2"/>
    <s v="C001"/>
    <d v="2026-09-09T00:00:00"/>
    <s v="P004"/>
    <s v="公斤"/>
    <n v="1.7"/>
    <n v="1.7"/>
    <n v="0"/>
    <n v="2.7"/>
    <s v="正常交付"/>
    <s v="true"/>
    <s v="冬瓜"/>
    <s v="散装鲜菜"/>
    <x v="0"/>
    <n v="4.59"/>
    <n v="0"/>
    <n v="4.59"/>
    <s v=""/>
    <s v=""/>
    <s v=""/>
    <s v=""/>
    <s v="通过"/>
  </r>
  <r>
    <s v="SIM-20260909-C001"/>
    <n v="3"/>
    <s v="C001"/>
    <d v="2026-09-09T00:00:00"/>
    <s v="P013"/>
    <s v="公斤"/>
    <n v="3.2"/>
    <n v="3.2"/>
    <n v="0"/>
    <n v="6"/>
    <s v="正常交付"/>
    <s v="true"/>
    <s v="豇豆"/>
    <s v="散装鲜菜"/>
    <x v="0"/>
    <n v="19.2"/>
    <n v="0"/>
    <n v="19.2"/>
    <s v=""/>
    <s v=""/>
    <s v=""/>
    <s v=""/>
    <s v="通过"/>
  </r>
  <r>
    <s v="SIM-20260909-C001"/>
    <n v="4"/>
    <s v="C001"/>
    <d v="2026-09-09T00:00:00"/>
    <s v="P003"/>
    <s v="公斤"/>
    <n v="2.5"/>
    <n v="2.5"/>
    <n v="0"/>
    <n v="2.9"/>
    <s v="正常交付"/>
    <s v="true"/>
    <s v="包菜"/>
    <s v="散装鲜菜"/>
    <x v="0"/>
    <n v="7.25"/>
    <n v="0"/>
    <n v="7.25"/>
    <s v=""/>
    <s v=""/>
    <s v=""/>
    <s v=""/>
    <s v="通过"/>
  </r>
  <r>
    <s v="SIM-20260909-C002"/>
    <n v="1"/>
    <s v="C002"/>
    <d v="2026-09-09T00:00:00"/>
    <s v="P012"/>
    <s v="公斤"/>
    <n v="3.2"/>
    <n v="3.2"/>
    <n v="0"/>
    <n v="5"/>
    <s v="正常交付"/>
    <s v="true"/>
    <s v="小白菜"/>
    <s v="散装鲜菜"/>
    <x v="1"/>
    <n v="16"/>
    <n v="0"/>
    <n v="16"/>
    <s v=""/>
    <s v=""/>
    <s v=""/>
    <s v=""/>
    <s v="通过"/>
  </r>
  <r>
    <s v="SIM-20260909-C002"/>
    <n v="2"/>
    <s v="C002"/>
    <d v="2026-09-09T00:00:00"/>
    <s v="P006"/>
    <s v="公斤"/>
    <n v="5.6"/>
    <n v="5.6"/>
    <n v="0"/>
    <n v="4.8"/>
    <s v="正常交付"/>
    <s v="true"/>
    <s v="茄子"/>
    <s v="散装鲜菜"/>
    <x v="1"/>
    <n v="26.88"/>
    <n v="0"/>
    <n v="26.88"/>
    <s v=""/>
    <s v=""/>
    <s v=""/>
    <s v=""/>
    <s v="通过"/>
  </r>
  <r>
    <s v="SIM-20260909-C002"/>
    <n v="3"/>
    <s v="C002"/>
    <d v="2026-09-09T00:00:00"/>
    <s v="P003"/>
    <s v="公斤"/>
    <n v="4.4000000000000004"/>
    <n v="4.4000000000000004"/>
    <n v="0"/>
    <n v="2.9"/>
    <s v="正常交付"/>
    <s v="true"/>
    <s v="包菜"/>
    <s v="散装鲜菜"/>
    <x v="1"/>
    <n v="12.76"/>
    <n v="0"/>
    <n v="12.76"/>
    <s v=""/>
    <s v=""/>
    <s v=""/>
    <s v=""/>
    <s v="通过"/>
  </r>
  <r>
    <s v="SIM-20260909-C002"/>
    <n v="4"/>
    <s v="C002"/>
    <d v="2026-09-09T00:00:00"/>
    <s v="P001"/>
    <s v="公斤"/>
    <n v="6.4"/>
    <n v="6.4"/>
    <n v="0"/>
    <n v="3.3"/>
    <s v="正常交付"/>
    <s v="true"/>
    <s v="土豆"/>
    <s v="散装鲜菜"/>
    <x v="1"/>
    <n v="21.12"/>
    <n v="0"/>
    <n v="21.12"/>
    <s v=""/>
    <s v=""/>
    <s v=""/>
    <s v=""/>
    <s v="通过"/>
  </r>
  <r>
    <s v="SIM-20260909-C002"/>
    <n v="5"/>
    <s v="C002"/>
    <d v="2026-09-09T00:00:00"/>
    <s v="P004"/>
    <s v="公斤"/>
    <n v="6"/>
    <n v="6"/>
    <n v="0"/>
    <n v="2.7"/>
    <s v="正常交付"/>
    <s v="true"/>
    <s v="冬瓜"/>
    <s v="散装鲜菜"/>
    <x v="1"/>
    <n v="16.2"/>
    <n v="0"/>
    <n v="16.2"/>
    <s v=""/>
    <s v=""/>
    <s v=""/>
    <s v=""/>
    <s v="通过"/>
  </r>
  <r>
    <s v="SIM-20260909-C003"/>
    <n v="1"/>
    <s v="C003"/>
    <d v="2026-09-09T00:00:00"/>
    <s v="P010"/>
    <s v="公斤"/>
    <n v="7.6"/>
    <n v="7.4"/>
    <n v="0"/>
    <n v="5"/>
    <s v="到货不足；按实际交付计费"/>
    <s v="true"/>
    <s v="空心菜"/>
    <s v="散装鲜菜"/>
    <x v="2"/>
    <n v="37"/>
    <n v="0"/>
    <n v="37"/>
    <s v=""/>
    <s v=""/>
    <s v=""/>
    <s v=""/>
    <s v="通过"/>
  </r>
  <r>
    <s v="SIM-20260909-C003"/>
    <n v="2"/>
    <s v="C003"/>
    <d v="2026-09-09T00:00:00"/>
    <s v="P001"/>
    <s v="公斤"/>
    <n v="4.0999999999999996"/>
    <n v="4.0999999999999996"/>
    <n v="0"/>
    <n v="3.3"/>
    <s v="正常交付"/>
    <s v="true"/>
    <s v="土豆"/>
    <s v="散装鲜菜"/>
    <x v="2"/>
    <n v="13.53"/>
    <n v="0"/>
    <n v="13.53"/>
    <s v=""/>
    <s v=""/>
    <s v=""/>
    <s v=""/>
    <s v="通过"/>
  </r>
  <r>
    <s v="SIM-20260909-C003"/>
    <n v="3"/>
    <s v="C003"/>
    <d v="2026-09-09T00:00:00"/>
    <s v="P007"/>
    <s v="公斤"/>
    <n v="4.7"/>
    <n v="4.7"/>
    <n v="0"/>
    <n v="5.45"/>
    <s v="正常交付"/>
    <s v="true"/>
    <s v="青椒"/>
    <s v="散装鲜菜"/>
    <x v="2"/>
    <n v="25.62"/>
    <n v="0"/>
    <n v="25.62"/>
    <s v=""/>
    <s v=""/>
    <s v=""/>
    <s v=""/>
    <s v="通过"/>
  </r>
  <r>
    <s v="SIM-20260909-C003"/>
    <n v="4"/>
    <s v="C003"/>
    <d v="2026-09-09T00:00:00"/>
    <s v="P004"/>
    <s v="公斤"/>
    <n v="6.5"/>
    <n v="6.5"/>
    <n v="0"/>
    <n v="2.7"/>
    <s v="正常交付"/>
    <s v="true"/>
    <s v="冬瓜"/>
    <s v="散装鲜菜"/>
    <x v="2"/>
    <n v="17.55"/>
    <n v="0"/>
    <n v="17.55"/>
    <s v=""/>
    <s v=""/>
    <s v=""/>
    <s v=""/>
    <s v="通过"/>
  </r>
  <r>
    <s v="SIM-20260909-C003"/>
    <n v="5"/>
    <s v="C003"/>
    <d v="2026-09-09T00:00:00"/>
    <s v="P003"/>
    <s v="公斤"/>
    <n v="7.1"/>
    <n v="7.1"/>
    <n v="0"/>
    <n v="2.9"/>
    <s v="正常交付"/>
    <s v="true"/>
    <s v="包菜"/>
    <s v="散装鲜菜"/>
    <x v="2"/>
    <n v="20.59"/>
    <n v="0"/>
    <n v="20.59"/>
    <s v=""/>
    <s v=""/>
    <s v=""/>
    <s v=""/>
    <s v="通过"/>
  </r>
  <r>
    <s v="SIM-20260909-C003"/>
    <n v="6"/>
    <s v="C003"/>
    <d v="2026-09-09T00:00:00"/>
    <s v="P006"/>
    <s v="公斤"/>
    <n v="8.1999999999999993"/>
    <n v="8.1999999999999993"/>
    <n v="0"/>
    <n v="4.8"/>
    <s v="正常交付"/>
    <s v="true"/>
    <s v="茄子"/>
    <s v="散装鲜菜"/>
    <x v="2"/>
    <n v="39.36"/>
    <n v="0"/>
    <n v="39.36"/>
    <s v=""/>
    <s v=""/>
    <s v=""/>
    <s v=""/>
    <s v="通过"/>
  </r>
  <r>
    <s v="SIM-20260909-C005"/>
    <n v="1"/>
    <s v="C005"/>
    <d v="2026-09-09T00:00:00"/>
    <s v="P011"/>
    <s v="公斤"/>
    <n v="12.8"/>
    <n v="12.8"/>
    <n v="0"/>
    <n v="4.3"/>
    <s v="正常交付"/>
    <s v="true"/>
    <s v="红薯叶"/>
    <s v="散装鲜菜"/>
    <x v="4"/>
    <n v="55.04"/>
    <n v="0"/>
    <n v="55.04"/>
    <s v=""/>
    <s v=""/>
    <s v=""/>
    <s v=""/>
    <s v="通过"/>
  </r>
  <r>
    <s v="SIM-20260909-C005"/>
    <n v="2"/>
    <s v="C005"/>
    <d v="2026-09-09T00:00:00"/>
    <s v="P008"/>
    <s v="公斤"/>
    <n v="8.1999999999999993"/>
    <n v="8.1999999999999993"/>
    <n v="0"/>
    <n v="4.4000000000000004"/>
    <s v="正常交付"/>
    <s v="true"/>
    <s v="黄瓜"/>
    <s v="散装鲜菜"/>
    <x v="4"/>
    <n v="36.08"/>
    <n v="0"/>
    <n v="36.08"/>
    <s v=""/>
    <s v=""/>
    <s v=""/>
    <s v=""/>
    <s v="通过"/>
  </r>
  <r>
    <s v="SIM-20260909-C005"/>
    <n v="3"/>
    <s v="C005"/>
    <d v="2026-09-09T00:00:00"/>
    <s v="P013"/>
    <s v="公斤"/>
    <n v="11.9"/>
    <n v="11.9"/>
    <n v="0"/>
    <n v="6"/>
    <s v="正常交付"/>
    <s v="true"/>
    <s v="豇豆"/>
    <s v="散装鲜菜"/>
    <x v="4"/>
    <n v="71.400000000000006"/>
    <n v="0"/>
    <n v="71.400000000000006"/>
    <s v=""/>
    <s v=""/>
    <s v=""/>
    <s v=""/>
    <s v="通过"/>
  </r>
  <r>
    <s v="SIM-20260909-C005"/>
    <n v="4"/>
    <s v="C005"/>
    <d v="2026-09-09T00:00:00"/>
    <s v="P004"/>
    <s v="公斤"/>
    <n v="8.1999999999999993"/>
    <n v="8.1999999999999993"/>
    <n v="0"/>
    <n v="2.7"/>
    <s v="正常交付"/>
    <s v="true"/>
    <s v="冬瓜"/>
    <s v="散装鲜菜"/>
    <x v="4"/>
    <n v="22.14"/>
    <n v="0"/>
    <n v="22.14"/>
    <s v=""/>
    <s v=""/>
    <s v=""/>
    <s v=""/>
    <s v="通过"/>
  </r>
  <r>
    <s v="SIM-20260909-C005"/>
    <n v="5"/>
    <s v="C005"/>
    <d v="2026-09-09T00:00:00"/>
    <s v="P002"/>
    <s v="公斤"/>
    <n v="7.3"/>
    <n v="7.3"/>
    <n v="0"/>
    <n v="2.7"/>
    <s v="正常交付"/>
    <s v="true"/>
    <s v="白萝卜"/>
    <s v="散装鲜菜"/>
    <x v="4"/>
    <n v="19.71"/>
    <n v="0"/>
    <n v="19.71"/>
    <s v=""/>
    <s v=""/>
    <s v=""/>
    <s v=""/>
    <s v="通过"/>
  </r>
  <r>
    <s v="SIM-20260909-C005"/>
    <n v="6"/>
    <s v="C005"/>
    <d v="2026-09-09T00:00:00"/>
    <s v="P007"/>
    <s v="公斤"/>
    <n v="13.7"/>
    <n v="13.7"/>
    <n v="0"/>
    <n v="5.45"/>
    <s v="正常交付"/>
    <s v="true"/>
    <s v="青椒"/>
    <s v="散装鲜菜"/>
    <x v="4"/>
    <n v="74.67"/>
    <n v="0"/>
    <n v="74.67"/>
    <s v=""/>
    <s v=""/>
    <s v=""/>
    <s v=""/>
    <s v="通过"/>
  </r>
  <r>
    <s v="SIM-20260909-C005"/>
    <n v="7"/>
    <s v="C005"/>
    <d v="2026-09-09T00:00:00"/>
    <s v="P016"/>
    <s v="公斤"/>
    <n v="12"/>
    <n v="12"/>
    <n v="0"/>
    <n v="10.4"/>
    <s v="正常交付"/>
    <s v="true"/>
    <s v="鸡蛋"/>
    <s v="普通鲜鸡蛋按净重"/>
    <x v="4"/>
    <n v="124.8"/>
    <n v="0"/>
    <n v="124.8"/>
    <s v=""/>
    <s v=""/>
    <s v=""/>
    <s v=""/>
    <s v="通过"/>
  </r>
  <r>
    <s v="SIM-20260909-C005"/>
    <n v="8"/>
    <s v="C005"/>
    <d v="2026-09-09T00:00:00"/>
    <s v="P015"/>
    <s v="公斤"/>
    <n v="1"/>
    <n v="1"/>
    <n v="0"/>
    <n v="7.2"/>
    <s v="正常交付"/>
    <s v="true"/>
    <s v="小葱"/>
    <s v="散装鲜菜"/>
    <x v="4"/>
    <n v="7.2"/>
    <n v="0"/>
    <n v="7.2"/>
    <s v=""/>
    <s v=""/>
    <s v=""/>
    <s v=""/>
    <s v="通过"/>
  </r>
  <r>
    <s v="SIM-20260909-C006"/>
    <n v="1"/>
    <s v="C006"/>
    <d v="2026-09-09T00:00:00"/>
    <s v="P011"/>
    <s v="公斤"/>
    <n v="9.1999999999999993"/>
    <n v="9.1999999999999993"/>
    <n v="0"/>
    <n v="4.3"/>
    <s v="正常交付"/>
    <s v="true"/>
    <s v="红薯叶"/>
    <s v="散装鲜菜"/>
    <x v="5"/>
    <n v="39.56"/>
    <n v="0"/>
    <n v="39.56"/>
    <s v=""/>
    <s v=""/>
    <s v=""/>
    <s v=""/>
    <s v="通过"/>
  </r>
  <r>
    <s v="SIM-20260909-C006"/>
    <n v="2"/>
    <s v="C006"/>
    <d v="2026-09-09T00:00:00"/>
    <s v="P013"/>
    <s v="公斤"/>
    <n v="8.6"/>
    <n v="8.6"/>
    <n v="0"/>
    <n v="6"/>
    <s v="正常交付"/>
    <s v="true"/>
    <s v="豇豆"/>
    <s v="散装鲜菜"/>
    <x v="5"/>
    <n v="51.6"/>
    <n v="0"/>
    <n v="51.6"/>
    <s v=""/>
    <s v=""/>
    <s v=""/>
    <s v=""/>
    <s v="通过"/>
  </r>
  <r>
    <s v="SIM-20260909-C006"/>
    <n v="3"/>
    <s v="C006"/>
    <d v="2026-09-09T00:00:00"/>
    <s v="P003"/>
    <s v="公斤"/>
    <n v="9.1999999999999993"/>
    <n v="9.1999999999999993"/>
    <n v="0"/>
    <n v="2.9"/>
    <s v="正常交付"/>
    <s v="true"/>
    <s v="包菜"/>
    <s v="散装鲜菜"/>
    <x v="5"/>
    <n v="26.68"/>
    <n v="0"/>
    <n v="26.68"/>
    <s v=""/>
    <s v=""/>
    <s v=""/>
    <s v=""/>
    <s v="通过"/>
  </r>
  <r>
    <s v="SIM-20260909-C006"/>
    <n v="4"/>
    <s v="C006"/>
    <d v="2026-09-09T00:00:00"/>
    <s v="P005"/>
    <s v="公斤"/>
    <n v="6.7"/>
    <n v="6.7"/>
    <n v="0"/>
    <n v="2.7"/>
    <s v="正常交付"/>
    <s v="true"/>
    <s v="南瓜"/>
    <s v="散装鲜菜"/>
    <x v="5"/>
    <n v="18.09"/>
    <n v="0"/>
    <n v="18.09"/>
    <s v=""/>
    <s v=""/>
    <s v=""/>
    <s v=""/>
    <s v="通过"/>
  </r>
  <r>
    <s v="SIM-20260909-C006"/>
    <n v="5"/>
    <s v="C006"/>
    <d v="2026-09-09T00:00:00"/>
    <s v="P009"/>
    <s v="公斤"/>
    <n v="5.5"/>
    <n v="5.5"/>
    <n v="0"/>
    <n v="5"/>
    <s v="正常交付"/>
    <s v="true"/>
    <s v="西红柿"/>
    <s v="散装鲜菜"/>
    <x v="5"/>
    <n v="27.5"/>
    <n v="0"/>
    <n v="27.5"/>
    <s v=""/>
    <s v=""/>
    <s v=""/>
    <s v=""/>
    <s v="通过"/>
  </r>
  <r>
    <s v="SIM-20260909-C006"/>
    <n v="6"/>
    <s v="C006"/>
    <d v="2026-09-09T00:00:00"/>
    <s v="P004"/>
    <s v="公斤"/>
    <n v="7.9"/>
    <n v="7.9"/>
    <n v="0"/>
    <n v="2.7"/>
    <s v="正常交付"/>
    <s v="true"/>
    <s v="冬瓜"/>
    <s v="散装鲜菜"/>
    <x v="5"/>
    <n v="21.33"/>
    <n v="0"/>
    <n v="21.33"/>
    <s v=""/>
    <s v=""/>
    <s v=""/>
    <s v=""/>
    <s v="通过"/>
  </r>
  <r>
    <s v="SIM-20260909-C006"/>
    <n v="7"/>
    <s v="C006"/>
    <d v="2026-09-09T00:00:00"/>
    <s v="P016"/>
    <s v="公斤"/>
    <n v="9"/>
    <n v="9"/>
    <n v="0"/>
    <n v="10.4"/>
    <s v="正常交付"/>
    <s v="true"/>
    <s v="鸡蛋"/>
    <s v="普通鲜鸡蛋按净重"/>
    <x v="5"/>
    <n v="93.6"/>
    <n v="0"/>
    <n v="93.6"/>
    <s v=""/>
    <s v=""/>
    <s v=""/>
    <s v=""/>
    <s v="通过"/>
  </r>
  <r>
    <s v="SIM-20260910-C001"/>
    <n v="1"/>
    <s v="C001"/>
    <d v="2026-09-10T00:00:00"/>
    <s v="P012"/>
    <s v="公斤"/>
    <n v="2.5"/>
    <n v="2.5"/>
    <n v="0.5"/>
    <n v="5"/>
    <s v="正常交付；签收时挑出黄叶退回"/>
    <s v="true"/>
    <s v="小白菜"/>
    <s v="散装鲜菜"/>
    <x v="0"/>
    <n v="12.5"/>
    <n v="2.5"/>
    <n v="10"/>
    <s v=""/>
    <s v=""/>
    <s v=""/>
    <s v=""/>
    <s v="通过"/>
  </r>
  <r>
    <s v="SIM-20260910-C001"/>
    <n v="2"/>
    <s v="C001"/>
    <d v="2026-09-10T00:00:00"/>
    <s v="P005"/>
    <s v="公斤"/>
    <n v="3.2"/>
    <n v="3.2"/>
    <n v="0"/>
    <n v="2.7"/>
    <s v="正常交付"/>
    <s v="true"/>
    <s v="南瓜"/>
    <s v="散装鲜菜"/>
    <x v="0"/>
    <n v="8.64"/>
    <n v="0"/>
    <n v="8.64"/>
    <s v=""/>
    <s v=""/>
    <s v=""/>
    <s v=""/>
    <s v="通过"/>
  </r>
  <r>
    <s v="SIM-20260910-C001"/>
    <n v="3"/>
    <s v="C001"/>
    <d v="2026-09-10T00:00:00"/>
    <s v="P014"/>
    <s v="公斤"/>
    <n v="3.2"/>
    <n v="3.2"/>
    <n v="0"/>
    <n v="5"/>
    <s v="正常交付"/>
    <s v="true"/>
    <s v="丝瓜"/>
    <s v="散装鲜菜"/>
    <x v="0"/>
    <n v="16"/>
    <n v="0"/>
    <n v="16"/>
    <s v=""/>
    <s v=""/>
    <s v=""/>
    <s v=""/>
    <s v="通过"/>
  </r>
  <r>
    <s v="SIM-20260910-C001"/>
    <n v="4"/>
    <s v="C001"/>
    <d v="2026-09-10T00:00:00"/>
    <s v="P006"/>
    <s v="公斤"/>
    <n v="2.2999999999999998"/>
    <n v="2.2999999999999998"/>
    <n v="0"/>
    <n v="4.8"/>
    <s v="正常交付"/>
    <s v="true"/>
    <s v="茄子"/>
    <s v="散装鲜菜"/>
    <x v="0"/>
    <n v="11.04"/>
    <n v="0"/>
    <n v="11.04"/>
    <s v=""/>
    <s v=""/>
    <s v=""/>
    <s v=""/>
    <s v="通过"/>
  </r>
  <r>
    <s v="SIM-20260910-C001"/>
    <n v="5"/>
    <s v="C001"/>
    <d v="2026-09-10T00:00:00"/>
    <s v="P016"/>
    <s v="公斤"/>
    <n v="3"/>
    <n v="3"/>
    <n v="0"/>
    <n v="10.4"/>
    <s v="正常交付"/>
    <s v="true"/>
    <s v="鸡蛋"/>
    <s v="普通鲜鸡蛋按净重"/>
    <x v="0"/>
    <n v="31.2"/>
    <n v="0"/>
    <n v="31.2"/>
    <s v=""/>
    <s v=""/>
    <s v=""/>
    <s v=""/>
    <s v="通过"/>
  </r>
  <r>
    <s v="SIM-20260910-C002"/>
    <n v="1"/>
    <s v="C002"/>
    <d v="2026-09-10T00:00:00"/>
    <s v="P011"/>
    <s v="公斤"/>
    <n v="3.3"/>
    <n v="3.3"/>
    <n v="0"/>
    <n v="4.3"/>
    <s v="正常交付"/>
    <s v="true"/>
    <s v="红薯叶"/>
    <s v="散装鲜菜"/>
    <x v="1"/>
    <n v="14.19"/>
    <n v="0"/>
    <n v="14.19"/>
    <s v=""/>
    <s v=""/>
    <s v=""/>
    <s v=""/>
    <s v="通过"/>
  </r>
  <r>
    <s v="SIM-20260910-C002"/>
    <n v="2"/>
    <s v="C002"/>
    <d v="2026-09-10T00:00:00"/>
    <s v="P004"/>
    <s v="公斤"/>
    <n v="5.4"/>
    <n v="5.4"/>
    <n v="0"/>
    <n v="2.7"/>
    <s v="正常交付"/>
    <s v="true"/>
    <s v="冬瓜"/>
    <s v="散装鲜菜"/>
    <x v="1"/>
    <n v="14.58"/>
    <n v="0"/>
    <n v="14.58"/>
    <s v=""/>
    <s v=""/>
    <s v=""/>
    <s v=""/>
    <s v="通过"/>
  </r>
  <r>
    <s v="SIM-20260910-C002"/>
    <n v="3"/>
    <s v="C002"/>
    <d v="2026-09-10T00:00:00"/>
    <s v="P006"/>
    <s v="公斤"/>
    <n v="5"/>
    <n v="5"/>
    <n v="0"/>
    <n v="4.8"/>
    <s v="正常交付"/>
    <s v="true"/>
    <s v="茄子"/>
    <s v="散装鲜菜"/>
    <x v="1"/>
    <n v="24"/>
    <n v="0"/>
    <n v="24"/>
    <s v=""/>
    <s v=""/>
    <s v=""/>
    <s v=""/>
    <s v="通过"/>
  </r>
  <r>
    <s v="SIM-20260910-C002"/>
    <n v="4"/>
    <s v="C002"/>
    <d v="2026-09-10T00:00:00"/>
    <s v="P003"/>
    <s v="公斤"/>
    <n v="5"/>
    <n v="5"/>
    <n v="0"/>
    <n v="2.9"/>
    <s v="正常交付"/>
    <s v="true"/>
    <s v="包菜"/>
    <s v="散装鲜菜"/>
    <x v="1"/>
    <n v="14.5"/>
    <n v="0"/>
    <n v="14.5"/>
    <s v=""/>
    <s v=""/>
    <s v=""/>
    <s v=""/>
    <s v="通过"/>
  </r>
  <r>
    <s v="SIM-20260910-C002"/>
    <n v="5"/>
    <s v="C002"/>
    <d v="2026-09-10T00:00:00"/>
    <s v="P002"/>
    <s v="公斤"/>
    <n v="6.7"/>
    <n v="6.7"/>
    <n v="0"/>
    <n v="2.7"/>
    <s v="正常交付"/>
    <s v="true"/>
    <s v="白萝卜"/>
    <s v="散装鲜菜"/>
    <x v="1"/>
    <n v="18.09"/>
    <n v="0"/>
    <n v="18.09"/>
    <s v=""/>
    <s v=""/>
    <s v=""/>
    <s v=""/>
    <s v="通过"/>
  </r>
  <r>
    <s v="SIM-20260910-C002"/>
    <n v="6"/>
    <s v="C002"/>
    <d v="2026-09-10T00:00:00"/>
    <s v="P016"/>
    <s v="公斤"/>
    <n v="4"/>
    <n v="4"/>
    <n v="0"/>
    <n v="10.4"/>
    <s v="正常交付"/>
    <s v="true"/>
    <s v="鸡蛋"/>
    <s v="普通鲜鸡蛋按净重"/>
    <x v="1"/>
    <n v="41.6"/>
    <n v="0"/>
    <n v="41.6"/>
    <s v=""/>
    <s v=""/>
    <s v=""/>
    <s v=""/>
    <s v="通过"/>
  </r>
  <r>
    <s v="SIM-20260910-C003"/>
    <n v="1"/>
    <s v="C003"/>
    <d v="2026-09-10T00:00:00"/>
    <s v="P012"/>
    <s v="公斤"/>
    <n v="7"/>
    <n v="7"/>
    <n v="0.2"/>
    <n v="5"/>
    <s v="正常交付；签收时挑出黄叶退回"/>
    <s v="true"/>
    <s v="小白菜"/>
    <s v="散装鲜菜"/>
    <x v="2"/>
    <n v="35"/>
    <n v="1"/>
    <n v="34"/>
    <s v=""/>
    <s v=""/>
    <s v=""/>
    <s v=""/>
    <s v="通过"/>
  </r>
  <r>
    <s v="SIM-20260910-C003"/>
    <n v="2"/>
    <s v="C003"/>
    <d v="2026-09-10T00:00:00"/>
    <s v="P007"/>
    <s v="公斤"/>
    <n v="6.4"/>
    <n v="6.4"/>
    <n v="0"/>
    <n v="5.45"/>
    <s v="正常交付"/>
    <s v="true"/>
    <s v="青椒"/>
    <s v="散装鲜菜"/>
    <x v="2"/>
    <n v="34.880000000000003"/>
    <n v="0"/>
    <n v="34.880000000000003"/>
    <s v=""/>
    <s v=""/>
    <s v=""/>
    <s v=""/>
    <s v="通过"/>
  </r>
  <r>
    <s v="SIM-20260910-C003"/>
    <n v="3"/>
    <s v="C003"/>
    <d v="2026-09-10T00:00:00"/>
    <s v="P004"/>
    <s v="公斤"/>
    <n v="5.7"/>
    <n v="5.7"/>
    <n v="0"/>
    <n v="2.7"/>
    <s v="正常交付"/>
    <s v="true"/>
    <s v="冬瓜"/>
    <s v="散装鲜菜"/>
    <x v="2"/>
    <n v="15.39"/>
    <n v="0"/>
    <n v="15.39"/>
    <s v=""/>
    <s v=""/>
    <s v=""/>
    <s v=""/>
    <s v="通过"/>
  </r>
  <r>
    <s v="SIM-20260910-C003"/>
    <n v="4"/>
    <s v="C003"/>
    <d v="2026-09-10T00:00:00"/>
    <s v="P013"/>
    <s v="公斤"/>
    <n v="5.7"/>
    <n v="5.7"/>
    <n v="0"/>
    <n v="6"/>
    <s v="正常交付"/>
    <s v="true"/>
    <s v="豇豆"/>
    <s v="散装鲜菜"/>
    <x v="2"/>
    <n v="34.200000000000003"/>
    <n v="0"/>
    <n v="34.200000000000003"/>
    <s v=""/>
    <s v=""/>
    <s v=""/>
    <s v=""/>
    <s v="通过"/>
  </r>
  <r>
    <s v="SIM-20260910-C003"/>
    <n v="5"/>
    <s v="C003"/>
    <d v="2026-09-10T00:00:00"/>
    <s v="P001"/>
    <s v="公斤"/>
    <n v="8.3000000000000007"/>
    <n v="8.3000000000000007"/>
    <n v="0"/>
    <n v="3.3"/>
    <s v="正常交付"/>
    <s v="true"/>
    <s v="土豆"/>
    <s v="散装鲜菜"/>
    <x v="2"/>
    <n v="27.39"/>
    <n v="0"/>
    <n v="27.39"/>
    <s v=""/>
    <s v=""/>
    <s v=""/>
    <s v=""/>
    <s v="通过"/>
  </r>
  <r>
    <s v="SIM-20260910-C003"/>
    <n v="6"/>
    <s v="C003"/>
    <d v="2026-09-10T00:00:00"/>
    <s v="P009"/>
    <s v="公斤"/>
    <n v="7.6"/>
    <n v="7.6"/>
    <n v="0"/>
    <n v="5"/>
    <s v="正常交付"/>
    <s v="true"/>
    <s v="西红柿"/>
    <s v="散装鲜菜"/>
    <x v="2"/>
    <n v="38"/>
    <n v="0"/>
    <n v="38"/>
    <s v=""/>
    <s v=""/>
    <s v=""/>
    <s v=""/>
    <s v="通过"/>
  </r>
  <r>
    <s v="SIM-20260910-C003"/>
    <n v="7"/>
    <s v="C003"/>
    <d v="2026-09-10T00:00:00"/>
    <s v="P016"/>
    <s v="公斤"/>
    <n v="6"/>
    <n v="6"/>
    <n v="0.1"/>
    <n v="10.4"/>
    <s v="正常交付；签收时破损退回"/>
    <s v="true"/>
    <s v="鸡蛋"/>
    <s v="普通鲜鸡蛋按净重"/>
    <x v="2"/>
    <n v="62.4"/>
    <n v="1.04"/>
    <n v="61.36"/>
    <s v=""/>
    <s v=""/>
    <s v=""/>
    <s v=""/>
    <s v="通过"/>
  </r>
  <r>
    <s v="SIM-20260910-C004"/>
    <n v="1"/>
    <s v="C004"/>
    <d v="2026-09-10T00:00:00"/>
    <s v="P012"/>
    <s v="公斤"/>
    <n v="4.5"/>
    <n v="4.5"/>
    <n v="0"/>
    <n v="5"/>
    <s v="正常交付"/>
    <s v="true"/>
    <s v="小白菜"/>
    <s v="散装鲜菜"/>
    <x v="3"/>
    <n v="22.5"/>
    <n v="0"/>
    <n v="22.5"/>
    <s v=""/>
    <s v=""/>
    <s v=""/>
    <s v=""/>
    <s v="通过"/>
  </r>
  <r>
    <s v="SIM-20260910-C004"/>
    <n v="2"/>
    <s v="C004"/>
    <d v="2026-09-10T00:00:00"/>
    <s v="P008"/>
    <s v="公斤"/>
    <n v="6.2"/>
    <n v="6.2"/>
    <n v="0"/>
    <n v="4.4000000000000004"/>
    <s v="正常交付"/>
    <s v="true"/>
    <s v="黄瓜"/>
    <s v="散装鲜菜"/>
    <x v="3"/>
    <n v="27.28"/>
    <n v="0"/>
    <n v="27.28"/>
    <s v=""/>
    <s v=""/>
    <s v=""/>
    <s v=""/>
    <s v="通过"/>
  </r>
  <r>
    <s v="SIM-20260910-C004"/>
    <n v="3"/>
    <s v="C004"/>
    <d v="2026-09-10T00:00:00"/>
    <s v="P006"/>
    <s v="公斤"/>
    <n v="6.8"/>
    <n v="6.8"/>
    <n v="0"/>
    <n v="4.8"/>
    <s v="正常交付"/>
    <s v="true"/>
    <s v="茄子"/>
    <s v="散装鲜菜"/>
    <x v="3"/>
    <n v="32.64"/>
    <n v="0"/>
    <n v="32.64"/>
    <s v=""/>
    <s v=""/>
    <s v=""/>
    <s v=""/>
    <s v="通过"/>
  </r>
  <r>
    <s v="SIM-20260910-C004"/>
    <n v="4"/>
    <s v="C004"/>
    <d v="2026-09-10T00:00:00"/>
    <s v="P005"/>
    <s v="公斤"/>
    <n v="5.6"/>
    <n v="5.6"/>
    <n v="0"/>
    <n v="2.7"/>
    <s v="正常交付"/>
    <s v="true"/>
    <s v="南瓜"/>
    <s v="散装鲜菜"/>
    <x v="3"/>
    <n v="15.12"/>
    <n v="0"/>
    <n v="15.12"/>
    <s v=""/>
    <s v=""/>
    <s v=""/>
    <s v=""/>
    <s v="通过"/>
  </r>
  <r>
    <s v="SIM-20260910-C004"/>
    <n v="5"/>
    <s v="C004"/>
    <d v="2026-09-10T00:00:00"/>
    <s v="P009"/>
    <s v="公斤"/>
    <n v="6.2"/>
    <n v="6.2"/>
    <n v="0"/>
    <n v="5"/>
    <s v="正常交付"/>
    <s v="true"/>
    <s v="西红柿"/>
    <s v="散装鲜菜"/>
    <x v="3"/>
    <n v="31"/>
    <n v="0"/>
    <n v="31"/>
    <s v=""/>
    <s v=""/>
    <s v=""/>
    <s v=""/>
    <s v="通过"/>
  </r>
  <r>
    <s v="SIM-20260910-C004"/>
    <n v="6"/>
    <s v="C004"/>
    <d v="2026-09-10T00:00:00"/>
    <s v="P002"/>
    <s v="公斤"/>
    <n v="9"/>
    <n v="9"/>
    <n v="0"/>
    <n v="2.7"/>
    <s v="正常交付"/>
    <s v="true"/>
    <s v="白萝卜"/>
    <s v="散装鲜菜"/>
    <x v="3"/>
    <n v="24.3"/>
    <n v="0"/>
    <n v="24.3"/>
    <s v=""/>
    <s v=""/>
    <s v=""/>
    <s v=""/>
    <s v="通过"/>
  </r>
  <r>
    <s v="SIM-20260910-C004"/>
    <n v="7"/>
    <s v="C004"/>
    <d v="2026-09-10T00:00:00"/>
    <s v="P016"/>
    <s v="公斤"/>
    <n v="5"/>
    <n v="5"/>
    <n v="0.1"/>
    <n v="10.4"/>
    <s v="正常交付；签收时破损退回"/>
    <s v="true"/>
    <s v="鸡蛋"/>
    <s v="普通鲜鸡蛋按净重"/>
    <x v="3"/>
    <n v="52"/>
    <n v="1.04"/>
    <n v="50.96"/>
    <s v=""/>
    <s v=""/>
    <s v=""/>
    <s v=""/>
    <s v="通过"/>
  </r>
  <r>
    <s v="SIM-20260910-C005"/>
    <n v="1"/>
    <s v="C005"/>
    <d v="2026-09-10T00:00:00"/>
    <s v="P011"/>
    <s v="公斤"/>
    <n v="10.1"/>
    <n v="10.1"/>
    <n v="0"/>
    <n v="4.3"/>
    <s v="正常交付"/>
    <s v="true"/>
    <s v="红薯叶"/>
    <s v="散装鲜菜"/>
    <x v="4"/>
    <n v="43.43"/>
    <n v="0"/>
    <n v="43.43"/>
    <s v=""/>
    <s v=""/>
    <s v=""/>
    <s v=""/>
    <s v="通过"/>
  </r>
  <r>
    <s v="SIM-20260910-C005"/>
    <n v="2"/>
    <s v="C005"/>
    <d v="2026-09-10T00:00:00"/>
    <s v="P002"/>
    <s v="公斤"/>
    <n v="10.9"/>
    <n v="10.9"/>
    <n v="0"/>
    <n v="2.7"/>
    <s v="正常交付"/>
    <s v="true"/>
    <s v="白萝卜"/>
    <s v="散装鲜菜"/>
    <x v="4"/>
    <n v="29.43"/>
    <n v="0"/>
    <n v="29.43"/>
    <s v=""/>
    <s v=""/>
    <s v=""/>
    <s v=""/>
    <s v="通过"/>
  </r>
  <r>
    <s v="SIM-20260910-C005"/>
    <n v="3"/>
    <s v="C005"/>
    <d v="2026-09-10T00:00:00"/>
    <s v="P006"/>
    <s v="公斤"/>
    <n v="5.9"/>
    <n v="5.9"/>
    <n v="0"/>
    <n v="4.8"/>
    <s v="正常交付"/>
    <s v="true"/>
    <s v="茄子"/>
    <s v="散装鲜菜"/>
    <x v="4"/>
    <n v="28.32"/>
    <n v="0"/>
    <n v="28.32"/>
    <s v=""/>
    <s v=""/>
    <s v=""/>
    <s v=""/>
    <s v="通过"/>
  </r>
  <r>
    <s v="SIM-20260910-C005"/>
    <n v="4"/>
    <s v="C005"/>
    <d v="2026-09-10T00:00:00"/>
    <s v="P005"/>
    <s v="公斤"/>
    <n v="9.3000000000000007"/>
    <n v="9.3000000000000007"/>
    <n v="0"/>
    <n v="2.7"/>
    <s v="正常交付"/>
    <s v="true"/>
    <s v="南瓜"/>
    <s v="散装鲜菜"/>
    <x v="4"/>
    <n v="25.11"/>
    <n v="0"/>
    <n v="25.11"/>
    <s v=""/>
    <s v=""/>
    <s v=""/>
    <s v=""/>
    <s v="通过"/>
  </r>
  <r>
    <s v="SIM-20260910-C005"/>
    <n v="5"/>
    <s v="C005"/>
    <d v="2026-09-10T00:00:00"/>
    <s v="P009"/>
    <s v="公斤"/>
    <n v="6.7"/>
    <n v="6.7"/>
    <n v="0"/>
    <n v="5"/>
    <s v="正常交付"/>
    <s v="true"/>
    <s v="西红柿"/>
    <s v="散装鲜菜"/>
    <x v="4"/>
    <n v="33.5"/>
    <n v="0"/>
    <n v="33.5"/>
    <s v=""/>
    <s v=""/>
    <s v=""/>
    <s v=""/>
    <s v="通过"/>
  </r>
  <r>
    <s v="SIM-20260910-C005"/>
    <n v="6"/>
    <s v="C005"/>
    <d v="2026-09-10T00:00:00"/>
    <s v="P003"/>
    <s v="公斤"/>
    <n v="13.5"/>
    <n v="13.5"/>
    <n v="0"/>
    <n v="2.9"/>
    <s v="正常交付"/>
    <s v="true"/>
    <s v="包菜"/>
    <s v="散装鲜菜"/>
    <x v="4"/>
    <n v="39.15"/>
    <n v="0"/>
    <n v="39.15"/>
    <s v=""/>
    <s v=""/>
    <s v=""/>
    <s v=""/>
    <s v="通过"/>
  </r>
  <r>
    <s v="SIM-20260910-C006"/>
    <n v="1"/>
    <s v="C006"/>
    <d v="2026-09-10T00:00:00"/>
    <s v="P010"/>
    <s v="公斤"/>
    <n v="6.9"/>
    <n v="6.9"/>
    <n v="0"/>
    <n v="5"/>
    <s v="正常交付"/>
    <s v="true"/>
    <s v="空心菜"/>
    <s v="散装鲜菜"/>
    <x v="5"/>
    <n v="34.5"/>
    <n v="0"/>
    <n v="34.5"/>
    <s v=""/>
    <s v=""/>
    <s v=""/>
    <s v=""/>
    <s v="通过"/>
  </r>
  <r>
    <s v="SIM-20260910-C006"/>
    <n v="2"/>
    <s v="C006"/>
    <d v="2026-09-10T00:00:00"/>
    <s v="P005"/>
    <s v="公斤"/>
    <n v="6.9"/>
    <n v="6.9"/>
    <n v="0"/>
    <n v="2.7"/>
    <s v="正常交付"/>
    <s v="true"/>
    <s v="南瓜"/>
    <s v="散装鲜菜"/>
    <x v="5"/>
    <n v="18.63"/>
    <n v="0"/>
    <n v="18.63"/>
    <s v=""/>
    <s v=""/>
    <s v=""/>
    <s v=""/>
    <s v="通过"/>
  </r>
  <r>
    <s v="SIM-20260910-C006"/>
    <n v="3"/>
    <s v="C006"/>
    <d v="2026-09-10T00:00:00"/>
    <s v="P014"/>
    <s v="公斤"/>
    <n v="7.7"/>
    <n v="7.7"/>
    <n v="0"/>
    <n v="5"/>
    <s v="正常交付"/>
    <s v="true"/>
    <s v="丝瓜"/>
    <s v="散装鲜菜"/>
    <x v="5"/>
    <n v="38.5"/>
    <n v="0"/>
    <n v="38.5"/>
    <s v=""/>
    <s v=""/>
    <s v=""/>
    <s v=""/>
    <s v="通过"/>
  </r>
  <r>
    <s v="SIM-20260910-C006"/>
    <n v="4"/>
    <s v="C006"/>
    <d v="2026-09-10T00:00:00"/>
    <s v="P001"/>
    <s v="公斤"/>
    <n v="6"/>
    <n v="5.8"/>
    <n v="0"/>
    <n v="3.3"/>
    <s v="到货不足；按实际交付计费"/>
    <s v="true"/>
    <s v="土豆"/>
    <s v="散装鲜菜"/>
    <x v="5"/>
    <n v="19.14"/>
    <n v="0"/>
    <n v="19.14"/>
    <s v=""/>
    <s v=""/>
    <s v=""/>
    <s v=""/>
    <s v="通过"/>
  </r>
  <r>
    <s v="SIM-20260910-C006"/>
    <n v="5"/>
    <s v="C006"/>
    <d v="2026-09-10T00:00:00"/>
    <s v="P013"/>
    <s v="公斤"/>
    <n v="11.2"/>
    <n v="10.7"/>
    <n v="0"/>
    <n v="6"/>
    <s v="到货不足；按实际交付计费"/>
    <s v="true"/>
    <s v="豇豆"/>
    <s v="散装鲜菜"/>
    <x v="5"/>
    <n v="64.2"/>
    <n v="0"/>
    <n v="64.2"/>
    <s v=""/>
    <s v=""/>
    <s v=""/>
    <s v=""/>
    <s v="通过"/>
  </r>
  <r>
    <s v="SIM-20260910-C006"/>
    <n v="6"/>
    <s v="C006"/>
    <d v="2026-09-10T00:00:00"/>
    <s v="P008"/>
    <s v="公斤"/>
    <n v="6"/>
    <n v="6"/>
    <n v="0"/>
    <n v="4.4000000000000004"/>
    <s v="正常交付"/>
    <s v="true"/>
    <s v="黄瓜"/>
    <s v="散装鲜菜"/>
    <x v="5"/>
    <n v="26.4"/>
    <n v="0"/>
    <n v="26.4"/>
    <s v=""/>
    <s v=""/>
    <s v=""/>
    <s v=""/>
    <s v="通过"/>
  </r>
  <r>
    <s v="SIM-20260910-C006"/>
    <n v="7"/>
    <s v="C006"/>
    <d v="2026-09-10T00:00:00"/>
    <s v="P015"/>
    <s v="公斤"/>
    <n v="1"/>
    <n v="1"/>
    <n v="0"/>
    <n v="7.2"/>
    <s v="正常交付"/>
    <s v="true"/>
    <s v="小葱"/>
    <s v="散装鲜菜"/>
    <x v="5"/>
    <n v="7.2"/>
    <n v="0"/>
    <n v="7.2"/>
    <s v=""/>
    <s v=""/>
    <s v=""/>
    <s v=""/>
    <s v="通过"/>
  </r>
  <r>
    <s v="SIM-20260911-C001"/>
    <n v="1"/>
    <s v="C001"/>
    <d v="2026-09-11T00:00:00"/>
    <s v="P012"/>
    <s v="公斤"/>
    <n v="2.1"/>
    <n v="2.1"/>
    <n v="0.2"/>
    <n v="5"/>
    <s v="正常交付；签收时挑出黄叶退回"/>
    <s v="true"/>
    <s v="小白菜"/>
    <s v="散装鲜菜"/>
    <x v="0"/>
    <n v="10.5"/>
    <n v="1"/>
    <n v="9.5"/>
    <s v=""/>
    <s v=""/>
    <s v=""/>
    <s v=""/>
    <s v="通过"/>
  </r>
  <r>
    <s v="SIM-20260911-C001"/>
    <n v="2"/>
    <s v="C001"/>
    <d v="2026-09-11T00:00:00"/>
    <s v="P007"/>
    <s v="公斤"/>
    <n v="2.9"/>
    <n v="2.6"/>
    <n v="0"/>
    <n v="5.45"/>
    <s v="到货不足；按实际交付计费"/>
    <s v="true"/>
    <s v="青椒"/>
    <s v="散装鲜菜"/>
    <x v="0"/>
    <n v="14.17"/>
    <n v="0"/>
    <n v="14.17"/>
    <s v=""/>
    <s v=""/>
    <s v=""/>
    <s v=""/>
    <s v="通过"/>
  </r>
  <r>
    <s v="SIM-20260911-C001"/>
    <n v="3"/>
    <s v="C001"/>
    <d v="2026-09-11T00:00:00"/>
    <s v="P005"/>
    <s v="公斤"/>
    <n v="2.4"/>
    <n v="2.4"/>
    <n v="0"/>
    <n v="2.7"/>
    <s v="正常交付"/>
    <s v="true"/>
    <s v="南瓜"/>
    <s v="散装鲜菜"/>
    <x v="0"/>
    <n v="6.48"/>
    <n v="0"/>
    <n v="6.48"/>
    <s v=""/>
    <s v=""/>
    <s v=""/>
    <s v=""/>
    <s v="通过"/>
  </r>
  <r>
    <s v="SIM-20260911-C001"/>
    <n v="4"/>
    <s v="C001"/>
    <d v="2026-09-11T00:00:00"/>
    <s v="P003"/>
    <s v="公斤"/>
    <n v="3.2"/>
    <n v="3.2"/>
    <n v="0"/>
    <n v="2.9"/>
    <s v="正常交付"/>
    <s v="true"/>
    <s v="包菜"/>
    <s v="散装鲜菜"/>
    <x v="0"/>
    <n v="9.2799999999999994"/>
    <n v="0"/>
    <n v="9.2799999999999994"/>
    <s v=""/>
    <s v=""/>
    <s v=""/>
    <s v=""/>
    <s v="通过"/>
  </r>
  <r>
    <s v="SIM-20260911-C001"/>
    <n v="5"/>
    <s v="C001"/>
    <d v="2026-09-11T00:00:00"/>
    <s v="P015"/>
    <s v="公斤"/>
    <n v="0.5"/>
    <n v="0.5"/>
    <n v="0"/>
    <n v="7.2"/>
    <s v="正常交付"/>
    <s v="true"/>
    <s v="小葱"/>
    <s v="散装鲜菜"/>
    <x v="0"/>
    <n v="3.6"/>
    <n v="0"/>
    <n v="3.6"/>
    <s v=""/>
    <s v=""/>
    <s v=""/>
    <s v=""/>
    <s v="通过"/>
  </r>
  <r>
    <s v="SIM-20260911-C002"/>
    <n v="1"/>
    <s v="C002"/>
    <d v="2026-09-11T00:00:00"/>
    <s v="P012"/>
    <s v="公斤"/>
    <n v="8.6"/>
    <n v="8.6"/>
    <n v="0"/>
    <n v="5"/>
    <s v="正常交付"/>
    <s v="true"/>
    <s v="小白菜"/>
    <s v="散装鲜菜"/>
    <x v="1"/>
    <n v="43"/>
    <n v="0"/>
    <n v="43"/>
    <s v=""/>
    <s v=""/>
    <s v=""/>
    <s v=""/>
    <s v="通过"/>
  </r>
  <r>
    <s v="SIM-20260911-C002"/>
    <n v="2"/>
    <s v="C002"/>
    <d v="2026-09-11T00:00:00"/>
    <s v="P003"/>
    <s v="公斤"/>
    <n v="4.3"/>
    <n v="4.3"/>
    <n v="0"/>
    <n v="2.9"/>
    <s v="正常交付"/>
    <s v="true"/>
    <s v="包菜"/>
    <s v="散装鲜菜"/>
    <x v="1"/>
    <n v="12.47"/>
    <n v="0"/>
    <n v="12.47"/>
    <s v=""/>
    <s v=""/>
    <s v=""/>
    <s v=""/>
    <s v="通过"/>
  </r>
  <r>
    <s v="SIM-20260911-C002"/>
    <n v="3"/>
    <s v="C002"/>
    <d v="2026-09-11T00:00:00"/>
    <s v="P009"/>
    <s v="公斤"/>
    <n v="9.9"/>
    <n v="9.9"/>
    <n v="0"/>
    <n v="5"/>
    <s v="正常交付"/>
    <s v="true"/>
    <s v="西红柿"/>
    <s v="散装鲜菜"/>
    <x v="1"/>
    <n v="49.5"/>
    <n v="0"/>
    <n v="49.5"/>
    <s v=""/>
    <s v=""/>
    <s v=""/>
    <s v=""/>
    <s v="通过"/>
  </r>
  <r>
    <s v="SIM-20260911-C002"/>
    <n v="4"/>
    <s v="C002"/>
    <d v="2026-09-11T00:00:00"/>
    <s v="P002"/>
    <s v="公斤"/>
    <n v="9.3000000000000007"/>
    <n v="9.3000000000000007"/>
    <n v="0"/>
    <n v="2.7"/>
    <s v="正常交付"/>
    <s v="true"/>
    <s v="白萝卜"/>
    <s v="散装鲜菜"/>
    <x v="1"/>
    <n v="25.11"/>
    <n v="0"/>
    <n v="25.11"/>
    <s v=""/>
    <s v=""/>
    <s v=""/>
    <s v=""/>
    <s v="通过"/>
  </r>
  <r>
    <s v="SIM-20260911-C002"/>
    <n v="5"/>
    <s v="C002"/>
    <d v="2026-09-11T00:00:00"/>
    <s v="P014"/>
    <s v="公斤"/>
    <n v="4.3"/>
    <n v="4.3"/>
    <n v="0"/>
    <n v="5"/>
    <s v="正常交付"/>
    <s v="true"/>
    <s v="丝瓜"/>
    <s v="散装鲜菜"/>
    <x v="1"/>
    <n v="21.5"/>
    <n v="0"/>
    <n v="21.5"/>
    <s v=""/>
    <s v=""/>
    <s v=""/>
    <s v=""/>
    <s v="通过"/>
  </r>
  <r>
    <s v="SIM-20260911-C002"/>
    <n v="6"/>
    <s v="C002"/>
    <d v="2026-09-11T00:00:00"/>
    <s v="P015"/>
    <s v="公斤"/>
    <n v="1"/>
    <n v="1"/>
    <n v="0"/>
    <n v="7.2"/>
    <s v="正常交付"/>
    <s v="true"/>
    <s v="小葱"/>
    <s v="散装鲜菜"/>
    <x v="1"/>
    <n v="7.2"/>
    <n v="0"/>
    <n v="7.2"/>
    <s v=""/>
    <s v=""/>
    <s v=""/>
    <s v=""/>
    <s v="通过"/>
  </r>
  <r>
    <s v="SIM-20260911-C003"/>
    <n v="1"/>
    <s v="C003"/>
    <d v="2026-09-11T00:00:00"/>
    <s v="P010"/>
    <s v="公斤"/>
    <n v="9"/>
    <n v="9"/>
    <n v="0"/>
    <n v="5"/>
    <s v="正常交付"/>
    <s v="true"/>
    <s v="空心菜"/>
    <s v="散装鲜菜"/>
    <x v="2"/>
    <n v="45"/>
    <n v="0"/>
    <n v="45"/>
    <s v=""/>
    <s v=""/>
    <s v=""/>
    <s v=""/>
    <s v="通过"/>
  </r>
  <r>
    <s v="SIM-20260911-C003"/>
    <n v="2"/>
    <s v="C003"/>
    <d v="2026-09-11T00:00:00"/>
    <s v="P001"/>
    <s v="公斤"/>
    <n v="7.3"/>
    <n v="7.3"/>
    <n v="0"/>
    <n v="3.3"/>
    <s v="正常交付"/>
    <s v="true"/>
    <s v="土豆"/>
    <s v="散装鲜菜"/>
    <x v="2"/>
    <n v="24.09"/>
    <n v="0"/>
    <n v="24.09"/>
    <s v=""/>
    <s v=""/>
    <s v=""/>
    <s v=""/>
    <s v="通过"/>
  </r>
  <r>
    <s v="SIM-20260911-C003"/>
    <n v="3"/>
    <s v="C003"/>
    <d v="2026-09-11T00:00:00"/>
    <s v="P014"/>
    <s v="公斤"/>
    <n v="3.9"/>
    <n v="3.9"/>
    <n v="0"/>
    <n v="5"/>
    <s v="正常交付"/>
    <s v="true"/>
    <s v="丝瓜"/>
    <s v="散装鲜菜"/>
    <x v="2"/>
    <n v="19.5"/>
    <n v="0"/>
    <n v="19.5"/>
    <s v=""/>
    <s v=""/>
    <s v=""/>
    <s v=""/>
    <s v="通过"/>
  </r>
  <r>
    <s v="SIM-20260911-C003"/>
    <n v="4"/>
    <s v="C003"/>
    <d v="2026-09-11T00:00:00"/>
    <s v="P005"/>
    <s v="公斤"/>
    <n v="6.2"/>
    <n v="6.2"/>
    <n v="0"/>
    <n v="2.7"/>
    <s v="正常交付"/>
    <s v="true"/>
    <s v="南瓜"/>
    <s v="散装鲜菜"/>
    <x v="2"/>
    <n v="16.739999999999998"/>
    <n v="0"/>
    <n v="16.739999999999998"/>
    <s v=""/>
    <s v=""/>
    <s v=""/>
    <s v=""/>
    <s v="通过"/>
  </r>
  <r>
    <s v="SIM-20260911-C003"/>
    <n v="5"/>
    <s v="C003"/>
    <d v="2026-09-11T00:00:00"/>
    <s v="P003"/>
    <s v="公斤"/>
    <n v="5.0999999999999996"/>
    <n v="5.0999999999999996"/>
    <n v="0"/>
    <n v="2.9"/>
    <s v="正常交付"/>
    <s v="true"/>
    <s v="包菜"/>
    <s v="散装鲜菜"/>
    <x v="2"/>
    <n v="14.79"/>
    <n v="0"/>
    <n v="14.79"/>
    <s v=""/>
    <s v=""/>
    <s v=""/>
    <s v=""/>
    <s v="通过"/>
  </r>
  <r>
    <s v="SIM-20260911-C003"/>
    <n v="6"/>
    <s v="C003"/>
    <d v="2026-09-11T00:00:00"/>
    <s v="P009"/>
    <s v="公斤"/>
    <n v="7.9"/>
    <n v="7.9"/>
    <n v="0"/>
    <n v="5"/>
    <s v="正常交付"/>
    <s v="true"/>
    <s v="西红柿"/>
    <s v="散装鲜菜"/>
    <x v="2"/>
    <n v="39.5"/>
    <n v="0"/>
    <n v="39.5"/>
    <s v=""/>
    <s v=""/>
    <s v=""/>
    <s v=""/>
    <s v="通过"/>
  </r>
  <r>
    <s v="SIM-20260911-C003"/>
    <n v="7"/>
    <s v="C003"/>
    <d v="2026-09-11T00:00:00"/>
    <s v="P015"/>
    <s v="公斤"/>
    <n v="1"/>
    <n v="1"/>
    <n v="0"/>
    <n v="7.2"/>
    <s v="正常交付"/>
    <s v="true"/>
    <s v="小葱"/>
    <s v="散装鲜菜"/>
    <x v="2"/>
    <n v="7.2"/>
    <n v="0"/>
    <n v="7.2"/>
    <s v=""/>
    <s v=""/>
    <s v=""/>
    <s v=""/>
    <s v="通过"/>
  </r>
  <r>
    <s v="SIM-20260911-C005"/>
    <n v="1"/>
    <s v="C005"/>
    <d v="2026-09-11T00:00:00"/>
    <s v="P010"/>
    <s v="公斤"/>
    <n v="15"/>
    <n v="15"/>
    <n v="0"/>
    <n v="5"/>
    <s v="正常交付"/>
    <s v="true"/>
    <s v="空心菜"/>
    <s v="散装鲜菜"/>
    <x v="4"/>
    <n v="75"/>
    <n v="0"/>
    <n v="75"/>
    <s v=""/>
    <s v=""/>
    <s v=""/>
    <s v=""/>
    <s v="通过"/>
  </r>
  <r>
    <s v="SIM-20260911-C005"/>
    <n v="2"/>
    <s v="C005"/>
    <d v="2026-09-11T00:00:00"/>
    <s v="P013"/>
    <s v="公斤"/>
    <n v="16"/>
    <n v="16"/>
    <n v="0"/>
    <n v="6"/>
    <s v="正常交付"/>
    <s v="true"/>
    <s v="豇豆"/>
    <s v="散装鲜菜"/>
    <x v="4"/>
    <n v="96"/>
    <n v="0"/>
    <n v="96"/>
    <s v=""/>
    <s v=""/>
    <s v=""/>
    <s v=""/>
    <s v="通过"/>
  </r>
  <r>
    <s v="SIM-20260911-C005"/>
    <n v="3"/>
    <s v="C005"/>
    <d v="2026-09-11T00:00:00"/>
    <s v="P006"/>
    <s v="公斤"/>
    <n v="7.5"/>
    <n v="7.5"/>
    <n v="0"/>
    <n v="4.8"/>
    <s v="正常交付"/>
    <s v="true"/>
    <s v="茄子"/>
    <s v="散装鲜菜"/>
    <x v="4"/>
    <n v="36"/>
    <n v="0"/>
    <n v="36"/>
    <s v=""/>
    <s v=""/>
    <s v=""/>
    <s v=""/>
    <s v="通过"/>
  </r>
  <r>
    <s v="SIM-20260911-C005"/>
    <n v="4"/>
    <s v="C005"/>
    <d v="2026-09-11T00:00:00"/>
    <s v="P001"/>
    <s v="公斤"/>
    <n v="8.5"/>
    <n v="8.5"/>
    <n v="0"/>
    <n v="3.3"/>
    <s v="正常交付"/>
    <s v="true"/>
    <s v="土豆"/>
    <s v="散装鲜菜"/>
    <x v="4"/>
    <n v="28.05"/>
    <n v="0"/>
    <n v="28.05"/>
    <s v=""/>
    <s v=""/>
    <s v=""/>
    <s v=""/>
    <s v="通过"/>
  </r>
  <r>
    <s v="SIM-20260911-C005"/>
    <n v="5"/>
    <s v="C005"/>
    <d v="2026-09-11T00:00:00"/>
    <s v="P003"/>
    <s v="公斤"/>
    <n v="12.8"/>
    <n v="12.8"/>
    <n v="0"/>
    <n v="2.9"/>
    <s v="正常交付"/>
    <s v="true"/>
    <s v="包菜"/>
    <s v="散装鲜菜"/>
    <x v="4"/>
    <n v="37.119999999999997"/>
    <n v="0"/>
    <n v="37.119999999999997"/>
    <s v=""/>
    <s v=""/>
    <s v=""/>
    <s v=""/>
    <s v="通过"/>
  </r>
  <r>
    <s v="SIM-20260911-C005"/>
    <n v="6"/>
    <s v="C005"/>
    <d v="2026-09-11T00:00:00"/>
    <s v="P007"/>
    <s v="公斤"/>
    <n v="9.6"/>
    <n v="9.6"/>
    <n v="0"/>
    <n v="5.45"/>
    <s v="正常交付"/>
    <s v="true"/>
    <s v="青椒"/>
    <s v="散装鲜菜"/>
    <x v="4"/>
    <n v="52.32"/>
    <n v="0"/>
    <n v="52.32"/>
    <s v=""/>
    <s v=""/>
    <s v=""/>
    <s v=""/>
    <s v="通过"/>
  </r>
  <r>
    <s v="SIM-20260911-C005"/>
    <n v="7"/>
    <s v="C005"/>
    <d v="2026-09-11T00:00:00"/>
    <s v="P016"/>
    <s v="公斤"/>
    <n v="12"/>
    <n v="12"/>
    <n v="0"/>
    <n v="10.4"/>
    <s v="正常交付"/>
    <s v="true"/>
    <s v="鸡蛋"/>
    <s v="普通鲜鸡蛋按净重"/>
    <x v="4"/>
    <n v="124.8"/>
    <n v="0"/>
    <n v="124.8"/>
    <s v=""/>
    <s v=""/>
    <s v=""/>
    <s v=""/>
    <s v="通过"/>
  </r>
  <r>
    <s v="SIM-20260911-C006"/>
    <n v="1"/>
    <s v="C006"/>
    <d v="2026-09-11T00:00:00"/>
    <s v="P012"/>
    <s v="公斤"/>
    <n v="12.3"/>
    <n v="12.3"/>
    <n v="0.3"/>
    <n v="5"/>
    <s v="正常交付；签收时挑出黄叶退回"/>
    <s v="true"/>
    <s v="小白菜"/>
    <s v="散装鲜菜"/>
    <x v="5"/>
    <n v="61.5"/>
    <n v="1.5"/>
    <n v="60"/>
    <s v=""/>
    <s v=""/>
    <s v=""/>
    <s v=""/>
    <s v="通过"/>
  </r>
  <r>
    <s v="SIM-20260911-C006"/>
    <n v="2"/>
    <s v="C006"/>
    <d v="2026-09-11T00:00:00"/>
    <s v="P004"/>
    <s v="公斤"/>
    <n v="5.4"/>
    <n v="5.4"/>
    <n v="0"/>
    <n v="2.7"/>
    <s v="正常交付"/>
    <s v="true"/>
    <s v="冬瓜"/>
    <s v="散装鲜菜"/>
    <x v="5"/>
    <n v="14.58"/>
    <n v="0"/>
    <n v="14.58"/>
    <s v=""/>
    <s v=""/>
    <s v=""/>
    <s v=""/>
    <s v="通过"/>
  </r>
  <r>
    <s v="SIM-20260911-C006"/>
    <n v="3"/>
    <s v="C006"/>
    <d v="2026-09-11T00:00:00"/>
    <s v="P013"/>
    <s v="公斤"/>
    <n v="8.5"/>
    <n v="8.5"/>
    <n v="0"/>
    <n v="6"/>
    <s v="正常交付"/>
    <s v="true"/>
    <s v="豇豆"/>
    <s v="散装鲜菜"/>
    <x v="5"/>
    <n v="51"/>
    <n v="0"/>
    <n v="51"/>
    <s v=""/>
    <s v=""/>
    <s v=""/>
    <s v=""/>
    <s v="通过"/>
  </r>
  <r>
    <s v="SIM-20260911-C006"/>
    <n v="4"/>
    <s v="C006"/>
    <d v="2026-09-11T00:00:00"/>
    <s v="P002"/>
    <s v="公斤"/>
    <n v="9.1999999999999993"/>
    <n v="9.1999999999999993"/>
    <n v="0"/>
    <n v="2.7"/>
    <s v="正常交付"/>
    <s v="true"/>
    <s v="白萝卜"/>
    <s v="散装鲜菜"/>
    <x v="5"/>
    <n v="24.84"/>
    <n v="0"/>
    <n v="24.84"/>
    <s v=""/>
    <s v=""/>
    <s v=""/>
    <s v=""/>
    <s v="通过"/>
  </r>
  <r>
    <s v="SIM-20260911-C006"/>
    <n v="5"/>
    <s v="C006"/>
    <d v="2026-09-11T00:00:00"/>
    <s v="P014"/>
    <s v="公斤"/>
    <n v="5.4"/>
    <n v="5.4"/>
    <n v="0"/>
    <n v="5"/>
    <s v="正常交付"/>
    <s v="true"/>
    <s v="丝瓜"/>
    <s v="散装鲜菜"/>
    <x v="5"/>
    <n v="27"/>
    <n v="0"/>
    <n v="27"/>
    <s v=""/>
    <s v=""/>
    <s v=""/>
    <s v=""/>
    <s v="通过"/>
  </r>
  <r>
    <s v="SIM-20260911-C006"/>
    <n v="6"/>
    <s v="C006"/>
    <d v="2026-09-11T00:00:00"/>
    <s v="P007"/>
    <s v="公斤"/>
    <n v="7.7"/>
    <n v="7.7"/>
    <n v="0"/>
    <n v="5.45"/>
    <s v="正常交付"/>
    <s v="true"/>
    <s v="青椒"/>
    <s v="散装鲜菜"/>
    <x v="5"/>
    <n v="41.97"/>
    <n v="0"/>
    <n v="41.97"/>
    <s v=""/>
    <s v=""/>
    <s v=""/>
    <s v=""/>
    <s v="通过"/>
  </r>
  <r>
    <s v="SIM-20260911-C006"/>
    <n v="7"/>
    <s v="C006"/>
    <d v="2026-09-11T00:00:00"/>
    <s v="P016"/>
    <s v="公斤"/>
    <n v="9"/>
    <n v="9"/>
    <n v="0"/>
    <n v="10.4"/>
    <s v="正常交付"/>
    <s v="true"/>
    <s v="鸡蛋"/>
    <s v="普通鲜鸡蛋按净重"/>
    <x v="5"/>
    <n v="93.6"/>
    <n v="0"/>
    <n v="93.6"/>
    <s v=""/>
    <s v=""/>
    <s v=""/>
    <s v=""/>
    <s v="通过"/>
  </r>
  <r>
    <s v="SIM-20260911-C006"/>
    <n v="8"/>
    <s v="C006"/>
    <d v="2026-09-11T00:00:00"/>
    <s v="P017"/>
    <s v="袋"/>
    <n v="4"/>
    <n v="4"/>
    <n v="0"/>
    <n v="116"/>
    <s v="正常交付"/>
    <s v="true"/>
    <s v="籼米"/>
    <s v="25公斤/袋普通籼米"/>
    <x v="5"/>
    <n v="464"/>
    <n v="0"/>
    <n v="464"/>
    <s v=""/>
    <s v=""/>
    <s v=""/>
    <s v=""/>
    <s v="通过"/>
  </r>
  <r>
    <s v="SIM-20260911-C006"/>
    <n v="9"/>
    <s v="C006"/>
    <d v="2026-09-11T00:00:00"/>
    <s v="P020"/>
    <s v="桶"/>
    <n v="2"/>
    <n v="2"/>
    <n v="0"/>
    <n v="59"/>
    <s v="正常交付"/>
    <s v="true"/>
    <s v="大豆油"/>
    <s v="5升/桶普通大豆油"/>
    <x v="5"/>
    <n v="118"/>
    <n v="0"/>
    <n v="118"/>
    <s v=""/>
    <s v=""/>
    <s v=""/>
    <s v=""/>
    <s v="通过"/>
  </r>
  <r>
    <s v="SIM-20260912-C001"/>
    <n v="1"/>
    <s v="C001"/>
    <d v="2026-09-12T00:00:00"/>
    <s v="P011"/>
    <s v="公斤"/>
    <n v="3.2"/>
    <n v="3.2"/>
    <n v="0"/>
    <n v="4.3"/>
    <s v="正常交付"/>
    <s v="true"/>
    <s v="红薯叶"/>
    <s v="散装鲜菜"/>
    <x v="0"/>
    <n v="13.76"/>
    <n v="0"/>
    <n v="13.76"/>
    <s v=""/>
    <s v=""/>
    <s v=""/>
    <s v=""/>
    <s v="通过"/>
  </r>
  <r>
    <s v="SIM-20260912-C001"/>
    <n v="2"/>
    <s v="C001"/>
    <d v="2026-09-12T00:00:00"/>
    <s v="P013"/>
    <s v="公斤"/>
    <n v="3.6"/>
    <n v="3.6"/>
    <n v="0"/>
    <n v="6"/>
    <s v="正常交付"/>
    <s v="true"/>
    <s v="豇豆"/>
    <s v="散装鲜菜"/>
    <x v="0"/>
    <n v="21.6"/>
    <n v="0"/>
    <n v="21.6"/>
    <s v=""/>
    <s v=""/>
    <s v=""/>
    <s v=""/>
    <s v="通过"/>
  </r>
  <r>
    <s v="SIM-20260912-C001"/>
    <n v="3"/>
    <s v="C001"/>
    <d v="2026-09-12T00:00:00"/>
    <s v="P014"/>
    <s v="公斤"/>
    <n v="3"/>
    <n v="3"/>
    <n v="0"/>
    <n v="5"/>
    <s v="正常交付"/>
    <s v="true"/>
    <s v="丝瓜"/>
    <s v="散装鲜菜"/>
    <x v="0"/>
    <n v="15"/>
    <n v="0"/>
    <n v="15"/>
    <s v=""/>
    <s v=""/>
    <s v=""/>
    <s v=""/>
    <s v="通过"/>
  </r>
  <r>
    <s v="SIM-20260912-C001"/>
    <n v="4"/>
    <s v="C001"/>
    <d v="2026-09-12T00:00:00"/>
    <s v="P008"/>
    <s v="公斤"/>
    <n v="3.2"/>
    <n v="3.2"/>
    <n v="0"/>
    <n v="4.4000000000000004"/>
    <s v="正常交付"/>
    <s v="true"/>
    <s v="黄瓜"/>
    <s v="散装鲜菜"/>
    <x v="0"/>
    <n v="14.08"/>
    <n v="0"/>
    <n v="14.08"/>
    <s v=""/>
    <s v=""/>
    <s v=""/>
    <s v=""/>
    <s v="通过"/>
  </r>
  <r>
    <s v="SIM-20260912-C001"/>
    <n v="5"/>
    <s v="C001"/>
    <d v="2026-09-12T00:00:00"/>
    <s v="P016"/>
    <s v="公斤"/>
    <n v="3"/>
    <n v="3"/>
    <n v="0"/>
    <n v="10.4"/>
    <s v="正常交付"/>
    <s v="true"/>
    <s v="鸡蛋"/>
    <s v="普通鲜鸡蛋按净重"/>
    <x v="0"/>
    <n v="31.2"/>
    <n v="0"/>
    <n v="31.2"/>
    <s v=""/>
    <s v=""/>
    <s v=""/>
    <s v=""/>
    <s v="通过"/>
  </r>
  <r>
    <s v="SIM-20260912-C001"/>
    <n v="6"/>
    <s v="C001"/>
    <d v="2026-09-12T00:00:00"/>
    <s v="P019"/>
    <s v="桶"/>
    <n v="1"/>
    <n v="1"/>
    <n v="0"/>
    <n v="66"/>
    <s v="正常交付"/>
    <s v="true"/>
    <s v="菜籽油"/>
    <s v="5升/桶普通菜籽油"/>
    <x v="0"/>
    <n v="66"/>
    <n v="0"/>
    <n v="66"/>
    <s v=""/>
    <s v=""/>
    <s v=""/>
    <s v=""/>
    <s v="通过"/>
  </r>
  <r>
    <s v="SIM-20260912-C001"/>
    <n v="7"/>
    <s v="C001"/>
    <d v="2026-09-12T00:00:00"/>
    <s v="P018"/>
    <s v="袋"/>
    <n v="1"/>
    <n v="1"/>
    <n v="0"/>
    <n v="108"/>
    <s v="正常交付"/>
    <s v="true"/>
    <s v="小麦粉"/>
    <s v="25公斤/袋普通小麦粉"/>
    <x v="0"/>
    <n v="108"/>
    <n v="0"/>
    <n v="108"/>
    <s v=""/>
    <s v=""/>
    <s v=""/>
    <s v=""/>
    <s v="通过"/>
  </r>
  <r>
    <s v="SIM-20260912-C002"/>
    <n v="1"/>
    <s v="C002"/>
    <d v="2026-09-12T00:00:00"/>
    <s v="P010"/>
    <s v="公斤"/>
    <n v="5.0999999999999996"/>
    <n v="5.0999999999999996"/>
    <n v="0"/>
    <n v="5"/>
    <s v="正常交付"/>
    <s v="true"/>
    <s v="空心菜"/>
    <s v="散装鲜菜"/>
    <x v="1"/>
    <n v="25.5"/>
    <n v="0"/>
    <n v="25.5"/>
    <s v=""/>
    <s v=""/>
    <s v=""/>
    <s v=""/>
    <s v="通过"/>
  </r>
  <r>
    <s v="SIM-20260912-C002"/>
    <n v="2"/>
    <s v="C002"/>
    <d v="2026-09-12T00:00:00"/>
    <s v="P003"/>
    <s v="公斤"/>
    <n v="4.5999999999999996"/>
    <n v="4.5999999999999996"/>
    <n v="0"/>
    <n v="2.9"/>
    <s v="正常交付"/>
    <s v="true"/>
    <s v="包菜"/>
    <s v="散装鲜菜"/>
    <x v="1"/>
    <n v="13.34"/>
    <n v="0"/>
    <n v="13.34"/>
    <s v=""/>
    <s v=""/>
    <s v=""/>
    <s v=""/>
    <s v="通过"/>
  </r>
  <r>
    <s v="SIM-20260912-C002"/>
    <n v="3"/>
    <s v="C002"/>
    <d v="2026-09-12T00:00:00"/>
    <s v="P005"/>
    <s v="公斤"/>
    <n v="4.5999999999999996"/>
    <n v="4.5999999999999996"/>
    <n v="0"/>
    <n v="2.7"/>
    <s v="正常交付"/>
    <s v="true"/>
    <s v="南瓜"/>
    <s v="散装鲜菜"/>
    <x v="1"/>
    <n v="12.42"/>
    <n v="0"/>
    <n v="12.42"/>
    <s v=""/>
    <s v=""/>
    <s v=""/>
    <s v=""/>
    <s v="通过"/>
  </r>
  <r>
    <s v="SIM-20260912-C002"/>
    <n v="4"/>
    <s v="C002"/>
    <d v="2026-09-12T00:00:00"/>
    <s v="P009"/>
    <s v="公斤"/>
    <n v="8.6"/>
    <n v="8.6"/>
    <n v="0"/>
    <n v="5"/>
    <s v="正常交付"/>
    <s v="true"/>
    <s v="西红柿"/>
    <s v="散装鲜菜"/>
    <x v="1"/>
    <n v="43"/>
    <n v="0"/>
    <n v="43"/>
    <s v=""/>
    <s v=""/>
    <s v=""/>
    <s v=""/>
    <s v="通过"/>
  </r>
  <r>
    <s v="SIM-20260912-C002"/>
    <n v="5"/>
    <s v="C002"/>
    <d v="2026-09-12T00:00:00"/>
    <s v="P002"/>
    <s v="公斤"/>
    <n v="8"/>
    <n v="8"/>
    <n v="0"/>
    <n v="2.7"/>
    <s v="正常交付"/>
    <s v="true"/>
    <s v="白萝卜"/>
    <s v="散装鲜菜"/>
    <x v="1"/>
    <n v="21.6"/>
    <n v="0"/>
    <n v="21.6"/>
    <s v=""/>
    <s v=""/>
    <s v=""/>
    <s v=""/>
    <s v="通过"/>
  </r>
  <r>
    <s v="SIM-20260912-C002"/>
    <n v="6"/>
    <s v="C002"/>
    <d v="2026-09-12T00:00:00"/>
    <s v="P016"/>
    <s v="公斤"/>
    <n v="4"/>
    <n v="4"/>
    <n v="0"/>
    <n v="10.4"/>
    <s v="正常交付"/>
    <s v="true"/>
    <s v="鸡蛋"/>
    <s v="普通鲜鸡蛋按净重"/>
    <x v="1"/>
    <n v="41.6"/>
    <n v="0"/>
    <n v="41.6"/>
    <s v=""/>
    <s v=""/>
    <s v=""/>
    <s v=""/>
    <s v="通过"/>
  </r>
  <r>
    <s v="SIM-20260912-C002"/>
    <n v="7"/>
    <s v="C002"/>
    <d v="2026-09-12T00:00:00"/>
    <s v="P017"/>
    <s v="袋"/>
    <n v="3"/>
    <n v="3"/>
    <n v="0"/>
    <n v="116"/>
    <s v="正常交付"/>
    <s v="true"/>
    <s v="籼米"/>
    <s v="25公斤/袋普通籼米"/>
    <x v="1"/>
    <n v="348"/>
    <n v="0"/>
    <n v="348"/>
    <s v=""/>
    <s v=""/>
    <s v=""/>
    <s v=""/>
    <s v="通过"/>
  </r>
  <r>
    <s v="SIM-20260912-C002"/>
    <n v="8"/>
    <s v="C002"/>
    <d v="2026-09-12T00:00:00"/>
    <s v="P019"/>
    <s v="桶"/>
    <n v="1"/>
    <n v="1"/>
    <n v="0"/>
    <n v="66"/>
    <s v="正常交付"/>
    <s v="true"/>
    <s v="菜籽油"/>
    <s v="5升/桶普通菜籽油"/>
    <x v="1"/>
    <n v="66"/>
    <n v="0"/>
    <n v="66"/>
    <s v=""/>
    <s v=""/>
    <s v=""/>
    <s v=""/>
    <s v="通过"/>
  </r>
  <r>
    <s v="SIM-20260912-C003"/>
    <n v="1"/>
    <s v="C003"/>
    <d v="2026-09-12T00:00:00"/>
    <s v="P012"/>
    <s v="公斤"/>
    <n v="4.9000000000000004"/>
    <n v="4.9000000000000004"/>
    <n v="0"/>
    <n v="5"/>
    <s v="正常交付"/>
    <s v="true"/>
    <s v="小白菜"/>
    <s v="散装鲜菜"/>
    <x v="2"/>
    <n v="24.5"/>
    <n v="0"/>
    <n v="24.5"/>
    <s v=""/>
    <s v=""/>
    <s v=""/>
    <s v=""/>
    <s v="通过"/>
  </r>
  <r>
    <s v="SIM-20260912-C003"/>
    <n v="2"/>
    <s v="C003"/>
    <d v="2026-09-12T00:00:00"/>
    <s v="P013"/>
    <s v="公斤"/>
    <n v="6.3"/>
    <n v="6.3"/>
    <n v="0"/>
    <n v="6"/>
    <s v="正常交付"/>
    <s v="true"/>
    <s v="豇豆"/>
    <s v="散装鲜菜"/>
    <x v="2"/>
    <n v="37.799999999999997"/>
    <n v="0"/>
    <n v="37.799999999999997"/>
    <s v=""/>
    <s v=""/>
    <s v=""/>
    <s v=""/>
    <s v="通过"/>
  </r>
  <r>
    <s v="SIM-20260912-C003"/>
    <n v="3"/>
    <s v="C003"/>
    <d v="2026-09-12T00:00:00"/>
    <s v="P014"/>
    <s v="公斤"/>
    <n v="7.3"/>
    <n v="7.3"/>
    <n v="0"/>
    <n v="5"/>
    <s v="正常交付"/>
    <s v="true"/>
    <s v="丝瓜"/>
    <s v="散装鲜菜"/>
    <x v="2"/>
    <n v="36.5"/>
    <n v="0"/>
    <n v="36.5"/>
    <s v=""/>
    <s v=""/>
    <s v=""/>
    <s v=""/>
    <s v="通过"/>
  </r>
  <r>
    <s v="SIM-20260912-C003"/>
    <n v="4"/>
    <s v="C003"/>
    <d v="2026-09-12T00:00:00"/>
    <s v="P003"/>
    <s v="公斤"/>
    <n v="4.4000000000000004"/>
    <n v="4.4000000000000004"/>
    <n v="0"/>
    <n v="2.9"/>
    <s v="正常交付"/>
    <s v="true"/>
    <s v="包菜"/>
    <s v="散装鲜菜"/>
    <x v="2"/>
    <n v="12.76"/>
    <n v="0"/>
    <n v="12.76"/>
    <s v=""/>
    <s v=""/>
    <s v=""/>
    <s v=""/>
    <s v="通过"/>
  </r>
  <r>
    <s v="SIM-20260912-C003"/>
    <n v="5"/>
    <s v="C003"/>
    <d v="2026-09-12T00:00:00"/>
    <s v="P005"/>
    <s v="公斤"/>
    <n v="6.8"/>
    <n v="6.8"/>
    <n v="0"/>
    <n v="2.7"/>
    <s v="正常交付"/>
    <s v="true"/>
    <s v="南瓜"/>
    <s v="散装鲜菜"/>
    <x v="2"/>
    <n v="18.36"/>
    <n v="0"/>
    <n v="18.36"/>
    <s v=""/>
    <s v=""/>
    <s v=""/>
    <s v=""/>
    <s v="通过"/>
  </r>
  <r>
    <s v="SIM-20260912-C003"/>
    <n v="6"/>
    <s v="C003"/>
    <d v="2026-09-12T00:00:00"/>
    <s v="P002"/>
    <s v="公斤"/>
    <n v="7.8"/>
    <n v="7.8"/>
    <n v="0"/>
    <n v="2.7"/>
    <s v="正常交付"/>
    <s v="true"/>
    <s v="白萝卜"/>
    <s v="散装鲜菜"/>
    <x v="2"/>
    <n v="21.06"/>
    <n v="0"/>
    <n v="21.06"/>
    <s v=""/>
    <s v=""/>
    <s v=""/>
    <s v=""/>
    <s v="通过"/>
  </r>
  <r>
    <s v="SIM-20260912-C003"/>
    <n v="7"/>
    <s v="C003"/>
    <d v="2026-09-12T00:00:00"/>
    <s v="P016"/>
    <s v="公斤"/>
    <n v="6"/>
    <n v="6"/>
    <n v="0"/>
    <n v="10.4"/>
    <s v="正常交付"/>
    <s v="true"/>
    <s v="鸡蛋"/>
    <s v="普通鲜鸡蛋按净重"/>
    <x v="2"/>
    <n v="62.4"/>
    <n v="0"/>
    <n v="62.4"/>
    <s v=""/>
    <s v=""/>
    <s v=""/>
    <s v=""/>
    <s v="通过"/>
  </r>
  <r>
    <s v="SIM-20260912-C003"/>
    <n v="8"/>
    <s v="C003"/>
    <d v="2026-09-12T00:00:00"/>
    <s v="P017"/>
    <s v="袋"/>
    <n v="5"/>
    <n v="5"/>
    <n v="0"/>
    <n v="116"/>
    <s v="正常交付"/>
    <s v="true"/>
    <s v="籼米"/>
    <s v="25公斤/袋普通籼米"/>
    <x v="2"/>
    <n v="580"/>
    <n v="0"/>
    <n v="580"/>
    <s v=""/>
    <s v=""/>
    <s v=""/>
    <s v=""/>
    <s v="通过"/>
  </r>
  <r>
    <s v="SIM-20260912-C003"/>
    <n v="9"/>
    <s v="C003"/>
    <d v="2026-09-12T00:00:00"/>
    <s v="P020"/>
    <s v="桶"/>
    <n v="2"/>
    <n v="2"/>
    <n v="0"/>
    <n v="59"/>
    <s v="正常交付"/>
    <s v="true"/>
    <s v="大豆油"/>
    <s v="5升/桶普通大豆油"/>
    <x v="2"/>
    <n v="118"/>
    <n v="0"/>
    <n v="118"/>
    <s v=""/>
    <s v=""/>
    <s v=""/>
    <s v=""/>
    <s v="通过"/>
  </r>
  <r>
    <s v="SIM-20260912-C004"/>
    <n v="1"/>
    <s v="C004"/>
    <d v="2026-09-12T00:00:00"/>
    <s v="P011"/>
    <s v="公斤"/>
    <n v="7.2"/>
    <n v="7.2"/>
    <n v="0.3"/>
    <n v="4.3"/>
    <s v="正常交付；签收时挑出黄叶退回"/>
    <s v="true"/>
    <s v="红薯叶"/>
    <s v="散装鲜菜"/>
    <x v="3"/>
    <n v="30.96"/>
    <n v="1.29"/>
    <n v="29.67"/>
    <s v=""/>
    <s v=""/>
    <s v=""/>
    <s v=""/>
    <s v="通过"/>
  </r>
  <r>
    <s v="SIM-20260912-C004"/>
    <n v="2"/>
    <s v="C004"/>
    <d v="2026-09-12T00:00:00"/>
    <s v="P005"/>
    <s v="公斤"/>
    <n v="7.2"/>
    <n v="6.9"/>
    <n v="0"/>
    <n v="2.7"/>
    <s v="到货不足；按实际交付计费"/>
    <s v="true"/>
    <s v="南瓜"/>
    <s v="散装鲜菜"/>
    <x v="3"/>
    <n v="18.63"/>
    <n v="0"/>
    <n v="18.63"/>
    <s v=""/>
    <s v=""/>
    <s v=""/>
    <s v=""/>
    <s v="通过"/>
  </r>
  <r>
    <s v="SIM-20260912-C004"/>
    <n v="3"/>
    <s v="C004"/>
    <d v="2026-09-12T00:00:00"/>
    <s v="P007"/>
    <s v="公斤"/>
    <n v="10.4"/>
    <n v="10.4"/>
    <n v="0"/>
    <n v="5.45"/>
    <s v="正常交付"/>
    <s v="true"/>
    <s v="青椒"/>
    <s v="散装鲜菜"/>
    <x v="3"/>
    <n v="56.68"/>
    <n v="0"/>
    <n v="56.68"/>
    <s v=""/>
    <s v=""/>
    <s v=""/>
    <s v=""/>
    <s v="通过"/>
  </r>
  <r>
    <s v="SIM-20260912-C004"/>
    <n v="4"/>
    <s v="C004"/>
    <d v="2026-09-12T00:00:00"/>
    <s v="P008"/>
    <s v="公斤"/>
    <n v="6.5"/>
    <n v="6.3"/>
    <n v="0"/>
    <n v="4.4000000000000004"/>
    <s v="到货不足；按实际交付计费"/>
    <s v="true"/>
    <s v="黄瓜"/>
    <s v="散装鲜菜"/>
    <x v="3"/>
    <n v="27.72"/>
    <n v="0"/>
    <n v="27.72"/>
    <s v=""/>
    <s v=""/>
    <s v=""/>
    <s v=""/>
    <s v="通过"/>
  </r>
  <r>
    <s v="SIM-20260912-C004"/>
    <n v="5"/>
    <s v="C004"/>
    <d v="2026-09-12T00:00:00"/>
    <s v="P006"/>
    <s v="公斤"/>
    <n v="9.1"/>
    <n v="9.1"/>
    <n v="0"/>
    <n v="4.8"/>
    <s v="正常交付"/>
    <s v="true"/>
    <s v="茄子"/>
    <s v="散装鲜菜"/>
    <x v="3"/>
    <n v="43.68"/>
    <n v="0"/>
    <n v="43.68"/>
    <s v=""/>
    <s v=""/>
    <s v=""/>
    <s v=""/>
    <s v="通过"/>
  </r>
  <r>
    <s v="SIM-20260912-C004"/>
    <n v="6"/>
    <s v="C004"/>
    <d v="2026-09-12T00:00:00"/>
    <s v="P004"/>
    <s v="公斤"/>
    <n v="5.2"/>
    <n v="5.2"/>
    <n v="0"/>
    <n v="2.7"/>
    <s v="正常交付"/>
    <s v="true"/>
    <s v="冬瓜"/>
    <s v="散装鲜菜"/>
    <x v="3"/>
    <n v="14.04"/>
    <n v="0"/>
    <n v="14.04"/>
    <s v=""/>
    <s v=""/>
    <s v=""/>
    <s v=""/>
    <s v="通过"/>
  </r>
  <r>
    <s v="SIM-20260912-C004"/>
    <n v="7"/>
    <s v="C004"/>
    <d v="2026-09-12T00:00:00"/>
    <s v="P017"/>
    <s v="袋"/>
    <n v="3"/>
    <n v="3"/>
    <n v="0"/>
    <n v="116"/>
    <s v="正常交付"/>
    <s v="true"/>
    <s v="籼米"/>
    <s v="25公斤/袋普通籼米"/>
    <x v="3"/>
    <n v="348"/>
    <n v="0"/>
    <n v="348"/>
    <s v=""/>
    <s v=""/>
    <s v=""/>
    <s v=""/>
    <s v="通过"/>
  </r>
  <r>
    <s v="SIM-20260912-C004"/>
    <n v="8"/>
    <s v="C004"/>
    <d v="2026-09-12T00:00:00"/>
    <s v="P019"/>
    <s v="桶"/>
    <n v="1"/>
    <n v="1"/>
    <n v="0"/>
    <n v="66"/>
    <s v="正常交付"/>
    <s v="true"/>
    <s v="菜籽油"/>
    <s v="5升/桶普通菜籽油"/>
    <x v="3"/>
    <n v="66"/>
    <n v="0"/>
    <n v="66"/>
    <s v=""/>
    <s v=""/>
    <s v=""/>
    <s v=""/>
    <s v="通过"/>
  </r>
  <r>
    <s v="SIM-20260912-C006"/>
    <n v="1"/>
    <s v="C006"/>
    <d v="2026-09-12T00:00:00"/>
    <s v="P011"/>
    <s v="公斤"/>
    <n v="5.4"/>
    <n v="5.4"/>
    <n v="0"/>
    <n v="4.3"/>
    <s v="正常交付"/>
    <s v="true"/>
    <s v="红薯叶"/>
    <s v="散装鲜菜"/>
    <x v="5"/>
    <n v="23.22"/>
    <n v="0"/>
    <n v="23.22"/>
    <s v=""/>
    <s v=""/>
    <s v=""/>
    <s v=""/>
    <s v="通过"/>
  </r>
  <r>
    <s v="SIM-20260912-C006"/>
    <n v="2"/>
    <s v="C006"/>
    <d v="2026-09-12T00:00:00"/>
    <s v="P005"/>
    <s v="公斤"/>
    <n v="8.8000000000000007"/>
    <n v="8.8000000000000007"/>
    <n v="0"/>
    <n v="2.7"/>
    <s v="正常交付"/>
    <s v="true"/>
    <s v="南瓜"/>
    <s v="散装鲜菜"/>
    <x v="5"/>
    <n v="23.76"/>
    <n v="0"/>
    <n v="23.76"/>
    <s v=""/>
    <s v=""/>
    <s v=""/>
    <s v=""/>
    <s v="通过"/>
  </r>
  <r>
    <s v="SIM-20260912-C006"/>
    <n v="3"/>
    <s v="C006"/>
    <d v="2026-09-12T00:00:00"/>
    <s v="P013"/>
    <s v="公斤"/>
    <n v="8.8000000000000007"/>
    <n v="8.8000000000000007"/>
    <n v="0"/>
    <n v="6"/>
    <s v="正常交付"/>
    <s v="true"/>
    <s v="豇豆"/>
    <s v="散装鲜菜"/>
    <x v="5"/>
    <n v="52.8"/>
    <n v="0"/>
    <n v="52.8"/>
    <s v=""/>
    <s v=""/>
    <s v=""/>
    <s v=""/>
    <s v="通过"/>
  </r>
  <r>
    <s v="SIM-20260912-C006"/>
    <n v="4"/>
    <s v="C006"/>
    <d v="2026-09-12T00:00:00"/>
    <s v="P006"/>
    <s v="公斤"/>
    <n v="8.8000000000000007"/>
    <n v="8.8000000000000007"/>
    <n v="0"/>
    <n v="4.8"/>
    <s v="正常交付"/>
    <s v="true"/>
    <s v="茄子"/>
    <s v="散装鲜菜"/>
    <x v="5"/>
    <n v="42.24"/>
    <n v="0"/>
    <n v="42.24"/>
    <s v=""/>
    <s v=""/>
    <s v=""/>
    <s v=""/>
    <s v="通过"/>
  </r>
  <r>
    <s v="SIM-20260912-C006"/>
    <n v="5"/>
    <s v="C006"/>
    <d v="2026-09-12T00:00:00"/>
    <s v="P014"/>
    <s v="公斤"/>
    <n v="4.7"/>
    <n v="4.7"/>
    <n v="0"/>
    <n v="5"/>
    <s v="正常交付"/>
    <s v="true"/>
    <s v="丝瓜"/>
    <s v="散装鲜菜"/>
    <x v="5"/>
    <n v="23.5"/>
    <n v="0"/>
    <n v="23.5"/>
    <s v=""/>
    <s v=""/>
    <s v=""/>
    <s v=""/>
    <s v="通过"/>
  </r>
  <r>
    <s v="SIM-20260912-C006"/>
    <n v="6"/>
    <s v="C006"/>
    <d v="2026-09-12T00:00:00"/>
    <s v="P008"/>
    <s v="公斤"/>
    <n v="6.8"/>
    <n v="6.8"/>
    <n v="0"/>
    <n v="4.4000000000000004"/>
    <s v="正常交付"/>
    <s v="true"/>
    <s v="黄瓜"/>
    <s v="散装鲜菜"/>
    <x v="5"/>
    <n v="29.92"/>
    <n v="0"/>
    <n v="29.92"/>
    <s v=""/>
    <s v=""/>
    <s v=""/>
    <s v=""/>
    <s v="通过"/>
  </r>
  <r>
    <s v="SIM-20260913-C002"/>
    <n v="1"/>
    <s v="C002"/>
    <d v="2026-09-13T00:00:00"/>
    <s v="P010"/>
    <s v="公斤"/>
    <n v="8"/>
    <n v="8"/>
    <n v="0"/>
    <n v="5"/>
    <s v="正常交付"/>
    <s v="true"/>
    <s v="空心菜"/>
    <s v="散装鲜菜"/>
    <x v="1"/>
    <n v="40"/>
    <n v="0"/>
    <n v="40"/>
    <s v=""/>
    <s v=""/>
    <s v=""/>
    <s v=""/>
    <s v="通过"/>
  </r>
  <r>
    <s v="SIM-20260913-C002"/>
    <n v="2"/>
    <s v="C002"/>
    <d v="2026-09-13T00:00:00"/>
    <s v="P006"/>
    <s v="公斤"/>
    <n v="8.6"/>
    <n v="8.6"/>
    <n v="0"/>
    <n v="4.8"/>
    <s v="正常交付"/>
    <s v="true"/>
    <s v="茄子"/>
    <s v="散装鲜菜"/>
    <x v="1"/>
    <n v="41.28"/>
    <n v="0"/>
    <n v="41.28"/>
    <s v=""/>
    <s v=""/>
    <s v=""/>
    <s v=""/>
    <s v="通过"/>
  </r>
  <r>
    <s v="SIM-20260913-C002"/>
    <n v="3"/>
    <s v="C002"/>
    <d v="2026-09-13T00:00:00"/>
    <s v="P003"/>
    <s v="公斤"/>
    <n v="7.5"/>
    <n v="7.5"/>
    <n v="0"/>
    <n v="2.9"/>
    <s v="正常交付"/>
    <s v="true"/>
    <s v="包菜"/>
    <s v="散装鲜菜"/>
    <x v="1"/>
    <n v="21.75"/>
    <n v="0"/>
    <n v="21.75"/>
    <s v=""/>
    <s v=""/>
    <s v=""/>
    <s v=""/>
    <s v="通过"/>
  </r>
  <r>
    <s v="SIM-20260913-C002"/>
    <n v="4"/>
    <s v="C002"/>
    <d v="2026-09-13T00:00:00"/>
    <s v="P008"/>
    <s v="公斤"/>
    <n v="6.9"/>
    <n v="6.4"/>
    <n v="0"/>
    <n v="4.4000000000000004"/>
    <s v="到货不足；按实际交付计费"/>
    <s v="true"/>
    <s v="黄瓜"/>
    <s v="散装鲜菜"/>
    <x v="1"/>
    <n v="28.16"/>
    <n v="0"/>
    <n v="28.16"/>
    <s v=""/>
    <s v=""/>
    <s v=""/>
    <s v=""/>
    <s v="通过"/>
  </r>
  <r>
    <s v="SIM-20260913-C002"/>
    <n v="5"/>
    <s v="C002"/>
    <d v="2026-09-13T00:00:00"/>
    <s v="P007"/>
    <s v="公斤"/>
    <n v="5.7"/>
    <n v="5.4"/>
    <n v="0"/>
    <n v="5.45"/>
    <s v="到货不足；按实际交付计费"/>
    <s v="true"/>
    <s v="青椒"/>
    <s v="散装鲜菜"/>
    <x v="1"/>
    <n v="29.43"/>
    <n v="0"/>
    <n v="29.43"/>
    <s v=""/>
    <s v=""/>
    <s v=""/>
    <s v=""/>
    <s v="通过"/>
  </r>
  <r>
    <s v="SIM-20260913-C006"/>
    <n v="1"/>
    <s v="C006"/>
    <d v="2026-09-13T00:00:00"/>
    <s v="P012"/>
    <s v="公斤"/>
    <n v="9.3000000000000007"/>
    <n v="9.3000000000000007"/>
    <n v="0"/>
    <n v="5"/>
    <s v="正常交付"/>
    <s v="true"/>
    <s v="小白菜"/>
    <s v="散装鲜菜"/>
    <x v="5"/>
    <n v="46.5"/>
    <n v="0"/>
    <n v="46.5"/>
    <s v=""/>
    <s v=""/>
    <s v=""/>
    <s v=""/>
    <s v="通过"/>
  </r>
  <r>
    <s v="SIM-20260913-C006"/>
    <n v="2"/>
    <s v="C006"/>
    <d v="2026-09-13T00:00:00"/>
    <s v="P006"/>
    <s v="公斤"/>
    <n v="5.6"/>
    <n v="5.6"/>
    <n v="0"/>
    <n v="4.8"/>
    <s v="正常交付"/>
    <s v="true"/>
    <s v="茄子"/>
    <s v="散装鲜菜"/>
    <x v="5"/>
    <n v="26.88"/>
    <n v="0"/>
    <n v="26.88"/>
    <s v=""/>
    <s v=""/>
    <s v=""/>
    <s v=""/>
    <s v="通过"/>
  </r>
  <r>
    <s v="SIM-20260913-C006"/>
    <n v="3"/>
    <s v="C006"/>
    <d v="2026-09-13T00:00:00"/>
    <s v="P014"/>
    <s v="公斤"/>
    <n v="7.4"/>
    <n v="7.4"/>
    <n v="0"/>
    <n v="5"/>
    <s v="正常交付"/>
    <s v="true"/>
    <s v="丝瓜"/>
    <s v="散装鲜菜"/>
    <x v="5"/>
    <n v="37"/>
    <n v="0"/>
    <n v="37"/>
    <s v=""/>
    <s v=""/>
    <s v=""/>
    <s v=""/>
    <s v="通过"/>
  </r>
  <r>
    <s v="SIM-20260913-C006"/>
    <n v="4"/>
    <s v="C006"/>
    <d v="2026-09-13T00:00:00"/>
    <s v="P002"/>
    <s v="公斤"/>
    <n v="9.9"/>
    <n v="9.9"/>
    <n v="0"/>
    <n v="2.7"/>
    <s v="正常交付"/>
    <s v="true"/>
    <s v="白萝卜"/>
    <s v="散装鲜菜"/>
    <x v="5"/>
    <n v="26.73"/>
    <n v="0"/>
    <n v="26.73"/>
    <s v=""/>
    <s v=""/>
    <s v=""/>
    <s v=""/>
    <s v="通过"/>
  </r>
  <r>
    <s v="SIM-20260913-C006"/>
    <n v="5"/>
    <s v="C006"/>
    <d v="2026-09-13T00:00:00"/>
    <s v="P008"/>
    <s v="公斤"/>
    <n v="7.4"/>
    <n v="7.1"/>
    <n v="0"/>
    <n v="4.4000000000000004"/>
    <s v="到货不足；按实际交付计费"/>
    <s v="true"/>
    <s v="黄瓜"/>
    <s v="散装鲜菜"/>
    <x v="5"/>
    <n v="31.24"/>
    <n v="0"/>
    <n v="31.24"/>
    <s v=""/>
    <s v=""/>
    <s v=""/>
    <s v=""/>
    <s v="通过"/>
  </r>
  <r>
    <s v="SIM-20260913-C006"/>
    <n v="6"/>
    <s v="C006"/>
    <d v="2026-09-13T00:00:00"/>
    <s v="P007"/>
    <s v="公斤"/>
    <n v="6.8"/>
    <n v="6.8"/>
    <n v="0"/>
    <n v="5.45"/>
    <s v="正常交付"/>
    <s v="true"/>
    <s v="青椒"/>
    <s v="散装鲜菜"/>
    <x v="5"/>
    <n v="37.06"/>
    <n v="0"/>
    <n v="37.06"/>
    <s v=""/>
    <s v=""/>
    <s v=""/>
    <s v=""/>
    <s v="通过"/>
  </r>
  <r>
    <s v="SIM-20260913-C006"/>
    <n v="7"/>
    <s v="C006"/>
    <d v="2026-09-13T00:00:00"/>
    <s v="P016"/>
    <s v="公斤"/>
    <n v="9"/>
    <n v="9"/>
    <n v="0"/>
    <n v="10.4"/>
    <s v="正常交付"/>
    <s v="true"/>
    <s v="鸡蛋"/>
    <s v="普通鲜鸡蛋按净重"/>
    <x v="5"/>
    <n v="93.6"/>
    <n v="0"/>
    <n v="93.6"/>
    <s v=""/>
    <s v=""/>
    <s v=""/>
    <s v=""/>
    <s v="通过"/>
  </r>
  <r>
    <s v="SIM-20260913-C006"/>
    <n v="8"/>
    <s v="C006"/>
    <d v="2026-09-13T00:00:00"/>
    <s v="P015"/>
    <s v="公斤"/>
    <n v="1"/>
    <n v="1"/>
    <n v="0"/>
    <n v="7.2"/>
    <s v="正常交付"/>
    <s v="true"/>
    <s v="小葱"/>
    <s v="散装鲜菜"/>
    <x v="5"/>
    <n v="7.2"/>
    <n v="0"/>
    <n v="7.2"/>
    <s v=""/>
    <s v=""/>
    <s v=""/>
    <s v=""/>
    <s v="通过"/>
  </r>
  <r>
    <s v="SIM-20260914-C001"/>
    <n v="1"/>
    <s v="C001"/>
    <d v="2026-09-14T00:00:00"/>
    <s v="P010"/>
    <s v="公斤"/>
    <n v="2"/>
    <n v="2"/>
    <n v="0"/>
    <n v="5"/>
    <s v="正常交付"/>
    <s v="true"/>
    <s v="空心菜"/>
    <s v="散装鲜菜"/>
    <x v="0"/>
    <n v="10"/>
    <n v="0"/>
    <n v="10"/>
    <s v=""/>
    <s v=""/>
    <s v=""/>
    <s v=""/>
    <s v="通过"/>
  </r>
  <r>
    <s v="SIM-20260914-C001"/>
    <n v="2"/>
    <s v="C001"/>
    <d v="2026-09-14T00:00:00"/>
    <s v="P014"/>
    <s v="公斤"/>
    <n v="3.9"/>
    <n v="3.9"/>
    <n v="0"/>
    <n v="5"/>
    <s v="正常交付"/>
    <s v="true"/>
    <s v="丝瓜"/>
    <s v="散装鲜菜"/>
    <x v="0"/>
    <n v="19.5"/>
    <n v="0"/>
    <n v="19.5"/>
    <s v=""/>
    <s v=""/>
    <s v=""/>
    <s v=""/>
    <s v="通过"/>
  </r>
  <r>
    <s v="SIM-20260914-C001"/>
    <n v="3"/>
    <s v="C001"/>
    <d v="2026-09-14T00:00:00"/>
    <s v="P003"/>
    <s v="公斤"/>
    <n v="3.7"/>
    <n v="3.2"/>
    <n v="0"/>
    <n v="2.9"/>
    <s v="到货不足；按实际交付计费"/>
    <s v="true"/>
    <s v="包菜"/>
    <s v="散装鲜菜"/>
    <x v="0"/>
    <n v="9.2799999999999994"/>
    <n v="0"/>
    <n v="9.2799999999999994"/>
    <s v=""/>
    <s v=""/>
    <s v=""/>
    <s v=""/>
    <s v="通过"/>
  </r>
  <r>
    <s v="SIM-20260914-C001"/>
    <n v="4"/>
    <s v="C001"/>
    <d v="2026-09-14T00:00:00"/>
    <s v="P004"/>
    <s v="公斤"/>
    <n v="3.7"/>
    <n v="3.7"/>
    <n v="0"/>
    <n v="2.7"/>
    <s v="正常交付"/>
    <s v="true"/>
    <s v="冬瓜"/>
    <s v="散装鲜菜"/>
    <x v="0"/>
    <n v="9.99"/>
    <n v="0"/>
    <n v="9.99"/>
    <s v=""/>
    <s v=""/>
    <s v=""/>
    <s v=""/>
    <s v="通过"/>
  </r>
  <r>
    <s v="SIM-20260914-C003"/>
    <n v="1"/>
    <s v="C003"/>
    <d v="2026-09-14T00:00:00"/>
    <s v="P012"/>
    <s v="公斤"/>
    <n v="6.5"/>
    <n v="6.5"/>
    <n v="0.2"/>
    <n v="5"/>
    <s v="正常交付；签收时挑出黄叶退回"/>
    <s v="true"/>
    <s v="小白菜"/>
    <s v="散装鲜菜"/>
    <x v="2"/>
    <n v="32.5"/>
    <n v="1"/>
    <n v="31.5"/>
    <s v=""/>
    <s v=""/>
    <s v=""/>
    <s v=""/>
    <s v="通过"/>
  </r>
  <r>
    <s v="SIM-20260914-C003"/>
    <n v="2"/>
    <s v="C003"/>
    <d v="2026-09-14T00:00:00"/>
    <s v="P004"/>
    <s v="公斤"/>
    <n v="8"/>
    <n v="8"/>
    <n v="0"/>
    <n v="2.7"/>
    <s v="正常交付"/>
    <s v="true"/>
    <s v="冬瓜"/>
    <s v="散装鲜菜"/>
    <x v="2"/>
    <n v="21.6"/>
    <n v="0"/>
    <n v="21.6"/>
    <s v=""/>
    <s v=""/>
    <s v=""/>
    <s v=""/>
    <s v="通过"/>
  </r>
  <r>
    <s v="SIM-20260914-C003"/>
    <n v="3"/>
    <s v="C003"/>
    <d v="2026-09-14T00:00:00"/>
    <s v="P014"/>
    <s v="公斤"/>
    <n v="7"/>
    <n v="7"/>
    <n v="0"/>
    <n v="5"/>
    <s v="正常交付"/>
    <s v="true"/>
    <s v="丝瓜"/>
    <s v="散装鲜菜"/>
    <x v="2"/>
    <n v="35"/>
    <n v="0"/>
    <n v="35"/>
    <s v=""/>
    <s v=""/>
    <s v=""/>
    <s v=""/>
    <s v="通过"/>
  </r>
  <r>
    <s v="SIM-20260914-C003"/>
    <n v="4"/>
    <s v="C003"/>
    <d v="2026-09-14T00:00:00"/>
    <s v="P013"/>
    <s v="公斤"/>
    <n v="7.5"/>
    <n v="7.5"/>
    <n v="0"/>
    <n v="6"/>
    <s v="正常交付"/>
    <s v="true"/>
    <s v="豇豆"/>
    <s v="散装鲜菜"/>
    <x v="2"/>
    <n v="45"/>
    <n v="0"/>
    <n v="45"/>
    <s v=""/>
    <s v=""/>
    <s v=""/>
    <s v=""/>
    <s v="通过"/>
  </r>
  <r>
    <s v="SIM-20260914-C003"/>
    <n v="5"/>
    <s v="C003"/>
    <d v="2026-09-14T00:00:00"/>
    <s v="P008"/>
    <s v="公斤"/>
    <n v="7.5"/>
    <n v="7.5"/>
    <n v="0"/>
    <n v="4.4000000000000004"/>
    <s v="正常交付"/>
    <s v="true"/>
    <s v="黄瓜"/>
    <s v="散装鲜菜"/>
    <x v="2"/>
    <n v="33"/>
    <n v="0"/>
    <n v="33"/>
    <s v=""/>
    <s v=""/>
    <s v=""/>
    <s v=""/>
    <s v="通过"/>
  </r>
  <r>
    <s v="SIM-20260914-C003"/>
    <n v="6"/>
    <s v="C003"/>
    <d v="2026-09-14T00:00:00"/>
    <s v="P005"/>
    <s v="公斤"/>
    <n v="6"/>
    <n v="6"/>
    <n v="0"/>
    <n v="2.7"/>
    <s v="正常交付"/>
    <s v="true"/>
    <s v="南瓜"/>
    <s v="散装鲜菜"/>
    <x v="2"/>
    <n v="16.2"/>
    <n v="0"/>
    <n v="16.2"/>
    <s v=""/>
    <s v=""/>
    <s v=""/>
    <s v=""/>
    <s v="通过"/>
  </r>
  <r>
    <s v="SIM-20260914-C005"/>
    <n v="1"/>
    <s v="C005"/>
    <d v="2026-09-14T00:00:00"/>
    <s v="P010"/>
    <s v="公斤"/>
    <n v="9.6999999999999993"/>
    <n v="9.6999999999999993"/>
    <n v="0"/>
    <n v="5"/>
    <s v="正常交付"/>
    <s v="true"/>
    <s v="空心菜"/>
    <s v="散装鲜菜"/>
    <x v="4"/>
    <n v="48.5"/>
    <n v="0"/>
    <n v="48.5"/>
    <s v=""/>
    <s v=""/>
    <s v=""/>
    <s v=""/>
    <s v="通过"/>
  </r>
  <r>
    <s v="SIM-20260914-C005"/>
    <n v="2"/>
    <s v="C005"/>
    <d v="2026-09-14T00:00:00"/>
    <s v="P004"/>
    <s v="公斤"/>
    <n v="12.1"/>
    <n v="12.1"/>
    <n v="0"/>
    <n v="2.7"/>
    <s v="正常交付"/>
    <s v="true"/>
    <s v="冬瓜"/>
    <s v="散装鲜菜"/>
    <x v="4"/>
    <n v="32.67"/>
    <n v="0"/>
    <n v="32.67"/>
    <s v=""/>
    <s v=""/>
    <s v=""/>
    <s v=""/>
    <s v="通过"/>
  </r>
  <r>
    <s v="SIM-20260914-C005"/>
    <n v="3"/>
    <s v="C005"/>
    <d v="2026-09-14T00:00:00"/>
    <s v="P001"/>
    <s v="公斤"/>
    <n v="7.3"/>
    <n v="7.3"/>
    <n v="0"/>
    <n v="3.3"/>
    <s v="正常交付"/>
    <s v="true"/>
    <s v="土豆"/>
    <s v="散装鲜菜"/>
    <x v="4"/>
    <n v="24.09"/>
    <n v="0"/>
    <n v="24.09"/>
    <s v=""/>
    <s v=""/>
    <s v=""/>
    <s v=""/>
    <s v="通过"/>
  </r>
  <r>
    <s v="SIM-20260914-C005"/>
    <n v="4"/>
    <s v="C005"/>
    <d v="2026-09-14T00:00:00"/>
    <s v="P008"/>
    <s v="公斤"/>
    <n v="7.3"/>
    <n v="7.3"/>
    <n v="0"/>
    <n v="4.4000000000000004"/>
    <s v="正常交付"/>
    <s v="true"/>
    <s v="黄瓜"/>
    <s v="散装鲜菜"/>
    <x v="4"/>
    <n v="32.119999999999997"/>
    <n v="0"/>
    <n v="32.119999999999997"/>
    <s v=""/>
    <s v=""/>
    <s v=""/>
    <s v=""/>
    <s v="通过"/>
  </r>
  <r>
    <s v="SIM-20260914-C005"/>
    <n v="5"/>
    <s v="C005"/>
    <d v="2026-09-14T00:00:00"/>
    <s v="P014"/>
    <s v="公斤"/>
    <n v="9.6999999999999993"/>
    <n v="9.6999999999999993"/>
    <n v="0"/>
    <n v="5"/>
    <s v="正常交付"/>
    <s v="true"/>
    <s v="丝瓜"/>
    <s v="散装鲜菜"/>
    <x v="4"/>
    <n v="48.5"/>
    <n v="0"/>
    <n v="48.5"/>
    <s v=""/>
    <s v=""/>
    <s v=""/>
    <s v=""/>
    <s v="通过"/>
  </r>
  <r>
    <s v="SIM-20260914-C005"/>
    <n v="6"/>
    <s v="C005"/>
    <d v="2026-09-14T00:00:00"/>
    <s v="P003"/>
    <s v="公斤"/>
    <n v="10.5"/>
    <n v="10.5"/>
    <n v="0"/>
    <n v="2.9"/>
    <s v="正常交付"/>
    <s v="true"/>
    <s v="包菜"/>
    <s v="散装鲜菜"/>
    <x v="4"/>
    <n v="30.45"/>
    <n v="0"/>
    <n v="30.45"/>
    <s v=""/>
    <s v=""/>
    <s v=""/>
    <s v=""/>
    <s v="通过"/>
  </r>
  <r>
    <s v="SIM-20260914-C005"/>
    <n v="7"/>
    <s v="C005"/>
    <d v="2026-09-14T00:00:00"/>
    <s v="P015"/>
    <s v="公斤"/>
    <n v="1"/>
    <n v="1"/>
    <n v="0"/>
    <n v="7.2"/>
    <s v="正常交付"/>
    <s v="true"/>
    <s v="小葱"/>
    <s v="散装鲜菜"/>
    <x v="4"/>
    <n v="7.2"/>
    <n v="0"/>
    <n v="7.2"/>
    <s v=""/>
    <s v=""/>
    <s v=""/>
    <s v=""/>
    <s v="通过"/>
  </r>
  <r>
    <s v="SIM-20260914-C006"/>
    <n v="1"/>
    <s v="C006"/>
    <d v="2026-09-14T00:00:00"/>
    <s v="P010"/>
    <s v="公斤"/>
    <n v="6.5"/>
    <n v="6.5"/>
    <n v="0"/>
    <n v="5"/>
    <s v="正常交付"/>
    <s v="true"/>
    <s v="空心菜"/>
    <s v="散装鲜菜"/>
    <x v="5"/>
    <n v="32.5"/>
    <n v="0"/>
    <n v="32.5"/>
    <s v=""/>
    <s v=""/>
    <s v=""/>
    <s v=""/>
    <s v="通过"/>
  </r>
  <r>
    <s v="SIM-20260914-C006"/>
    <n v="2"/>
    <s v="C006"/>
    <d v="2026-09-14T00:00:00"/>
    <s v="P008"/>
    <s v="公斤"/>
    <n v="9.5"/>
    <n v="9.5"/>
    <n v="0"/>
    <n v="4.4000000000000004"/>
    <s v="正常交付"/>
    <s v="true"/>
    <s v="黄瓜"/>
    <s v="散装鲜菜"/>
    <x v="5"/>
    <n v="41.8"/>
    <n v="0"/>
    <n v="41.8"/>
    <s v=""/>
    <s v=""/>
    <s v=""/>
    <s v=""/>
    <s v="通过"/>
  </r>
  <r>
    <s v="SIM-20260914-C006"/>
    <n v="3"/>
    <s v="C006"/>
    <d v="2026-09-14T00:00:00"/>
    <s v="P014"/>
    <s v="公斤"/>
    <n v="7.7"/>
    <n v="7.5"/>
    <n v="0"/>
    <n v="5"/>
    <s v="到货不足；按实际交付计费"/>
    <s v="true"/>
    <s v="丝瓜"/>
    <s v="散装鲜菜"/>
    <x v="5"/>
    <n v="37.5"/>
    <n v="0"/>
    <n v="37.5"/>
    <s v=""/>
    <s v=""/>
    <s v=""/>
    <s v=""/>
    <s v="通过"/>
  </r>
  <r>
    <s v="SIM-20260914-C006"/>
    <n v="4"/>
    <s v="C006"/>
    <d v="2026-09-14T00:00:00"/>
    <s v="P004"/>
    <s v="公斤"/>
    <n v="8.3000000000000007"/>
    <n v="8.3000000000000007"/>
    <n v="0"/>
    <n v="2.7"/>
    <s v="正常交付"/>
    <s v="true"/>
    <s v="冬瓜"/>
    <s v="散装鲜菜"/>
    <x v="5"/>
    <n v="22.41"/>
    <n v="0"/>
    <n v="22.41"/>
    <s v=""/>
    <s v=""/>
    <s v=""/>
    <s v=""/>
    <s v="通过"/>
  </r>
  <r>
    <s v="SIM-20260914-C006"/>
    <n v="5"/>
    <s v="C006"/>
    <d v="2026-09-14T00:00:00"/>
    <s v="P013"/>
    <s v="公斤"/>
    <n v="5.3"/>
    <n v="5.3"/>
    <n v="0"/>
    <n v="6"/>
    <s v="正常交付"/>
    <s v="true"/>
    <s v="豇豆"/>
    <s v="散装鲜菜"/>
    <x v="5"/>
    <n v="31.8"/>
    <n v="0"/>
    <n v="31.8"/>
    <s v=""/>
    <s v=""/>
    <s v=""/>
    <s v=""/>
    <s v="通过"/>
  </r>
  <r>
    <s v="SIM-20260914-C006"/>
    <n v="6"/>
    <s v="C006"/>
    <d v="2026-09-14T00:00:00"/>
    <s v="P001"/>
    <s v="公斤"/>
    <n v="7.7"/>
    <n v="7.7"/>
    <n v="0"/>
    <n v="3.3"/>
    <s v="正常交付"/>
    <s v="true"/>
    <s v="土豆"/>
    <s v="散装鲜菜"/>
    <x v="5"/>
    <n v="25.41"/>
    <n v="0"/>
    <n v="25.41"/>
    <s v=""/>
    <s v=""/>
    <s v=""/>
    <s v=""/>
    <s v="通过"/>
  </r>
  <r>
    <s v="SIM-20260915-C001"/>
    <n v="1"/>
    <s v="C001"/>
    <d v="2026-09-15T00:00:00"/>
    <s v="P010"/>
    <s v="公斤"/>
    <n v="3.2"/>
    <n v="3.2"/>
    <n v="0"/>
    <n v="4.5"/>
    <s v="正常交付"/>
    <s v="true"/>
    <s v="空心菜"/>
    <s v="散装鲜菜"/>
    <x v="0"/>
    <n v="14.4"/>
    <n v="0"/>
    <n v="14.4"/>
    <s v=""/>
    <s v=""/>
    <s v=""/>
    <s v=""/>
    <s v="通过"/>
  </r>
  <r>
    <s v="SIM-20260915-C001"/>
    <n v="2"/>
    <s v="C001"/>
    <d v="2026-09-15T00:00:00"/>
    <s v="P001"/>
    <s v="公斤"/>
    <n v="2.1"/>
    <n v="2.1"/>
    <n v="0"/>
    <n v="3.4"/>
    <s v="正常交付"/>
    <s v="true"/>
    <s v="土豆"/>
    <s v="散装鲜菜"/>
    <x v="0"/>
    <n v="7.14"/>
    <n v="0"/>
    <n v="7.14"/>
    <s v=""/>
    <s v=""/>
    <s v=""/>
    <s v=""/>
    <s v="通过"/>
  </r>
  <r>
    <s v="SIM-20260915-C001"/>
    <n v="3"/>
    <s v="C001"/>
    <d v="2026-09-15T00:00:00"/>
    <s v="P005"/>
    <s v="公斤"/>
    <n v="2.6"/>
    <n v="2.6"/>
    <n v="0"/>
    <n v="3.2"/>
    <s v="正常交付"/>
    <s v="true"/>
    <s v="南瓜"/>
    <s v="散装鲜菜"/>
    <x v="0"/>
    <n v="8.32"/>
    <n v="0"/>
    <n v="8.32"/>
    <s v=""/>
    <s v=""/>
    <s v=""/>
    <s v=""/>
    <s v="通过"/>
  </r>
  <r>
    <s v="SIM-20260915-C001"/>
    <n v="4"/>
    <s v="C001"/>
    <d v="2026-09-15T00:00:00"/>
    <s v="P006"/>
    <s v="公斤"/>
    <n v="2.6"/>
    <n v="2.6"/>
    <n v="0"/>
    <n v="4.8"/>
    <s v="正常交付"/>
    <s v="true"/>
    <s v="茄子"/>
    <s v="散装鲜菜"/>
    <x v="0"/>
    <n v="12.48"/>
    <n v="0"/>
    <n v="12.48"/>
    <s v=""/>
    <s v=""/>
    <s v=""/>
    <s v=""/>
    <s v="通过"/>
  </r>
  <r>
    <s v="SIM-20260915-C001"/>
    <n v="5"/>
    <s v="C001"/>
    <d v="2026-09-15T00:00:00"/>
    <s v="P016"/>
    <s v="公斤"/>
    <n v="3"/>
    <n v="3"/>
    <n v="0"/>
    <n v="10.199999999999999"/>
    <s v="正常交付"/>
    <s v="true"/>
    <s v="鸡蛋"/>
    <s v="普通鲜鸡蛋按净重"/>
    <x v="0"/>
    <n v="30.6"/>
    <n v="0"/>
    <n v="30.6"/>
    <s v=""/>
    <s v=""/>
    <s v=""/>
    <s v=""/>
    <s v="通过"/>
  </r>
  <r>
    <s v="SIM-20260915-C001"/>
    <n v="6"/>
    <s v="C001"/>
    <d v="2026-09-15T00:00:00"/>
    <s v="P015"/>
    <s v="公斤"/>
    <n v="0.5"/>
    <n v="0.5"/>
    <n v="0"/>
    <n v="7.3"/>
    <s v="正常交付"/>
    <s v="true"/>
    <s v="小葱"/>
    <s v="散装鲜菜"/>
    <x v="0"/>
    <n v="3.65"/>
    <n v="0"/>
    <n v="3.65"/>
    <s v=""/>
    <s v=""/>
    <s v=""/>
    <s v=""/>
    <s v="通过"/>
  </r>
  <r>
    <s v="SIM-20260915-C002"/>
    <n v="1"/>
    <s v="C002"/>
    <d v="2026-09-15T00:00:00"/>
    <s v="P012"/>
    <s v="公斤"/>
    <n v="5"/>
    <n v="5"/>
    <n v="0"/>
    <n v="5.2"/>
    <s v="正常交付"/>
    <s v="true"/>
    <s v="小白菜"/>
    <s v="散装鲜菜"/>
    <x v="1"/>
    <n v="26"/>
    <n v="0"/>
    <n v="26"/>
    <s v=""/>
    <s v=""/>
    <s v=""/>
    <s v=""/>
    <s v="通过"/>
  </r>
  <r>
    <s v="SIM-20260915-C002"/>
    <n v="2"/>
    <s v="C002"/>
    <d v="2026-09-15T00:00:00"/>
    <s v="P009"/>
    <s v="公斤"/>
    <n v="7.2"/>
    <n v="7.2"/>
    <n v="0"/>
    <n v="4.8"/>
    <s v="正常交付"/>
    <s v="true"/>
    <s v="西红柿"/>
    <s v="散装鲜菜"/>
    <x v="1"/>
    <n v="34.56"/>
    <n v="0"/>
    <n v="34.56"/>
    <s v=""/>
    <s v=""/>
    <s v=""/>
    <s v=""/>
    <s v="通过"/>
  </r>
  <r>
    <s v="SIM-20260915-C002"/>
    <n v="3"/>
    <s v="C002"/>
    <d v="2026-09-15T00:00:00"/>
    <s v="P013"/>
    <s v="公斤"/>
    <n v="3.9"/>
    <n v="3.9"/>
    <n v="0"/>
    <n v="6"/>
    <s v="正常交付"/>
    <s v="true"/>
    <s v="豇豆"/>
    <s v="散装鲜菜"/>
    <x v="1"/>
    <n v="23.4"/>
    <n v="0"/>
    <n v="23.4"/>
    <s v=""/>
    <s v=""/>
    <s v=""/>
    <s v=""/>
    <s v="通过"/>
  </r>
  <r>
    <s v="SIM-20260915-C002"/>
    <n v="4"/>
    <s v="C002"/>
    <d v="2026-09-15T00:00:00"/>
    <s v="P007"/>
    <s v="公斤"/>
    <n v="8.9"/>
    <n v="8.9"/>
    <n v="0"/>
    <n v="5.25"/>
    <s v="正常交付"/>
    <s v="true"/>
    <s v="青椒"/>
    <s v="散装鲜菜"/>
    <x v="1"/>
    <n v="46.73"/>
    <n v="0"/>
    <n v="46.73"/>
    <s v=""/>
    <s v=""/>
    <s v=""/>
    <s v=""/>
    <s v="通过"/>
  </r>
  <r>
    <s v="SIM-20260915-C002"/>
    <n v="5"/>
    <s v="C002"/>
    <d v="2026-09-15T00:00:00"/>
    <s v="P003"/>
    <s v="公斤"/>
    <n v="5.5"/>
    <n v="5.5"/>
    <n v="0"/>
    <n v="3.5"/>
    <s v="正常交付"/>
    <s v="true"/>
    <s v="包菜"/>
    <s v="散装鲜菜"/>
    <x v="1"/>
    <n v="19.25"/>
    <n v="0"/>
    <n v="19.25"/>
    <s v=""/>
    <s v=""/>
    <s v=""/>
    <s v=""/>
    <s v="通过"/>
  </r>
  <r>
    <s v="SIM-20260915-C002"/>
    <n v="6"/>
    <s v="C002"/>
    <d v="2026-09-15T00:00:00"/>
    <s v="P016"/>
    <s v="公斤"/>
    <n v="4"/>
    <n v="4"/>
    <n v="0"/>
    <n v="10.199999999999999"/>
    <s v="正常交付"/>
    <s v="true"/>
    <s v="鸡蛋"/>
    <s v="普通鲜鸡蛋按净重"/>
    <x v="1"/>
    <n v="40.799999999999997"/>
    <n v="0"/>
    <n v="40.799999999999997"/>
    <s v=""/>
    <s v=""/>
    <s v=""/>
    <s v=""/>
    <s v="通过"/>
  </r>
  <r>
    <s v="SIM-20260915-C002"/>
    <n v="7"/>
    <s v="C002"/>
    <d v="2026-09-15T00:00:00"/>
    <s v="P015"/>
    <s v="公斤"/>
    <n v="1"/>
    <n v="1"/>
    <n v="0"/>
    <n v="7.3"/>
    <s v="正常交付"/>
    <s v="true"/>
    <s v="小葱"/>
    <s v="散装鲜菜"/>
    <x v="1"/>
    <n v="7.3"/>
    <n v="0"/>
    <n v="7.3"/>
    <s v=""/>
    <s v=""/>
    <s v=""/>
    <s v=""/>
    <s v="通过"/>
  </r>
  <r>
    <s v="SIM-20260915-C003"/>
    <n v="1"/>
    <s v="C003"/>
    <d v="2026-09-15T00:00:00"/>
    <s v="P012"/>
    <s v="公斤"/>
    <n v="4.9000000000000004"/>
    <n v="4.9000000000000004"/>
    <n v="0"/>
    <n v="5.2"/>
    <s v="正常交付"/>
    <s v="true"/>
    <s v="小白菜"/>
    <s v="散装鲜菜"/>
    <x v="2"/>
    <n v="25.48"/>
    <n v="0"/>
    <n v="25.48"/>
    <s v=""/>
    <s v=""/>
    <s v=""/>
    <s v=""/>
    <s v="通过"/>
  </r>
  <r>
    <s v="SIM-20260915-C003"/>
    <n v="2"/>
    <s v="C003"/>
    <d v="2026-09-15T00:00:00"/>
    <s v="P001"/>
    <s v="公斤"/>
    <n v="6.7"/>
    <n v="6.7"/>
    <n v="0"/>
    <n v="3.4"/>
    <s v="正常交付"/>
    <s v="true"/>
    <s v="土豆"/>
    <s v="散装鲜菜"/>
    <x v="2"/>
    <n v="22.78"/>
    <n v="0"/>
    <n v="22.78"/>
    <s v=""/>
    <s v=""/>
    <s v=""/>
    <s v=""/>
    <s v="通过"/>
  </r>
  <r>
    <s v="SIM-20260915-C003"/>
    <n v="3"/>
    <s v="C003"/>
    <d v="2026-09-15T00:00:00"/>
    <s v="P013"/>
    <s v="公斤"/>
    <n v="7.3"/>
    <n v="7.3"/>
    <n v="0"/>
    <n v="6"/>
    <s v="正常交付"/>
    <s v="true"/>
    <s v="豇豆"/>
    <s v="散装鲜菜"/>
    <x v="2"/>
    <n v="43.8"/>
    <n v="0"/>
    <n v="43.8"/>
    <s v=""/>
    <s v=""/>
    <s v=""/>
    <s v=""/>
    <s v="通过"/>
  </r>
  <r>
    <s v="SIM-20260915-C003"/>
    <n v="4"/>
    <s v="C003"/>
    <d v="2026-09-15T00:00:00"/>
    <s v="P008"/>
    <s v="公斤"/>
    <n v="7.3"/>
    <n v="7.3"/>
    <n v="0"/>
    <n v="4.4000000000000004"/>
    <s v="正常交付"/>
    <s v="true"/>
    <s v="黄瓜"/>
    <s v="散装鲜菜"/>
    <x v="2"/>
    <n v="32.119999999999997"/>
    <n v="0"/>
    <n v="32.119999999999997"/>
    <s v=""/>
    <s v=""/>
    <s v=""/>
    <s v=""/>
    <s v="通过"/>
  </r>
  <r>
    <s v="SIM-20260915-C003"/>
    <n v="5"/>
    <s v="C003"/>
    <d v="2026-09-15T00:00:00"/>
    <s v="P004"/>
    <s v="公斤"/>
    <n v="9.6999999999999993"/>
    <n v="9.6999999999999993"/>
    <n v="0"/>
    <n v="2.6"/>
    <s v="正常交付"/>
    <s v="true"/>
    <s v="冬瓜"/>
    <s v="散装鲜菜"/>
    <x v="2"/>
    <n v="25.22"/>
    <n v="0"/>
    <n v="25.22"/>
    <s v=""/>
    <s v=""/>
    <s v=""/>
    <s v=""/>
    <s v="通过"/>
  </r>
  <r>
    <s v="SIM-20260915-C003"/>
    <n v="6"/>
    <s v="C003"/>
    <d v="2026-09-15T00:00:00"/>
    <s v="P003"/>
    <s v="公斤"/>
    <n v="7.3"/>
    <n v="7.3"/>
    <n v="0"/>
    <n v="3.5"/>
    <s v="正常交付"/>
    <s v="true"/>
    <s v="包菜"/>
    <s v="散装鲜菜"/>
    <x v="2"/>
    <n v="25.55"/>
    <n v="0"/>
    <n v="25.55"/>
    <s v=""/>
    <s v=""/>
    <s v=""/>
    <s v=""/>
    <s v="通过"/>
  </r>
  <r>
    <s v="SIM-20260915-C003"/>
    <n v="7"/>
    <s v="C003"/>
    <d v="2026-09-15T00:00:00"/>
    <s v="P016"/>
    <s v="公斤"/>
    <n v="6"/>
    <n v="6"/>
    <n v="0"/>
    <n v="10.199999999999999"/>
    <s v="正常交付"/>
    <s v="true"/>
    <s v="鸡蛋"/>
    <s v="普通鲜鸡蛋按净重"/>
    <x v="2"/>
    <n v="61.2"/>
    <n v="0"/>
    <n v="61.2"/>
    <s v=""/>
    <s v=""/>
    <s v=""/>
    <s v=""/>
    <s v="通过"/>
  </r>
  <r>
    <s v="SIM-20260915-C003"/>
    <n v="8"/>
    <s v="C003"/>
    <d v="2026-09-15T00:00:00"/>
    <s v="P015"/>
    <s v="公斤"/>
    <n v="1"/>
    <n v="1"/>
    <n v="0"/>
    <n v="7.3"/>
    <s v="正常交付"/>
    <s v="true"/>
    <s v="小葱"/>
    <s v="散装鲜菜"/>
    <x v="2"/>
    <n v="7.3"/>
    <n v="0"/>
    <n v="7.3"/>
    <s v=""/>
    <s v=""/>
    <s v=""/>
    <s v=""/>
    <s v="通过"/>
  </r>
  <r>
    <s v="SIM-20260915-C004"/>
    <n v="1"/>
    <s v="C004"/>
    <d v="2026-09-15T00:00:00"/>
    <s v="P011"/>
    <s v="公斤"/>
    <n v="4.5"/>
    <n v="4.5"/>
    <n v="0"/>
    <n v="4.3"/>
    <s v="正常交付"/>
    <s v="true"/>
    <s v="红薯叶"/>
    <s v="散装鲜菜"/>
    <x v="3"/>
    <n v="19.350000000000001"/>
    <n v="0"/>
    <n v="19.350000000000001"/>
    <s v=""/>
    <s v=""/>
    <s v=""/>
    <s v=""/>
    <s v="通过"/>
  </r>
  <r>
    <s v="SIM-20260915-C004"/>
    <n v="2"/>
    <s v="C004"/>
    <d v="2026-09-15T00:00:00"/>
    <s v="P007"/>
    <s v="公斤"/>
    <n v="7.8"/>
    <n v="7.8"/>
    <n v="0"/>
    <n v="5.25"/>
    <s v="正常交付"/>
    <s v="true"/>
    <s v="青椒"/>
    <s v="散装鲜菜"/>
    <x v="3"/>
    <n v="40.950000000000003"/>
    <n v="0"/>
    <n v="40.950000000000003"/>
    <s v=""/>
    <s v=""/>
    <s v=""/>
    <s v=""/>
    <s v="通过"/>
  </r>
  <r>
    <s v="SIM-20260915-C004"/>
    <n v="3"/>
    <s v="C004"/>
    <d v="2026-09-15T00:00:00"/>
    <s v="P001"/>
    <s v="公斤"/>
    <n v="9"/>
    <n v="9"/>
    <n v="0"/>
    <n v="3.4"/>
    <s v="正常交付"/>
    <s v="true"/>
    <s v="土豆"/>
    <s v="散装鲜菜"/>
    <x v="3"/>
    <n v="30.6"/>
    <n v="0"/>
    <n v="30.6"/>
    <s v=""/>
    <s v=""/>
    <s v=""/>
    <s v=""/>
    <s v="通过"/>
  </r>
  <r>
    <s v="SIM-20260915-C004"/>
    <n v="4"/>
    <s v="C004"/>
    <d v="2026-09-15T00:00:00"/>
    <s v="P014"/>
    <s v="公斤"/>
    <n v="5.6"/>
    <n v="5.6"/>
    <n v="0"/>
    <n v="5"/>
    <s v="正常交付"/>
    <s v="true"/>
    <s v="丝瓜"/>
    <s v="散装鲜菜"/>
    <x v="3"/>
    <n v="28"/>
    <n v="0"/>
    <n v="28"/>
    <s v=""/>
    <s v=""/>
    <s v=""/>
    <s v=""/>
    <s v="通过"/>
  </r>
  <r>
    <s v="SIM-20260915-C004"/>
    <n v="5"/>
    <s v="C004"/>
    <d v="2026-09-15T00:00:00"/>
    <s v="P006"/>
    <s v="公斤"/>
    <n v="7.3"/>
    <n v="7.3"/>
    <n v="0"/>
    <n v="4.8"/>
    <s v="正常交付"/>
    <s v="true"/>
    <s v="茄子"/>
    <s v="散装鲜菜"/>
    <x v="3"/>
    <n v="35.04"/>
    <n v="0"/>
    <n v="35.04"/>
    <s v=""/>
    <s v=""/>
    <s v=""/>
    <s v=""/>
    <s v="通过"/>
  </r>
  <r>
    <s v="SIM-20260915-C004"/>
    <n v="6"/>
    <s v="C004"/>
    <d v="2026-09-15T00:00:00"/>
    <s v="P003"/>
    <s v="公斤"/>
    <n v="8.4"/>
    <n v="8.4"/>
    <n v="0"/>
    <n v="3.5"/>
    <s v="正常交付"/>
    <s v="true"/>
    <s v="包菜"/>
    <s v="散装鲜菜"/>
    <x v="3"/>
    <n v="29.4"/>
    <n v="0"/>
    <n v="29.4"/>
    <s v=""/>
    <s v=""/>
    <s v=""/>
    <s v=""/>
    <s v="通过"/>
  </r>
  <r>
    <s v="SIM-20260915-C004"/>
    <n v="7"/>
    <s v="C004"/>
    <d v="2026-09-15T00:00:00"/>
    <s v="P016"/>
    <s v="公斤"/>
    <n v="5"/>
    <n v="5"/>
    <n v="0"/>
    <n v="10.199999999999999"/>
    <s v="正常交付"/>
    <s v="true"/>
    <s v="鸡蛋"/>
    <s v="普通鲜鸡蛋按净重"/>
    <x v="3"/>
    <n v="51"/>
    <n v="0"/>
    <n v="51"/>
    <s v=""/>
    <s v=""/>
    <s v=""/>
    <s v=""/>
    <s v="通过"/>
  </r>
  <r>
    <s v="SIM-20260915-C004"/>
    <n v="8"/>
    <s v="C004"/>
    <d v="2026-09-15T00:00:00"/>
    <s v="P015"/>
    <s v="公斤"/>
    <n v="1"/>
    <n v="1"/>
    <n v="0"/>
    <n v="7.3"/>
    <s v="正常交付"/>
    <s v="true"/>
    <s v="小葱"/>
    <s v="散装鲜菜"/>
    <x v="3"/>
    <n v="7.3"/>
    <n v="0"/>
    <n v="7.3"/>
    <s v=""/>
    <s v=""/>
    <s v=""/>
    <s v=""/>
    <s v="通过"/>
  </r>
  <r>
    <s v="SIM-20260915-C005"/>
    <n v="1"/>
    <s v="C005"/>
    <d v="2026-09-15T00:00:00"/>
    <s v="P012"/>
    <s v="公斤"/>
    <n v="8.4"/>
    <n v="8.4"/>
    <n v="0"/>
    <n v="5.2"/>
    <s v="正常交付"/>
    <s v="true"/>
    <s v="小白菜"/>
    <s v="散装鲜菜"/>
    <x v="4"/>
    <n v="43.68"/>
    <n v="0"/>
    <n v="43.68"/>
    <s v=""/>
    <s v=""/>
    <s v=""/>
    <s v=""/>
    <s v="通过"/>
  </r>
  <r>
    <s v="SIM-20260915-C005"/>
    <n v="2"/>
    <s v="C005"/>
    <d v="2026-09-15T00:00:00"/>
    <s v="P014"/>
    <s v="公斤"/>
    <n v="8.4"/>
    <n v="8.4"/>
    <n v="0"/>
    <n v="5"/>
    <s v="正常交付"/>
    <s v="true"/>
    <s v="丝瓜"/>
    <s v="散装鲜菜"/>
    <x v="4"/>
    <n v="42"/>
    <n v="0"/>
    <n v="42"/>
    <s v=""/>
    <s v=""/>
    <s v=""/>
    <s v=""/>
    <s v="通过"/>
  </r>
  <r>
    <s v="SIM-20260915-C005"/>
    <n v="3"/>
    <s v="C005"/>
    <d v="2026-09-15T00:00:00"/>
    <s v="P006"/>
    <s v="公斤"/>
    <n v="15.8"/>
    <n v="15.8"/>
    <n v="0"/>
    <n v="4.8"/>
    <s v="正常交付"/>
    <s v="true"/>
    <s v="茄子"/>
    <s v="散装鲜菜"/>
    <x v="4"/>
    <n v="75.84"/>
    <n v="0"/>
    <n v="75.84"/>
    <s v=""/>
    <s v=""/>
    <s v=""/>
    <s v=""/>
    <s v="通过"/>
  </r>
  <r>
    <s v="SIM-20260915-C005"/>
    <n v="4"/>
    <s v="C005"/>
    <d v="2026-09-15T00:00:00"/>
    <s v="P001"/>
    <s v="公斤"/>
    <n v="7.4"/>
    <n v="7.4"/>
    <n v="0"/>
    <n v="3.4"/>
    <s v="正常交付"/>
    <s v="true"/>
    <s v="土豆"/>
    <s v="散装鲜菜"/>
    <x v="4"/>
    <n v="25.16"/>
    <n v="0"/>
    <n v="25.16"/>
    <s v=""/>
    <s v=""/>
    <s v=""/>
    <s v=""/>
    <s v="通过"/>
  </r>
  <r>
    <s v="SIM-20260915-C005"/>
    <n v="5"/>
    <s v="C005"/>
    <d v="2026-09-15T00:00:00"/>
    <s v="P004"/>
    <s v="公斤"/>
    <n v="11.6"/>
    <n v="11.6"/>
    <n v="0"/>
    <n v="2.6"/>
    <s v="正常交付"/>
    <s v="true"/>
    <s v="冬瓜"/>
    <s v="散装鲜菜"/>
    <x v="4"/>
    <n v="30.16"/>
    <n v="0"/>
    <n v="30.16"/>
    <s v=""/>
    <s v=""/>
    <s v=""/>
    <s v=""/>
    <s v="通过"/>
  </r>
  <r>
    <s v="SIM-20260915-C005"/>
    <n v="6"/>
    <s v="C005"/>
    <d v="2026-09-15T00:00:00"/>
    <s v="P002"/>
    <s v="公斤"/>
    <n v="13.7"/>
    <n v="13.7"/>
    <n v="0"/>
    <n v="2.7"/>
    <s v="正常交付"/>
    <s v="true"/>
    <s v="白萝卜"/>
    <s v="散装鲜菜"/>
    <x v="4"/>
    <n v="36.99"/>
    <n v="0"/>
    <n v="36.99"/>
    <s v=""/>
    <s v=""/>
    <s v=""/>
    <s v=""/>
    <s v="通过"/>
  </r>
  <r>
    <s v="SIM-20260915-C005"/>
    <n v="7"/>
    <s v="C005"/>
    <d v="2026-09-15T00:00:00"/>
    <s v="P016"/>
    <s v="公斤"/>
    <n v="12"/>
    <n v="12"/>
    <n v="0"/>
    <n v="10.199999999999999"/>
    <s v="正常交付"/>
    <s v="true"/>
    <s v="鸡蛋"/>
    <s v="普通鲜鸡蛋按净重"/>
    <x v="4"/>
    <n v="122.4"/>
    <n v="0"/>
    <n v="122.4"/>
    <s v=""/>
    <s v=""/>
    <s v=""/>
    <s v=""/>
    <s v="通过"/>
  </r>
  <r>
    <s v="SIM-20260915-C005"/>
    <n v="8"/>
    <s v="C005"/>
    <d v="2026-09-15T00:00:00"/>
    <s v="P017"/>
    <s v="袋"/>
    <n v="6"/>
    <n v="6"/>
    <n v="0"/>
    <n v="119"/>
    <s v="正常交付"/>
    <s v="true"/>
    <s v="籼米"/>
    <s v="25公斤/袋普通籼米"/>
    <x v="4"/>
    <n v="714"/>
    <n v="0"/>
    <n v="714"/>
    <s v=""/>
    <s v=""/>
    <s v=""/>
    <s v=""/>
    <s v="通过"/>
  </r>
  <r>
    <s v="SIM-20260915-C005"/>
    <n v="9"/>
    <s v="C005"/>
    <d v="2026-09-15T00:00:00"/>
    <s v="P020"/>
    <s v="桶"/>
    <n v="2"/>
    <n v="2"/>
    <n v="0"/>
    <n v="55"/>
    <s v="正常交付"/>
    <s v="true"/>
    <s v="大豆油"/>
    <s v="5升/桶普通大豆油"/>
    <x v="4"/>
    <n v="110"/>
    <n v="0"/>
    <n v="110"/>
    <s v=""/>
    <s v=""/>
    <s v=""/>
    <s v=""/>
    <s v="通过"/>
  </r>
  <r>
    <s v="SIM-20260915-C006"/>
    <n v="1"/>
    <s v="C006"/>
    <d v="2026-09-15T00:00:00"/>
    <s v="P011"/>
    <s v="公斤"/>
    <n v="9.5"/>
    <n v="9.5"/>
    <n v="0"/>
    <n v="4.3"/>
    <s v="正常交付"/>
    <s v="true"/>
    <s v="红薯叶"/>
    <s v="散装鲜菜"/>
    <x v="5"/>
    <n v="40.85"/>
    <n v="0"/>
    <n v="40.85"/>
    <s v=""/>
    <s v=""/>
    <s v=""/>
    <s v=""/>
    <s v="通过"/>
  </r>
  <r>
    <s v="SIM-20260915-C006"/>
    <n v="2"/>
    <s v="C006"/>
    <d v="2026-09-15T00:00:00"/>
    <s v="P005"/>
    <s v="公斤"/>
    <n v="5.8"/>
    <n v="5.8"/>
    <n v="0"/>
    <n v="3.2"/>
    <s v="正常交付"/>
    <s v="true"/>
    <s v="南瓜"/>
    <s v="散装鲜菜"/>
    <x v="5"/>
    <n v="18.559999999999999"/>
    <n v="0"/>
    <n v="18.559999999999999"/>
    <s v=""/>
    <s v=""/>
    <s v=""/>
    <s v=""/>
    <s v="通过"/>
  </r>
  <r>
    <s v="SIM-20260915-C006"/>
    <n v="3"/>
    <s v="C006"/>
    <d v="2026-09-15T00:00:00"/>
    <s v="P014"/>
    <s v="公斤"/>
    <n v="8.8000000000000007"/>
    <n v="8.8000000000000007"/>
    <n v="0"/>
    <n v="5"/>
    <s v="正常交付"/>
    <s v="true"/>
    <s v="丝瓜"/>
    <s v="散装鲜菜"/>
    <x v="5"/>
    <n v="44"/>
    <n v="0"/>
    <n v="44"/>
    <s v=""/>
    <s v=""/>
    <s v=""/>
    <s v=""/>
    <s v="通过"/>
  </r>
  <r>
    <s v="SIM-20260915-C006"/>
    <n v="4"/>
    <s v="C006"/>
    <d v="2026-09-15T00:00:00"/>
    <s v="P013"/>
    <s v="公斤"/>
    <n v="5.8"/>
    <n v="5.8"/>
    <n v="0"/>
    <n v="6"/>
    <s v="正常交付"/>
    <s v="true"/>
    <s v="豇豆"/>
    <s v="散装鲜菜"/>
    <x v="5"/>
    <n v="34.799999999999997"/>
    <n v="0"/>
    <n v="34.799999999999997"/>
    <s v=""/>
    <s v=""/>
    <s v=""/>
    <s v=""/>
    <s v="通过"/>
  </r>
  <r>
    <s v="SIM-20260915-C006"/>
    <n v="5"/>
    <s v="C006"/>
    <d v="2026-09-15T00:00:00"/>
    <s v="P001"/>
    <s v="公斤"/>
    <n v="11.7"/>
    <n v="11.7"/>
    <n v="0"/>
    <n v="3.4"/>
    <s v="正常交付"/>
    <s v="true"/>
    <s v="土豆"/>
    <s v="散装鲜菜"/>
    <x v="5"/>
    <n v="39.78"/>
    <n v="0"/>
    <n v="39.78"/>
    <s v=""/>
    <s v=""/>
    <s v=""/>
    <s v=""/>
    <s v="通过"/>
  </r>
  <r>
    <s v="SIM-20260915-C006"/>
    <n v="6"/>
    <s v="C006"/>
    <d v="2026-09-15T00:00:00"/>
    <s v="P004"/>
    <s v="公斤"/>
    <n v="7.3"/>
    <n v="7.3"/>
    <n v="0"/>
    <n v="2.6"/>
    <s v="正常交付"/>
    <s v="true"/>
    <s v="冬瓜"/>
    <s v="散装鲜菜"/>
    <x v="5"/>
    <n v="18.98"/>
    <n v="0"/>
    <n v="18.98"/>
    <s v=""/>
    <s v=""/>
    <s v=""/>
    <s v=""/>
    <s v="通过"/>
  </r>
  <r>
    <s v="SIM-20260915-C006"/>
    <n v="7"/>
    <s v="C006"/>
    <d v="2026-09-15T00:00:00"/>
    <s v="P016"/>
    <s v="公斤"/>
    <n v="9"/>
    <n v="9"/>
    <n v="0"/>
    <n v="10.199999999999999"/>
    <s v="正常交付"/>
    <s v="true"/>
    <s v="鸡蛋"/>
    <s v="普通鲜鸡蛋按净重"/>
    <x v="5"/>
    <n v="91.8"/>
    <n v="0"/>
    <n v="91.8"/>
    <s v=""/>
    <s v=""/>
    <s v=""/>
    <s v=""/>
    <s v="通过"/>
  </r>
  <r>
    <s v="SIM-20260916-C001"/>
    <n v="1"/>
    <s v="C001"/>
    <d v="2026-09-16T00:00:00"/>
    <s v="P012"/>
    <s v="公斤"/>
    <n v="2.2999999999999998"/>
    <n v="2.2999999999999998"/>
    <n v="0"/>
    <n v="5.2"/>
    <s v="正常交付"/>
    <s v="true"/>
    <s v="小白菜"/>
    <s v="散装鲜菜"/>
    <x v="0"/>
    <n v="11.96"/>
    <n v="0"/>
    <n v="11.96"/>
    <s v=""/>
    <s v=""/>
    <s v=""/>
    <s v=""/>
    <s v="通过"/>
  </r>
  <r>
    <s v="SIM-20260916-C001"/>
    <n v="2"/>
    <s v="C001"/>
    <d v="2026-09-16T00:00:00"/>
    <s v="P002"/>
    <s v="公斤"/>
    <n v="3.9"/>
    <n v="3.9"/>
    <n v="0"/>
    <n v="2.7"/>
    <s v="正常交付"/>
    <s v="true"/>
    <s v="白萝卜"/>
    <s v="散装鲜菜"/>
    <x v="0"/>
    <n v="10.53"/>
    <n v="0"/>
    <n v="10.53"/>
    <s v=""/>
    <s v=""/>
    <s v=""/>
    <s v=""/>
    <s v="通过"/>
  </r>
  <r>
    <s v="SIM-20260916-C001"/>
    <n v="3"/>
    <s v="C001"/>
    <d v="2026-09-16T00:00:00"/>
    <s v="P003"/>
    <s v="公斤"/>
    <n v="4.2"/>
    <n v="4.2"/>
    <n v="0"/>
    <n v="3.5"/>
    <s v="正常交付"/>
    <s v="true"/>
    <s v="包菜"/>
    <s v="散装鲜菜"/>
    <x v="0"/>
    <n v="14.7"/>
    <n v="0"/>
    <n v="14.7"/>
    <s v=""/>
    <s v=""/>
    <s v=""/>
    <s v=""/>
    <s v="通过"/>
  </r>
  <r>
    <s v="SIM-20260916-C001"/>
    <n v="4"/>
    <s v="C001"/>
    <d v="2026-09-16T00:00:00"/>
    <s v="P006"/>
    <s v="公斤"/>
    <n v="2.9"/>
    <n v="2.9"/>
    <n v="0"/>
    <n v="4.8"/>
    <s v="正常交付"/>
    <s v="true"/>
    <s v="茄子"/>
    <s v="散装鲜菜"/>
    <x v="0"/>
    <n v="13.92"/>
    <n v="0"/>
    <n v="13.92"/>
    <s v=""/>
    <s v=""/>
    <s v=""/>
    <s v=""/>
    <s v="通过"/>
  </r>
  <r>
    <s v="SIM-20260916-C002"/>
    <n v="1"/>
    <s v="C002"/>
    <d v="2026-09-16T00:00:00"/>
    <s v="P011"/>
    <s v="公斤"/>
    <n v="7.9"/>
    <n v="7.9"/>
    <n v="0"/>
    <n v="4.3"/>
    <s v="正常交付"/>
    <s v="true"/>
    <s v="红薯叶"/>
    <s v="散装鲜菜"/>
    <x v="1"/>
    <n v="33.97"/>
    <n v="0"/>
    <n v="33.97"/>
    <s v=""/>
    <s v=""/>
    <s v=""/>
    <s v=""/>
    <s v="通过"/>
  </r>
  <r>
    <s v="SIM-20260916-C002"/>
    <n v="2"/>
    <s v="C002"/>
    <d v="2026-09-16T00:00:00"/>
    <s v="P005"/>
    <s v="公斤"/>
    <n v="5.5"/>
    <n v="5.5"/>
    <n v="0"/>
    <n v="3.2"/>
    <s v="正常交付"/>
    <s v="true"/>
    <s v="南瓜"/>
    <s v="散装鲜菜"/>
    <x v="1"/>
    <n v="17.600000000000001"/>
    <n v="0"/>
    <n v="17.600000000000001"/>
    <s v=""/>
    <s v=""/>
    <s v=""/>
    <s v=""/>
    <s v="通过"/>
  </r>
  <r>
    <s v="SIM-20260916-C002"/>
    <n v="3"/>
    <s v="C002"/>
    <d v="2026-09-16T00:00:00"/>
    <s v="P002"/>
    <s v="公斤"/>
    <n v="6.9"/>
    <n v="6.9"/>
    <n v="0"/>
    <n v="2.7"/>
    <s v="正常交付"/>
    <s v="true"/>
    <s v="白萝卜"/>
    <s v="散装鲜菜"/>
    <x v="1"/>
    <n v="18.63"/>
    <n v="0"/>
    <n v="18.63"/>
    <s v=""/>
    <s v=""/>
    <s v=""/>
    <s v=""/>
    <s v="通过"/>
  </r>
  <r>
    <s v="SIM-20260916-C002"/>
    <n v="4"/>
    <s v="C002"/>
    <d v="2026-09-16T00:00:00"/>
    <s v="P004"/>
    <s v="公斤"/>
    <n v="5.5"/>
    <n v="5.5"/>
    <n v="0"/>
    <n v="2.6"/>
    <s v="正常交付"/>
    <s v="true"/>
    <s v="冬瓜"/>
    <s v="散装鲜菜"/>
    <x v="1"/>
    <n v="14.3"/>
    <n v="0"/>
    <n v="14.3"/>
    <s v=""/>
    <s v=""/>
    <s v=""/>
    <s v=""/>
    <s v="通过"/>
  </r>
  <r>
    <s v="SIM-20260916-C002"/>
    <n v="5"/>
    <s v="C002"/>
    <d v="2026-09-16T00:00:00"/>
    <s v="P013"/>
    <s v="公斤"/>
    <n v="4.5"/>
    <n v="4.5"/>
    <n v="0"/>
    <n v="6"/>
    <s v="正常交付"/>
    <s v="true"/>
    <s v="豇豆"/>
    <s v="散装鲜菜"/>
    <x v="1"/>
    <n v="27"/>
    <n v="0"/>
    <n v="27"/>
    <s v=""/>
    <s v=""/>
    <s v=""/>
    <s v=""/>
    <s v="通过"/>
  </r>
  <r>
    <s v="SIM-20260916-C003"/>
    <n v="1"/>
    <s v="C003"/>
    <d v="2026-09-16T00:00:00"/>
    <s v="P010"/>
    <s v="公斤"/>
    <n v="4.9000000000000004"/>
    <n v="4.9000000000000004"/>
    <n v="0"/>
    <n v="4.5"/>
    <s v="正常交付"/>
    <s v="true"/>
    <s v="空心菜"/>
    <s v="散装鲜菜"/>
    <x v="2"/>
    <n v="22.05"/>
    <n v="0"/>
    <n v="22.05"/>
    <s v=""/>
    <s v=""/>
    <s v=""/>
    <s v=""/>
    <s v="通过"/>
  </r>
  <r>
    <s v="SIM-20260916-C003"/>
    <n v="2"/>
    <s v="C003"/>
    <d v="2026-09-16T00:00:00"/>
    <s v="P008"/>
    <s v="公斤"/>
    <n v="5.8"/>
    <n v="5.8"/>
    <n v="0"/>
    <n v="4.4000000000000004"/>
    <s v="正常交付"/>
    <s v="true"/>
    <s v="黄瓜"/>
    <s v="散装鲜菜"/>
    <x v="2"/>
    <n v="25.52"/>
    <n v="0"/>
    <n v="25.52"/>
    <s v=""/>
    <s v=""/>
    <s v=""/>
    <s v=""/>
    <s v="通过"/>
  </r>
  <r>
    <s v="SIM-20260916-C003"/>
    <n v="3"/>
    <s v="C003"/>
    <d v="2026-09-16T00:00:00"/>
    <s v="P001"/>
    <s v="公斤"/>
    <n v="7.3"/>
    <n v="7.3"/>
    <n v="0"/>
    <n v="3.4"/>
    <s v="正常交付"/>
    <s v="true"/>
    <s v="土豆"/>
    <s v="散装鲜菜"/>
    <x v="2"/>
    <n v="24.82"/>
    <n v="0"/>
    <n v="24.82"/>
    <s v=""/>
    <s v=""/>
    <s v=""/>
    <s v=""/>
    <s v="通过"/>
  </r>
  <r>
    <s v="SIM-20260916-C003"/>
    <n v="4"/>
    <s v="C003"/>
    <d v="2026-09-16T00:00:00"/>
    <s v="P009"/>
    <s v="公斤"/>
    <n v="6.8"/>
    <n v="6.8"/>
    <n v="0"/>
    <n v="4.8"/>
    <s v="正常交付"/>
    <s v="true"/>
    <s v="西红柿"/>
    <s v="散装鲜菜"/>
    <x v="2"/>
    <n v="32.64"/>
    <n v="0"/>
    <n v="32.64"/>
    <s v=""/>
    <s v=""/>
    <s v=""/>
    <s v=""/>
    <s v="通过"/>
  </r>
  <r>
    <s v="SIM-20260916-C003"/>
    <n v="5"/>
    <s v="C003"/>
    <d v="2026-09-16T00:00:00"/>
    <s v="P006"/>
    <s v="公斤"/>
    <n v="6.3"/>
    <n v="6.3"/>
    <n v="0"/>
    <n v="4.8"/>
    <s v="正常交付"/>
    <s v="true"/>
    <s v="茄子"/>
    <s v="散装鲜菜"/>
    <x v="2"/>
    <n v="30.24"/>
    <n v="0"/>
    <n v="30.24"/>
    <s v=""/>
    <s v=""/>
    <s v=""/>
    <s v=""/>
    <s v="通过"/>
  </r>
  <r>
    <s v="SIM-20260916-C003"/>
    <n v="6"/>
    <s v="C003"/>
    <d v="2026-09-16T00:00:00"/>
    <s v="P004"/>
    <s v="公斤"/>
    <n v="6.3"/>
    <n v="6.3"/>
    <n v="0"/>
    <n v="2.6"/>
    <s v="正常交付"/>
    <s v="true"/>
    <s v="冬瓜"/>
    <s v="散装鲜菜"/>
    <x v="2"/>
    <n v="16.38"/>
    <n v="0"/>
    <n v="16.38"/>
    <s v=""/>
    <s v=""/>
    <s v=""/>
    <s v=""/>
    <s v="通过"/>
  </r>
  <r>
    <s v="SIM-20260916-C005"/>
    <n v="1"/>
    <s v="C005"/>
    <d v="2026-09-16T00:00:00"/>
    <s v="P011"/>
    <s v="公斤"/>
    <n v="9.1"/>
    <n v="9.1"/>
    <n v="0"/>
    <n v="4.3"/>
    <s v="正常交付"/>
    <s v="true"/>
    <s v="红薯叶"/>
    <s v="散装鲜菜"/>
    <x v="4"/>
    <n v="39.130000000000003"/>
    <n v="0"/>
    <n v="39.130000000000003"/>
    <s v=""/>
    <s v=""/>
    <s v=""/>
    <s v=""/>
    <s v="通过"/>
  </r>
  <r>
    <s v="SIM-20260916-C005"/>
    <n v="2"/>
    <s v="C005"/>
    <d v="2026-09-16T00:00:00"/>
    <s v="P008"/>
    <s v="公斤"/>
    <n v="9.1"/>
    <n v="9.1"/>
    <n v="0"/>
    <n v="4.4000000000000004"/>
    <s v="正常交付"/>
    <s v="true"/>
    <s v="黄瓜"/>
    <s v="散装鲜菜"/>
    <x v="4"/>
    <n v="40.04"/>
    <n v="0"/>
    <n v="40.04"/>
    <s v=""/>
    <s v=""/>
    <s v=""/>
    <s v=""/>
    <s v="通过"/>
  </r>
  <r>
    <s v="SIM-20260916-C005"/>
    <n v="3"/>
    <s v="C005"/>
    <d v="2026-09-16T00:00:00"/>
    <s v="P001"/>
    <s v="公斤"/>
    <n v="11.1"/>
    <n v="11.1"/>
    <n v="0"/>
    <n v="3.4"/>
    <s v="正常交付"/>
    <s v="true"/>
    <s v="土豆"/>
    <s v="散装鲜菜"/>
    <x v="4"/>
    <n v="37.74"/>
    <n v="0"/>
    <n v="37.74"/>
    <s v=""/>
    <s v=""/>
    <s v=""/>
    <s v=""/>
    <s v="通过"/>
  </r>
  <r>
    <s v="SIM-20260916-C005"/>
    <n v="4"/>
    <s v="C005"/>
    <d v="2026-09-16T00:00:00"/>
    <s v="P003"/>
    <s v="公斤"/>
    <n v="9.1"/>
    <n v="9.1"/>
    <n v="0"/>
    <n v="3.5"/>
    <s v="正常交付"/>
    <s v="true"/>
    <s v="包菜"/>
    <s v="散装鲜菜"/>
    <x v="4"/>
    <n v="31.85"/>
    <n v="0"/>
    <n v="31.85"/>
    <s v=""/>
    <s v=""/>
    <s v=""/>
    <s v=""/>
    <s v="通过"/>
  </r>
  <r>
    <s v="SIM-20260916-C005"/>
    <n v="5"/>
    <s v="C005"/>
    <d v="2026-09-16T00:00:00"/>
    <s v="P009"/>
    <s v="公斤"/>
    <n v="9.1"/>
    <n v="9.1"/>
    <n v="0"/>
    <n v="4.8"/>
    <s v="正常交付"/>
    <s v="true"/>
    <s v="西红柿"/>
    <s v="散装鲜菜"/>
    <x v="4"/>
    <n v="43.68"/>
    <n v="0"/>
    <n v="43.68"/>
    <s v=""/>
    <s v=""/>
    <s v=""/>
    <s v=""/>
    <s v="通过"/>
  </r>
  <r>
    <s v="SIM-20260916-C005"/>
    <n v="6"/>
    <s v="C005"/>
    <d v="2026-09-16T00:00:00"/>
    <s v="P004"/>
    <s v="公斤"/>
    <n v="7.1"/>
    <n v="7.1"/>
    <n v="0"/>
    <n v="2.6"/>
    <s v="正常交付"/>
    <s v="true"/>
    <s v="冬瓜"/>
    <s v="散装鲜菜"/>
    <x v="4"/>
    <n v="18.46"/>
    <n v="0"/>
    <n v="18.46"/>
    <s v=""/>
    <s v=""/>
    <s v=""/>
    <s v=""/>
    <s v="通过"/>
  </r>
  <r>
    <s v="SIM-20260916-C006"/>
    <n v="1"/>
    <s v="C006"/>
    <d v="2026-09-16T00:00:00"/>
    <s v="P011"/>
    <s v="公斤"/>
    <n v="9.9"/>
    <n v="9.9"/>
    <n v="0"/>
    <n v="4.3"/>
    <s v="正常交付"/>
    <s v="true"/>
    <s v="红薯叶"/>
    <s v="散装鲜菜"/>
    <x v="5"/>
    <n v="42.57"/>
    <n v="0"/>
    <n v="42.57"/>
    <s v=""/>
    <s v=""/>
    <s v=""/>
    <s v=""/>
    <s v="通过"/>
  </r>
  <r>
    <s v="SIM-20260916-C006"/>
    <n v="2"/>
    <s v="C006"/>
    <d v="2026-09-16T00:00:00"/>
    <s v="P008"/>
    <s v="公斤"/>
    <n v="8.1"/>
    <n v="8.1"/>
    <n v="0"/>
    <n v="4.4000000000000004"/>
    <s v="正常交付"/>
    <s v="true"/>
    <s v="黄瓜"/>
    <s v="散装鲜菜"/>
    <x v="5"/>
    <n v="35.64"/>
    <n v="0"/>
    <n v="35.64"/>
    <s v=""/>
    <s v=""/>
    <s v=""/>
    <s v=""/>
    <s v="通过"/>
  </r>
  <r>
    <s v="SIM-20260916-C006"/>
    <n v="3"/>
    <s v="C006"/>
    <d v="2026-09-16T00:00:00"/>
    <s v="P009"/>
    <s v="公斤"/>
    <n v="9.9"/>
    <n v="9.9"/>
    <n v="0"/>
    <n v="4.8"/>
    <s v="正常交付"/>
    <s v="true"/>
    <s v="西红柿"/>
    <s v="散装鲜菜"/>
    <x v="5"/>
    <n v="47.52"/>
    <n v="0"/>
    <n v="47.52"/>
    <s v=""/>
    <s v=""/>
    <s v=""/>
    <s v=""/>
    <s v="通过"/>
  </r>
  <r>
    <s v="SIM-20260916-C006"/>
    <n v="4"/>
    <s v="C006"/>
    <d v="2026-09-16T00:00:00"/>
    <s v="P005"/>
    <s v="公斤"/>
    <n v="8.6999999999999993"/>
    <n v="8.6999999999999993"/>
    <n v="0"/>
    <n v="3.2"/>
    <s v="正常交付"/>
    <s v="true"/>
    <s v="南瓜"/>
    <s v="散装鲜菜"/>
    <x v="5"/>
    <n v="27.84"/>
    <n v="0"/>
    <n v="27.84"/>
    <s v=""/>
    <s v=""/>
    <s v=""/>
    <s v=""/>
    <s v="通过"/>
  </r>
  <r>
    <s v="SIM-20260916-C006"/>
    <n v="5"/>
    <s v="C006"/>
    <d v="2026-09-16T00:00:00"/>
    <s v="P004"/>
    <s v="公斤"/>
    <n v="9.9"/>
    <n v="9.9"/>
    <n v="0"/>
    <n v="2.6"/>
    <s v="正常交付"/>
    <s v="true"/>
    <s v="冬瓜"/>
    <s v="散装鲜菜"/>
    <x v="5"/>
    <n v="25.74"/>
    <n v="0"/>
    <n v="25.74"/>
    <s v=""/>
    <s v=""/>
    <s v=""/>
    <s v=""/>
    <s v="通过"/>
  </r>
  <r>
    <s v="SIM-20260916-C006"/>
    <n v="6"/>
    <s v="C006"/>
    <d v="2026-09-16T00:00:00"/>
    <s v="P001"/>
    <s v="公斤"/>
    <n v="6.2"/>
    <n v="6.2"/>
    <n v="0"/>
    <n v="3.4"/>
    <s v="正常交付"/>
    <s v="true"/>
    <s v="土豆"/>
    <s v="散装鲜菜"/>
    <x v="5"/>
    <n v="21.08"/>
    <n v="0"/>
    <n v="21.08"/>
    <s v=""/>
    <s v=""/>
    <s v=""/>
    <s v=""/>
    <s v="通过"/>
  </r>
  <r>
    <s v="SIM-20260916-C006"/>
    <n v="7"/>
    <s v="C006"/>
    <d v="2026-09-16T00:00:00"/>
    <s v="P015"/>
    <s v="公斤"/>
    <n v="1"/>
    <n v="1"/>
    <n v="0"/>
    <n v="7.3"/>
    <s v="正常交付"/>
    <s v="true"/>
    <s v="小葱"/>
    <s v="散装鲜菜"/>
    <x v="5"/>
    <n v="7.3"/>
    <n v="0"/>
    <n v="7.3"/>
    <s v=""/>
    <s v=""/>
    <s v=""/>
    <s v=""/>
    <s v="通过"/>
  </r>
  <r>
    <s v="SIM-20260916-C006"/>
    <n v="8"/>
    <s v="C006"/>
    <d v="2026-09-16T00:00:00"/>
    <s v="P017"/>
    <s v="袋"/>
    <n v="4"/>
    <n v="4"/>
    <n v="0"/>
    <n v="119"/>
    <s v="正常交付"/>
    <s v="true"/>
    <s v="籼米"/>
    <s v="25公斤/袋普通籼米"/>
    <x v="5"/>
    <n v="476"/>
    <n v="0"/>
    <n v="476"/>
    <s v=""/>
    <s v=""/>
    <s v=""/>
    <s v=""/>
    <s v="通过"/>
  </r>
  <r>
    <s v="SIM-20260916-C006"/>
    <n v="9"/>
    <s v="C006"/>
    <d v="2026-09-16T00:00:00"/>
    <s v="P020"/>
    <s v="桶"/>
    <n v="2"/>
    <n v="2"/>
    <n v="0"/>
    <n v="55"/>
    <s v="正常交付"/>
    <s v="true"/>
    <s v="大豆油"/>
    <s v="5升/桶普通大豆油"/>
    <x v="5"/>
    <n v="110"/>
    <n v="0"/>
    <n v="110"/>
    <s v=""/>
    <s v=""/>
    <s v=""/>
    <s v=""/>
    <s v="通过"/>
  </r>
  <r>
    <s v="SIM-20260917-C001"/>
    <n v="1"/>
    <s v="C001"/>
    <d v="2026-09-17T00:00:00"/>
    <s v="P011"/>
    <s v="公斤"/>
    <n v="2"/>
    <n v="2"/>
    <n v="0"/>
    <n v="4.3"/>
    <s v="正常交付"/>
    <s v="true"/>
    <s v="红薯叶"/>
    <s v="散装鲜菜"/>
    <x v="0"/>
    <n v="8.6"/>
    <n v="0"/>
    <n v="8.6"/>
    <s v=""/>
    <s v=""/>
    <s v=""/>
    <s v=""/>
    <s v="通过"/>
  </r>
  <r>
    <s v="SIM-20260917-C001"/>
    <n v="2"/>
    <s v="C001"/>
    <d v="2026-09-17T00:00:00"/>
    <s v="P005"/>
    <s v="公斤"/>
    <n v="4.5"/>
    <n v="4.5"/>
    <n v="0"/>
    <n v="3.2"/>
    <s v="正常交付"/>
    <s v="true"/>
    <s v="南瓜"/>
    <s v="散装鲜菜"/>
    <x v="0"/>
    <n v="14.4"/>
    <n v="0"/>
    <n v="14.4"/>
    <s v=""/>
    <s v=""/>
    <s v=""/>
    <s v=""/>
    <s v="通过"/>
  </r>
  <r>
    <s v="SIM-20260917-C001"/>
    <n v="3"/>
    <s v="C001"/>
    <d v="2026-09-17T00:00:00"/>
    <s v="P006"/>
    <s v="公斤"/>
    <n v="3.9"/>
    <n v="3.6"/>
    <n v="0"/>
    <n v="4.8"/>
    <s v="到货不足；按实际交付计费"/>
    <s v="true"/>
    <s v="茄子"/>
    <s v="散装鲜菜"/>
    <x v="0"/>
    <n v="17.28"/>
    <n v="0"/>
    <n v="17.28"/>
    <s v=""/>
    <s v=""/>
    <s v=""/>
    <s v=""/>
    <s v="通过"/>
  </r>
  <r>
    <s v="SIM-20260917-C001"/>
    <n v="4"/>
    <s v="C001"/>
    <d v="2026-09-17T00:00:00"/>
    <s v="P014"/>
    <s v="公斤"/>
    <n v="2.8"/>
    <n v="2.8"/>
    <n v="0"/>
    <n v="5"/>
    <s v="正常交付"/>
    <s v="true"/>
    <s v="丝瓜"/>
    <s v="散装鲜菜"/>
    <x v="0"/>
    <n v="14"/>
    <n v="0"/>
    <n v="14"/>
    <s v=""/>
    <s v=""/>
    <s v=""/>
    <s v=""/>
    <s v="通过"/>
  </r>
  <r>
    <s v="SIM-20260917-C001"/>
    <n v="5"/>
    <s v="C001"/>
    <d v="2026-09-17T00:00:00"/>
    <s v="P016"/>
    <s v="公斤"/>
    <n v="3"/>
    <n v="3"/>
    <n v="0"/>
    <n v="10.199999999999999"/>
    <s v="正常交付"/>
    <s v="true"/>
    <s v="鸡蛋"/>
    <s v="普通鲜鸡蛋按净重"/>
    <x v="0"/>
    <n v="30.6"/>
    <n v="0"/>
    <n v="30.6"/>
    <s v=""/>
    <s v=""/>
    <s v=""/>
    <s v=""/>
    <s v="通过"/>
  </r>
  <r>
    <s v="SIM-20260917-C002"/>
    <n v="1"/>
    <s v="C002"/>
    <d v="2026-09-17T00:00:00"/>
    <s v="P012"/>
    <s v="公斤"/>
    <n v="4.5"/>
    <n v="4.2"/>
    <n v="0"/>
    <n v="5.2"/>
    <s v="到货不足；按实际交付计费"/>
    <s v="true"/>
    <s v="小白菜"/>
    <s v="散装鲜菜"/>
    <x v="1"/>
    <n v="21.84"/>
    <n v="0"/>
    <n v="21.84"/>
    <s v=""/>
    <s v=""/>
    <s v=""/>
    <s v=""/>
    <s v="通过"/>
  </r>
  <r>
    <s v="SIM-20260917-C002"/>
    <n v="2"/>
    <s v="C002"/>
    <d v="2026-09-17T00:00:00"/>
    <s v="P003"/>
    <s v="公斤"/>
    <n v="6"/>
    <n v="6"/>
    <n v="0"/>
    <n v="3.5"/>
    <s v="正常交付"/>
    <s v="true"/>
    <s v="包菜"/>
    <s v="散装鲜菜"/>
    <x v="1"/>
    <n v="21"/>
    <n v="0"/>
    <n v="21"/>
    <s v=""/>
    <s v=""/>
    <s v=""/>
    <s v=""/>
    <s v="通过"/>
  </r>
  <r>
    <s v="SIM-20260917-C002"/>
    <n v="3"/>
    <s v="C002"/>
    <d v="2026-09-17T00:00:00"/>
    <s v="P004"/>
    <s v="公斤"/>
    <n v="5.5"/>
    <n v="5.5"/>
    <n v="0"/>
    <n v="2.6"/>
    <s v="正常交付"/>
    <s v="true"/>
    <s v="冬瓜"/>
    <s v="散装鲜菜"/>
    <x v="1"/>
    <n v="14.3"/>
    <n v="0"/>
    <n v="14.3"/>
    <s v=""/>
    <s v=""/>
    <s v=""/>
    <s v=""/>
    <s v="通过"/>
  </r>
  <r>
    <s v="SIM-20260917-C002"/>
    <n v="4"/>
    <s v="C002"/>
    <d v="2026-09-17T00:00:00"/>
    <s v="P009"/>
    <s v="公斤"/>
    <n v="7"/>
    <n v="7"/>
    <n v="0"/>
    <n v="4.8"/>
    <s v="正常交付"/>
    <s v="true"/>
    <s v="西红柿"/>
    <s v="散装鲜菜"/>
    <x v="1"/>
    <n v="33.6"/>
    <n v="0"/>
    <n v="33.6"/>
    <s v=""/>
    <s v=""/>
    <s v=""/>
    <s v=""/>
    <s v="通过"/>
  </r>
  <r>
    <s v="SIM-20260917-C002"/>
    <n v="5"/>
    <s v="C002"/>
    <d v="2026-09-17T00:00:00"/>
    <s v="P008"/>
    <s v="公斤"/>
    <n v="6"/>
    <n v="6"/>
    <n v="0"/>
    <n v="4.4000000000000004"/>
    <s v="正常交付"/>
    <s v="true"/>
    <s v="黄瓜"/>
    <s v="散装鲜菜"/>
    <x v="1"/>
    <n v="26.4"/>
    <n v="0"/>
    <n v="26.4"/>
    <s v=""/>
    <s v=""/>
    <s v=""/>
    <s v=""/>
    <s v="通过"/>
  </r>
  <r>
    <s v="SIM-20260917-C002"/>
    <n v="6"/>
    <s v="C002"/>
    <d v="2026-09-17T00:00:00"/>
    <s v="P016"/>
    <s v="公斤"/>
    <n v="4"/>
    <n v="4"/>
    <n v="0"/>
    <n v="10.199999999999999"/>
    <s v="正常交付"/>
    <s v="true"/>
    <s v="鸡蛋"/>
    <s v="普通鲜鸡蛋按净重"/>
    <x v="1"/>
    <n v="40.799999999999997"/>
    <n v="0"/>
    <n v="40.799999999999997"/>
    <s v=""/>
    <s v=""/>
    <s v=""/>
    <s v=""/>
    <s v="通过"/>
  </r>
  <r>
    <s v="SIM-20260917-C003"/>
    <n v="1"/>
    <s v="C003"/>
    <d v="2026-09-17T00:00:00"/>
    <s v="P012"/>
    <s v="公斤"/>
    <n v="4.7"/>
    <n v="4.7"/>
    <n v="0.2"/>
    <n v="5.2"/>
    <s v="正常交付；签收时挑出黄叶退回"/>
    <s v="true"/>
    <s v="小白菜"/>
    <s v="散装鲜菜"/>
    <x v="2"/>
    <n v="24.44"/>
    <n v="1.04"/>
    <n v="23.400000000000002"/>
    <s v=""/>
    <s v=""/>
    <s v=""/>
    <s v=""/>
    <s v="通过"/>
  </r>
  <r>
    <s v="SIM-20260917-C003"/>
    <n v="2"/>
    <s v="C003"/>
    <d v="2026-09-17T00:00:00"/>
    <s v="P001"/>
    <s v="公斤"/>
    <n v="10.1"/>
    <n v="9.6"/>
    <n v="0"/>
    <n v="3.4"/>
    <s v="到货不足；按实际交付计费"/>
    <s v="true"/>
    <s v="土豆"/>
    <s v="散装鲜菜"/>
    <x v="2"/>
    <n v="32.64"/>
    <n v="0"/>
    <n v="32.64"/>
    <s v=""/>
    <s v=""/>
    <s v=""/>
    <s v=""/>
    <s v="通过"/>
  </r>
  <r>
    <s v="SIM-20260917-C003"/>
    <n v="3"/>
    <s v="C003"/>
    <d v="2026-09-17T00:00:00"/>
    <s v="P005"/>
    <s v="公斤"/>
    <n v="10.1"/>
    <n v="10.1"/>
    <n v="0"/>
    <n v="3.2"/>
    <s v="正常交付"/>
    <s v="true"/>
    <s v="南瓜"/>
    <s v="散装鲜菜"/>
    <x v="2"/>
    <n v="32.32"/>
    <n v="0"/>
    <n v="32.32"/>
    <s v=""/>
    <s v=""/>
    <s v=""/>
    <s v=""/>
    <s v="通过"/>
  </r>
  <r>
    <s v="SIM-20260917-C003"/>
    <n v="4"/>
    <s v="C003"/>
    <d v="2026-09-17T00:00:00"/>
    <s v="P007"/>
    <s v="公斤"/>
    <n v="6"/>
    <n v="6"/>
    <n v="0"/>
    <n v="5.25"/>
    <s v="正常交付"/>
    <s v="true"/>
    <s v="青椒"/>
    <s v="散装鲜菜"/>
    <x v="2"/>
    <n v="31.5"/>
    <n v="0"/>
    <n v="31.5"/>
    <s v=""/>
    <s v=""/>
    <s v=""/>
    <s v=""/>
    <s v="通过"/>
  </r>
  <r>
    <s v="SIM-20260917-C003"/>
    <n v="5"/>
    <s v="C003"/>
    <d v="2026-09-17T00:00:00"/>
    <s v="P009"/>
    <s v="公斤"/>
    <n v="4.7"/>
    <n v="4.7"/>
    <n v="0"/>
    <n v="4.8"/>
    <s v="正常交付"/>
    <s v="true"/>
    <s v="西红柿"/>
    <s v="散装鲜菜"/>
    <x v="2"/>
    <n v="22.56"/>
    <n v="0"/>
    <n v="22.56"/>
    <s v=""/>
    <s v=""/>
    <s v=""/>
    <s v=""/>
    <s v="通过"/>
  </r>
  <r>
    <s v="SIM-20260917-C003"/>
    <n v="6"/>
    <s v="C003"/>
    <d v="2026-09-17T00:00:00"/>
    <s v="P013"/>
    <s v="公斤"/>
    <n v="8.1"/>
    <n v="8.1"/>
    <n v="0"/>
    <n v="6"/>
    <s v="正常交付"/>
    <s v="true"/>
    <s v="豇豆"/>
    <s v="散装鲜菜"/>
    <x v="2"/>
    <n v="48.6"/>
    <n v="0"/>
    <n v="48.6"/>
    <s v=""/>
    <s v=""/>
    <s v=""/>
    <s v=""/>
    <s v="通过"/>
  </r>
  <r>
    <s v="SIM-20260917-C003"/>
    <n v="7"/>
    <s v="C003"/>
    <d v="2026-09-17T00:00:00"/>
    <s v="P016"/>
    <s v="公斤"/>
    <n v="6"/>
    <n v="6"/>
    <n v="0"/>
    <n v="10.199999999999999"/>
    <s v="正常交付"/>
    <s v="true"/>
    <s v="鸡蛋"/>
    <s v="普通鲜鸡蛋按净重"/>
    <x v="2"/>
    <n v="61.2"/>
    <n v="0"/>
    <n v="61.2"/>
    <s v=""/>
    <s v=""/>
    <s v=""/>
    <s v=""/>
    <s v="通过"/>
  </r>
  <r>
    <s v="SIM-20260917-C004"/>
    <n v="1"/>
    <s v="C004"/>
    <d v="2026-09-17T00:00:00"/>
    <s v="P012"/>
    <s v="公斤"/>
    <n v="8.6"/>
    <n v="8.6"/>
    <n v="0"/>
    <n v="5.2"/>
    <s v="正常交付"/>
    <s v="true"/>
    <s v="小白菜"/>
    <s v="散装鲜菜"/>
    <x v="3"/>
    <n v="44.72"/>
    <n v="0"/>
    <n v="44.72"/>
    <s v=""/>
    <s v=""/>
    <s v=""/>
    <s v=""/>
    <s v="通过"/>
  </r>
  <r>
    <s v="SIM-20260917-C004"/>
    <n v="2"/>
    <s v="C004"/>
    <d v="2026-09-17T00:00:00"/>
    <s v="P008"/>
    <s v="公斤"/>
    <n v="7"/>
    <n v="7"/>
    <n v="0"/>
    <n v="4.4000000000000004"/>
    <s v="正常交付"/>
    <s v="true"/>
    <s v="黄瓜"/>
    <s v="散装鲜菜"/>
    <x v="3"/>
    <n v="30.8"/>
    <n v="0"/>
    <n v="30.8"/>
    <s v=""/>
    <s v=""/>
    <s v=""/>
    <s v=""/>
    <s v="通过"/>
  </r>
  <r>
    <s v="SIM-20260917-C004"/>
    <n v="3"/>
    <s v="C004"/>
    <d v="2026-09-17T00:00:00"/>
    <s v="P001"/>
    <s v="公斤"/>
    <n v="3.8"/>
    <n v="3.8"/>
    <n v="0"/>
    <n v="3.4"/>
    <s v="正常交付"/>
    <s v="true"/>
    <s v="土豆"/>
    <s v="散装鲜菜"/>
    <x v="3"/>
    <n v="12.92"/>
    <n v="0"/>
    <n v="12.92"/>
    <s v=""/>
    <s v=""/>
    <s v=""/>
    <s v=""/>
    <s v="通过"/>
  </r>
  <r>
    <s v="SIM-20260917-C004"/>
    <n v="4"/>
    <s v="C004"/>
    <d v="2026-09-17T00:00:00"/>
    <s v="P014"/>
    <s v="公斤"/>
    <n v="7"/>
    <n v="7"/>
    <n v="0"/>
    <n v="5"/>
    <s v="正常交付"/>
    <s v="true"/>
    <s v="丝瓜"/>
    <s v="散装鲜菜"/>
    <x v="3"/>
    <n v="35"/>
    <n v="0"/>
    <n v="35"/>
    <s v=""/>
    <s v=""/>
    <s v=""/>
    <s v=""/>
    <s v="通过"/>
  </r>
  <r>
    <s v="SIM-20260917-C004"/>
    <n v="5"/>
    <s v="C004"/>
    <d v="2026-09-17T00:00:00"/>
    <s v="P002"/>
    <s v="公斤"/>
    <n v="7.5"/>
    <n v="7.5"/>
    <n v="0"/>
    <n v="2.7"/>
    <s v="正常交付"/>
    <s v="true"/>
    <s v="白萝卜"/>
    <s v="散装鲜菜"/>
    <x v="3"/>
    <n v="20.25"/>
    <n v="0"/>
    <n v="20.25"/>
    <s v=""/>
    <s v=""/>
    <s v=""/>
    <s v=""/>
    <s v="通过"/>
  </r>
  <r>
    <s v="SIM-20260917-C004"/>
    <n v="6"/>
    <s v="C004"/>
    <d v="2026-09-17T00:00:00"/>
    <s v="P009"/>
    <s v="公斤"/>
    <n v="6.4"/>
    <n v="6.4"/>
    <n v="0"/>
    <n v="4.8"/>
    <s v="正常交付"/>
    <s v="true"/>
    <s v="西红柿"/>
    <s v="散装鲜菜"/>
    <x v="3"/>
    <n v="30.72"/>
    <n v="0"/>
    <n v="30.72"/>
    <s v=""/>
    <s v=""/>
    <s v=""/>
    <s v=""/>
    <s v="通过"/>
  </r>
  <r>
    <s v="SIM-20260917-C005"/>
    <n v="1"/>
    <s v="C005"/>
    <d v="2026-09-17T00:00:00"/>
    <s v="P011"/>
    <s v="公斤"/>
    <n v="11.4"/>
    <n v="11.4"/>
    <n v="0.2"/>
    <n v="4.3"/>
    <s v="正常交付；签收时挑出黄叶退回"/>
    <s v="true"/>
    <s v="红薯叶"/>
    <s v="散装鲜菜"/>
    <x v="4"/>
    <n v="49.02"/>
    <n v="0.86"/>
    <n v="48.160000000000004"/>
    <s v=""/>
    <s v=""/>
    <s v=""/>
    <s v=""/>
    <s v="通过"/>
  </r>
  <r>
    <s v="SIM-20260917-C005"/>
    <n v="2"/>
    <s v="C005"/>
    <d v="2026-09-17T00:00:00"/>
    <s v="P006"/>
    <s v="公斤"/>
    <n v="8.3000000000000007"/>
    <n v="8.3000000000000007"/>
    <n v="0"/>
    <n v="4.8"/>
    <s v="正常交付"/>
    <s v="true"/>
    <s v="茄子"/>
    <s v="散装鲜菜"/>
    <x v="4"/>
    <n v="39.840000000000003"/>
    <n v="0"/>
    <n v="39.840000000000003"/>
    <s v=""/>
    <s v=""/>
    <s v=""/>
    <s v=""/>
    <s v="通过"/>
  </r>
  <r>
    <s v="SIM-20260917-C005"/>
    <n v="3"/>
    <s v="C005"/>
    <d v="2026-09-17T00:00:00"/>
    <s v="P008"/>
    <s v="公斤"/>
    <n v="11.4"/>
    <n v="11.4"/>
    <n v="0"/>
    <n v="4.4000000000000004"/>
    <s v="正常交付"/>
    <s v="true"/>
    <s v="黄瓜"/>
    <s v="散装鲜菜"/>
    <x v="4"/>
    <n v="50.16"/>
    <n v="0"/>
    <n v="50.16"/>
    <s v=""/>
    <s v=""/>
    <s v=""/>
    <s v=""/>
    <s v="通过"/>
  </r>
  <r>
    <s v="SIM-20260917-C005"/>
    <n v="4"/>
    <s v="C005"/>
    <d v="2026-09-17T00:00:00"/>
    <s v="P014"/>
    <s v="公斤"/>
    <n v="16.5"/>
    <n v="16.5"/>
    <n v="0"/>
    <n v="5"/>
    <s v="正常交付"/>
    <s v="true"/>
    <s v="丝瓜"/>
    <s v="散装鲜菜"/>
    <x v="4"/>
    <n v="82.5"/>
    <n v="0"/>
    <n v="82.5"/>
    <s v=""/>
    <s v=""/>
    <s v=""/>
    <s v=""/>
    <s v="通过"/>
  </r>
  <r>
    <s v="SIM-20260917-C005"/>
    <n v="5"/>
    <s v="C005"/>
    <d v="2026-09-17T00:00:00"/>
    <s v="P001"/>
    <s v="公斤"/>
    <n v="9.3000000000000007"/>
    <n v="9.3000000000000007"/>
    <n v="0"/>
    <n v="3.4"/>
    <s v="正常交付"/>
    <s v="true"/>
    <s v="土豆"/>
    <s v="散装鲜菜"/>
    <x v="4"/>
    <n v="31.62"/>
    <n v="0"/>
    <n v="31.62"/>
    <s v=""/>
    <s v=""/>
    <s v=""/>
    <s v=""/>
    <s v="通过"/>
  </r>
  <r>
    <s v="SIM-20260917-C005"/>
    <n v="6"/>
    <s v="C005"/>
    <d v="2026-09-17T00:00:00"/>
    <s v="P013"/>
    <s v="公斤"/>
    <n v="11.4"/>
    <n v="11.4"/>
    <n v="0"/>
    <n v="6"/>
    <s v="正常交付"/>
    <s v="true"/>
    <s v="豇豆"/>
    <s v="散装鲜菜"/>
    <x v="4"/>
    <n v="68.400000000000006"/>
    <n v="0"/>
    <n v="68.400000000000006"/>
    <s v=""/>
    <s v=""/>
    <s v=""/>
    <s v=""/>
    <s v="通过"/>
  </r>
  <r>
    <s v="SIM-20260917-C005"/>
    <n v="7"/>
    <s v="C005"/>
    <d v="2026-09-17T00:00:00"/>
    <s v="P016"/>
    <s v="公斤"/>
    <n v="12"/>
    <n v="12"/>
    <n v="0"/>
    <n v="10.199999999999999"/>
    <s v="正常交付"/>
    <s v="true"/>
    <s v="鸡蛋"/>
    <s v="普通鲜鸡蛋按净重"/>
    <x v="4"/>
    <n v="122.4"/>
    <n v="0"/>
    <n v="122.4"/>
    <s v=""/>
    <s v=""/>
    <s v=""/>
    <s v=""/>
    <s v="通过"/>
  </r>
  <r>
    <s v="SIM-20260917-C005"/>
    <n v="8"/>
    <s v="C005"/>
    <d v="2026-09-17T00:00:00"/>
    <s v="P015"/>
    <s v="公斤"/>
    <n v="1"/>
    <n v="1"/>
    <n v="0"/>
    <n v="7.3"/>
    <s v="正常交付"/>
    <s v="true"/>
    <s v="小葱"/>
    <s v="散装鲜菜"/>
    <x v="4"/>
    <n v="7.3"/>
    <n v="0"/>
    <n v="7.3"/>
    <s v=""/>
    <s v=""/>
    <s v=""/>
    <s v=""/>
    <s v="通过"/>
  </r>
  <r>
    <s v="SIM-20260917-C006"/>
    <n v="1"/>
    <s v="C006"/>
    <d v="2026-09-17T00:00:00"/>
    <s v="P012"/>
    <s v="公斤"/>
    <n v="8.8000000000000007"/>
    <n v="8.8000000000000007"/>
    <n v="0"/>
    <n v="5.2"/>
    <s v="正常交付"/>
    <s v="true"/>
    <s v="小白菜"/>
    <s v="散装鲜菜"/>
    <x v="5"/>
    <n v="45.76"/>
    <n v="0"/>
    <n v="45.76"/>
    <s v=""/>
    <s v=""/>
    <s v=""/>
    <s v=""/>
    <s v="通过"/>
  </r>
  <r>
    <s v="SIM-20260917-C006"/>
    <n v="2"/>
    <s v="C006"/>
    <d v="2026-09-17T00:00:00"/>
    <s v="P014"/>
    <s v="公斤"/>
    <n v="6.5"/>
    <n v="6.5"/>
    <n v="0"/>
    <n v="5"/>
    <s v="正常交付"/>
    <s v="true"/>
    <s v="丝瓜"/>
    <s v="散装鲜菜"/>
    <x v="5"/>
    <n v="32.5"/>
    <n v="0"/>
    <n v="32.5"/>
    <s v=""/>
    <s v=""/>
    <s v=""/>
    <s v=""/>
    <s v="通过"/>
  </r>
  <r>
    <s v="SIM-20260917-C006"/>
    <n v="3"/>
    <s v="C006"/>
    <d v="2026-09-17T00:00:00"/>
    <s v="P005"/>
    <s v="公斤"/>
    <n v="4.7"/>
    <n v="4.7"/>
    <n v="0"/>
    <n v="3.2"/>
    <s v="正常交付"/>
    <s v="true"/>
    <s v="南瓜"/>
    <s v="散装鲜菜"/>
    <x v="5"/>
    <n v="15.04"/>
    <n v="0"/>
    <n v="15.04"/>
    <s v=""/>
    <s v=""/>
    <s v=""/>
    <s v=""/>
    <s v="通过"/>
  </r>
  <r>
    <s v="SIM-20260917-C006"/>
    <n v="4"/>
    <s v="C006"/>
    <d v="2026-09-17T00:00:00"/>
    <s v="P004"/>
    <s v="公斤"/>
    <n v="8.8000000000000007"/>
    <n v="8.8000000000000007"/>
    <n v="0"/>
    <n v="2.6"/>
    <s v="正常交付"/>
    <s v="true"/>
    <s v="冬瓜"/>
    <s v="散装鲜菜"/>
    <x v="5"/>
    <n v="22.88"/>
    <n v="0"/>
    <n v="22.88"/>
    <s v=""/>
    <s v=""/>
    <s v=""/>
    <s v=""/>
    <s v="通过"/>
  </r>
  <r>
    <s v="SIM-20260917-C006"/>
    <n v="5"/>
    <s v="C006"/>
    <d v="2026-09-17T00:00:00"/>
    <s v="P006"/>
    <s v="公斤"/>
    <n v="9.4"/>
    <n v="9.1999999999999993"/>
    <n v="0"/>
    <n v="4.8"/>
    <s v="到货不足；按实际交付计费"/>
    <s v="true"/>
    <s v="茄子"/>
    <s v="散装鲜菜"/>
    <x v="5"/>
    <n v="44.16"/>
    <n v="0"/>
    <n v="44.16"/>
    <s v=""/>
    <s v=""/>
    <s v=""/>
    <s v=""/>
    <s v="通过"/>
  </r>
  <r>
    <s v="SIM-20260917-C006"/>
    <n v="6"/>
    <s v="C006"/>
    <d v="2026-09-17T00:00:00"/>
    <s v="P003"/>
    <s v="公斤"/>
    <n v="5.9"/>
    <n v="5.4"/>
    <n v="0"/>
    <n v="3.5"/>
    <s v="到货不足；按实际交付计费"/>
    <s v="true"/>
    <s v="包菜"/>
    <s v="散装鲜菜"/>
    <x v="5"/>
    <n v="18.899999999999999"/>
    <n v="0"/>
    <n v="18.899999999999999"/>
    <s v=""/>
    <s v=""/>
    <s v=""/>
    <s v=""/>
    <s v="通过"/>
  </r>
  <r>
    <s v="SIM-20260917-C006"/>
    <n v="7"/>
    <s v="C006"/>
    <d v="2026-09-17T00:00:00"/>
    <s v="P016"/>
    <s v="公斤"/>
    <n v="9"/>
    <n v="9"/>
    <n v="0"/>
    <n v="10.199999999999999"/>
    <s v="正常交付"/>
    <s v="true"/>
    <s v="鸡蛋"/>
    <s v="普通鲜鸡蛋按净重"/>
    <x v="5"/>
    <n v="91.8"/>
    <n v="0"/>
    <n v="91.8"/>
    <s v=""/>
    <s v=""/>
    <s v=""/>
    <s v=""/>
    <s v="通过"/>
  </r>
  <r>
    <s v="SIM-20260918-C001"/>
    <n v="1"/>
    <s v="C001"/>
    <d v="2026-09-18T00:00:00"/>
    <s v="P011"/>
    <s v="公斤"/>
    <n v="3.6"/>
    <n v="3.6"/>
    <n v="0.3"/>
    <n v="4.3"/>
    <s v="正常交付；签收时挑出黄叶退回"/>
    <s v="true"/>
    <s v="红薯叶"/>
    <s v="散装鲜菜"/>
    <x v="0"/>
    <n v="15.48"/>
    <n v="1.29"/>
    <n v="14.190000000000001"/>
    <s v=""/>
    <s v=""/>
    <s v=""/>
    <s v=""/>
    <s v="通过"/>
  </r>
  <r>
    <s v="SIM-20260918-C001"/>
    <n v="2"/>
    <s v="C001"/>
    <d v="2026-09-18T00:00:00"/>
    <s v="P001"/>
    <s v="公斤"/>
    <n v="2.2999999999999998"/>
    <n v="2.2999999999999998"/>
    <n v="0"/>
    <n v="3.4"/>
    <s v="正常交付"/>
    <s v="true"/>
    <s v="土豆"/>
    <s v="散装鲜菜"/>
    <x v="0"/>
    <n v="7.82"/>
    <n v="0"/>
    <n v="7.82"/>
    <s v=""/>
    <s v=""/>
    <s v=""/>
    <s v=""/>
    <s v="通过"/>
  </r>
  <r>
    <s v="SIM-20260918-C001"/>
    <n v="3"/>
    <s v="C001"/>
    <d v="2026-09-18T00:00:00"/>
    <s v="P005"/>
    <s v="公斤"/>
    <n v="2.2999999999999998"/>
    <n v="2.2999999999999998"/>
    <n v="0"/>
    <n v="3.2"/>
    <s v="正常交付"/>
    <s v="true"/>
    <s v="南瓜"/>
    <s v="散装鲜菜"/>
    <x v="0"/>
    <n v="7.36"/>
    <n v="0"/>
    <n v="7.36"/>
    <s v=""/>
    <s v=""/>
    <s v=""/>
    <s v=""/>
    <s v="通过"/>
  </r>
  <r>
    <s v="SIM-20260918-C001"/>
    <n v="4"/>
    <s v="C001"/>
    <d v="2026-09-18T00:00:00"/>
    <s v="P004"/>
    <s v="公斤"/>
    <n v="4.5999999999999996"/>
    <n v="4.5999999999999996"/>
    <n v="0"/>
    <n v="2.6"/>
    <s v="正常交付"/>
    <s v="true"/>
    <s v="冬瓜"/>
    <s v="散装鲜菜"/>
    <x v="0"/>
    <n v="11.96"/>
    <n v="0"/>
    <n v="11.96"/>
    <s v=""/>
    <s v=""/>
    <s v=""/>
    <s v=""/>
    <s v="通过"/>
  </r>
  <r>
    <s v="SIM-20260918-C001"/>
    <n v="5"/>
    <s v="C001"/>
    <d v="2026-09-18T00:00:00"/>
    <s v="P015"/>
    <s v="公斤"/>
    <n v="0.5"/>
    <n v="0.5"/>
    <n v="0"/>
    <n v="7.3"/>
    <s v="正常交付"/>
    <s v="true"/>
    <s v="小葱"/>
    <s v="散装鲜菜"/>
    <x v="0"/>
    <n v="3.65"/>
    <n v="0"/>
    <n v="3.65"/>
    <s v=""/>
    <s v=""/>
    <s v=""/>
    <s v=""/>
    <s v="通过"/>
  </r>
  <r>
    <s v="SIM-20260918-C001"/>
    <n v="6"/>
    <s v="C001"/>
    <d v="2026-09-18T00:00:00"/>
    <s v="P019"/>
    <s v="桶"/>
    <n v="1"/>
    <n v="1"/>
    <n v="0"/>
    <n v="71"/>
    <s v="正常交付"/>
    <s v="true"/>
    <s v="菜籽油"/>
    <s v="5升/桶普通菜籽油"/>
    <x v="0"/>
    <n v="71"/>
    <n v="0"/>
    <n v="71"/>
    <s v=""/>
    <s v=""/>
    <s v=""/>
    <s v=""/>
    <s v="通过"/>
  </r>
  <r>
    <s v="SIM-20260918-C001"/>
    <n v="7"/>
    <s v="C001"/>
    <d v="2026-09-18T00:00:00"/>
    <s v="P018"/>
    <s v="袋"/>
    <n v="1"/>
    <n v="1"/>
    <n v="0"/>
    <n v="113"/>
    <s v="正常交付"/>
    <s v="true"/>
    <s v="小麦粉"/>
    <s v="25公斤/袋普通小麦粉"/>
    <x v="0"/>
    <n v="113"/>
    <n v="0"/>
    <n v="113"/>
    <s v=""/>
    <s v=""/>
    <s v=""/>
    <s v=""/>
    <s v="通过"/>
  </r>
  <r>
    <s v="SIM-20260918-C002"/>
    <n v="1"/>
    <s v="C002"/>
    <d v="2026-09-18T00:00:00"/>
    <s v="P010"/>
    <s v="公斤"/>
    <n v="6.8"/>
    <n v="6.8"/>
    <n v="0"/>
    <n v="4.5"/>
    <s v="正常交付"/>
    <s v="true"/>
    <s v="空心菜"/>
    <s v="散装鲜菜"/>
    <x v="1"/>
    <n v="30.6"/>
    <n v="0"/>
    <n v="30.6"/>
    <s v=""/>
    <s v=""/>
    <s v=""/>
    <s v=""/>
    <s v="通过"/>
  </r>
  <r>
    <s v="SIM-20260918-C002"/>
    <n v="2"/>
    <s v="C002"/>
    <d v="2026-09-18T00:00:00"/>
    <s v="P002"/>
    <s v="公斤"/>
    <n v="5.3"/>
    <n v="5.3"/>
    <n v="0"/>
    <n v="2.7"/>
    <s v="正常交付"/>
    <s v="true"/>
    <s v="白萝卜"/>
    <s v="散装鲜菜"/>
    <x v="1"/>
    <n v="14.31"/>
    <n v="0"/>
    <n v="14.31"/>
    <s v=""/>
    <s v=""/>
    <s v=""/>
    <s v=""/>
    <s v="通过"/>
  </r>
  <r>
    <s v="SIM-20260918-C002"/>
    <n v="3"/>
    <s v="C002"/>
    <d v="2026-09-18T00:00:00"/>
    <s v="P013"/>
    <s v="公斤"/>
    <n v="7.6"/>
    <n v="7.6"/>
    <n v="0"/>
    <n v="6"/>
    <s v="正常交付"/>
    <s v="true"/>
    <s v="豇豆"/>
    <s v="散装鲜菜"/>
    <x v="1"/>
    <n v="45.6"/>
    <n v="0"/>
    <n v="45.6"/>
    <s v=""/>
    <s v=""/>
    <s v=""/>
    <s v=""/>
    <s v="通过"/>
  </r>
  <r>
    <s v="SIM-20260918-C002"/>
    <n v="4"/>
    <s v="C002"/>
    <d v="2026-09-18T00:00:00"/>
    <s v="P014"/>
    <s v="公斤"/>
    <n v="8.4"/>
    <n v="8.4"/>
    <n v="0"/>
    <n v="5"/>
    <s v="正常交付"/>
    <s v="true"/>
    <s v="丝瓜"/>
    <s v="散装鲜菜"/>
    <x v="1"/>
    <n v="42"/>
    <n v="0"/>
    <n v="42"/>
    <s v=""/>
    <s v=""/>
    <s v=""/>
    <s v=""/>
    <s v="通过"/>
  </r>
  <r>
    <s v="SIM-20260918-C002"/>
    <n v="5"/>
    <s v="C002"/>
    <d v="2026-09-18T00:00:00"/>
    <s v="P009"/>
    <s v="公斤"/>
    <n v="6.8"/>
    <n v="6.3"/>
    <n v="0"/>
    <n v="4.8"/>
    <s v="到货不足；按实际交付计费"/>
    <s v="true"/>
    <s v="西红柿"/>
    <s v="散装鲜菜"/>
    <x v="1"/>
    <n v="30.24"/>
    <n v="0"/>
    <n v="30.24"/>
    <s v=""/>
    <s v=""/>
    <s v=""/>
    <s v=""/>
    <s v="通过"/>
  </r>
  <r>
    <s v="SIM-20260918-C002"/>
    <n v="6"/>
    <s v="C002"/>
    <d v="2026-09-18T00:00:00"/>
    <s v="P015"/>
    <s v="公斤"/>
    <n v="1"/>
    <n v="1"/>
    <n v="0"/>
    <n v="7.3"/>
    <s v="正常交付"/>
    <s v="true"/>
    <s v="小葱"/>
    <s v="散装鲜菜"/>
    <x v="1"/>
    <n v="7.3"/>
    <n v="0"/>
    <n v="7.3"/>
    <s v=""/>
    <s v=""/>
    <s v=""/>
    <s v=""/>
    <s v="通过"/>
  </r>
  <r>
    <s v="SIM-20260918-C002"/>
    <n v="7"/>
    <s v="C002"/>
    <d v="2026-09-18T00:00:00"/>
    <s v="P017"/>
    <s v="袋"/>
    <n v="3"/>
    <n v="3"/>
    <n v="0"/>
    <n v="119"/>
    <s v="正常交付"/>
    <s v="true"/>
    <s v="籼米"/>
    <s v="25公斤/袋普通籼米"/>
    <x v="1"/>
    <n v="357"/>
    <n v="0"/>
    <n v="357"/>
    <s v=""/>
    <s v=""/>
    <s v=""/>
    <s v=""/>
    <s v="通过"/>
  </r>
  <r>
    <s v="SIM-20260918-C002"/>
    <n v="8"/>
    <s v="C002"/>
    <d v="2026-09-18T00:00:00"/>
    <s v="P019"/>
    <s v="桶"/>
    <n v="1"/>
    <n v="1"/>
    <n v="0"/>
    <n v="71"/>
    <s v="正常交付"/>
    <s v="true"/>
    <s v="菜籽油"/>
    <s v="5升/桶普通菜籽油"/>
    <x v="1"/>
    <n v="71"/>
    <n v="0"/>
    <n v="71"/>
    <s v=""/>
    <s v=""/>
    <s v=""/>
    <s v=""/>
    <s v="通过"/>
  </r>
  <r>
    <s v="SIM-20260918-C003"/>
    <n v="1"/>
    <s v="C003"/>
    <d v="2026-09-18T00:00:00"/>
    <s v="P012"/>
    <s v="公斤"/>
    <n v="5.5"/>
    <n v="5.5"/>
    <n v="0.3"/>
    <n v="5.2"/>
    <s v="正常交付；签收时挑出黄叶退回"/>
    <s v="true"/>
    <s v="小白菜"/>
    <s v="散装鲜菜"/>
    <x v="2"/>
    <n v="28.6"/>
    <n v="1.56"/>
    <n v="27.040000000000003"/>
    <s v=""/>
    <s v=""/>
    <s v=""/>
    <s v=""/>
    <s v="通过"/>
  </r>
  <r>
    <s v="SIM-20260918-C003"/>
    <n v="2"/>
    <s v="C003"/>
    <d v="2026-09-18T00:00:00"/>
    <s v="P002"/>
    <s v="公斤"/>
    <n v="6.3"/>
    <n v="6.3"/>
    <n v="0"/>
    <n v="2.7"/>
    <s v="正常交付"/>
    <s v="true"/>
    <s v="白萝卜"/>
    <s v="散装鲜菜"/>
    <x v="2"/>
    <n v="17.010000000000002"/>
    <n v="0"/>
    <n v="17.010000000000002"/>
    <s v=""/>
    <s v=""/>
    <s v=""/>
    <s v=""/>
    <s v="通过"/>
  </r>
  <r>
    <s v="SIM-20260918-C003"/>
    <n v="3"/>
    <s v="C003"/>
    <d v="2026-09-18T00:00:00"/>
    <s v="P003"/>
    <s v="公斤"/>
    <n v="9.4"/>
    <n v="9.4"/>
    <n v="0"/>
    <n v="3.5"/>
    <s v="正常交付"/>
    <s v="true"/>
    <s v="包菜"/>
    <s v="散装鲜菜"/>
    <x v="2"/>
    <n v="32.9"/>
    <n v="0"/>
    <n v="32.9"/>
    <s v=""/>
    <s v=""/>
    <s v=""/>
    <s v=""/>
    <s v="通过"/>
  </r>
  <r>
    <s v="SIM-20260918-C003"/>
    <n v="4"/>
    <s v="C003"/>
    <d v="2026-09-18T00:00:00"/>
    <s v="P004"/>
    <s v="公斤"/>
    <n v="7.8"/>
    <n v="7.8"/>
    <n v="0"/>
    <n v="2.6"/>
    <s v="正常交付"/>
    <s v="true"/>
    <s v="冬瓜"/>
    <s v="散装鲜菜"/>
    <x v="2"/>
    <n v="20.28"/>
    <n v="0"/>
    <n v="20.28"/>
    <s v=""/>
    <s v=""/>
    <s v=""/>
    <s v=""/>
    <s v="通过"/>
  </r>
  <r>
    <s v="SIM-20260918-C003"/>
    <n v="5"/>
    <s v="C003"/>
    <d v="2026-09-18T00:00:00"/>
    <s v="P007"/>
    <s v="公斤"/>
    <n v="12.5"/>
    <n v="12.5"/>
    <n v="0"/>
    <n v="5.25"/>
    <s v="正常交付"/>
    <s v="true"/>
    <s v="青椒"/>
    <s v="散装鲜菜"/>
    <x v="2"/>
    <n v="65.63"/>
    <n v="0"/>
    <n v="65.63"/>
    <s v=""/>
    <s v=""/>
    <s v=""/>
    <s v=""/>
    <s v="通过"/>
  </r>
  <r>
    <s v="SIM-20260918-C003"/>
    <n v="6"/>
    <s v="C003"/>
    <d v="2026-09-18T00:00:00"/>
    <s v="P008"/>
    <s v="公斤"/>
    <n v="5.5"/>
    <n v="5.5"/>
    <n v="0"/>
    <n v="4.4000000000000004"/>
    <s v="正常交付"/>
    <s v="true"/>
    <s v="黄瓜"/>
    <s v="散装鲜菜"/>
    <x v="2"/>
    <n v="24.2"/>
    <n v="0"/>
    <n v="24.2"/>
    <s v=""/>
    <s v=""/>
    <s v=""/>
    <s v=""/>
    <s v="通过"/>
  </r>
  <r>
    <s v="SIM-20260918-C003"/>
    <n v="7"/>
    <s v="C003"/>
    <d v="2026-09-18T00:00:00"/>
    <s v="P015"/>
    <s v="公斤"/>
    <n v="1"/>
    <n v="1"/>
    <n v="0"/>
    <n v="7.3"/>
    <s v="正常交付"/>
    <s v="true"/>
    <s v="小葱"/>
    <s v="散装鲜菜"/>
    <x v="2"/>
    <n v="7.3"/>
    <n v="0"/>
    <n v="7.3"/>
    <s v=""/>
    <s v=""/>
    <s v=""/>
    <s v=""/>
    <s v="通过"/>
  </r>
  <r>
    <s v="SIM-20260918-C003"/>
    <n v="8"/>
    <s v="C003"/>
    <d v="2026-09-18T00:00:00"/>
    <s v="P017"/>
    <s v="袋"/>
    <n v="5"/>
    <n v="5"/>
    <n v="0"/>
    <n v="119"/>
    <s v="正常交付"/>
    <s v="true"/>
    <s v="籼米"/>
    <s v="25公斤/袋普通籼米"/>
    <x v="2"/>
    <n v="595"/>
    <n v="0"/>
    <n v="595"/>
    <s v=""/>
    <s v=""/>
    <s v=""/>
    <s v=""/>
    <s v="通过"/>
  </r>
  <r>
    <s v="SIM-20260918-C003"/>
    <n v="9"/>
    <s v="C003"/>
    <d v="2026-09-18T00:00:00"/>
    <s v="P020"/>
    <s v="桶"/>
    <n v="2"/>
    <n v="2"/>
    <n v="0"/>
    <n v="55"/>
    <s v="正常交付"/>
    <s v="true"/>
    <s v="大豆油"/>
    <s v="5升/桶普通大豆油"/>
    <x v="2"/>
    <n v="110"/>
    <n v="0"/>
    <n v="110"/>
    <s v=""/>
    <s v=""/>
    <s v=""/>
    <s v=""/>
    <s v="通过"/>
  </r>
  <r>
    <s v="SIM-20260918-C005"/>
    <n v="1"/>
    <s v="C005"/>
    <d v="2026-09-18T00:00:00"/>
    <s v="P012"/>
    <s v="公斤"/>
    <n v="10.4"/>
    <n v="10.4"/>
    <n v="0"/>
    <n v="5.2"/>
    <s v="正常交付"/>
    <s v="true"/>
    <s v="小白菜"/>
    <s v="散装鲜菜"/>
    <x v="4"/>
    <n v="54.08"/>
    <n v="0"/>
    <n v="54.08"/>
    <s v=""/>
    <s v=""/>
    <s v=""/>
    <s v=""/>
    <s v="通过"/>
  </r>
  <r>
    <s v="SIM-20260918-C005"/>
    <n v="2"/>
    <s v="C005"/>
    <d v="2026-09-18T00:00:00"/>
    <s v="P006"/>
    <s v="公斤"/>
    <n v="10.4"/>
    <n v="10.4"/>
    <n v="0"/>
    <n v="4.8"/>
    <s v="正常交付"/>
    <s v="true"/>
    <s v="茄子"/>
    <s v="散装鲜菜"/>
    <x v="4"/>
    <n v="49.92"/>
    <n v="0"/>
    <n v="49.92"/>
    <s v=""/>
    <s v=""/>
    <s v=""/>
    <s v=""/>
    <s v="通过"/>
  </r>
  <r>
    <s v="SIM-20260918-C005"/>
    <n v="3"/>
    <s v="C005"/>
    <d v="2026-09-18T00:00:00"/>
    <s v="P013"/>
    <s v="公斤"/>
    <n v="11.9"/>
    <n v="11.9"/>
    <n v="0"/>
    <n v="6"/>
    <s v="正常交付"/>
    <s v="true"/>
    <s v="豇豆"/>
    <s v="散装鲜菜"/>
    <x v="4"/>
    <n v="71.400000000000006"/>
    <n v="0"/>
    <n v="71.400000000000006"/>
    <s v=""/>
    <s v=""/>
    <s v=""/>
    <s v=""/>
    <s v="通过"/>
  </r>
  <r>
    <s v="SIM-20260918-C005"/>
    <n v="4"/>
    <s v="C005"/>
    <d v="2026-09-18T00:00:00"/>
    <s v="P005"/>
    <s v="公斤"/>
    <n v="11.1"/>
    <n v="11.1"/>
    <n v="0"/>
    <n v="3.2"/>
    <s v="正常交付"/>
    <s v="true"/>
    <s v="南瓜"/>
    <s v="散装鲜菜"/>
    <x v="4"/>
    <n v="35.520000000000003"/>
    <n v="0"/>
    <n v="35.520000000000003"/>
    <s v=""/>
    <s v=""/>
    <s v=""/>
    <s v=""/>
    <s v="通过"/>
  </r>
  <r>
    <s v="SIM-20260918-C005"/>
    <n v="5"/>
    <s v="C005"/>
    <d v="2026-09-18T00:00:00"/>
    <s v="P002"/>
    <s v="公斤"/>
    <n v="8.1"/>
    <n v="8.1"/>
    <n v="0"/>
    <n v="2.7"/>
    <s v="正常交付"/>
    <s v="true"/>
    <s v="白萝卜"/>
    <s v="散装鲜菜"/>
    <x v="4"/>
    <n v="21.87"/>
    <n v="0"/>
    <n v="21.87"/>
    <s v=""/>
    <s v=""/>
    <s v=""/>
    <s v=""/>
    <s v="通过"/>
  </r>
  <r>
    <s v="SIM-20260918-C005"/>
    <n v="6"/>
    <s v="C005"/>
    <d v="2026-09-18T00:00:00"/>
    <s v="P008"/>
    <s v="公斤"/>
    <n v="5.2"/>
    <n v="4.9000000000000004"/>
    <n v="0"/>
    <n v="4.4000000000000004"/>
    <s v="到货不足；按实际交付计费"/>
    <s v="true"/>
    <s v="黄瓜"/>
    <s v="散装鲜菜"/>
    <x v="4"/>
    <n v="21.56"/>
    <n v="0"/>
    <n v="21.56"/>
    <s v=""/>
    <s v=""/>
    <s v=""/>
    <s v=""/>
    <s v="通过"/>
  </r>
  <r>
    <s v="SIM-20260918-C006"/>
    <n v="1"/>
    <s v="C006"/>
    <d v="2026-09-18T00:00:00"/>
    <s v="P012"/>
    <s v="公斤"/>
    <n v="9.9"/>
    <n v="9.9"/>
    <n v="0"/>
    <n v="5.2"/>
    <s v="正常交付"/>
    <s v="true"/>
    <s v="小白菜"/>
    <s v="散装鲜菜"/>
    <x v="5"/>
    <n v="51.48"/>
    <n v="0"/>
    <n v="51.48"/>
    <s v=""/>
    <s v=""/>
    <s v=""/>
    <s v=""/>
    <s v="通过"/>
  </r>
  <r>
    <s v="SIM-20260918-C006"/>
    <n v="2"/>
    <s v="C006"/>
    <d v="2026-09-18T00:00:00"/>
    <s v="P001"/>
    <s v="公斤"/>
    <n v="7.4"/>
    <n v="7.4"/>
    <n v="0"/>
    <n v="3.4"/>
    <s v="正常交付"/>
    <s v="true"/>
    <s v="土豆"/>
    <s v="散装鲜菜"/>
    <x v="5"/>
    <n v="25.16"/>
    <n v="0"/>
    <n v="25.16"/>
    <s v=""/>
    <s v=""/>
    <s v=""/>
    <s v=""/>
    <s v="通过"/>
  </r>
  <r>
    <s v="SIM-20260918-C006"/>
    <n v="3"/>
    <s v="C006"/>
    <d v="2026-09-18T00:00:00"/>
    <s v="P006"/>
    <s v="公斤"/>
    <n v="8.6999999999999993"/>
    <n v="8.6999999999999993"/>
    <n v="0"/>
    <n v="4.8"/>
    <s v="正常交付"/>
    <s v="true"/>
    <s v="茄子"/>
    <s v="散装鲜菜"/>
    <x v="5"/>
    <n v="41.76"/>
    <n v="0"/>
    <n v="41.76"/>
    <s v=""/>
    <s v=""/>
    <s v=""/>
    <s v=""/>
    <s v="通过"/>
  </r>
  <r>
    <s v="SIM-20260918-C006"/>
    <n v="4"/>
    <s v="C006"/>
    <d v="2026-09-18T00:00:00"/>
    <s v="P009"/>
    <s v="公斤"/>
    <n v="8.1"/>
    <n v="8.1"/>
    <n v="0"/>
    <n v="4.8"/>
    <s v="正常交付"/>
    <s v="true"/>
    <s v="西红柿"/>
    <s v="散装鲜菜"/>
    <x v="5"/>
    <n v="38.880000000000003"/>
    <n v="0"/>
    <n v="38.880000000000003"/>
    <s v=""/>
    <s v=""/>
    <s v=""/>
    <s v=""/>
    <s v="通过"/>
  </r>
  <r>
    <s v="SIM-20260918-C006"/>
    <n v="5"/>
    <s v="C006"/>
    <d v="2026-09-18T00:00:00"/>
    <s v="P003"/>
    <s v="公斤"/>
    <n v="7.4"/>
    <n v="7.4"/>
    <n v="0"/>
    <n v="3.5"/>
    <s v="正常交付"/>
    <s v="true"/>
    <s v="包菜"/>
    <s v="散装鲜菜"/>
    <x v="5"/>
    <n v="25.9"/>
    <n v="0"/>
    <n v="25.9"/>
    <s v=""/>
    <s v=""/>
    <s v=""/>
    <s v=""/>
    <s v="通过"/>
  </r>
  <r>
    <s v="SIM-20260918-C006"/>
    <n v="6"/>
    <s v="C006"/>
    <d v="2026-09-18T00:00:00"/>
    <s v="P005"/>
    <s v="公斤"/>
    <n v="7.4"/>
    <n v="7.4"/>
    <n v="0"/>
    <n v="3.2"/>
    <s v="正常交付"/>
    <s v="true"/>
    <s v="南瓜"/>
    <s v="散装鲜菜"/>
    <x v="5"/>
    <n v="23.68"/>
    <n v="0"/>
    <n v="23.68"/>
    <s v=""/>
    <s v=""/>
    <s v=""/>
    <s v=""/>
    <s v="通过"/>
  </r>
  <r>
    <s v="SIM-20260919-C001"/>
    <n v="1"/>
    <s v="C001"/>
    <d v="2026-09-19T00:00:00"/>
    <s v="P012"/>
    <s v="公斤"/>
    <n v="3.1"/>
    <n v="3.1"/>
    <n v="0"/>
    <n v="5.2"/>
    <s v="正常交付"/>
    <s v="true"/>
    <s v="小白菜"/>
    <s v="散装鲜菜"/>
    <x v="0"/>
    <n v="16.12"/>
    <n v="0"/>
    <n v="16.12"/>
    <s v=""/>
    <s v=""/>
    <s v=""/>
    <s v=""/>
    <s v="通过"/>
  </r>
  <r>
    <s v="SIM-20260919-C001"/>
    <n v="2"/>
    <s v="C001"/>
    <d v="2026-09-19T00:00:00"/>
    <s v="P009"/>
    <s v="公斤"/>
    <n v="3.3"/>
    <n v="3.3"/>
    <n v="0"/>
    <n v="4.8"/>
    <s v="正常交付"/>
    <s v="true"/>
    <s v="西红柿"/>
    <s v="散装鲜菜"/>
    <x v="0"/>
    <n v="15.84"/>
    <n v="0"/>
    <n v="15.84"/>
    <s v=""/>
    <s v=""/>
    <s v=""/>
    <s v=""/>
    <s v="通过"/>
  </r>
  <r>
    <s v="SIM-20260919-C001"/>
    <n v="3"/>
    <s v="C001"/>
    <d v="2026-09-19T00:00:00"/>
    <s v="P007"/>
    <s v="公斤"/>
    <n v="2.6"/>
    <n v="2.6"/>
    <n v="0"/>
    <n v="5.25"/>
    <s v="正常交付"/>
    <s v="true"/>
    <s v="青椒"/>
    <s v="散装鲜菜"/>
    <x v="0"/>
    <n v="13.65"/>
    <n v="0"/>
    <n v="13.65"/>
    <s v=""/>
    <s v=""/>
    <s v=""/>
    <s v=""/>
    <s v="通过"/>
  </r>
  <r>
    <s v="SIM-20260919-C001"/>
    <n v="4"/>
    <s v="C001"/>
    <d v="2026-09-19T00:00:00"/>
    <s v="P014"/>
    <s v="公斤"/>
    <n v="2.4"/>
    <n v="2.4"/>
    <n v="0"/>
    <n v="5"/>
    <s v="正常交付"/>
    <s v="true"/>
    <s v="丝瓜"/>
    <s v="散装鲜菜"/>
    <x v="0"/>
    <n v="12"/>
    <n v="0"/>
    <n v="12"/>
    <s v=""/>
    <s v=""/>
    <s v=""/>
    <s v=""/>
    <s v="通过"/>
  </r>
  <r>
    <s v="SIM-20260919-C001"/>
    <n v="5"/>
    <s v="C001"/>
    <d v="2026-09-19T00:00:00"/>
    <s v="P016"/>
    <s v="公斤"/>
    <n v="3"/>
    <n v="3"/>
    <n v="0"/>
    <n v="10.199999999999999"/>
    <s v="正常交付"/>
    <s v="true"/>
    <s v="鸡蛋"/>
    <s v="普通鲜鸡蛋按净重"/>
    <x v="0"/>
    <n v="30.6"/>
    <n v="0"/>
    <n v="30.6"/>
    <s v=""/>
    <s v=""/>
    <s v=""/>
    <s v=""/>
    <s v="通过"/>
  </r>
  <r>
    <s v="SIM-20260919-C002"/>
    <n v="1"/>
    <s v="C002"/>
    <d v="2026-09-19T00:00:00"/>
    <s v="P010"/>
    <s v="公斤"/>
    <n v="6.2"/>
    <n v="6.2"/>
    <n v="0"/>
    <n v="4.5"/>
    <s v="正常交付"/>
    <s v="true"/>
    <s v="空心菜"/>
    <s v="散装鲜菜"/>
    <x v="1"/>
    <n v="27.9"/>
    <n v="0"/>
    <n v="27.9"/>
    <s v=""/>
    <s v=""/>
    <s v=""/>
    <s v=""/>
    <s v="通过"/>
  </r>
  <r>
    <s v="SIM-20260919-C002"/>
    <n v="2"/>
    <s v="C002"/>
    <d v="2026-09-19T00:00:00"/>
    <s v="P008"/>
    <s v="公斤"/>
    <n v="7.1"/>
    <n v="7.1"/>
    <n v="0"/>
    <n v="4.4000000000000004"/>
    <s v="正常交付"/>
    <s v="true"/>
    <s v="黄瓜"/>
    <s v="散装鲜菜"/>
    <x v="1"/>
    <n v="31.24"/>
    <n v="0"/>
    <n v="31.24"/>
    <s v=""/>
    <s v=""/>
    <s v=""/>
    <s v=""/>
    <s v="通过"/>
  </r>
  <r>
    <s v="SIM-20260919-C002"/>
    <n v="3"/>
    <s v="C002"/>
    <d v="2026-09-19T00:00:00"/>
    <s v="P007"/>
    <s v="公斤"/>
    <n v="12.4"/>
    <n v="12.4"/>
    <n v="0"/>
    <n v="5.25"/>
    <s v="正常交付"/>
    <s v="true"/>
    <s v="青椒"/>
    <s v="散装鲜菜"/>
    <x v="1"/>
    <n v="65.099999999999994"/>
    <n v="0"/>
    <n v="65.099999999999994"/>
    <s v=""/>
    <s v=""/>
    <s v=""/>
    <s v=""/>
    <s v="通过"/>
  </r>
  <r>
    <s v="SIM-20260919-C002"/>
    <n v="4"/>
    <s v="C002"/>
    <d v="2026-09-19T00:00:00"/>
    <s v="P002"/>
    <s v="公斤"/>
    <n v="7.1"/>
    <n v="7.1"/>
    <n v="0"/>
    <n v="2.7"/>
    <s v="正常交付"/>
    <s v="true"/>
    <s v="白萝卜"/>
    <s v="散装鲜菜"/>
    <x v="1"/>
    <n v="19.170000000000002"/>
    <n v="0"/>
    <n v="19.170000000000002"/>
    <s v=""/>
    <s v=""/>
    <s v=""/>
    <s v=""/>
    <s v="通过"/>
  </r>
  <r>
    <s v="SIM-20260919-C002"/>
    <n v="5"/>
    <s v="C002"/>
    <d v="2026-09-19T00:00:00"/>
    <s v="P006"/>
    <s v="公斤"/>
    <n v="6.2"/>
    <n v="6.2"/>
    <n v="0"/>
    <n v="4.8"/>
    <s v="正常交付"/>
    <s v="true"/>
    <s v="茄子"/>
    <s v="散装鲜菜"/>
    <x v="1"/>
    <n v="29.76"/>
    <n v="0"/>
    <n v="29.76"/>
    <s v=""/>
    <s v=""/>
    <s v=""/>
    <s v=""/>
    <s v="通过"/>
  </r>
  <r>
    <s v="SIM-20260919-C002"/>
    <n v="6"/>
    <s v="C002"/>
    <d v="2026-09-19T00:00:00"/>
    <s v="P016"/>
    <s v="公斤"/>
    <n v="4"/>
    <n v="4"/>
    <n v="0"/>
    <n v="10.199999999999999"/>
    <s v="正常交付"/>
    <s v="true"/>
    <s v="鸡蛋"/>
    <s v="普通鲜鸡蛋按净重"/>
    <x v="1"/>
    <n v="40.799999999999997"/>
    <n v="0"/>
    <n v="40.799999999999997"/>
    <s v=""/>
    <s v=""/>
    <s v=""/>
    <s v=""/>
    <s v="通过"/>
  </r>
  <r>
    <s v="SIM-20260919-C003"/>
    <n v="1"/>
    <s v="C003"/>
    <d v="2026-09-19T00:00:00"/>
    <s v="P012"/>
    <s v="公斤"/>
    <n v="6.3"/>
    <n v="6.3"/>
    <n v="0"/>
    <n v="5.2"/>
    <s v="正常交付"/>
    <s v="true"/>
    <s v="小白菜"/>
    <s v="散装鲜菜"/>
    <x v="2"/>
    <n v="32.76"/>
    <n v="0"/>
    <n v="32.76"/>
    <s v=""/>
    <s v=""/>
    <s v=""/>
    <s v=""/>
    <s v="通过"/>
  </r>
  <r>
    <s v="SIM-20260919-C003"/>
    <n v="2"/>
    <s v="C003"/>
    <d v="2026-09-19T00:00:00"/>
    <s v="P005"/>
    <s v="公斤"/>
    <n v="5.0999999999999996"/>
    <n v="5.0999999999999996"/>
    <n v="0"/>
    <n v="3.2"/>
    <s v="正常交付"/>
    <s v="true"/>
    <s v="南瓜"/>
    <s v="散装鲜菜"/>
    <x v="2"/>
    <n v="16.32"/>
    <n v="0"/>
    <n v="16.32"/>
    <s v=""/>
    <s v=""/>
    <s v=""/>
    <s v=""/>
    <s v="通过"/>
  </r>
  <r>
    <s v="SIM-20260919-C003"/>
    <n v="3"/>
    <s v="C003"/>
    <d v="2026-09-19T00:00:00"/>
    <s v="P004"/>
    <s v="公斤"/>
    <n v="8.6"/>
    <n v="8.6"/>
    <n v="0"/>
    <n v="2.6"/>
    <s v="正常交付"/>
    <s v="true"/>
    <s v="冬瓜"/>
    <s v="散装鲜菜"/>
    <x v="2"/>
    <n v="22.36"/>
    <n v="0"/>
    <n v="22.36"/>
    <s v=""/>
    <s v=""/>
    <s v=""/>
    <s v=""/>
    <s v="通过"/>
  </r>
  <r>
    <s v="SIM-20260919-C003"/>
    <n v="4"/>
    <s v="C003"/>
    <d v="2026-09-19T00:00:00"/>
    <s v="P001"/>
    <s v="公斤"/>
    <n v="4.5999999999999996"/>
    <n v="4.5999999999999996"/>
    <n v="0"/>
    <n v="3.4"/>
    <s v="正常交付"/>
    <s v="true"/>
    <s v="土豆"/>
    <s v="散装鲜菜"/>
    <x v="2"/>
    <n v="15.64"/>
    <n v="0"/>
    <n v="15.64"/>
    <s v=""/>
    <s v=""/>
    <s v=""/>
    <s v=""/>
    <s v="通过"/>
  </r>
  <r>
    <s v="SIM-20260919-C003"/>
    <n v="5"/>
    <s v="C003"/>
    <d v="2026-09-19T00:00:00"/>
    <s v="P014"/>
    <s v="公斤"/>
    <n v="9.1"/>
    <n v="9.1"/>
    <n v="0"/>
    <n v="5"/>
    <s v="正常交付"/>
    <s v="true"/>
    <s v="丝瓜"/>
    <s v="散装鲜菜"/>
    <x v="2"/>
    <n v="45.5"/>
    <n v="0"/>
    <n v="45.5"/>
    <s v=""/>
    <s v=""/>
    <s v=""/>
    <s v=""/>
    <s v="通过"/>
  </r>
  <r>
    <s v="SIM-20260919-C003"/>
    <n v="6"/>
    <s v="C003"/>
    <d v="2026-09-19T00:00:00"/>
    <s v="P008"/>
    <s v="公斤"/>
    <n v="9.1"/>
    <n v="9.1"/>
    <n v="0"/>
    <n v="4.4000000000000004"/>
    <s v="正常交付"/>
    <s v="true"/>
    <s v="黄瓜"/>
    <s v="散装鲜菜"/>
    <x v="2"/>
    <n v="40.04"/>
    <n v="0"/>
    <n v="40.04"/>
    <s v=""/>
    <s v=""/>
    <s v=""/>
    <s v=""/>
    <s v="通过"/>
  </r>
  <r>
    <s v="SIM-20260919-C003"/>
    <n v="7"/>
    <s v="C003"/>
    <d v="2026-09-19T00:00:00"/>
    <s v="P016"/>
    <s v="公斤"/>
    <n v="6"/>
    <n v="6"/>
    <n v="0"/>
    <n v="10.199999999999999"/>
    <s v="正常交付"/>
    <s v="true"/>
    <s v="鸡蛋"/>
    <s v="普通鲜鸡蛋按净重"/>
    <x v="2"/>
    <n v="61.2"/>
    <n v="0"/>
    <n v="61.2"/>
    <s v=""/>
    <s v=""/>
    <s v=""/>
    <s v=""/>
    <s v="通过"/>
  </r>
  <r>
    <s v="SIM-20260919-C004"/>
    <n v="1"/>
    <s v="C004"/>
    <d v="2026-09-19T00:00:00"/>
    <s v="P010"/>
    <s v="公斤"/>
    <n v="6.7"/>
    <n v="6.7"/>
    <n v="0"/>
    <n v="4.5"/>
    <s v="正常交付"/>
    <s v="true"/>
    <s v="空心菜"/>
    <s v="散装鲜菜"/>
    <x v="3"/>
    <n v="30.15"/>
    <n v="0"/>
    <n v="30.15"/>
    <s v=""/>
    <s v=""/>
    <s v=""/>
    <s v=""/>
    <s v="通过"/>
  </r>
  <r>
    <s v="SIM-20260919-C004"/>
    <n v="2"/>
    <s v="C004"/>
    <d v="2026-09-19T00:00:00"/>
    <s v="P007"/>
    <s v="公斤"/>
    <n v="8.1999999999999993"/>
    <n v="8.1999999999999993"/>
    <n v="0"/>
    <n v="5.25"/>
    <s v="正常交付"/>
    <s v="true"/>
    <s v="青椒"/>
    <s v="散装鲜菜"/>
    <x v="3"/>
    <n v="43.05"/>
    <n v="0"/>
    <n v="43.05"/>
    <s v=""/>
    <s v=""/>
    <s v=""/>
    <s v=""/>
    <s v="通过"/>
  </r>
  <r>
    <s v="SIM-20260919-C004"/>
    <n v="3"/>
    <s v="C004"/>
    <d v="2026-09-19T00:00:00"/>
    <s v="P004"/>
    <s v="公斤"/>
    <n v="11.1"/>
    <n v="11.1"/>
    <n v="0"/>
    <n v="2.6"/>
    <s v="正常交付"/>
    <s v="true"/>
    <s v="冬瓜"/>
    <s v="散装鲜菜"/>
    <x v="3"/>
    <n v="28.86"/>
    <n v="0"/>
    <n v="28.86"/>
    <s v=""/>
    <s v=""/>
    <s v=""/>
    <s v=""/>
    <s v="通过"/>
  </r>
  <r>
    <s v="SIM-20260919-C004"/>
    <n v="4"/>
    <s v="C004"/>
    <d v="2026-09-19T00:00:00"/>
    <s v="P002"/>
    <s v="公斤"/>
    <n v="8.1999999999999993"/>
    <n v="8.1999999999999993"/>
    <n v="0"/>
    <n v="2.7"/>
    <s v="正常交付"/>
    <s v="true"/>
    <s v="白萝卜"/>
    <s v="散装鲜菜"/>
    <x v="3"/>
    <n v="22.14"/>
    <n v="0"/>
    <n v="22.14"/>
    <s v=""/>
    <s v=""/>
    <s v=""/>
    <s v=""/>
    <s v="通过"/>
  </r>
  <r>
    <s v="SIM-20260919-C004"/>
    <n v="5"/>
    <s v="C004"/>
    <d v="2026-09-19T00:00:00"/>
    <s v="P009"/>
    <s v="公斤"/>
    <n v="6.7"/>
    <n v="6.7"/>
    <n v="0"/>
    <n v="4.8"/>
    <s v="正常交付"/>
    <s v="true"/>
    <s v="西红柿"/>
    <s v="散装鲜菜"/>
    <x v="3"/>
    <n v="32.159999999999997"/>
    <n v="0"/>
    <n v="32.159999999999997"/>
    <s v=""/>
    <s v=""/>
    <s v=""/>
    <s v=""/>
    <s v="通过"/>
  </r>
  <r>
    <s v="SIM-20260919-C004"/>
    <n v="6"/>
    <s v="C004"/>
    <d v="2026-09-19T00:00:00"/>
    <s v="P003"/>
    <s v="公斤"/>
    <n v="5.2"/>
    <n v="5.2"/>
    <n v="0"/>
    <n v="3.5"/>
    <s v="正常交付"/>
    <s v="true"/>
    <s v="包菜"/>
    <s v="散装鲜菜"/>
    <x v="3"/>
    <n v="18.2"/>
    <n v="0"/>
    <n v="18.2"/>
    <s v=""/>
    <s v=""/>
    <s v=""/>
    <s v=""/>
    <s v="通过"/>
  </r>
  <r>
    <s v="SIM-20260919-C004"/>
    <n v="7"/>
    <s v="C004"/>
    <d v="2026-09-19T00:00:00"/>
    <s v="P016"/>
    <s v="公斤"/>
    <n v="5"/>
    <n v="5"/>
    <n v="0"/>
    <n v="10.199999999999999"/>
    <s v="正常交付"/>
    <s v="true"/>
    <s v="鸡蛋"/>
    <s v="普通鲜鸡蛋按净重"/>
    <x v="3"/>
    <n v="51"/>
    <n v="0"/>
    <n v="51"/>
    <s v=""/>
    <s v=""/>
    <s v=""/>
    <s v=""/>
    <s v="通过"/>
  </r>
  <r>
    <s v="SIM-20260919-C006"/>
    <n v="1"/>
    <s v="C006"/>
    <d v="2026-09-19T00:00:00"/>
    <s v="P012"/>
    <s v="公斤"/>
    <n v="9.9"/>
    <n v="9.9"/>
    <n v="0"/>
    <n v="5.2"/>
    <s v="正常交付"/>
    <s v="true"/>
    <s v="小白菜"/>
    <s v="散装鲜菜"/>
    <x v="5"/>
    <n v="51.48"/>
    <n v="0"/>
    <n v="51.48"/>
    <s v=""/>
    <s v=""/>
    <s v=""/>
    <s v=""/>
    <s v="通过"/>
  </r>
  <r>
    <s v="SIM-20260919-C006"/>
    <n v="2"/>
    <s v="C006"/>
    <d v="2026-09-19T00:00:00"/>
    <s v="P006"/>
    <s v="公斤"/>
    <n v="8.1"/>
    <n v="7.6"/>
    <n v="0"/>
    <n v="4.8"/>
    <s v="到货不足；按实际交付计费"/>
    <s v="true"/>
    <s v="茄子"/>
    <s v="散装鲜菜"/>
    <x v="5"/>
    <n v="36.479999999999997"/>
    <n v="0"/>
    <n v="36.479999999999997"/>
    <s v=""/>
    <s v=""/>
    <s v=""/>
    <s v=""/>
    <s v="通过"/>
  </r>
  <r>
    <s v="SIM-20260919-C006"/>
    <n v="3"/>
    <s v="C006"/>
    <d v="2026-09-19T00:00:00"/>
    <s v="P008"/>
    <s v="公斤"/>
    <n v="11.7"/>
    <n v="11.7"/>
    <n v="0"/>
    <n v="4.4000000000000004"/>
    <s v="正常交付"/>
    <s v="true"/>
    <s v="黄瓜"/>
    <s v="散装鲜菜"/>
    <x v="5"/>
    <n v="51.48"/>
    <n v="0"/>
    <n v="51.48"/>
    <s v=""/>
    <s v=""/>
    <s v=""/>
    <s v=""/>
    <s v="通过"/>
  </r>
  <r>
    <s v="SIM-20260919-C006"/>
    <n v="4"/>
    <s v="C006"/>
    <d v="2026-09-19T00:00:00"/>
    <s v="P002"/>
    <s v="公斤"/>
    <n v="6.3"/>
    <n v="6.3"/>
    <n v="0"/>
    <n v="2.7"/>
    <s v="正常交付"/>
    <s v="true"/>
    <s v="白萝卜"/>
    <s v="散装鲜菜"/>
    <x v="5"/>
    <n v="17.010000000000002"/>
    <n v="0"/>
    <n v="17.010000000000002"/>
    <s v=""/>
    <s v=""/>
    <s v=""/>
    <s v=""/>
    <s v="通过"/>
  </r>
  <r>
    <s v="SIM-20260919-C006"/>
    <n v="5"/>
    <s v="C006"/>
    <d v="2026-09-19T00:00:00"/>
    <s v="P003"/>
    <s v="公斤"/>
    <n v="6.3"/>
    <n v="6.3"/>
    <n v="0"/>
    <n v="3.5"/>
    <s v="正常交付"/>
    <s v="true"/>
    <s v="包菜"/>
    <s v="散装鲜菜"/>
    <x v="5"/>
    <n v="22.05"/>
    <n v="0"/>
    <n v="22.05"/>
    <s v=""/>
    <s v=""/>
    <s v=""/>
    <s v=""/>
    <s v="通过"/>
  </r>
  <r>
    <s v="SIM-20260919-C006"/>
    <n v="6"/>
    <s v="C006"/>
    <d v="2026-09-19T00:00:00"/>
    <s v="P005"/>
    <s v="公斤"/>
    <n v="9.9"/>
    <n v="9.9"/>
    <n v="0"/>
    <n v="3.2"/>
    <s v="正常交付"/>
    <s v="true"/>
    <s v="南瓜"/>
    <s v="散装鲜菜"/>
    <x v="5"/>
    <n v="31.68"/>
    <n v="0"/>
    <n v="31.68"/>
    <s v=""/>
    <s v=""/>
    <s v=""/>
    <s v=""/>
    <s v="通过"/>
  </r>
  <r>
    <s v="SIM-20260919-C006"/>
    <n v="7"/>
    <s v="C006"/>
    <d v="2026-09-19T00:00:00"/>
    <s v="P016"/>
    <s v="公斤"/>
    <n v="9"/>
    <n v="9"/>
    <n v="0"/>
    <n v="10.199999999999999"/>
    <s v="正常交付"/>
    <s v="true"/>
    <s v="鸡蛋"/>
    <s v="普通鲜鸡蛋按净重"/>
    <x v="5"/>
    <n v="91.8"/>
    <n v="0"/>
    <n v="91.8"/>
    <s v=""/>
    <s v=""/>
    <s v=""/>
    <s v=""/>
    <s v="通过"/>
  </r>
  <r>
    <s v="SIM-20260919-C006"/>
    <n v="8"/>
    <s v="C006"/>
    <d v="2026-09-19T00:00:00"/>
    <s v="P015"/>
    <s v="公斤"/>
    <n v="1"/>
    <n v="0.5"/>
    <n v="0"/>
    <n v="7.3"/>
    <s v="到货不足；按实际交付计费"/>
    <s v="true"/>
    <s v="小葱"/>
    <s v="散装鲜菜"/>
    <x v="5"/>
    <n v="3.65"/>
    <n v="0"/>
    <n v="3.65"/>
    <s v=""/>
    <s v=""/>
    <s v=""/>
    <s v=""/>
    <s v="通过"/>
  </r>
  <r>
    <s v="SIM-20260920-C002"/>
    <n v="1"/>
    <s v="C002"/>
    <d v="2026-09-20T00:00:00"/>
    <s v="P012"/>
    <s v="公斤"/>
    <n v="7.7"/>
    <n v="7.7"/>
    <n v="0"/>
    <n v="5.2"/>
    <s v="正常交付"/>
    <s v="true"/>
    <s v="小白菜"/>
    <s v="散装鲜菜"/>
    <x v="1"/>
    <n v="40.04"/>
    <n v="0"/>
    <n v="40.04"/>
    <s v=""/>
    <s v=""/>
    <s v=""/>
    <s v=""/>
    <s v="通过"/>
  </r>
  <r>
    <s v="SIM-20260920-C002"/>
    <n v="2"/>
    <s v="C002"/>
    <d v="2026-09-20T00:00:00"/>
    <s v="P014"/>
    <s v="公斤"/>
    <n v="7.7"/>
    <n v="7.7"/>
    <n v="0"/>
    <n v="5"/>
    <s v="正常交付"/>
    <s v="true"/>
    <s v="丝瓜"/>
    <s v="散装鲜菜"/>
    <x v="1"/>
    <n v="38.5"/>
    <n v="0"/>
    <n v="38.5"/>
    <s v=""/>
    <s v=""/>
    <s v=""/>
    <s v=""/>
    <s v="通过"/>
  </r>
  <r>
    <s v="SIM-20260920-C002"/>
    <n v="3"/>
    <s v="C002"/>
    <d v="2026-09-20T00:00:00"/>
    <s v="P005"/>
    <s v="公斤"/>
    <n v="8.3000000000000007"/>
    <n v="8"/>
    <n v="0"/>
    <n v="3.2"/>
    <s v="到货不足；按实际交付计费"/>
    <s v="true"/>
    <s v="南瓜"/>
    <s v="散装鲜菜"/>
    <x v="1"/>
    <n v="25.6"/>
    <n v="0"/>
    <n v="25.6"/>
    <s v=""/>
    <s v=""/>
    <s v=""/>
    <s v=""/>
    <s v="通过"/>
  </r>
  <r>
    <s v="SIM-20260920-C002"/>
    <n v="4"/>
    <s v="C002"/>
    <d v="2026-09-20T00:00:00"/>
    <s v="P004"/>
    <s v="公斤"/>
    <n v="8.3000000000000007"/>
    <n v="8.3000000000000007"/>
    <n v="0"/>
    <n v="2.6"/>
    <s v="正常交付"/>
    <s v="true"/>
    <s v="冬瓜"/>
    <s v="散装鲜菜"/>
    <x v="1"/>
    <n v="21.58"/>
    <n v="0"/>
    <n v="21.58"/>
    <s v=""/>
    <s v=""/>
    <s v=""/>
    <s v=""/>
    <s v="通过"/>
  </r>
  <r>
    <s v="SIM-20260920-C002"/>
    <n v="5"/>
    <s v="C002"/>
    <d v="2026-09-20T00:00:00"/>
    <s v="P003"/>
    <s v="公斤"/>
    <n v="6.1"/>
    <n v="6.1"/>
    <n v="0"/>
    <n v="3.5"/>
    <s v="正常交付"/>
    <s v="true"/>
    <s v="包菜"/>
    <s v="散装鲜菜"/>
    <x v="1"/>
    <n v="21.35"/>
    <n v="0"/>
    <n v="21.35"/>
    <s v=""/>
    <s v=""/>
    <s v=""/>
    <s v=""/>
    <s v="通过"/>
  </r>
  <r>
    <s v="SIM-20260920-C005"/>
    <n v="1"/>
    <s v="C005"/>
    <d v="2026-09-20T00:00:00"/>
    <s v="P011"/>
    <s v="公斤"/>
    <n v="14.7"/>
    <n v="14.7"/>
    <n v="0"/>
    <n v="4.3"/>
    <s v="正常交付"/>
    <s v="true"/>
    <s v="红薯叶"/>
    <s v="散装鲜菜"/>
    <x v="4"/>
    <n v="63.21"/>
    <n v="0"/>
    <n v="63.21"/>
    <s v=""/>
    <s v=""/>
    <s v=""/>
    <s v=""/>
    <s v="通过"/>
  </r>
  <r>
    <s v="SIM-20260920-C005"/>
    <n v="2"/>
    <s v="C005"/>
    <d v="2026-09-20T00:00:00"/>
    <s v="P008"/>
    <s v="公斤"/>
    <n v="13.8"/>
    <n v="13.8"/>
    <n v="0"/>
    <n v="4.4000000000000004"/>
    <s v="正常交付"/>
    <s v="true"/>
    <s v="黄瓜"/>
    <s v="散装鲜菜"/>
    <x v="4"/>
    <n v="60.72"/>
    <n v="0"/>
    <n v="60.72"/>
    <s v=""/>
    <s v=""/>
    <s v=""/>
    <s v=""/>
    <s v="通过"/>
  </r>
  <r>
    <s v="SIM-20260920-C005"/>
    <n v="3"/>
    <s v="C005"/>
    <d v="2026-09-20T00:00:00"/>
    <s v="P013"/>
    <s v="公斤"/>
    <n v="6.9"/>
    <n v="6.9"/>
    <n v="0"/>
    <n v="6"/>
    <s v="正常交付"/>
    <s v="true"/>
    <s v="豇豆"/>
    <s v="散装鲜菜"/>
    <x v="4"/>
    <n v="41.4"/>
    <n v="0"/>
    <n v="41.4"/>
    <s v=""/>
    <s v=""/>
    <s v=""/>
    <s v=""/>
    <s v="通过"/>
  </r>
  <r>
    <s v="SIM-20260920-C005"/>
    <n v="4"/>
    <s v="C005"/>
    <d v="2026-09-20T00:00:00"/>
    <s v="P007"/>
    <s v="公斤"/>
    <n v="15.7"/>
    <n v="15.7"/>
    <n v="0"/>
    <n v="5.25"/>
    <s v="正常交付"/>
    <s v="true"/>
    <s v="青椒"/>
    <s v="散装鲜菜"/>
    <x v="4"/>
    <n v="82.43"/>
    <n v="0"/>
    <n v="82.43"/>
    <s v=""/>
    <s v=""/>
    <s v=""/>
    <s v=""/>
    <s v="通过"/>
  </r>
  <r>
    <s v="SIM-20260920-C005"/>
    <n v="5"/>
    <s v="C005"/>
    <d v="2026-09-20T00:00:00"/>
    <s v="P009"/>
    <s v="公斤"/>
    <n v="10.8"/>
    <n v="10.8"/>
    <n v="0"/>
    <n v="4.8"/>
    <s v="正常交付"/>
    <s v="true"/>
    <s v="西红柿"/>
    <s v="散装鲜菜"/>
    <x v="4"/>
    <n v="51.84"/>
    <n v="0"/>
    <n v="51.84"/>
    <s v=""/>
    <s v=""/>
    <s v=""/>
    <s v=""/>
    <s v="通过"/>
  </r>
  <r>
    <s v="SIM-20260920-C005"/>
    <n v="6"/>
    <s v="C005"/>
    <d v="2026-09-20T00:00:00"/>
    <s v="P014"/>
    <s v="公斤"/>
    <n v="6.9"/>
    <n v="6.9"/>
    <n v="0"/>
    <n v="5"/>
    <s v="正常交付"/>
    <s v="true"/>
    <s v="丝瓜"/>
    <s v="散装鲜菜"/>
    <x v="4"/>
    <n v="34.5"/>
    <n v="0"/>
    <n v="34.5"/>
    <s v=""/>
    <s v=""/>
    <s v=""/>
    <s v=""/>
    <s v="通过"/>
  </r>
  <r>
    <s v="SIM-20260920-C005"/>
    <n v="7"/>
    <s v="C005"/>
    <d v="2026-09-20T00:00:00"/>
    <s v="P016"/>
    <s v="公斤"/>
    <n v="12"/>
    <n v="12"/>
    <n v="0"/>
    <n v="10.199999999999999"/>
    <s v="正常交付"/>
    <s v="true"/>
    <s v="鸡蛋"/>
    <s v="普通鲜鸡蛋按净重"/>
    <x v="4"/>
    <n v="122.4"/>
    <n v="0"/>
    <n v="122.4"/>
    <s v=""/>
    <s v=""/>
    <s v=""/>
    <s v=""/>
    <s v="通过"/>
  </r>
  <r>
    <s v="SIM-20260920-C006"/>
    <n v="1"/>
    <s v="C006"/>
    <d v="2026-09-20T00:00:00"/>
    <s v="P012"/>
    <s v="公斤"/>
    <n v="10.9"/>
    <n v="10.9"/>
    <n v="0.2"/>
    <n v="5.2"/>
    <s v="正常交付；签收时挑出黄叶退回"/>
    <s v="true"/>
    <s v="小白菜"/>
    <s v="散装鲜菜"/>
    <x v="5"/>
    <n v="56.68"/>
    <n v="1.04"/>
    <n v="55.64"/>
    <s v=""/>
    <s v=""/>
    <s v=""/>
    <s v=""/>
    <s v="通过"/>
  </r>
  <r>
    <s v="SIM-20260920-C006"/>
    <n v="2"/>
    <s v="C006"/>
    <d v="2026-09-20T00:00:00"/>
    <s v="P005"/>
    <s v="公斤"/>
    <n v="9.5"/>
    <n v="9.5"/>
    <n v="0"/>
    <n v="3.2"/>
    <s v="正常交付"/>
    <s v="true"/>
    <s v="南瓜"/>
    <s v="散装鲜菜"/>
    <x v="5"/>
    <n v="30.4"/>
    <n v="0"/>
    <n v="30.4"/>
    <s v=""/>
    <s v=""/>
    <s v=""/>
    <s v=""/>
    <s v="通过"/>
  </r>
  <r>
    <s v="SIM-20260920-C006"/>
    <n v="3"/>
    <s v="C006"/>
    <d v="2026-09-20T00:00:00"/>
    <s v="P001"/>
    <s v="公斤"/>
    <n v="8.1999999999999993"/>
    <n v="8.1999999999999993"/>
    <n v="0"/>
    <n v="3.4"/>
    <s v="正常交付"/>
    <s v="true"/>
    <s v="土豆"/>
    <s v="散装鲜菜"/>
    <x v="5"/>
    <n v="27.88"/>
    <n v="0"/>
    <n v="27.88"/>
    <s v=""/>
    <s v=""/>
    <s v=""/>
    <s v=""/>
    <s v="通过"/>
  </r>
  <r>
    <s v="SIM-20260920-C006"/>
    <n v="4"/>
    <s v="C006"/>
    <d v="2026-09-20T00:00:00"/>
    <s v="P009"/>
    <s v="公斤"/>
    <n v="8.1999999999999993"/>
    <n v="8.1999999999999993"/>
    <n v="0"/>
    <n v="4.8"/>
    <s v="正常交付"/>
    <s v="true"/>
    <s v="西红柿"/>
    <s v="散装鲜菜"/>
    <x v="5"/>
    <n v="39.36"/>
    <n v="0"/>
    <n v="39.36"/>
    <s v=""/>
    <s v=""/>
    <s v=""/>
    <s v=""/>
    <s v="通过"/>
  </r>
  <r>
    <s v="SIM-20260920-C006"/>
    <n v="5"/>
    <s v="C006"/>
    <d v="2026-09-20T00:00:00"/>
    <s v="P006"/>
    <s v="公斤"/>
    <n v="8.1999999999999993"/>
    <n v="8.1999999999999993"/>
    <n v="0"/>
    <n v="4.8"/>
    <s v="正常交付"/>
    <s v="true"/>
    <s v="茄子"/>
    <s v="散装鲜菜"/>
    <x v="5"/>
    <n v="39.36"/>
    <n v="0"/>
    <n v="39.36"/>
    <s v=""/>
    <s v=""/>
    <s v=""/>
    <s v=""/>
    <s v="通过"/>
  </r>
  <r>
    <s v="SIM-20260920-C006"/>
    <n v="6"/>
    <s v="C006"/>
    <d v="2026-09-20T00:00:00"/>
    <s v="P008"/>
    <s v="公斤"/>
    <n v="7.5"/>
    <n v="7.5"/>
    <n v="0"/>
    <n v="4.4000000000000004"/>
    <s v="正常交付"/>
    <s v="true"/>
    <s v="黄瓜"/>
    <s v="散装鲜菜"/>
    <x v="5"/>
    <n v="33"/>
    <n v="0"/>
    <n v="33"/>
    <s v=""/>
    <s v=""/>
    <s v=""/>
    <s v=""/>
    <s v="通过"/>
  </r>
  <r>
    <s v="SIM-20260921-C001"/>
    <n v="1"/>
    <s v="C001"/>
    <d v="2026-09-21T00:00:00"/>
    <s v="P010"/>
    <s v="公斤"/>
    <n v="2.2000000000000002"/>
    <n v="1.7"/>
    <n v="0.2"/>
    <n v="4.5"/>
    <s v="到货不足；按实际交付计费；签收时挑出黄叶退回"/>
    <s v="true"/>
    <s v="空心菜"/>
    <s v="散装鲜菜"/>
    <x v="0"/>
    <n v="7.65"/>
    <n v="0.9"/>
    <n v="6.75"/>
    <s v=""/>
    <s v=""/>
    <s v=""/>
    <s v=""/>
    <s v="通过"/>
  </r>
  <r>
    <s v="SIM-20260921-C001"/>
    <n v="2"/>
    <s v="C001"/>
    <d v="2026-09-21T00:00:00"/>
    <s v="P004"/>
    <s v="公斤"/>
    <n v="3.2"/>
    <n v="3.2"/>
    <n v="0"/>
    <n v="2.6"/>
    <s v="正常交付"/>
    <s v="true"/>
    <s v="冬瓜"/>
    <s v="散装鲜菜"/>
    <x v="0"/>
    <n v="8.32"/>
    <n v="0"/>
    <n v="8.32"/>
    <s v=""/>
    <s v=""/>
    <s v=""/>
    <s v=""/>
    <s v="通过"/>
  </r>
  <r>
    <s v="SIM-20260921-C001"/>
    <n v="3"/>
    <s v="C001"/>
    <d v="2026-09-21T00:00:00"/>
    <s v="P008"/>
    <s v="公斤"/>
    <n v="3.5"/>
    <n v="3.5"/>
    <n v="0"/>
    <n v="4.4000000000000004"/>
    <s v="正常交付"/>
    <s v="true"/>
    <s v="黄瓜"/>
    <s v="散装鲜菜"/>
    <x v="0"/>
    <n v="15.4"/>
    <n v="0"/>
    <n v="15.4"/>
    <s v=""/>
    <s v=""/>
    <s v=""/>
    <s v=""/>
    <s v="通过"/>
  </r>
  <r>
    <s v="SIM-20260921-C001"/>
    <n v="4"/>
    <s v="C001"/>
    <d v="2026-09-21T00:00:00"/>
    <s v="P009"/>
    <s v="公斤"/>
    <n v="2.9"/>
    <n v="2.9"/>
    <n v="0"/>
    <n v="4.8"/>
    <s v="正常交付"/>
    <s v="true"/>
    <s v="西红柿"/>
    <s v="散装鲜菜"/>
    <x v="0"/>
    <n v="13.92"/>
    <n v="0"/>
    <n v="13.92"/>
    <s v=""/>
    <s v=""/>
    <s v=""/>
    <s v=""/>
    <s v="通过"/>
  </r>
  <r>
    <s v="SIM-20260921-C003"/>
    <n v="1"/>
    <s v="C003"/>
    <d v="2026-09-21T00:00:00"/>
    <s v="P011"/>
    <s v="公斤"/>
    <n v="6.5"/>
    <n v="6.5"/>
    <n v="0"/>
    <n v="4.3"/>
    <s v="正常交付"/>
    <s v="true"/>
    <s v="红薯叶"/>
    <s v="散装鲜菜"/>
    <x v="2"/>
    <n v="27.95"/>
    <n v="0"/>
    <n v="27.95"/>
    <s v=""/>
    <s v=""/>
    <s v=""/>
    <s v=""/>
    <s v="通过"/>
  </r>
  <r>
    <s v="SIM-20260921-C003"/>
    <n v="2"/>
    <s v="C003"/>
    <d v="2026-09-21T00:00:00"/>
    <s v="P003"/>
    <s v="公斤"/>
    <n v="4.5999999999999996"/>
    <n v="4.5999999999999996"/>
    <n v="0"/>
    <n v="3.5"/>
    <s v="正常交付"/>
    <s v="true"/>
    <s v="包菜"/>
    <s v="散装鲜菜"/>
    <x v="2"/>
    <n v="16.100000000000001"/>
    <n v="0"/>
    <n v="16.100000000000001"/>
    <s v=""/>
    <s v=""/>
    <s v=""/>
    <s v=""/>
    <s v="通过"/>
  </r>
  <r>
    <s v="SIM-20260921-C003"/>
    <n v="3"/>
    <s v="C003"/>
    <d v="2026-09-21T00:00:00"/>
    <s v="P002"/>
    <s v="公斤"/>
    <n v="4.5999999999999996"/>
    <n v="4.0999999999999996"/>
    <n v="0"/>
    <n v="2.7"/>
    <s v="到货不足；按实际交付计费"/>
    <s v="true"/>
    <s v="白萝卜"/>
    <s v="散装鲜菜"/>
    <x v="2"/>
    <n v="11.07"/>
    <n v="0"/>
    <n v="11.07"/>
    <s v=""/>
    <s v=""/>
    <s v=""/>
    <s v=""/>
    <s v="通过"/>
  </r>
  <r>
    <s v="SIM-20260921-C003"/>
    <n v="4"/>
    <s v="C003"/>
    <d v="2026-09-21T00:00:00"/>
    <s v="P001"/>
    <s v="公斤"/>
    <n v="8.5"/>
    <n v="8.3000000000000007"/>
    <n v="0"/>
    <n v="3.4"/>
    <s v="到货不足；按实际交付计费"/>
    <s v="true"/>
    <s v="土豆"/>
    <s v="散装鲜菜"/>
    <x v="2"/>
    <n v="28.22"/>
    <n v="0"/>
    <n v="28.22"/>
    <s v=""/>
    <s v=""/>
    <s v=""/>
    <s v=""/>
    <s v="通过"/>
  </r>
  <r>
    <s v="SIM-20260921-C003"/>
    <n v="5"/>
    <s v="C003"/>
    <d v="2026-09-21T00:00:00"/>
    <s v="P004"/>
    <s v="公斤"/>
    <n v="5.2"/>
    <n v="5.2"/>
    <n v="0"/>
    <n v="2.6"/>
    <s v="正常交付"/>
    <s v="true"/>
    <s v="冬瓜"/>
    <s v="散装鲜菜"/>
    <x v="2"/>
    <n v="13.52"/>
    <n v="0"/>
    <n v="13.52"/>
    <s v=""/>
    <s v=""/>
    <s v=""/>
    <s v=""/>
    <s v="通过"/>
  </r>
  <r>
    <s v="SIM-20260921-C003"/>
    <n v="6"/>
    <s v="C003"/>
    <d v="2026-09-21T00:00:00"/>
    <s v="P008"/>
    <s v="公斤"/>
    <n v="8.5"/>
    <n v="8.5"/>
    <n v="0"/>
    <n v="4.4000000000000004"/>
    <s v="正常交付"/>
    <s v="true"/>
    <s v="黄瓜"/>
    <s v="散装鲜菜"/>
    <x v="2"/>
    <n v="37.4"/>
    <n v="0"/>
    <n v="37.4"/>
    <s v=""/>
    <s v=""/>
    <s v=""/>
    <s v=""/>
    <s v="通过"/>
  </r>
  <r>
    <s v="SIM-20260921-C005"/>
    <n v="1"/>
    <s v="C005"/>
    <d v="2026-09-21T00:00:00"/>
    <s v="P010"/>
    <s v="公斤"/>
    <n v="15.2"/>
    <n v="15.2"/>
    <n v="0"/>
    <n v="4.5"/>
    <s v="正常交付"/>
    <s v="true"/>
    <s v="空心菜"/>
    <s v="散装鲜菜"/>
    <x v="4"/>
    <n v="68.400000000000006"/>
    <n v="0"/>
    <n v="68.400000000000006"/>
    <s v=""/>
    <s v=""/>
    <s v=""/>
    <s v=""/>
    <s v="通过"/>
  </r>
  <r>
    <s v="SIM-20260921-C005"/>
    <n v="2"/>
    <s v="C005"/>
    <d v="2026-09-21T00:00:00"/>
    <s v="P004"/>
    <s v="公斤"/>
    <n v="15.2"/>
    <n v="15.2"/>
    <n v="0"/>
    <n v="2.6"/>
    <s v="正常交付"/>
    <s v="true"/>
    <s v="冬瓜"/>
    <s v="散装鲜菜"/>
    <x v="4"/>
    <n v="39.520000000000003"/>
    <n v="0"/>
    <n v="39.520000000000003"/>
    <s v=""/>
    <s v=""/>
    <s v=""/>
    <s v=""/>
    <s v="通过"/>
  </r>
  <r>
    <s v="SIM-20260921-C005"/>
    <n v="3"/>
    <s v="C005"/>
    <d v="2026-09-21T00:00:00"/>
    <s v="P014"/>
    <s v="公斤"/>
    <n v="12.3"/>
    <n v="12.3"/>
    <n v="0"/>
    <n v="5"/>
    <s v="正常交付"/>
    <s v="true"/>
    <s v="丝瓜"/>
    <s v="散装鲜菜"/>
    <x v="4"/>
    <n v="61.5"/>
    <n v="0"/>
    <n v="61.5"/>
    <s v=""/>
    <s v=""/>
    <s v=""/>
    <s v=""/>
    <s v="通过"/>
  </r>
  <r>
    <s v="SIM-20260921-C005"/>
    <n v="4"/>
    <s v="C005"/>
    <d v="2026-09-21T00:00:00"/>
    <s v="P005"/>
    <s v="公斤"/>
    <n v="6.6"/>
    <n v="6.6"/>
    <n v="0"/>
    <n v="3.2"/>
    <s v="正常交付"/>
    <s v="true"/>
    <s v="南瓜"/>
    <s v="散装鲜菜"/>
    <x v="4"/>
    <n v="21.12"/>
    <n v="0"/>
    <n v="21.12"/>
    <s v=""/>
    <s v=""/>
    <s v=""/>
    <s v=""/>
    <s v="通过"/>
  </r>
  <r>
    <s v="SIM-20260921-C005"/>
    <n v="5"/>
    <s v="C005"/>
    <d v="2026-09-21T00:00:00"/>
    <s v="P009"/>
    <s v="公斤"/>
    <n v="8.5"/>
    <n v="8.5"/>
    <n v="0"/>
    <n v="4.8"/>
    <s v="正常交付"/>
    <s v="true"/>
    <s v="西红柿"/>
    <s v="散装鲜菜"/>
    <x v="4"/>
    <n v="40.799999999999997"/>
    <n v="0"/>
    <n v="40.799999999999997"/>
    <s v=""/>
    <s v=""/>
    <s v=""/>
    <s v=""/>
    <s v="通过"/>
  </r>
  <r>
    <s v="SIM-20260921-C005"/>
    <n v="6"/>
    <s v="C005"/>
    <d v="2026-09-21T00:00:00"/>
    <s v="P001"/>
    <s v="公斤"/>
    <n v="8.5"/>
    <n v="8.5"/>
    <n v="0"/>
    <n v="3.4"/>
    <s v="正常交付"/>
    <s v="true"/>
    <s v="土豆"/>
    <s v="散装鲜菜"/>
    <x v="4"/>
    <n v="28.9"/>
    <n v="0"/>
    <n v="28.9"/>
    <s v=""/>
    <s v=""/>
    <s v=""/>
    <s v=""/>
    <s v="通过"/>
  </r>
  <r>
    <s v="SIM-20260921-C005"/>
    <n v="7"/>
    <s v="C005"/>
    <d v="2026-09-21T00:00:00"/>
    <s v="P015"/>
    <s v="公斤"/>
    <n v="1"/>
    <n v="1"/>
    <n v="0"/>
    <n v="7.3"/>
    <s v="正常交付"/>
    <s v="true"/>
    <s v="小葱"/>
    <s v="散装鲜菜"/>
    <x v="4"/>
    <n v="7.3"/>
    <n v="0"/>
    <n v="7.3"/>
    <s v=""/>
    <s v=""/>
    <s v=""/>
    <s v=""/>
    <s v="通过"/>
  </r>
  <r>
    <s v="SIM-20260921-C005"/>
    <n v="8"/>
    <s v="C005"/>
    <d v="2026-09-21T00:00:00"/>
    <s v="P017"/>
    <s v="袋"/>
    <n v="6"/>
    <n v="6"/>
    <n v="0"/>
    <n v="119"/>
    <s v="正常交付"/>
    <s v="true"/>
    <s v="籼米"/>
    <s v="25公斤/袋普通籼米"/>
    <x v="4"/>
    <n v="714"/>
    <n v="0"/>
    <n v="714"/>
    <s v=""/>
    <s v=""/>
    <s v=""/>
    <s v=""/>
    <s v="通过"/>
  </r>
  <r>
    <s v="SIM-20260921-C005"/>
    <n v="9"/>
    <s v="C005"/>
    <d v="2026-09-21T00:00:00"/>
    <s v="P020"/>
    <s v="桶"/>
    <n v="2"/>
    <n v="2"/>
    <n v="0"/>
    <n v="55"/>
    <s v="正常交付"/>
    <s v="true"/>
    <s v="大豆油"/>
    <s v="5升/桶普通大豆油"/>
    <x v="4"/>
    <n v="110"/>
    <n v="0"/>
    <n v="110"/>
    <s v=""/>
    <s v=""/>
    <s v=""/>
    <s v=""/>
    <s v="通过"/>
  </r>
  <r>
    <s v="SIM-20260921-C006"/>
    <n v="1"/>
    <s v="C006"/>
    <d v="2026-09-21T00:00:00"/>
    <s v="P011"/>
    <s v="公斤"/>
    <n v="12.1"/>
    <n v="12.1"/>
    <n v="0"/>
    <n v="4.3"/>
    <s v="正常交付"/>
    <s v="true"/>
    <s v="红薯叶"/>
    <s v="散装鲜菜"/>
    <x v="5"/>
    <n v="52.03"/>
    <n v="0"/>
    <n v="52.03"/>
    <s v=""/>
    <s v=""/>
    <s v=""/>
    <s v=""/>
    <s v="通过"/>
  </r>
  <r>
    <s v="SIM-20260921-C006"/>
    <n v="2"/>
    <s v="C006"/>
    <d v="2026-09-21T00:00:00"/>
    <s v="P001"/>
    <s v="公斤"/>
    <n v="11.3"/>
    <n v="11.3"/>
    <n v="0"/>
    <n v="3.4"/>
    <s v="正常交付"/>
    <s v="true"/>
    <s v="土豆"/>
    <s v="散装鲜菜"/>
    <x v="5"/>
    <n v="38.42"/>
    <n v="0"/>
    <n v="38.42"/>
    <s v=""/>
    <s v=""/>
    <s v=""/>
    <s v=""/>
    <s v="通过"/>
  </r>
  <r>
    <s v="SIM-20260921-C006"/>
    <n v="3"/>
    <s v="C006"/>
    <d v="2026-09-21T00:00:00"/>
    <s v="P009"/>
    <s v="公斤"/>
    <n v="5.6"/>
    <n v="5.6"/>
    <n v="0"/>
    <n v="4.8"/>
    <s v="正常交付"/>
    <s v="true"/>
    <s v="西红柿"/>
    <s v="散装鲜菜"/>
    <x v="5"/>
    <n v="26.88"/>
    <n v="0"/>
    <n v="26.88"/>
    <s v=""/>
    <s v=""/>
    <s v=""/>
    <s v=""/>
    <s v="通过"/>
  </r>
  <r>
    <s v="SIM-20260921-C006"/>
    <n v="4"/>
    <s v="C006"/>
    <d v="2026-09-21T00:00:00"/>
    <s v="P013"/>
    <s v="公斤"/>
    <n v="5.6"/>
    <n v="5.6"/>
    <n v="0"/>
    <n v="6"/>
    <s v="正常交付"/>
    <s v="true"/>
    <s v="豇豆"/>
    <s v="散装鲜菜"/>
    <x v="5"/>
    <n v="33.6"/>
    <n v="0"/>
    <n v="33.6"/>
    <s v=""/>
    <s v=""/>
    <s v=""/>
    <s v=""/>
    <s v="通过"/>
  </r>
  <r>
    <s v="SIM-20260921-C006"/>
    <n v="5"/>
    <s v="C006"/>
    <d v="2026-09-21T00:00:00"/>
    <s v="P007"/>
    <s v="公斤"/>
    <n v="7.2"/>
    <n v="7.2"/>
    <n v="0"/>
    <n v="5.25"/>
    <s v="正常交付"/>
    <s v="true"/>
    <s v="青椒"/>
    <s v="散装鲜菜"/>
    <x v="5"/>
    <n v="37.799999999999997"/>
    <n v="0"/>
    <n v="37.799999999999997"/>
    <s v=""/>
    <s v=""/>
    <s v=""/>
    <s v=""/>
    <s v="通过"/>
  </r>
  <r>
    <s v="SIM-20260921-C006"/>
    <n v="6"/>
    <s v="C006"/>
    <d v="2026-09-21T00:00:00"/>
    <s v="P002"/>
    <s v="公斤"/>
    <n v="5.6"/>
    <n v="5.6"/>
    <n v="0"/>
    <n v="2.7"/>
    <s v="正常交付"/>
    <s v="true"/>
    <s v="白萝卜"/>
    <s v="散装鲜菜"/>
    <x v="5"/>
    <n v="15.12"/>
    <n v="0"/>
    <n v="15.12"/>
    <s v=""/>
    <s v=""/>
    <s v=""/>
    <s v=""/>
    <s v="通过"/>
  </r>
  <r>
    <s v="SIM-20260921-C006"/>
    <n v="7"/>
    <s v="C006"/>
    <d v="2026-09-21T00:00:00"/>
    <s v="P016"/>
    <s v="公斤"/>
    <n v="9"/>
    <n v="9"/>
    <n v="0.1"/>
    <n v="10.199999999999999"/>
    <s v="正常交付；签收时破损退回"/>
    <s v="true"/>
    <s v="鸡蛋"/>
    <s v="普通鲜鸡蛋按净重"/>
    <x v="5"/>
    <n v="91.8"/>
    <n v="1.02"/>
    <n v="90.78"/>
    <s v=""/>
    <s v=""/>
    <s v=""/>
    <s v=""/>
    <s v="通过"/>
  </r>
  <r>
    <s v="SIM-20260921-C006"/>
    <n v="8"/>
    <s v="C006"/>
    <d v="2026-09-21T00:00:00"/>
    <s v="P017"/>
    <s v="袋"/>
    <n v="4"/>
    <n v="4"/>
    <n v="0"/>
    <n v="119"/>
    <s v="正常交付"/>
    <s v="true"/>
    <s v="籼米"/>
    <s v="25公斤/袋普通籼米"/>
    <x v="5"/>
    <n v="476"/>
    <n v="0"/>
    <n v="476"/>
    <s v=""/>
    <s v=""/>
    <s v=""/>
    <s v=""/>
    <s v="通过"/>
  </r>
  <r>
    <s v="SIM-20260921-C006"/>
    <n v="9"/>
    <s v="C006"/>
    <d v="2026-09-21T00:00:00"/>
    <s v="P020"/>
    <s v="桶"/>
    <n v="2"/>
    <n v="2"/>
    <n v="0"/>
    <n v="55"/>
    <s v="正常交付"/>
    <s v="true"/>
    <s v="大豆油"/>
    <s v="5升/桶普通大豆油"/>
    <x v="5"/>
    <n v="110"/>
    <n v="0"/>
    <n v="110"/>
    <s v=""/>
    <s v=""/>
    <s v=""/>
    <s v=""/>
    <s v="通过"/>
  </r>
  <r>
    <s v="SIM-20260922-C001"/>
    <n v="1"/>
    <s v="C001"/>
    <d v="2026-09-22T00:00:00"/>
    <s v="P011"/>
    <s v="公斤"/>
    <n v="2.9"/>
    <n v="2.9"/>
    <n v="0"/>
    <n v="4.8"/>
    <s v="正常交付"/>
    <s v="true"/>
    <s v="红薯叶"/>
    <s v="散装鲜菜"/>
    <x v="0"/>
    <n v="13.92"/>
    <n v="0"/>
    <n v="13.92"/>
    <s v=""/>
    <s v=""/>
    <s v=""/>
    <s v=""/>
    <s v="通过"/>
  </r>
  <r>
    <s v="SIM-20260922-C001"/>
    <n v="2"/>
    <s v="C001"/>
    <d v="2026-09-22T00:00:00"/>
    <s v="P002"/>
    <s v="公斤"/>
    <n v="2.9"/>
    <n v="2.9"/>
    <n v="0"/>
    <n v="2.5"/>
    <s v="正常交付"/>
    <s v="true"/>
    <s v="白萝卜"/>
    <s v="散装鲜菜"/>
    <x v="0"/>
    <n v="7.25"/>
    <n v="0"/>
    <n v="7.25"/>
    <s v=""/>
    <s v=""/>
    <s v=""/>
    <s v=""/>
    <s v="通过"/>
  </r>
  <r>
    <s v="SIM-20260922-C001"/>
    <n v="3"/>
    <s v="C001"/>
    <d v="2026-09-22T00:00:00"/>
    <s v="P014"/>
    <s v="公斤"/>
    <n v="4.2"/>
    <n v="4.2"/>
    <n v="0"/>
    <n v="4.9000000000000004"/>
    <s v="正常交付"/>
    <s v="true"/>
    <s v="丝瓜"/>
    <s v="散装鲜菜"/>
    <x v="0"/>
    <n v="20.58"/>
    <n v="0"/>
    <n v="20.58"/>
    <s v=""/>
    <s v=""/>
    <s v=""/>
    <s v=""/>
    <s v="通过"/>
  </r>
  <r>
    <s v="SIM-20260922-C001"/>
    <n v="4"/>
    <s v="C001"/>
    <d v="2026-09-22T00:00:00"/>
    <s v="P005"/>
    <s v="公斤"/>
    <n v="3.2"/>
    <n v="3.2"/>
    <n v="0"/>
    <n v="2.7"/>
    <s v="正常交付"/>
    <s v="true"/>
    <s v="南瓜"/>
    <s v="散装鲜菜"/>
    <x v="0"/>
    <n v="8.64"/>
    <n v="0"/>
    <n v="8.64"/>
    <s v=""/>
    <s v=""/>
    <s v=""/>
    <s v=""/>
    <s v="通过"/>
  </r>
  <r>
    <s v="SIM-20260922-C001"/>
    <n v="5"/>
    <s v="C001"/>
    <d v="2026-09-22T00:00:00"/>
    <s v="P016"/>
    <s v="公斤"/>
    <n v="3"/>
    <n v="3"/>
    <n v="0"/>
    <n v="10.4"/>
    <s v="正常交付"/>
    <s v="true"/>
    <s v="鸡蛋"/>
    <s v="普通鲜鸡蛋按净重"/>
    <x v="0"/>
    <n v="31.2"/>
    <n v="0"/>
    <n v="31.2"/>
    <s v=""/>
    <s v=""/>
    <s v=""/>
    <s v=""/>
    <s v="通过"/>
  </r>
  <r>
    <s v="SIM-20260922-C001"/>
    <n v="6"/>
    <s v="C001"/>
    <d v="2026-09-22T00:00:00"/>
    <s v="P015"/>
    <s v="公斤"/>
    <n v="0.5"/>
    <n v="0.5"/>
    <n v="0"/>
    <n v="7.8"/>
    <s v="正常交付"/>
    <s v="true"/>
    <s v="小葱"/>
    <s v="散装鲜菜"/>
    <x v="0"/>
    <n v="3.9"/>
    <n v="0"/>
    <n v="3.9"/>
    <s v=""/>
    <s v=""/>
    <s v=""/>
    <s v=""/>
    <s v="通过"/>
  </r>
  <r>
    <s v="SIM-20260922-C002"/>
    <n v="1"/>
    <s v="C002"/>
    <d v="2026-09-22T00:00:00"/>
    <s v="P011"/>
    <s v="公斤"/>
    <n v="4.5999999999999996"/>
    <n v="4.5999999999999996"/>
    <n v="0.3"/>
    <n v="4.8"/>
    <s v="正常交付；签收时挑出黄叶退回"/>
    <s v="true"/>
    <s v="红薯叶"/>
    <s v="散装鲜菜"/>
    <x v="1"/>
    <n v="22.08"/>
    <n v="1.44"/>
    <n v="20.639999999999997"/>
    <s v=""/>
    <s v=""/>
    <s v=""/>
    <s v=""/>
    <s v="通过"/>
  </r>
  <r>
    <s v="SIM-20260922-C002"/>
    <n v="2"/>
    <s v="C002"/>
    <d v="2026-09-22T00:00:00"/>
    <s v="P008"/>
    <s v="公斤"/>
    <n v="7.2"/>
    <n v="7.2"/>
    <n v="0"/>
    <n v="3.9"/>
    <s v="正常交付"/>
    <s v="true"/>
    <s v="黄瓜"/>
    <s v="散装鲜菜"/>
    <x v="1"/>
    <n v="28.08"/>
    <n v="0"/>
    <n v="28.08"/>
    <s v=""/>
    <s v=""/>
    <s v=""/>
    <s v=""/>
    <s v="通过"/>
  </r>
  <r>
    <s v="SIM-20260922-C002"/>
    <n v="3"/>
    <s v="C002"/>
    <d v="2026-09-22T00:00:00"/>
    <s v="P014"/>
    <s v="公斤"/>
    <n v="8.1999999999999993"/>
    <n v="8.1999999999999993"/>
    <n v="0"/>
    <n v="4.9000000000000004"/>
    <s v="正常交付"/>
    <s v="true"/>
    <s v="丝瓜"/>
    <s v="散装鲜菜"/>
    <x v="1"/>
    <n v="40.18"/>
    <n v="0"/>
    <n v="40.18"/>
    <s v=""/>
    <s v=""/>
    <s v=""/>
    <s v=""/>
    <s v="通过"/>
  </r>
  <r>
    <s v="SIM-20260922-C002"/>
    <n v="4"/>
    <s v="C002"/>
    <d v="2026-09-22T00:00:00"/>
    <s v="P005"/>
    <s v="公斤"/>
    <n v="4.0999999999999996"/>
    <n v="4.0999999999999996"/>
    <n v="0"/>
    <n v="2.7"/>
    <s v="正常交付"/>
    <s v="true"/>
    <s v="南瓜"/>
    <s v="散装鲜菜"/>
    <x v="1"/>
    <n v="11.07"/>
    <n v="0"/>
    <n v="11.07"/>
    <s v=""/>
    <s v=""/>
    <s v=""/>
    <s v=""/>
    <s v="通过"/>
  </r>
  <r>
    <s v="SIM-20260922-C002"/>
    <n v="5"/>
    <s v="C002"/>
    <d v="2026-09-22T00:00:00"/>
    <s v="P001"/>
    <s v="公斤"/>
    <n v="3.6"/>
    <n v="3.6"/>
    <n v="0"/>
    <n v="3.5"/>
    <s v="正常交付"/>
    <s v="true"/>
    <s v="土豆"/>
    <s v="散装鲜菜"/>
    <x v="1"/>
    <n v="12.6"/>
    <n v="0"/>
    <n v="12.6"/>
    <s v=""/>
    <s v=""/>
    <s v=""/>
    <s v=""/>
    <s v="通过"/>
  </r>
  <r>
    <s v="SIM-20260922-C002"/>
    <n v="6"/>
    <s v="C002"/>
    <d v="2026-09-22T00:00:00"/>
    <s v="P016"/>
    <s v="公斤"/>
    <n v="4"/>
    <n v="4"/>
    <n v="0"/>
    <n v="10.4"/>
    <s v="正常交付"/>
    <s v="true"/>
    <s v="鸡蛋"/>
    <s v="普通鲜鸡蛋按净重"/>
    <x v="1"/>
    <n v="41.6"/>
    <n v="0"/>
    <n v="41.6"/>
    <s v=""/>
    <s v=""/>
    <s v=""/>
    <s v=""/>
    <s v="通过"/>
  </r>
  <r>
    <s v="SIM-20260922-C002"/>
    <n v="7"/>
    <s v="C002"/>
    <d v="2026-09-22T00:00:00"/>
    <s v="P015"/>
    <s v="公斤"/>
    <n v="1"/>
    <n v="1"/>
    <n v="0"/>
    <n v="7.8"/>
    <s v="正常交付"/>
    <s v="true"/>
    <s v="小葱"/>
    <s v="散装鲜菜"/>
    <x v="1"/>
    <n v="7.8"/>
    <n v="0"/>
    <n v="7.8"/>
    <s v=""/>
    <s v=""/>
    <s v=""/>
    <s v=""/>
    <s v="通过"/>
  </r>
  <r>
    <s v="SIM-20260922-C003"/>
    <n v="1"/>
    <s v="C003"/>
    <d v="2026-09-22T00:00:00"/>
    <s v="P012"/>
    <s v="公斤"/>
    <n v="9.9"/>
    <n v="9.9"/>
    <n v="0"/>
    <n v="5"/>
    <s v="正常交付"/>
    <s v="true"/>
    <s v="小白菜"/>
    <s v="散装鲜菜"/>
    <x v="2"/>
    <n v="49.5"/>
    <n v="0"/>
    <n v="49.5"/>
    <s v=""/>
    <s v=""/>
    <s v=""/>
    <s v=""/>
    <s v="通过"/>
  </r>
  <r>
    <s v="SIM-20260922-C003"/>
    <n v="2"/>
    <s v="C003"/>
    <d v="2026-09-22T00:00:00"/>
    <s v="P014"/>
    <s v="公斤"/>
    <n v="6"/>
    <n v="6"/>
    <n v="0"/>
    <n v="4.9000000000000004"/>
    <s v="正常交付"/>
    <s v="true"/>
    <s v="丝瓜"/>
    <s v="散装鲜菜"/>
    <x v="2"/>
    <n v="29.4"/>
    <n v="0"/>
    <n v="29.4"/>
    <s v=""/>
    <s v=""/>
    <s v=""/>
    <s v=""/>
    <s v="通过"/>
  </r>
  <r>
    <s v="SIM-20260922-C003"/>
    <n v="3"/>
    <s v="C003"/>
    <d v="2026-09-22T00:00:00"/>
    <s v="P009"/>
    <s v="公斤"/>
    <n v="8.6"/>
    <n v="8.6"/>
    <n v="0"/>
    <n v="4.9000000000000004"/>
    <s v="正常交付"/>
    <s v="true"/>
    <s v="西红柿"/>
    <s v="散装鲜菜"/>
    <x v="2"/>
    <n v="42.14"/>
    <n v="0"/>
    <n v="42.14"/>
    <s v=""/>
    <s v=""/>
    <s v=""/>
    <s v=""/>
    <s v="通过"/>
  </r>
  <r>
    <s v="SIM-20260922-C003"/>
    <n v="4"/>
    <s v="C003"/>
    <d v="2026-09-22T00:00:00"/>
    <s v="P005"/>
    <s v="公斤"/>
    <n v="8.6"/>
    <n v="8.6"/>
    <n v="0"/>
    <n v="2.7"/>
    <s v="正常交付"/>
    <s v="true"/>
    <s v="南瓜"/>
    <s v="散装鲜菜"/>
    <x v="2"/>
    <n v="23.22"/>
    <n v="0"/>
    <n v="23.22"/>
    <s v=""/>
    <s v=""/>
    <s v=""/>
    <s v=""/>
    <s v="通过"/>
  </r>
  <r>
    <s v="SIM-20260922-C003"/>
    <n v="5"/>
    <s v="C003"/>
    <d v="2026-09-22T00:00:00"/>
    <s v="P002"/>
    <s v="公斤"/>
    <n v="6.6"/>
    <n v="6.3"/>
    <n v="0"/>
    <n v="2.5"/>
    <s v="到货不足；按实际交付计费"/>
    <s v="true"/>
    <s v="白萝卜"/>
    <s v="散装鲜菜"/>
    <x v="2"/>
    <n v="15.75"/>
    <n v="0"/>
    <n v="15.75"/>
    <s v=""/>
    <s v=""/>
    <s v=""/>
    <s v=""/>
    <s v="通过"/>
  </r>
  <r>
    <s v="SIM-20260922-C003"/>
    <n v="6"/>
    <s v="C003"/>
    <d v="2026-09-22T00:00:00"/>
    <s v="P006"/>
    <s v="公斤"/>
    <n v="7.3"/>
    <n v="7.3"/>
    <n v="0"/>
    <n v="4.5999999999999996"/>
    <s v="正常交付"/>
    <s v="true"/>
    <s v="茄子"/>
    <s v="散装鲜菜"/>
    <x v="2"/>
    <n v="33.58"/>
    <n v="0"/>
    <n v="33.58"/>
    <s v=""/>
    <s v=""/>
    <s v=""/>
    <s v=""/>
    <s v="通过"/>
  </r>
  <r>
    <s v="SIM-20260922-C003"/>
    <n v="7"/>
    <s v="C003"/>
    <d v="2026-09-22T00:00:00"/>
    <s v="P016"/>
    <s v="公斤"/>
    <n v="6"/>
    <n v="6"/>
    <n v="0"/>
    <n v="10.4"/>
    <s v="正常交付"/>
    <s v="true"/>
    <s v="鸡蛋"/>
    <s v="普通鲜鸡蛋按净重"/>
    <x v="2"/>
    <n v="62.4"/>
    <n v="0"/>
    <n v="62.4"/>
    <s v=""/>
    <s v=""/>
    <s v=""/>
    <s v=""/>
    <s v="通过"/>
  </r>
  <r>
    <s v="SIM-20260922-C003"/>
    <n v="8"/>
    <s v="C003"/>
    <d v="2026-09-22T00:00:00"/>
    <s v="P015"/>
    <s v="公斤"/>
    <n v="1"/>
    <n v="1"/>
    <n v="0"/>
    <n v="7.8"/>
    <s v="正常交付"/>
    <s v="true"/>
    <s v="小葱"/>
    <s v="散装鲜菜"/>
    <x v="2"/>
    <n v="7.8"/>
    <n v="0"/>
    <n v="7.8"/>
    <s v=""/>
    <s v=""/>
    <s v=""/>
    <s v=""/>
    <s v="通过"/>
  </r>
  <r>
    <s v="SIM-20260922-C004"/>
    <n v="1"/>
    <s v="C004"/>
    <d v="2026-09-22T00:00:00"/>
    <s v="P012"/>
    <s v="公斤"/>
    <n v="9"/>
    <n v="9"/>
    <n v="0"/>
    <n v="5"/>
    <s v="正常交付"/>
    <s v="true"/>
    <s v="小白菜"/>
    <s v="散装鲜菜"/>
    <x v="3"/>
    <n v="45"/>
    <n v="0"/>
    <n v="45"/>
    <s v=""/>
    <s v=""/>
    <s v=""/>
    <s v=""/>
    <s v="通过"/>
  </r>
  <r>
    <s v="SIM-20260922-C004"/>
    <n v="2"/>
    <s v="C004"/>
    <d v="2026-09-22T00:00:00"/>
    <s v="P014"/>
    <s v="公斤"/>
    <n v="7.3"/>
    <n v="7.3"/>
    <n v="0"/>
    <n v="4.9000000000000004"/>
    <s v="正常交付"/>
    <s v="true"/>
    <s v="丝瓜"/>
    <s v="散装鲜菜"/>
    <x v="3"/>
    <n v="35.770000000000003"/>
    <n v="0"/>
    <n v="35.770000000000003"/>
    <s v=""/>
    <s v=""/>
    <s v=""/>
    <s v=""/>
    <s v="通过"/>
  </r>
  <r>
    <s v="SIM-20260922-C004"/>
    <n v="3"/>
    <s v="C004"/>
    <d v="2026-09-22T00:00:00"/>
    <s v="P006"/>
    <s v="公斤"/>
    <n v="5.0999999999999996"/>
    <n v="5.0999999999999996"/>
    <n v="0"/>
    <n v="4.5999999999999996"/>
    <s v="正常交付"/>
    <s v="true"/>
    <s v="茄子"/>
    <s v="散装鲜菜"/>
    <x v="3"/>
    <n v="23.46"/>
    <n v="0"/>
    <n v="23.46"/>
    <s v=""/>
    <s v=""/>
    <s v=""/>
    <s v=""/>
    <s v="通过"/>
  </r>
  <r>
    <s v="SIM-20260922-C004"/>
    <n v="4"/>
    <s v="C004"/>
    <d v="2026-09-22T00:00:00"/>
    <s v="P004"/>
    <s v="公斤"/>
    <n v="6.2"/>
    <n v="6.2"/>
    <n v="0"/>
    <n v="2.2999999999999998"/>
    <s v="正常交付"/>
    <s v="true"/>
    <s v="冬瓜"/>
    <s v="散装鲜菜"/>
    <x v="3"/>
    <n v="14.26"/>
    <n v="0"/>
    <n v="14.26"/>
    <s v=""/>
    <s v=""/>
    <s v=""/>
    <s v=""/>
    <s v="通过"/>
  </r>
  <r>
    <s v="SIM-20260922-C004"/>
    <n v="5"/>
    <s v="C004"/>
    <d v="2026-09-22T00:00:00"/>
    <s v="P005"/>
    <s v="公斤"/>
    <n v="4"/>
    <n v="4"/>
    <n v="0"/>
    <n v="2.7"/>
    <s v="正常交付"/>
    <s v="true"/>
    <s v="南瓜"/>
    <s v="散装鲜菜"/>
    <x v="3"/>
    <n v="10.8"/>
    <n v="0"/>
    <n v="10.8"/>
    <s v=""/>
    <s v=""/>
    <s v=""/>
    <s v=""/>
    <s v="通过"/>
  </r>
  <r>
    <s v="SIM-20260922-C004"/>
    <n v="6"/>
    <s v="C004"/>
    <d v="2026-09-22T00:00:00"/>
    <s v="P009"/>
    <s v="公斤"/>
    <n v="6.8"/>
    <n v="6.8"/>
    <n v="0"/>
    <n v="4.9000000000000004"/>
    <s v="正常交付"/>
    <s v="true"/>
    <s v="西红柿"/>
    <s v="散装鲜菜"/>
    <x v="3"/>
    <n v="33.32"/>
    <n v="0"/>
    <n v="33.32"/>
    <s v=""/>
    <s v=""/>
    <s v=""/>
    <s v=""/>
    <s v="通过"/>
  </r>
  <r>
    <s v="SIM-20260922-C004"/>
    <n v="7"/>
    <s v="C004"/>
    <d v="2026-09-22T00:00:00"/>
    <s v="P015"/>
    <s v="公斤"/>
    <n v="1"/>
    <n v="1"/>
    <n v="0"/>
    <n v="7.8"/>
    <s v="正常交付"/>
    <s v="true"/>
    <s v="小葱"/>
    <s v="散装鲜菜"/>
    <x v="3"/>
    <n v="7.8"/>
    <n v="0"/>
    <n v="7.8"/>
    <s v=""/>
    <s v=""/>
    <s v=""/>
    <s v=""/>
    <s v="通过"/>
  </r>
  <r>
    <s v="SIM-20260922-C005"/>
    <n v="1"/>
    <s v="C005"/>
    <d v="2026-09-22T00:00:00"/>
    <s v="P012"/>
    <s v="公斤"/>
    <n v="12.1"/>
    <n v="12.1"/>
    <n v="0"/>
    <n v="5"/>
    <s v="正常交付"/>
    <s v="true"/>
    <s v="小白菜"/>
    <s v="散装鲜菜"/>
    <x v="4"/>
    <n v="60.5"/>
    <n v="0"/>
    <n v="60.5"/>
    <s v=""/>
    <s v=""/>
    <s v=""/>
    <s v=""/>
    <s v="通过"/>
  </r>
  <r>
    <s v="SIM-20260922-C005"/>
    <n v="2"/>
    <s v="C005"/>
    <d v="2026-09-22T00:00:00"/>
    <s v="P003"/>
    <s v="公斤"/>
    <n v="10.6"/>
    <n v="10.6"/>
    <n v="0"/>
    <n v="2.9"/>
    <s v="正常交付"/>
    <s v="true"/>
    <s v="包菜"/>
    <s v="散装鲜菜"/>
    <x v="4"/>
    <n v="30.74"/>
    <n v="0"/>
    <n v="30.74"/>
    <s v=""/>
    <s v=""/>
    <s v=""/>
    <s v=""/>
    <s v="通过"/>
  </r>
  <r>
    <s v="SIM-20260922-C005"/>
    <n v="3"/>
    <s v="C005"/>
    <d v="2026-09-22T00:00:00"/>
    <s v="P014"/>
    <s v="公斤"/>
    <n v="11.3"/>
    <n v="11.3"/>
    <n v="0"/>
    <n v="4.9000000000000004"/>
    <s v="正常交付"/>
    <s v="true"/>
    <s v="丝瓜"/>
    <s v="散装鲜菜"/>
    <x v="4"/>
    <n v="55.37"/>
    <n v="0"/>
    <n v="55.37"/>
    <s v=""/>
    <s v=""/>
    <s v=""/>
    <s v=""/>
    <s v="通过"/>
  </r>
  <r>
    <s v="SIM-20260922-C005"/>
    <n v="4"/>
    <s v="C005"/>
    <d v="2026-09-22T00:00:00"/>
    <s v="P006"/>
    <s v="公斤"/>
    <n v="5.3"/>
    <n v="5.3"/>
    <n v="0"/>
    <n v="4.5999999999999996"/>
    <s v="正常交付"/>
    <s v="true"/>
    <s v="茄子"/>
    <s v="散装鲜菜"/>
    <x v="4"/>
    <n v="24.38"/>
    <n v="0"/>
    <n v="24.38"/>
    <s v=""/>
    <s v=""/>
    <s v=""/>
    <s v=""/>
    <s v="通过"/>
  </r>
  <r>
    <s v="SIM-20260922-C005"/>
    <n v="5"/>
    <s v="C005"/>
    <d v="2026-09-22T00:00:00"/>
    <s v="P001"/>
    <s v="公斤"/>
    <n v="7.6"/>
    <n v="7.6"/>
    <n v="0"/>
    <n v="3.5"/>
    <s v="正常交付"/>
    <s v="true"/>
    <s v="土豆"/>
    <s v="散装鲜菜"/>
    <x v="4"/>
    <n v="26.6"/>
    <n v="0"/>
    <n v="26.6"/>
    <s v=""/>
    <s v=""/>
    <s v=""/>
    <s v=""/>
    <s v="通过"/>
  </r>
  <r>
    <s v="SIM-20260922-C005"/>
    <n v="6"/>
    <s v="C005"/>
    <d v="2026-09-22T00:00:00"/>
    <s v="P009"/>
    <s v="公斤"/>
    <n v="12.1"/>
    <n v="11.9"/>
    <n v="0"/>
    <n v="4.9000000000000004"/>
    <s v="到货不足；按实际交付计费"/>
    <s v="true"/>
    <s v="西红柿"/>
    <s v="散装鲜菜"/>
    <x v="4"/>
    <n v="58.31"/>
    <n v="0"/>
    <n v="58.31"/>
    <s v=""/>
    <s v=""/>
    <s v=""/>
    <s v=""/>
    <s v="通过"/>
  </r>
  <r>
    <s v="SIM-20260922-C005"/>
    <n v="7"/>
    <s v="C005"/>
    <d v="2026-09-22T00:00:00"/>
    <s v="P016"/>
    <s v="公斤"/>
    <n v="12"/>
    <n v="12"/>
    <n v="0"/>
    <n v="10.4"/>
    <s v="正常交付"/>
    <s v="true"/>
    <s v="鸡蛋"/>
    <s v="普通鲜鸡蛋按净重"/>
    <x v="4"/>
    <n v="124.8"/>
    <n v="0"/>
    <n v="124.8"/>
    <s v=""/>
    <s v=""/>
    <s v=""/>
    <s v=""/>
    <s v="通过"/>
  </r>
  <r>
    <s v="SIM-20260922-C006"/>
    <n v="1"/>
    <s v="C006"/>
    <d v="2026-09-22T00:00:00"/>
    <s v="P010"/>
    <s v="公斤"/>
    <n v="10.5"/>
    <n v="10.5"/>
    <n v="0"/>
    <n v="4.9000000000000004"/>
    <s v="正常交付"/>
    <s v="true"/>
    <s v="空心菜"/>
    <s v="散装鲜菜"/>
    <x v="5"/>
    <n v="51.45"/>
    <n v="0"/>
    <n v="51.45"/>
    <s v=""/>
    <s v=""/>
    <s v=""/>
    <s v=""/>
    <s v="通过"/>
  </r>
  <r>
    <s v="SIM-20260922-C006"/>
    <n v="2"/>
    <s v="C006"/>
    <d v="2026-09-22T00:00:00"/>
    <s v="P004"/>
    <s v="公斤"/>
    <n v="9.1999999999999993"/>
    <n v="9.1999999999999993"/>
    <n v="0"/>
    <n v="2.2999999999999998"/>
    <s v="正常交付"/>
    <s v="true"/>
    <s v="冬瓜"/>
    <s v="散装鲜菜"/>
    <x v="5"/>
    <n v="21.16"/>
    <n v="0"/>
    <n v="21.16"/>
    <s v=""/>
    <s v=""/>
    <s v=""/>
    <s v=""/>
    <s v="通过"/>
  </r>
  <r>
    <s v="SIM-20260922-C006"/>
    <n v="3"/>
    <s v="C006"/>
    <d v="2026-09-22T00:00:00"/>
    <s v="P013"/>
    <s v="公斤"/>
    <n v="6.6"/>
    <n v="6.6"/>
    <n v="0"/>
    <n v="6.1"/>
    <s v="正常交付"/>
    <s v="true"/>
    <s v="豇豆"/>
    <s v="散装鲜菜"/>
    <x v="5"/>
    <n v="40.26"/>
    <n v="0"/>
    <n v="40.26"/>
    <s v=""/>
    <s v=""/>
    <s v=""/>
    <s v=""/>
    <s v="通过"/>
  </r>
  <r>
    <s v="SIM-20260922-C006"/>
    <n v="4"/>
    <s v="C006"/>
    <d v="2026-09-22T00:00:00"/>
    <s v="P001"/>
    <s v="公斤"/>
    <n v="7.9"/>
    <n v="7.9"/>
    <n v="0"/>
    <n v="3.5"/>
    <s v="正常交付"/>
    <s v="true"/>
    <s v="土豆"/>
    <s v="散装鲜菜"/>
    <x v="5"/>
    <n v="27.65"/>
    <n v="0"/>
    <n v="27.65"/>
    <s v=""/>
    <s v=""/>
    <s v=""/>
    <s v=""/>
    <s v="通过"/>
  </r>
  <r>
    <s v="SIM-20260922-C006"/>
    <n v="5"/>
    <s v="C006"/>
    <d v="2026-09-22T00:00:00"/>
    <s v="P014"/>
    <s v="公斤"/>
    <n v="9.8000000000000007"/>
    <n v="9.8000000000000007"/>
    <n v="0"/>
    <n v="4.9000000000000004"/>
    <s v="正常交付"/>
    <s v="true"/>
    <s v="丝瓜"/>
    <s v="散装鲜菜"/>
    <x v="5"/>
    <n v="48.02"/>
    <n v="0"/>
    <n v="48.02"/>
    <s v=""/>
    <s v=""/>
    <s v=""/>
    <s v=""/>
    <s v="通过"/>
  </r>
  <r>
    <s v="SIM-20260922-C006"/>
    <n v="6"/>
    <s v="C006"/>
    <d v="2026-09-22T00:00:00"/>
    <s v="P008"/>
    <s v="公斤"/>
    <n v="4.5999999999999996"/>
    <n v="4.5999999999999996"/>
    <n v="0"/>
    <n v="3.9"/>
    <s v="正常交付"/>
    <s v="true"/>
    <s v="黄瓜"/>
    <s v="散装鲜菜"/>
    <x v="5"/>
    <n v="17.940000000000001"/>
    <n v="0"/>
    <n v="17.940000000000001"/>
    <s v=""/>
    <s v=""/>
    <s v=""/>
    <s v=""/>
    <s v="通过"/>
  </r>
  <r>
    <s v="SIM-20260922-C006"/>
    <n v="7"/>
    <s v="C006"/>
    <d v="2026-09-22T00:00:00"/>
    <s v="P015"/>
    <s v="公斤"/>
    <n v="1"/>
    <n v="1"/>
    <n v="0"/>
    <n v="7.8"/>
    <s v="正常交付"/>
    <s v="true"/>
    <s v="小葱"/>
    <s v="散装鲜菜"/>
    <x v="5"/>
    <n v="7.8"/>
    <n v="0"/>
    <n v="7.8"/>
    <s v=""/>
    <s v=""/>
    <s v=""/>
    <s v=""/>
    <s v="通过"/>
  </r>
  <r>
    <s v="SIM-20260923-C001"/>
    <n v="1"/>
    <s v="C001"/>
    <d v="2026-09-23T00:00:00"/>
    <s v="P011"/>
    <s v="公斤"/>
    <n v="3.3"/>
    <n v="3.3"/>
    <n v="0.3"/>
    <n v="4.8"/>
    <s v="正常交付；签收时挑出黄叶退回"/>
    <s v="true"/>
    <s v="红薯叶"/>
    <s v="散装鲜菜"/>
    <x v="0"/>
    <n v="15.84"/>
    <n v="1.44"/>
    <n v="14.4"/>
    <s v=""/>
    <s v=""/>
    <s v=""/>
    <s v=""/>
    <s v="通过"/>
  </r>
  <r>
    <s v="SIM-20260923-C001"/>
    <n v="2"/>
    <s v="C001"/>
    <d v="2026-09-23T00:00:00"/>
    <s v="P008"/>
    <s v="公斤"/>
    <n v="2.5"/>
    <n v="2.5"/>
    <n v="0"/>
    <n v="3.9"/>
    <s v="正常交付"/>
    <s v="true"/>
    <s v="黄瓜"/>
    <s v="散装鲜菜"/>
    <x v="0"/>
    <n v="9.75"/>
    <n v="0"/>
    <n v="9.75"/>
    <s v=""/>
    <s v=""/>
    <s v=""/>
    <s v=""/>
    <s v="通过"/>
  </r>
  <r>
    <s v="SIM-20260923-C001"/>
    <n v="3"/>
    <s v="C001"/>
    <d v="2026-09-23T00:00:00"/>
    <s v="P006"/>
    <s v="公斤"/>
    <n v="3.3"/>
    <n v="3"/>
    <n v="0"/>
    <n v="4.5999999999999996"/>
    <s v="到货不足；按实际交付计费"/>
    <s v="true"/>
    <s v="茄子"/>
    <s v="散装鲜菜"/>
    <x v="0"/>
    <n v="13.8"/>
    <n v="0"/>
    <n v="13.8"/>
    <s v=""/>
    <s v=""/>
    <s v=""/>
    <s v=""/>
    <s v="通过"/>
  </r>
  <r>
    <s v="SIM-20260923-C001"/>
    <n v="4"/>
    <s v="C001"/>
    <d v="2026-09-23T00:00:00"/>
    <s v="P005"/>
    <s v="公斤"/>
    <n v="2.8"/>
    <n v="2.8"/>
    <n v="0"/>
    <n v="2.7"/>
    <s v="正常交付"/>
    <s v="true"/>
    <s v="南瓜"/>
    <s v="散装鲜菜"/>
    <x v="0"/>
    <n v="7.56"/>
    <n v="0"/>
    <n v="7.56"/>
    <s v=""/>
    <s v=""/>
    <s v=""/>
    <s v=""/>
    <s v="通过"/>
  </r>
  <r>
    <s v="SIM-20260923-C002"/>
    <n v="1"/>
    <s v="C002"/>
    <d v="2026-09-23T00:00:00"/>
    <s v="P011"/>
    <s v="公斤"/>
    <n v="7.5"/>
    <n v="7.5"/>
    <n v="0.2"/>
    <n v="4.8"/>
    <s v="正常交付；签收时挑出黄叶退回"/>
    <s v="true"/>
    <s v="红薯叶"/>
    <s v="散装鲜菜"/>
    <x v="1"/>
    <n v="36"/>
    <n v="0.96"/>
    <n v="35.04"/>
    <s v=""/>
    <s v=""/>
    <s v=""/>
    <s v=""/>
    <s v="通过"/>
  </r>
  <r>
    <s v="SIM-20260923-C002"/>
    <n v="2"/>
    <s v="C002"/>
    <d v="2026-09-23T00:00:00"/>
    <s v="P008"/>
    <s v="公斤"/>
    <n v="3.8"/>
    <n v="3.8"/>
    <n v="0"/>
    <n v="3.9"/>
    <s v="正常交付"/>
    <s v="true"/>
    <s v="黄瓜"/>
    <s v="散装鲜菜"/>
    <x v="1"/>
    <n v="14.82"/>
    <n v="0"/>
    <n v="14.82"/>
    <s v=""/>
    <s v=""/>
    <s v=""/>
    <s v=""/>
    <s v="通过"/>
  </r>
  <r>
    <s v="SIM-20260923-C002"/>
    <n v="3"/>
    <s v="C002"/>
    <d v="2026-09-23T00:00:00"/>
    <s v="P009"/>
    <s v="公斤"/>
    <n v="7.5"/>
    <n v="7.5"/>
    <n v="0"/>
    <n v="4.9000000000000004"/>
    <s v="正常交付"/>
    <s v="true"/>
    <s v="西红柿"/>
    <s v="散装鲜菜"/>
    <x v="1"/>
    <n v="36.75"/>
    <n v="0"/>
    <n v="36.75"/>
    <s v=""/>
    <s v=""/>
    <s v=""/>
    <s v=""/>
    <s v="通过"/>
  </r>
  <r>
    <s v="SIM-20260923-C002"/>
    <n v="4"/>
    <s v="C002"/>
    <d v="2026-09-23T00:00:00"/>
    <s v="P004"/>
    <s v="公斤"/>
    <n v="7"/>
    <n v="7"/>
    <n v="0"/>
    <n v="2.2999999999999998"/>
    <s v="正常交付"/>
    <s v="true"/>
    <s v="冬瓜"/>
    <s v="散装鲜菜"/>
    <x v="1"/>
    <n v="16.100000000000001"/>
    <n v="0"/>
    <n v="16.100000000000001"/>
    <s v=""/>
    <s v=""/>
    <s v=""/>
    <s v=""/>
    <s v="通过"/>
  </r>
  <r>
    <s v="SIM-20260923-C002"/>
    <n v="5"/>
    <s v="C002"/>
    <d v="2026-09-23T00:00:00"/>
    <s v="P006"/>
    <s v="公斤"/>
    <n v="3.3"/>
    <n v="3.3"/>
    <n v="0"/>
    <n v="4.5999999999999996"/>
    <s v="正常交付"/>
    <s v="true"/>
    <s v="茄子"/>
    <s v="散装鲜菜"/>
    <x v="1"/>
    <n v="15.18"/>
    <n v="0"/>
    <n v="15.18"/>
    <s v=""/>
    <s v=""/>
    <s v=""/>
    <s v=""/>
    <s v="通过"/>
  </r>
  <r>
    <s v="SIM-20260923-C003"/>
    <n v="1"/>
    <s v="C003"/>
    <d v="2026-09-23T00:00:00"/>
    <s v="P011"/>
    <s v="公斤"/>
    <n v="7.3"/>
    <n v="7.3"/>
    <n v="0"/>
    <n v="4.8"/>
    <s v="正常交付"/>
    <s v="true"/>
    <s v="红薯叶"/>
    <s v="散装鲜菜"/>
    <x v="2"/>
    <n v="35.04"/>
    <n v="0"/>
    <n v="35.04"/>
    <s v=""/>
    <s v=""/>
    <s v=""/>
    <s v=""/>
    <s v="通过"/>
  </r>
  <r>
    <s v="SIM-20260923-C003"/>
    <n v="2"/>
    <s v="C003"/>
    <d v="2026-09-23T00:00:00"/>
    <s v="P003"/>
    <s v="公斤"/>
    <n v="6.6"/>
    <n v="6.6"/>
    <n v="0"/>
    <n v="2.9"/>
    <s v="正常交付"/>
    <s v="true"/>
    <s v="包菜"/>
    <s v="散装鲜菜"/>
    <x v="2"/>
    <n v="19.14"/>
    <n v="0"/>
    <n v="19.14"/>
    <s v=""/>
    <s v=""/>
    <s v=""/>
    <s v=""/>
    <s v="通过"/>
  </r>
  <r>
    <s v="SIM-20260923-C003"/>
    <n v="3"/>
    <s v="C003"/>
    <d v="2026-09-23T00:00:00"/>
    <s v="P007"/>
    <s v="公斤"/>
    <n v="7.3"/>
    <n v="7.3"/>
    <n v="0"/>
    <n v="4.95"/>
    <s v="正常交付"/>
    <s v="true"/>
    <s v="青椒"/>
    <s v="散装鲜菜"/>
    <x v="2"/>
    <n v="36.14"/>
    <n v="0"/>
    <n v="36.14"/>
    <s v=""/>
    <s v=""/>
    <s v=""/>
    <s v=""/>
    <s v="通过"/>
  </r>
  <r>
    <s v="SIM-20260923-C003"/>
    <n v="4"/>
    <s v="C003"/>
    <d v="2026-09-23T00:00:00"/>
    <s v="P009"/>
    <s v="公斤"/>
    <n v="5.3"/>
    <n v="5.3"/>
    <n v="0"/>
    <n v="4.9000000000000004"/>
    <s v="正常交付"/>
    <s v="true"/>
    <s v="西红柿"/>
    <s v="散装鲜菜"/>
    <x v="2"/>
    <n v="25.97"/>
    <n v="0"/>
    <n v="25.97"/>
    <s v=""/>
    <s v=""/>
    <s v=""/>
    <s v=""/>
    <s v="通过"/>
  </r>
  <r>
    <s v="SIM-20260923-C003"/>
    <n v="5"/>
    <s v="C003"/>
    <d v="2026-09-23T00:00:00"/>
    <s v="P006"/>
    <s v="公斤"/>
    <n v="8"/>
    <n v="8"/>
    <n v="0"/>
    <n v="4.5999999999999996"/>
    <s v="正常交付"/>
    <s v="true"/>
    <s v="茄子"/>
    <s v="散装鲜菜"/>
    <x v="2"/>
    <n v="36.799999999999997"/>
    <n v="0"/>
    <n v="36.799999999999997"/>
    <s v=""/>
    <s v=""/>
    <s v=""/>
    <s v=""/>
    <s v="通过"/>
  </r>
  <r>
    <s v="SIM-20260923-C003"/>
    <n v="6"/>
    <s v="C003"/>
    <d v="2026-09-23T00:00:00"/>
    <s v="P002"/>
    <s v="公斤"/>
    <n v="8"/>
    <n v="8"/>
    <n v="0"/>
    <n v="2.5"/>
    <s v="正常交付"/>
    <s v="true"/>
    <s v="白萝卜"/>
    <s v="散装鲜菜"/>
    <x v="2"/>
    <n v="20"/>
    <n v="0"/>
    <n v="20"/>
    <s v=""/>
    <s v=""/>
    <s v=""/>
    <s v=""/>
    <s v="通过"/>
  </r>
  <r>
    <s v="SIM-20260923-C005"/>
    <n v="1"/>
    <s v="C005"/>
    <d v="2026-09-23T00:00:00"/>
    <s v="P012"/>
    <s v="公斤"/>
    <n v="6.4"/>
    <n v="6.4"/>
    <n v="0"/>
    <n v="5"/>
    <s v="正常交付"/>
    <s v="true"/>
    <s v="小白菜"/>
    <s v="散装鲜菜"/>
    <x v="4"/>
    <n v="32"/>
    <n v="0"/>
    <n v="32"/>
    <s v=""/>
    <s v=""/>
    <s v=""/>
    <s v=""/>
    <s v="通过"/>
  </r>
  <r>
    <s v="SIM-20260923-C005"/>
    <n v="2"/>
    <s v="C005"/>
    <d v="2026-09-23T00:00:00"/>
    <s v="P014"/>
    <s v="公斤"/>
    <n v="8"/>
    <n v="8"/>
    <n v="0"/>
    <n v="4.9000000000000004"/>
    <s v="正常交付"/>
    <s v="true"/>
    <s v="丝瓜"/>
    <s v="散装鲜菜"/>
    <x v="4"/>
    <n v="39.200000000000003"/>
    <n v="0"/>
    <n v="39.200000000000003"/>
    <s v=""/>
    <s v=""/>
    <s v=""/>
    <s v=""/>
    <s v="通过"/>
  </r>
  <r>
    <s v="SIM-20260923-C005"/>
    <n v="3"/>
    <s v="C005"/>
    <d v="2026-09-23T00:00:00"/>
    <s v="P013"/>
    <s v="公斤"/>
    <n v="11.2"/>
    <n v="11.2"/>
    <n v="0"/>
    <n v="6.1"/>
    <s v="正常交付"/>
    <s v="true"/>
    <s v="豇豆"/>
    <s v="散装鲜菜"/>
    <x v="4"/>
    <n v="68.319999999999993"/>
    <n v="0"/>
    <n v="68.319999999999993"/>
    <s v=""/>
    <s v=""/>
    <s v=""/>
    <s v=""/>
    <s v="通过"/>
  </r>
  <r>
    <s v="SIM-20260923-C005"/>
    <n v="4"/>
    <s v="C005"/>
    <d v="2026-09-23T00:00:00"/>
    <s v="P007"/>
    <s v="公斤"/>
    <n v="8.8000000000000007"/>
    <n v="8.8000000000000007"/>
    <n v="0"/>
    <n v="4.95"/>
    <s v="正常交付"/>
    <s v="true"/>
    <s v="青椒"/>
    <s v="散装鲜菜"/>
    <x v="4"/>
    <n v="43.56"/>
    <n v="0"/>
    <n v="43.56"/>
    <s v=""/>
    <s v=""/>
    <s v=""/>
    <s v=""/>
    <s v="通过"/>
  </r>
  <r>
    <s v="SIM-20260923-C005"/>
    <n v="5"/>
    <s v="C005"/>
    <d v="2026-09-23T00:00:00"/>
    <s v="P008"/>
    <s v="公斤"/>
    <n v="12"/>
    <n v="12"/>
    <n v="0"/>
    <n v="3.9"/>
    <s v="正常交付"/>
    <s v="true"/>
    <s v="黄瓜"/>
    <s v="散装鲜菜"/>
    <x v="4"/>
    <n v="46.8"/>
    <n v="0"/>
    <n v="46.8"/>
    <s v=""/>
    <s v=""/>
    <s v=""/>
    <s v=""/>
    <s v="通过"/>
  </r>
  <r>
    <s v="SIM-20260923-C005"/>
    <n v="6"/>
    <s v="C005"/>
    <d v="2026-09-23T00:00:00"/>
    <s v="P003"/>
    <s v="公斤"/>
    <n v="8"/>
    <n v="8"/>
    <n v="0"/>
    <n v="2.9"/>
    <s v="正常交付"/>
    <s v="true"/>
    <s v="包菜"/>
    <s v="散装鲜菜"/>
    <x v="4"/>
    <n v="23.2"/>
    <n v="0"/>
    <n v="23.2"/>
    <s v=""/>
    <s v=""/>
    <s v=""/>
    <s v=""/>
    <s v="通过"/>
  </r>
  <r>
    <s v="SIM-20260923-C006"/>
    <n v="1"/>
    <s v="C006"/>
    <d v="2026-09-23T00:00:00"/>
    <s v="P010"/>
    <s v="公斤"/>
    <n v="6.2"/>
    <n v="6.2"/>
    <n v="0"/>
    <n v="4.9000000000000004"/>
    <s v="正常交付"/>
    <s v="true"/>
    <s v="空心菜"/>
    <s v="散装鲜菜"/>
    <x v="5"/>
    <n v="30.38"/>
    <n v="0"/>
    <n v="30.38"/>
    <s v=""/>
    <s v=""/>
    <s v=""/>
    <s v=""/>
    <s v="通过"/>
  </r>
  <r>
    <s v="SIM-20260923-C006"/>
    <n v="2"/>
    <s v="C006"/>
    <d v="2026-09-23T00:00:00"/>
    <s v="P007"/>
    <s v="公斤"/>
    <n v="10.4"/>
    <n v="10.4"/>
    <n v="0"/>
    <n v="4.95"/>
    <s v="正常交付"/>
    <s v="true"/>
    <s v="青椒"/>
    <s v="散装鲜菜"/>
    <x v="5"/>
    <n v="51.48"/>
    <n v="0"/>
    <n v="51.48"/>
    <s v=""/>
    <s v=""/>
    <s v=""/>
    <s v=""/>
    <s v="通过"/>
  </r>
  <r>
    <s v="SIM-20260923-C006"/>
    <n v="3"/>
    <s v="C006"/>
    <d v="2026-09-23T00:00:00"/>
    <s v="P006"/>
    <s v="公斤"/>
    <n v="8.3000000000000007"/>
    <n v="8.3000000000000007"/>
    <n v="0"/>
    <n v="4.5999999999999996"/>
    <s v="正常交付"/>
    <s v="true"/>
    <s v="茄子"/>
    <s v="散装鲜菜"/>
    <x v="5"/>
    <n v="38.18"/>
    <n v="0"/>
    <n v="38.18"/>
    <s v=""/>
    <s v=""/>
    <s v=""/>
    <s v=""/>
    <s v="通过"/>
  </r>
  <r>
    <s v="SIM-20260923-C006"/>
    <n v="4"/>
    <s v="C006"/>
    <d v="2026-09-23T00:00:00"/>
    <s v="P013"/>
    <s v="公斤"/>
    <n v="4.9000000000000004"/>
    <n v="4.9000000000000004"/>
    <n v="0"/>
    <n v="6.1"/>
    <s v="正常交付"/>
    <s v="true"/>
    <s v="豇豆"/>
    <s v="散装鲜菜"/>
    <x v="5"/>
    <n v="29.89"/>
    <n v="0"/>
    <n v="29.89"/>
    <s v=""/>
    <s v=""/>
    <s v=""/>
    <s v=""/>
    <s v="通过"/>
  </r>
  <r>
    <s v="SIM-20260923-C006"/>
    <n v="5"/>
    <s v="C006"/>
    <d v="2026-09-23T00:00:00"/>
    <s v="P005"/>
    <s v="公斤"/>
    <n v="5.5"/>
    <n v="5.5"/>
    <n v="0"/>
    <n v="2.7"/>
    <s v="正常交付"/>
    <s v="true"/>
    <s v="南瓜"/>
    <s v="散装鲜菜"/>
    <x v="5"/>
    <n v="14.85"/>
    <n v="0"/>
    <n v="14.85"/>
    <s v=""/>
    <s v=""/>
    <s v=""/>
    <s v=""/>
    <s v="通过"/>
  </r>
  <r>
    <s v="SIM-20260923-C006"/>
    <n v="6"/>
    <s v="C006"/>
    <d v="2026-09-23T00:00:00"/>
    <s v="P009"/>
    <s v="公斤"/>
    <n v="8.3000000000000007"/>
    <n v="8.3000000000000007"/>
    <n v="0"/>
    <n v="4.9000000000000004"/>
    <s v="正常交付"/>
    <s v="true"/>
    <s v="西红柿"/>
    <s v="散装鲜菜"/>
    <x v="5"/>
    <n v="40.67"/>
    <n v="0"/>
    <n v="40.67"/>
    <s v=""/>
    <s v=""/>
    <s v=""/>
    <s v=""/>
    <s v="通过"/>
  </r>
  <r>
    <s v="SIM-20260923-C006"/>
    <n v="7"/>
    <s v="C006"/>
    <d v="2026-09-23T00:00:00"/>
    <s v="P016"/>
    <s v="公斤"/>
    <n v="9"/>
    <n v="9"/>
    <n v="0"/>
    <n v="10.4"/>
    <s v="正常交付"/>
    <s v="true"/>
    <s v="鸡蛋"/>
    <s v="普通鲜鸡蛋按净重"/>
    <x v="5"/>
    <n v="93.6"/>
    <n v="0"/>
    <n v="93.6"/>
    <s v=""/>
    <s v=""/>
    <s v=""/>
    <s v=""/>
    <s v="通过"/>
  </r>
  <r>
    <s v="SIM-20260924-C001"/>
    <n v="1"/>
    <s v="C001"/>
    <d v="2026-09-24T00:00:00"/>
    <s v="P010"/>
    <s v="公斤"/>
    <n v="2.8"/>
    <n v="2.8"/>
    <n v="0"/>
    <n v="4.9000000000000004"/>
    <s v="正常交付"/>
    <s v="true"/>
    <s v="空心菜"/>
    <s v="散装鲜菜"/>
    <x v="0"/>
    <n v="13.72"/>
    <n v="0"/>
    <n v="13.72"/>
    <s v=""/>
    <s v=""/>
    <s v=""/>
    <s v=""/>
    <s v="通过"/>
  </r>
  <r>
    <s v="SIM-20260924-C001"/>
    <n v="2"/>
    <s v="C001"/>
    <d v="2026-09-24T00:00:00"/>
    <s v="P001"/>
    <s v="公斤"/>
    <n v="2.8"/>
    <n v="2.8"/>
    <n v="0"/>
    <n v="3.5"/>
    <s v="正常交付"/>
    <s v="true"/>
    <s v="土豆"/>
    <s v="散装鲜菜"/>
    <x v="0"/>
    <n v="9.8000000000000007"/>
    <n v="0"/>
    <n v="9.8000000000000007"/>
    <s v=""/>
    <s v=""/>
    <s v=""/>
    <s v=""/>
    <s v="通过"/>
  </r>
  <r>
    <s v="SIM-20260924-C001"/>
    <n v="3"/>
    <s v="C001"/>
    <d v="2026-09-24T00:00:00"/>
    <s v="P007"/>
    <s v="公斤"/>
    <n v="2.6"/>
    <n v="2.6"/>
    <n v="0"/>
    <n v="4.95"/>
    <s v="正常交付"/>
    <s v="true"/>
    <s v="青椒"/>
    <s v="散装鲜菜"/>
    <x v="0"/>
    <n v="12.87"/>
    <n v="0"/>
    <n v="12.87"/>
    <s v=""/>
    <s v=""/>
    <s v=""/>
    <s v=""/>
    <s v="通过"/>
  </r>
  <r>
    <s v="SIM-20260924-C001"/>
    <n v="4"/>
    <s v="C001"/>
    <d v="2026-09-24T00:00:00"/>
    <s v="P009"/>
    <s v="公斤"/>
    <n v="2.6"/>
    <n v="2.6"/>
    <n v="0"/>
    <n v="4.9000000000000004"/>
    <s v="正常交付"/>
    <s v="true"/>
    <s v="西红柿"/>
    <s v="散装鲜菜"/>
    <x v="0"/>
    <n v="12.74"/>
    <n v="0"/>
    <n v="12.74"/>
    <s v=""/>
    <s v=""/>
    <s v=""/>
    <s v=""/>
    <s v="通过"/>
  </r>
  <r>
    <s v="SIM-20260924-C001"/>
    <n v="5"/>
    <s v="C001"/>
    <d v="2026-09-24T00:00:00"/>
    <s v="P016"/>
    <s v="公斤"/>
    <n v="3"/>
    <n v="3"/>
    <n v="0"/>
    <n v="10.4"/>
    <s v="正常交付"/>
    <s v="true"/>
    <s v="鸡蛋"/>
    <s v="普通鲜鸡蛋按净重"/>
    <x v="0"/>
    <n v="31.2"/>
    <n v="0"/>
    <n v="31.2"/>
    <s v=""/>
    <s v=""/>
    <s v=""/>
    <s v=""/>
    <s v="通过"/>
  </r>
  <r>
    <s v="SIM-20260924-C001"/>
    <n v="6"/>
    <s v="C001"/>
    <d v="2026-09-24T00:00:00"/>
    <s v="P019"/>
    <s v="桶"/>
    <n v="1"/>
    <n v="1"/>
    <n v="0"/>
    <n v="67"/>
    <s v="正常交付"/>
    <s v="true"/>
    <s v="菜籽油"/>
    <s v="5升/桶普通菜籽油"/>
    <x v="0"/>
    <n v="67"/>
    <n v="0"/>
    <n v="67"/>
    <s v=""/>
    <s v=""/>
    <s v=""/>
    <s v=""/>
    <s v="通过"/>
  </r>
  <r>
    <s v="SIM-20260924-C001"/>
    <n v="7"/>
    <s v="C001"/>
    <d v="2026-09-24T00:00:00"/>
    <s v="P018"/>
    <s v="袋"/>
    <n v="1"/>
    <n v="1"/>
    <n v="0"/>
    <n v="112"/>
    <s v="正常交付"/>
    <s v="true"/>
    <s v="小麦粉"/>
    <s v="25公斤/袋普通小麦粉"/>
    <x v="0"/>
    <n v="112"/>
    <n v="0"/>
    <n v="112"/>
    <s v=""/>
    <s v=""/>
    <s v=""/>
    <s v=""/>
    <s v="通过"/>
  </r>
  <r>
    <s v="SIM-20260924-C002"/>
    <n v="1"/>
    <s v="C002"/>
    <d v="2026-09-24T00:00:00"/>
    <s v="P011"/>
    <s v="公斤"/>
    <n v="4.5"/>
    <n v="4.5"/>
    <n v="0"/>
    <n v="4.8"/>
    <s v="正常交付"/>
    <s v="true"/>
    <s v="红薯叶"/>
    <s v="散装鲜菜"/>
    <x v="1"/>
    <n v="21.6"/>
    <n v="0"/>
    <n v="21.6"/>
    <s v=""/>
    <s v=""/>
    <s v=""/>
    <s v=""/>
    <s v="通过"/>
  </r>
  <r>
    <s v="SIM-20260924-C002"/>
    <n v="2"/>
    <s v="C002"/>
    <d v="2026-09-24T00:00:00"/>
    <s v="P007"/>
    <s v="公斤"/>
    <n v="7.9"/>
    <n v="7.7"/>
    <n v="0"/>
    <n v="4.95"/>
    <s v="到货不足；按实际交付计费"/>
    <s v="true"/>
    <s v="青椒"/>
    <s v="散装鲜菜"/>
    <x v="1"/>
    <n v="38.119999999999997"/>
    <n v="0"/>
    <n v="38.119999999999997"/>
    <s v=""/>
    <s v=""/>
    <s v=""/>
    <s v=""/>
    <s v="通过"/>
  </r>
  <r>
    <s v="SIM-20260924-C002"/>
    <n v="3"/>
    <s v="C002"/>
    <d v="2026-09-24T00:00:00"/>
    <s v="P008"/>
    <s v="公斤"/>
    <n v="6.4"/>
    <n v="6.4"/>
    <n v="0"/>
    <n v="3.9"/>
    <s v="正常交付"/>
    <s v="true"/>
    <s v="黄瓜"/>
    <s v="散装鲜菜"/>
    <x v="1"/>
    <n v="24.96"/>
    <n v="0"/>
    <n v="24.96"/>
    <s v=""/>
    <s v=""/>
    <s v=""/>
    <s v=""/>
    <s v="通过"/>
  </r>
  <r>
    <s v="SIM-20260924-C002"/>
    <n v="4"/>
    <s v="C002"/>
    <d v="2026-09-24T00:00:00"/>
    <s v="P001"/>
    <s v="公斤"/>
    <n v="5.5"/>
    <n v="5.5"/>
    <n v="0"/>
    <n v="3.5"/>
    <s v="正常交付"/>
    <s v="true"/>
    <s v="土豆"/>
    <s v="散装鲜菜"/>
    <x v="1"/>
    <n v="19.25"/>
    <n v="0"/>
    <n v="19.25"/>
    <s v=""/>
    <s v=""/>
    <s v=""/>
    <s v=""/>
    <s v="通过"/>
  </r>
  <r>
    <s v="SIM-20260924-C002"/>
    <n v="5"/>
    <s v="C002"/>
    <d v="2026-09-24T00:00:00"/>
    <s v="P003"/>
    <s v="公斤"/>
    <n v="4"/>
    <n v="4"/>
    <n v="0"/>
    <n v="2.9"/>
    <s v="正常交付"/>
    <s v="true"/>
    <s v="包菜"/>
    <s v="散装鲜菜"/>
    <x v="1"/>
    <n v="11.6"/>
    <n v="0"/>
    <n v="11.6"/>
    <s v=""/>
    <s v=""/>
    <s v=""/>
    <s v=""/>
    <s v="通过"/>
  </r>
  <r>
    <s v="SIM-20260924-C002"/>
    <n v="6"/>
    <s v="C002"/>
    <d v="2026-09-24T00:00:00"/>
    <s v="P016"/>
    <s v="公斤"/>
    <n v="4"/>
    <n v="4"/>
    <n v="0"/>
    <n v="10.4"/>
    <s v="正常交付"/>
    <s v="true"/>
    <s v="鸡蛋"/>
    <s v="普通鲜鸡蛋按净重"/>
    <x v="1"/>
    <n v="41.6"/>
    <n v="0"/>
    <n v="41.6"/>
    <s v=""/>
    <s v=""/>
    <s v=""/>
    <s v=""/>
    <s v="通过"/>
  </r>
  <r>
    <s v="SIM-20260924-C002"/>
    <n v="7"/>
    <s v="C002"/>
    <d v="2026-09-24T00:00:00"/>
    <s v="P017"/>
    <s v="袋"/>
    <n v="3"/>
    <n v="3"/>
    <n v="0"/>
    <n v="117"/>
    <s v="正常交付"/>
    <s v="true"/>
    <s v="籼米"/>
    <s v="25公斤/袋普通籼米"/>
    <x v="1"/>
    <n v="351"/>
    <n v="0"/>
    <n v="351"/>
    <s v=""/>
    <s v=""/>
    <s v=""/>
    <s v=""/>
    <s v="通过"/>
  </r>
  <r>
    <s v="SIM-20260924-C002"/>
    <n v="8"/>
    <s v="C002"/>
    <d v="2026-09-24T00:00:00"/>
    <s v="P019"/>
    <s v="桶"/>
    <n v="1"/>
    <n v="1"/>
    <n v="0"/>
    <n v="67"/>
    <s v="正常交付"/>
    <s v="true"/>
    <s v="菜籽油"/>
    <s v="5升/桶普通菜籽油"/>
    <x v="1"/>
    <n v="67"/>
    <n v="0"/>
    <n v="67"/>
    <s v=""/>
    <s v=""/>
    <s v=""/>
    <s v=""/>
    <s v="通过"/>
  </r>
  <r>
    <s v="SIM-20260924-C003"/>
    <n v="1"/>
    <s v="C003"/>
    <d v="2026-09-24T00:00:00"/>
    <s v="P010"/>
    <s v="公斤"/>
    <n v="8.4"/>
    <n v="8.4"/>
    <n v="0"/>
    <n v="4.9000000000000004"/>
    <s v="正常交付"/>
    <s v="true"/>
    <s v="空心菜"/>
    <s v="散装鲜菜"/>
    <x v="2"/>
    <n v="41.16"/>
    <n v="0"/>
    <n v="41.16"/>
    <s v=""/>
    <s v=""/>
    <s v=""/>
    <s v=""/>
    <s v="通过"/>
  </r>
  <r>
    <s v="SIM-20260924-C003"/>
    <n v="2"/>
    <s v="C003"/>
    <d v="2026-09-24T00:00:00"/>
    <s v="P013"/>
    <s v="公斤"/>
    <n v="7.1"/>
    <n v="7.1"/>
    <n v="0"/>
    <n v="6.1"/>
    <s v="正常交付"/>
    <s v="true"/>
    <s v="豇豆"/>
    <s v="散装鲜菜"/>
    <x v="2"/>
    <n v="43.31"/>
    <n v="0"/>
    <n v="43.31"/>
    <s v=""/>
    <s v=""/>
    <s v=""/>
    <s v=""/>
    <s v="通过"/>
  </r>
  <r>
    <s v="SIM-20260924-C003"/>
    <n v="3"/>
    <s v="C003"/>
    <d v="2026-09-24T00:00:00"/>
    <s v="P004"/>
    <s v="公斤"/>
    <n v="5.0999999999999996"/>
    <n v="5.0999999999999996"/>
    <n v="0"/>
    <n v="2.2999999999999998"/>
    <s v="正常交付"/>
    <s v="true"/>
    <s v="冬瓜"/>
    <s v="散装鲜菜"/>
    <x v="2"/>
    <n v="11.73"/>
    <n v="0"/>
    <n v="11.73"/>
    <s v=""/>
    <s v=""/>
    <s v=""/>
    <s v=""/>
    <s v="通过"/>
  </r>
  <r>
    <s v="SIM-20260924-C003"/>
    <n v="4"/>
    <s v="C003"/>
    <d v="2026-09-24T00:00:00"/>
    <s v="P002"/>
    <s v="公斤"/>
    <n v="5.8"/>
    <n v="5.8"/>
    <n v="0"/>
    <n v="2.5"/>
    <s v="正常交付"/>
    <s v="true"/>
    <s v="白萝卜"/>
    <s v="散装鲜菜"/>
    <x v="2"/>
    <n v="14.5"/>
    <n v="0"/>
    <n v="14.5"/>
    <s v=""/>
    <s v=""/>
    <s v=""/>
    <s v=""/>
    <s v="通过"/>
  </r>
  <r>
    <s v="SIM-20260924-C003"/>
    <n v="5"/>
    <s v="C003"/>
    <d v="2026-09-24T00:00:00"/>
    <s v="P014"/>
    <s v="公斤"/>
    <n v="9"/>
    <n v="9"/>
    <n v="0"/>
    <n v="4.9000000000000004"/>
    <s v="正常交付"/>
    <s v="true"/>
    <s v="丝瓜"/>
    <s v="散装鲜菜"/>
    <x v="2"/>
    <n v="44.1"/>
    <n v="0"/>
    <n v="44.1"/>
    <s v=""/>
    <s v=""/>
    <s v=""/>
    <s v=""/>
    <s v="通过"/>
  </r>
  <r>
    <s v="SIM-20260924-C003"/>
    <n v="6"/>
    <s v="C003"/>
    <d v="2026-09-24T00:00:00"/>
    <s v="P006"/>
    <s v="公斤"/>
    <n v="5.8"/>
    <n v="5.8"/>
    <n v="0"/>
    <n v="4.5999999999999996"/>
    <s v="正常交付"/>
    <s v="true"/>
    <s v="茄子"/>
    <s v="散装鲜菜"/>
    <x v="2"/>
    <n v="26.68"/>
    <n v="0"/>
    <n v="26.68"/>
    <s v=""/>
    <s v=""/>
    <s v=""/>
    <s v=""/>
    <s v="通过"/>
  </r>
  <r>
    <s v="SIM-20260924-C003"/>
    <n v="7"/>
    <s v="C003"/>
    <d v="2026-09-24T00:00:00"/>
    <s v="P016"/>
    <s v="公斤"/>
    <n v="6"/>
    <n v="6"/>
    <n v="0"/>
    <n v="10.4"/>
    <s v="正常交付"/>
    <s v="true"/>
    <s v="鸡蛋"/>
    <s v="普通鲜鸡蛋按净重"/>
    <x v="2"/>
    <n v="62.4"/>
    <n v="0"/>
    <n v="62.4"/>
    <s v=""/>
    <s v=""/>
    <s v=""/>
    <s v=""/>
    <s v="通过"/>
  </r>
  <r>
    <s v="SIM-20260924-C003"/>
    <n v="8"/>
    <s v="C003"/>
    <d v="2026-09-24T00:00:00"/>
    <s v="P017"/>
    <s v="袋"/>
    <n v="5"/>
    <n v="5"/>
    <n v="0"/>
    <n v="117"/>
    <s v="正常交付"/>
    <s v="true"/>
    <s v="籼米"/>
    <s v="25公斤/袋普通籼米"/>
    <x v="2"/>
    <n v="585"/>
    <n v="0"/>
    <n v="585"/>
    <s v=""/>
    <s v=""/>
    <s v=""/>
    <s v=""/>
    <s v="通过"/>
  </r>
  <r>
    <s v="SIM-20260924-C003"/>
    <n v="9"/>
    <s v="C003"/>
    <d v="2026-09-24T00:00:00"/>
    <s v="P020"/>
    <s v="桶"/>
    <n v="2"/>
    <n v="2"/>
    <n v="0"/>
    <n v="60"/>
    <s v="正常交付"/>
    <s v="true"/>
    <s v="大豆油"/>
    <s v="5升/桶普通大豆油"/>
    <x v="2"/>
    <n v="120"/>
    <n v="0"/>
    <n v="120"/>
    <s v=""/>
    <s v=""/>
    <s v=""/>
    <s v=""/>
    <s v="通过"/>
  </r>
  <r>
    <s v="SIM-20260924-C004"/>
    <n v="1"/>
    <s v="C004"/>
    <d v="2026-09-24T00:00:00"/>
    <s v="P011"/>
    <s v="公斤"/>
    <n v="6.2"/>
    <n v="6.2"/>
    <n v="0"/>
    <n v="4.8"/>
    <s v="正常交付"/>
    <s v="true"/>
    <s v="红薯叶"/>
    <s v="散装鲜菜"/>
    <x v="3"/>
    <n v="29.76"/>
    <n v="0"/>
    <n v="29.76"/>
    <s v=""/>
    <s v=""/>
    <s v=""/>
    <s v=""/>
    <s v="通过"/>
  </r>
  <r>
    <s v="SIM-20260924-C004"/>
    <n v="2"/>
    <s v="C004"/>
    <d v="2026-09-24T00:00:00"/>
    <s v="P004"/>
    <s v="公斤"/>
    <n v="6.8"/>
    <n v="6.8"/>
    <n v="0"/>
    <n v="2.2999999999999998"/>
    <s v="正常交付"/>
    <s v="true"/>
    <s v="冬瓜"/>
    <s v="散装鲜菜"/>
    <x v="3"/>
    <n v="15.64"/>
    <n v="0"/>
    <n v="15.64"/>
    <s v=""/>
    <s v=""/>
    <s v=""/>
    <s v=""/>
    <s v="通过"/>
  </r>
  <r>
    <s v="SIM-20260924-C004"/>
    <n v="3"/>
    <s v="C004"/>
    <d v="2026-09-24T00:00:00"/>
    <s v="P009"/>
    <s v="公斤"/>
    <n v="10.9"/>
    <n v="10.9"/>
    <n v="0"/>
    <n v="4.9000000000000004"/>
    <s v="正常交付"/>
    <s v="true"/>
    <s v="西红柿"/>
    <s v="散装鲜菜"/>
    <x v="3"/>
    <n v="53.41"/>
    <n v="0"/>
    <n v="53.41"/>
    <s v=""/>
    <s v=""/>
    <s v=""/>
    <s v=""/>
    <s v="通过"/>
  </r>
  <r>
    <s v="SIM-20260924-C004"/>
    <n v="4"/>
    <s v="C004"/>
    <d v="2026-09-24T00:00:00"/>
    <s v="P001"/>
    <s v="公斤"/>
    <n v="5.5"/>
    <n v="5.5"/>
    <n v="0"/>
    <n v="3.5"/>
    <s v="正常交付"/>
    <s v="true"/>
    <s v="土豆"/>
    <s v="散装鲜菜"/>
    <x v="3"/>
    <n v="19.25"/>
    <n v="0"/>
    <n v="19.25"/>
    <s v=""/>
    <s v=""/>
    <s v=""/>
    <s v=""/>
    <s v="通过"/>
  </r>
  <r>
    <s v="SIM-20260924-C004"/>
    <n v="5"/>
    <s v="C004"/>
    <d v="2026-09-24T00:00:00"/>
    <s v="P008"/>
    <s v="公斤"/>
    <n v="6.8"/>
    <n v="6.8"/>
    <n v="0"/>
    <n v="3.9"/>
    <s v="正常交付"/>
    <s v="true"/>
    <s v="黄瓜"/>
    <s v="散装鲜菜"/>
    <x v="3"/>
    <n v="26.52"/>
    <n v="0"/>
    <n v="26.52"/>
    <s v=""/>
    <s v=""/>
    <s v=""/>
    <s v=""/>
    <s v="通过"/>
  </r>
  <r>
    <s v="SIM-20260924-C004"/>
    <n v="6"/>
    <s v="C004"/>
    <d v="2026-09-24T00:00:00"/>
    <s v="P014"/>
    <s v="公斤"/>
    <n v="4.8"/>
    <n v="4.8"/>
    <n v="0"/>
    <n v="4.9000000000000004"/>
    <s v="正常交付"/>
    <s v="true"/>
    <s v="丝瓜"/>
    <s v="散装鲜菜"/>
    <x v="3"/>
    <n v="23.52"/>
    <n v="0"/>
    <n v="23.52"/>
    <s v=""/>
    <s v=""/>
    <s v=""/>
    <s v=""/>
    <s v="通过"/>
  </r>
  <r>
    <s v="SIM-20260924-C004"/>
    <n v="7"/>
    <s v="C004"/>
    <d v="2026-09-24T00:00:00"/>
    <s v="P016"/>
    <s v="公斤"/>
    <n v="5"/>
    <n v="5"/>
    <n v="0"/>
    <n v="10.4"/>
    <s v="正常交付"/>
    <s v="true"/>
    <s v="鸡蛋"/>
    <s v="普通鲜鸡蛋按净重"/>
    <x v="3"/>
    <n v="52"/>
    <n v="0"/>
    <n v="52"/>
    <s v=""/>
    <s v=""/>
    <s v=""/>
    <s v=""/>
    <s v="通过"/>
  </r>
  <r>
    <s v="SIM-20260924-C004"/>
    <n v="8"/>
    <s v="C004"/>
    <d v="2026-09-24T00:00:00"/>
    <s v="P017"/>
    <s v="袋"/>
    <n v="3"/>
    <n v="3"/>
    <n v="0"/>
    <n v="117"/>
    <s v="正常交付"/>
    <s v="true"/>
    <s v="籼米"/>
    <s v="25公斤/袋普通籼米"/>
    <x v="3"/>
    <n v="351"/>
    <n v="0"/>
    <n v="351"/>
    <s v=""/>
    <s v=""/>
    <s v=""/>
    <s v=""/>
    <s v="通过"/>
  </r>
  <r>
    <s v="SIM-20260924-C004"/>
    <n v="9"/>
    <s v="C004"/>
    <d v="2026-09-24T00:00:00"/>
    <s v="P019"/>
    <s v="桶"/>
    <n v="1"/>
    <n v="1"/>
    <n v="0"/>
    <n v="67"/>
    <s v="正常交付"/>
    <s v="true"/>
    <s v="菜籽油"/>
    <s v="5升/桶普通菜籽油"/>
    <x v="3"/>
    <n v="67"/>
    <n v="0"/>
    <n v="67"/>
    <s v=""/>
    <s v=""/>
    <s v=""/>
    <s v=""/>
    <s v="通过"/>
  </r>
  <r>
    <s v="SIM-20260924-C005"/>
    <n v="1"/>
    <s v="C005"/>
    <d v="2026-09-24T00:00:00"/>
    <s v="P012"/>
    <s v="公斤"/>
    <n v="11.7"/>
    <n v="11.7"/>
    <n v="0"/>
    <n v="5"/>
    <s v="正常交付"/>
    <s v="true"/>
    <s v="小白菜"/>
    <s v="散装鲜菜"/>
    <x v="4"/>
    <n v="58.5"/>
    <n v="0"/>
    <n v="58.5"/>
    <s v=""/>
    <s v=""/>
    <s v=""/>
    <s v=""/>
    <s v="通过"/>
  </r>
  <r>
    <s v="SIM-20260924-C005"/>
    <n v="2"/>
    <s v="C005"/>
    <d v="2026-09-24T00:00:00"/>
    <s v="P013"/>
    <s v="公斤"/>
    <n v="10"/>
    <n v="10"/>
    <n v="0"/>
    <n v="6.1"/>
    <s v="正常交付"/>
    <s v="true"/>
    <s v="豇豆"/>
    <s v="散装鲜菜"/>
    <x v="4"/>
    <n v="61"/>
    <n v="0"/>
    <n v="61"/>
    <s v=""/>
    <s v=""/>
    <s v=""/>
    <s v=""/>
    <s v="通过"/>
  </r>
  <r>
    <s v="SIM-20260924-C005"/>
    <n v="3"/>
    <s v="C005"/>
    <d v="2026-09-24T00:00:00"/>
    <s v="P014"/>
    <s v="公斤"/>
    <n v="13.4"/>
    <n v="13.4"/>
    <n v="0"/>
    <n v="4.9000000000000004"/>
    <s v="正常交付"/>
    <s v="true"/>
    <s v="丝瓜"/>
    <s v="散装鲜菜"/>
    <x v="4"/>
    <n v="65.66"/>
    <n v="0"/>
    <n v="65.66"/>
    <s v=""/>
    <s v=""/>
    <s v=""/>
    <s v=""/>
    <s v="通过"/>
  </r>
  <r>
    <s v="SIM-20260924-C005"/>
    <n v="4"/>
    <s v="C005"/>
    <d v="2026-09-24T00:00:00"/>
    <s v="P003"/>
    <s v="公斤"/>
    <n v="10.9"/>
    <n v="10.9"/>
    <n v="0"/>
    <n v="2.9"/>
    <s v="正常交付"/>
    <s v="true"/>
    <s v="包菜"/>
    <s v="散装鲜菜"/>
    <x v="4"/>
    <n v="31.61"/>
    <n v="0"/>
    <n v="31.61"/>
    <s v=""/>
    <s v=""/>
    <s v=""/>
    <s v=""/>
    <s v="通过"/>
  </r>
  <r>
    <s v="SIM-20260924-C005"/>
    <n v="5"/>
    <s v="C005"/>
    <d v="2026-09-24T00:00:00"/>
    <s v="P004"/>
    <s v="公斤"/>
    <n v="10"/>
    <n v="10"/>
    <n v="0"/>
    <n v="2.2999999999999998"/>
    <s v="正常交付"/>
    <s v="true"/>
    <s v="冬瓜"/>
    <s v="散装鲜菜"/>
    <x v="4"/>
    <n v="23"/>
    <n v="0"/>
    <n v="23"/>
    <s v=""/>
    <s v=""/>
    <s v=""/>
    <s v=""/>
    <s v="通过"/>
  </r>
  <r>
    <s v="SIM-20260924-C005"/>
    <n v="6"/>
    <s v="C005"/>
    <d v="2026-09-24T00:00:00"/>
    <s v="P008"/>
    <s v="公斤"/>
    <n v="13.4"/>
    <n v="13.4"/>
    <n v="0"/>
    <n v="3.9"/>
    <s v="正常交付"/>
    <s v="true"/>
    <s v="黄瓜"/>
    <s v="散装鲜菜"/>
    <x v="4"/>
    <n v="52.26"/>
    <n v="0"/>
    <n v="52.26"/>
    <s v=""/>
    <s v=""/>
    <s v=""/>
    <s v=""/>
    <s v="通过"/>
  </r>
  <r>
    <s v="SIM-20260924-C005"/>
    <n v="7"/>
    <s v="C005"/>
    <d v="2026-09-24T00:00:00"/>
    <s v="P016"/>
    <s v="公斤"/>
    <n v="12"/>
    <n v="12"/>
    <n v="0"/>
    <n v="10.4"/>
    <s v="正常交付"/>
    <s v="true"/>
    <s v="鸡蛋"/>
    <s v="普通鲜鸡蛋按净重"/>
    <x v="4"/>
    <n v="124.8"/>
    <n v="0"/>
    <n v="124.8"/>
    <s v=""/>
    <s v=""/>
    <s v=""/>
    <s v=""/>
    <s v="通过"/>
  </r>
  <r>
    <s v="SIM-20260924-C005"/>
    <n v="8"/>
    <s v="C005"/>
    <d v="2026-09-24T00:00:00"/>
    <s v="P015"/>
    <s v="公斤"/>
    <n v="1"/>
    <n v="1"/>
    <n v="0"/>
    <n v="7.8"/>
    <s v="正常交付"/>
    <s v="true"/>
    <s v="小葱"/>
    <s v="散装鲜菜"/>
    <x v="4"/>
    <n v="7.8"/>
    <n v="0"/>
    <n v="7.8"/>
    <s v=""/>
    <s v=""/>
    <s v=""/>
    <s v=""/>
    <s v="通过"/>
  </r>
  <r>
    <s v="SIM-20260924-C006"/>
    <n v="1"/>
    <s v="C006"/>
    <d v="2026-09-24T00:00:00"/>
    <s v="P010"/>
    <s v="公斤"/>
    <n v="10.9"/>
    <n v="10.9"/>
    <n v="0"/>
    <n v="4.9000000000000004"/>
    <s v="正常交付"/>
    <s v="true"/>
    <s v="空心菜"/>
    <s v="散装鲜菜"/>
    <x v="5"/>
    <n v="53.41"/>
    <n v="0"/>
    <n v="53.41"/>
    <s v=""/>
    <s v=""/>
    <s v=""/>
    <s v=""/>
    <s v="通过"/>
  </r>
  <r>
    <s v="SIM-20260924-C006"/>
    <n v="2"/>
    <s v="C006"/>
    <d v="2026-09-24T00:00:00"/>
    <s v="P008"/>
    <s v="公斤"/>
    <n v="6.2"/>
    <n v="6.2"/>
    <n v="0"/>
    <n v="3.9"/>
    <s v="正常交付"/>
    <s v="true"/>
    <s v="黄瓜"/>
    <s v="散装鲜菜"/>
    <x v="5"/>
    <n v="24.18"/>
    <n v="0"/>
    <n v="24.18"/>
    <s v=""/>
    <s v=""/>
    <s v=""/>
    <s v=""/>
    <s v="通过"/>
  </r>
  <r>
    <s v="SIM-20260924-C006"/>
    <n v="3"/>
    <s v="C006"/>
    <d v="2026-09-24T00:00:00"/>
    <s v="P001"/>
    <s v="公斤"/>
    <n v="10.199999999999999"/>
    <n v="10.199999999999999"/>
    <n v="0"/>
    <n v="3.5"/>
    <s v="正常交付"/>
    <s v="true"/>
    <s v="土豆"/>
    <s v="散装鲜菜"/>
    <x v="5"/>
    <n v="35.700000000000003"/>
    <n v="0"/>
    <n v="35.700000000000003"/>
    <s v=""/>
    <s v=""/>
    <s v=""/>
    <s v=""/>
    <s v="通过"/>
  </r>
  <r>
    <s v="SIM-20260924-C006"/>
    <n v="4"/>
    <s v="C006"/>
    <d v="2026-09-24T00:00:00"/>
    <s v="P006"/>
    <s v="公斤"/>
    <n v="7.8"/>
    <n v="7.8"/>
    <n v="0"/>
    <n v="4.5999999999999996"/>
    <s v="正常交付"/>
    <s v="true"/>
    <s v="茄子"/>
    <s v="散装鲜菜"/>
    <x v="5"/>
    <n v="35.880000000000003"/>
    <n v="0"/>
    <n v="35.880000000000003"/>
    <s v=""/>
    <s v=""/>
    <s v=""/>
    <s v=""/>
    <s v="通过"/>
  </r>
  <r>
    <s v="SIM-20260924-C006"/>
    <n v="5"/>
    <s v="C006"/>
    <d v="2026-09-24T00:00:00"/>
    <s v="P007"/>
    <s v="公斤"/>
    <n v="5.5"/>
    <n v="5.5"/>
    <n v="0"/>
    <n v="4.95"/>
    <s v="正常交付"/>
    <s v="true"/>
    <s v="青椒"/>
    <s v="散装鲜菜"/>
    <x v="5"/>
    <n v="27.23"/>
    <n v="0"/>
    <n v="27.23"/>
    <s v=""/>
    <s v=""/>
    <s v=""/>
    <s v=""/>
    <s v="通过"/>
  </r>
  <r>
    <s v="SIM-20260924-C006"/>
    <n v="6"/>
    <s v="C006"/>
    <d v="2026-09-24T00:00:00"/>
    <s v="P009"/>
    <s v="公斤"/>
    <n v="5.5"/>
    <n v="5.5"/>
    <n v="0"/>
    <n v="4.9000000000000004"/>
    <s v="正常交付"/>
    <s v="true"/>
    <s v="西红柿"/>
    <s v="散装鲜菜"/>
    <x v="5"/>
    <n v="26.95"/>
    <n v="0"/>
    <n v="26.95"/>
    <s v=""/>
    <s v=""/>
    <s v=""/>
    <s v=""/>
    <s v="通过"/>
  </r>
  <r>
    <s v="SIM-20260925-C001"/>
    <n v="1"/>
    <s v="C001"/>
    <d v="2026-09-25T00:00:00"/>
    <s v="P011"/>
    <s v="公斤"/>
    <n v="3.1"/>
    <n v="3.1"/>
    <n v="0"/>
    <n v="4.8"/>
    <s v="正常交付"/>
    <s v="true"/>
    <s v="红薯叶"/>
    <s v="散装鲜菜"/>
    <x v="0"/>
    <n v="14.88"/>
    <n v="0"/>
    <n v="14.88"/>
    <s v=""/>
    <s v=""/>
    <s v=""/>
    <s v=""/>
    <s v="通过"/>
  </r>
  <r>
    <s v="SIM-20260925-C001"/>
    <n v="2"/>
    <s v="C001"/>
    <d v="2026-09-25T00:00:00"/>
    <s v="P002"/>
    <s v="公斤"/>
    <n v="2"/>
    <n v="2"/>
    <n v="0"/>
    <n v="2.5"/>
    <s v="正常交付"/>
    <s v="true"/>
    <s v="白萝卜"/>
    <s v="散装鲜菜"/>
    <x v="0"/>
    <n v="5"/>
    <n v="0"/>
    <n v="5"/>
    <s v=""/>
    <s v=""/>
    <s v=""/>
    <s v=""/>
    <s v="通过"/>
  </r>
  <r>
    <s v="SIM-20260925-C001"/>
    <n v="3"/>
    <s v="C001"/>
    <d v="2026-09-25T00:00:00"/>
    <s v="P004"/>
    <s v="公斤"/>
    <n v="3.1"/>
    <n v="3.1"/>
    <n v="0"/>
    <n v="2.2999999999999998"/>
    <s v="正常交付"/>
    <s v="true"/>
    <s v="冬瓜"/>
    <s v="散装鲜菜"/>
    <x v="0"/>
    <n v="7.13"/>
    <n v="0"/>
    <n v="7.13"/>
    <s v=""/>
    <s v=""/>
    <s v=""/>
    <s v=""/>
    <s v="通过"/>
  </r>
  <r>
    <s v="SIM-20260925-C001"/>
    <n v="4"/>
    <s v="C001"/>
    <d v="2026-09-25T00:00:00"/>
    <s v="P005"/>
    <s v="公斤"/>
    <n v="3.6"/>
    <n v="3.6"/>
    <n v="0"/>
    <n v="2.7"/>
    <s v="正常交付"/>
    <s v="true"/>
    <s v="南瓜"/>
    <s v="散装鲜菜"/>
    <x v="0"/>
    <n v="9.7200000000000006"/>
    <n v="0"/>
    <n v="9.7200000000000006"/>
    <s v=""/>
    <s v=""/>
    <s v=""/>
    <s v=""/>
    <s v="通过"/>
  </r>
  <r>
    <s v="SIM-20260925-C001"/>
    <n v="5"/>
    <s v="C001"/>
    <d v="2026-09-25T00:00:00"/>
    <s v="P015"/>
    <s v="公斤"/>
    <n v="0.5"/>
    <n v="0.3"/>
    <n v="0"/>
    <n v="7.8"/>
    <s v="到货不足；按实际交付计费"/>
    <s v="true"/>
    <s v="小葱"/>
    <s v="散装鲜菜"/>
    <x v="0"/>
    <n v="2.34"/>
    <n v="0"/>
    <n v="2.34"/>
    <s v=""/>
    <s v=""/>
    <s v=""/>
    <s v=""/>
    <s v="通过"/>
  </r>
  <r>
    <s v="SIM-20260925-C002"/>
    <n v="1"/>
    <s v="C002"/>
    <d v="2026-09-25T00:00:00"/>
    <s v="P012"/>
    <s v="公斤"/>
    <n v="4.2"/>
    <n v="4.2"/>
    <n v="0"/>
    <n v="5"/>
    <s v="正常交付"/>
    <s v="true"/>
    <s v="小白菜"/>
    <s v="散装鲜菜"/>
    <x v="1"/>
    <n v="21"/>
    <n v="0"/>
    <n v="21"/>
    <s v=""/>
    <s v=""/>
    <s v=""/>
    <s v=""/>
    <s v="通过"/>
  </r>
  <r>
    <s v="SIM-20260925-C002"/>
    <n v="2"/>
    <s v="C002"/>
    <d v="2026-09-25T00:00:00"/>
    <s v="P002"/>
    <s v="公斤"/>
    <n v="6.1"/>
    <n v="6.1"/>
    <n v="0"/>
    <n v="2.5"/>
    <s v="正常交付"/>
    <s v="true"/>
    <s v="白萝卜"/>
    <s v="散装鲜菜"/>
    <x v="1"/>
    <n v="15.25"/>
    <n v="0"/>
    <n v="15.25"/>
    <s v=""/>
    <s v=""/>
    <s v=""/>
    <s v=""/>
    <s v="通过"/>
  </r>
  <r>
    <s v="SIM-20260925-C002"/>
    <n v="3"/>
    <s v="C002"/>
    <d v="2026-09-25T00:00:00"/>
    <s v="P009"/>
    <s v="公斤"/>
    <n v="6.1"/>
    <n v="6.1"/>
    <n v="0"/>
    <n v="4.9000000000000004"/>
    <s v="正常交付"/>
    <s v="true"/>
    <s v="西红柿"/>
    <s v="散装鲜菜"/>
    <x v="1"/>
    <n v="29.89"/>
    <n v="0"/>
    <n v="29.89"/>
    <s v=""/>
    <s v=""/>
    <s v=""/>
    <s v=""/>
    <s v="通过"/>
  </r>
  <r>
    <s v="SIM-20260925-C002"/>
    <n v="4"/>
    <s v="C002"/>
    <d v="2026-09-25T00:00:00"/>
    <s v="P013"/>
    <s v="公斤"/>
    <n v="9.6999999999999993"/>
    <n v="9.6999999999999993"/>
    <n v="0"/>
    <n v="6.1"/>
    <s v="正常交付"/>
    <s v="true"/>
    <s v="豇豆"/>
    <s v="散装鲜菜"/>
    <x v="1"/>
    <n v="59.17"/>
    <n v="0"/>
    <n v="59.17"/>
    <s v=""/>
    <s v=""/>
    <s v=""/>
    <s v=""/>
    <s v="通过"/>
  </r>
  <r>
    <s v="SIM-20260925-C002"/>
    <n v="5"/>
    <s v="C002"/>
    <d v="2026-09-25T00:00:00"/>
    <s v="P001"/>
    <s v="公斤"/>
    <n v="5.5"/>
    <n v="5.5"/>
    <n v="0"/>
    <n v="3.5"/>
    <s v="正常交付"/>
    <s v="true"/>
    <s v="土豆"/>
    <s v="散装鲜菜"/>
    <x v="1"/>
    <n v="19.25"/>
    <n v="0"/>
    <n v="19.25"/>
    <s v=""/>
    <s v=""/>
    <s v=""/>
    <s v=""/>
    <s v="通过"/>
  </r>
  <r>
    <s v="SIM-20260925-C002"/>
    <n v="6"/>
    <s v="C002"/>
    <d v="2026-09-25T00:00:00"/>
    <s v="P015"/>
    <s v="公斤"/>
    <n v="1"/>
    <n v="1"/>
    <n v="0"/>
    <n v="7.8"/>
    <s v="正常交付"/>
    <s v="true"/>
    <s v="小葱"/>
    <s v="散装鲜菜"/>
    <x v="1"/>
    <n v="7.8"/>
    <n v="0"/>
    <n v="7.8"/>
    <s v=""/>
    <s v=""/>
    <s v=""/>
    <s v=""/>
    <s v="通过"/>
  </r>
  <r>
    <s v="SIM-20260925-C003"/>
    <n v="1"/>
    <s v="C003"/>
    <d v="2026-09-25T00:00:00"/>
    <s v="P010"/>
    <s v="公斤"/>
    <n v="4.5999999999999996"/>
    <n v="4.5999999999999996"/>
    <n v="0"/>
    <n v="4.9000000000000004"/>
    <s v="正常交付"/>
    <s v="true"/>
    <s v="空心菜"/>
    <s v="散装鲜菜"/>
    <x v="2"/>
    <n v="22.54"/>
    <n v="0"/>
    <n v="22.54"/>
    <s v=""/>
    <s v=""/>
    <s v=""/>
    <s v=""/>
    <s v="通过"/>
  </r>
  <r>
    <s v="SIM-20260925-C003"/>
    <n v="2"/>
    <s v="C003"/>
    <d v="2026-09-25T00:00:00"/>
    <s v="P005"/>
    <s v="公斤"/>
    <n v="8.6"/>
    <n v="8.6"/>
    <n v="0"/>
    <n v="2.7"/>
    <s v="正常交付"/>
    <s v="true"/>
    <s v="南瓜"/>
    <s v="散装鲜菜"/>
    <x v="2"/>
    <n v="23.22"/>
    <n v="0"/>
    <n v="23.22"/>
    <s v=""/>
    <s v=""/>
    <s v=""/>
    <s v=""/>
    <s v="通过"/>
  </r>
  <r>
    <s v="SIM-20260925-C003"/>
    <n v="3"/>
    <s v="C003"/>
    <d v="2026-09-25T00:00:00"/>
    <s v="P003"/>
    <s v="公斤"/>
    <n v="9.9"/>
    <n v="9.9"/>
    <n v="0"/>
    <n v="2.9"/>
    <s v="正常交付"/>
    <s v="true"/>
    <s v="包菜"/>
    <s v="散装鲜菜"/>
    <x v="2"/>
    <n v="28.71"/>
    <n v="0"/>
    <n v="28.71"/>
    <s v=""/>
    <s v=""/>
    <s v=""/>
    <s v=""/>
    <s v="通过"/>
  </r>
  <r>
    <s v="SIM-20260925-C003"/>
    <n v="4"/>
    <s v="C003"/>
    <d v="2026-09-25T00:00:00"/>
    <s v="P013"/>
    <s v="公斤"/>
    <n v="6.6"/>
    <n v="6.6"/>
    <n v="0"/>
    <n v="6.1"/>
    <s v="正常交付"/>
    <s v="true"/>
    <s v="豇豆"/>
    <s v="散装鲜菜"/>
    <x v="2"/>
    <n v="40.26"/>
    <n v="0"/>
    <n v="40.26"/>
    <s v=""/>
    <s v=""/>
    <s v=""/>
    <s v=""/>
    <s v="通过"/>
  </r>
  <r>
    <s v="SIM-20260925-C003"/>
    <n v="5"/>
    <s v="C003"/>
    <d v="2026-09-25T00:00:00"/>
    <s v="P006"/>
    <s v="公斤"/>
    <n v="9.1999999999999993"/>
    <n v="9.1999999999999993"/>
    <n v="0"/>
    <n v="4.5999999999999996"/>
    <s v="正常交付"/>
    <s v="true"/>
    <s v="茄子"/>
    <s v="散装鲜菜"/>
    <x v="2"/>
    <n v="42.32"/>
    <n v="0"/>
    <n v="42.32"/>
    <s v=""/>
    <s v=""/>
    <s v=""/>
    <s v=""/>
    <s v="通过"/>
  </r>
  <r>
    <s v="SIM-20260925-C003"/>
    <n v="6"/>
    <s v="C003"/>
    <d v="2026-09-25T00:00:00"/>
    <s v="P014"/>
    <s v="公斤"/>
    <n v="7.3"/>
    <n v="7.3"/>
    <n v="0"/>
    <n v="4.9000000000000004"/>
    <s v="正常交付"/>
    <s v="true"/>
    <s v="丝瓜"/>
    <s v="散装鲜菜"/>
    <x v="2"/>
    <n v="35.770000000000003"/>
    <n v="0"/>
    <n v="35.770000000000003"/>
    <s v=""/>
    <s v=""/>
    <s v=""/>
    <s v=""/>
    <s v="通过"/>
  </r>
  <r>
    <s v="SIM-20260925-C003"/>
    <n v="7"/>
    <s v="C003"/>
    <d v="2026-09-25T00:00:00"/>
    <s v="P015"/>
    <s v="公斤"/>
    <n v="1"/>
    <n v="1"/>
    <n v="0"/>
    <n v="7.8"/>
    <s v="正常交付"/>
    <s v="true"/>
    <s v="小葱"/>
    <s v="散装鲜菜"/>
    <x v="2"/>
    <n v="7.8"/>
    <n v="0"/>
    <n v="7.8"/>
    <s v=""/>
    <s v=""/>
    <s v=""/>
    <s v=""/>
    <s v="通过"/>
  </r>
  <r>
    <s v="SIM-20260925-C006"/>
    <n v="1"/>
    <s v="C006"/>
    <d v="2026-09-25T00:00:00"/>
    <s v="P012"/>
    <s v="公斤"/>
    <n v="9.1"/>
    <n v="9.1"/>
    <n v="0"/>
    <n v="5"/>
    <s v="正常交付"/>
    <s v="true"/>
    <s v="小白菜"/>
    <s v="散装鲜菜"/>
    <x v="5"/>
    <n v="45.5"/>
    <n v="0"/>
    <n v="45.5"/>
    <s v=""/>
    <s v=""/>
    <s v=""/>
    <s v=""/>
    <s v="通过"/>
  </r>
  <r>
    <s v="SIM-20260925-C006"/>
    <n v="2"/>
    <s v="C006"/>
    <d v="2026-09-25T00:00:00"/>
    <s v="P009"/>
    <s v="公斤"/>
    <n v="5.9"/>
    <n v="5.9"/>
    <n v="0"/>
    <n v="4.9000000000000004"/>
    <s v="正常交付"/>
    <s v="true"/>
    <s v="西红柿"/>
    <s v="散装鲜菜"/>
    <x v="5"/>
    <n v="28.91"/>
    <n v="0"/>
    <n v="28.91"/>
    <s v=""/>
    <s v=""/>
    <s v=""/>
    <s v=""/>
    <s v="通过"/>
  </r>
  <r>
    <s v="SIM-20260925-C006"/>
    <n v="3"/>
    <s v="C006"/>
    <d v="2026-09-25T00:00:00"/>
    <s v="P008"/>
    <s v="公斤"/>
    <n v="10.4"/>
    <n v="10.4"/>
    <n v="0"/>
    <n v="3.9"/>
    <s v="正常交付"/>
    <s v="true"/>
    <s v="黄瓜"/>
    <s v="散装鲜菜"/>
    <x v="5"/>
    <n v="40.56"/>
    <n v="0"/>
    <n v="40.56"/>
    <s v=""/>
    <s v=""/>
    <s v=""/>
    <s v=""/>
    <s v="通过"/>
  </r>
  <r>
    <s v="SIM-20260925-C006"/>
    <n v="4"/>
    <s v="C006"/>
    <d v="2026-09-25T00:00:00"/>
    <s v="P006"/>
    <s v="公斤"/>
    <n v="9.1"/>
    <n v="9.1"/>
    <n v="0"/>
    <n v="4.5999999999999996"/>
    <s v="正常交付"/>
    <s v="true"/>
    <s v="茄子"/>
    <s v="散装鲜菜"/>
    <x v="5"/>
    <n v="41.86"/>
    <n v="0"/>
    <n v="41.86"/>
    <s v=""/>
    <s v=""/>
    <s v=""/>
    <s v=""/>
    <s v="通过"/>
  </r>
  <r>
    <s v="SIM-20260925-C006"/>
    <n v="5"/>
    <s v="C006"/>
    <d v="2026-09-25T00:00:00"/>
    <s v="P007"/>
    <s v="公斤"/>
    <n v="7.8"/>
    <n v="7.8"/>
    <n v="0"/>
    <n v="4.95"/>
    <s v="正常交付"/>
    <s v="true"/>
    <s v="青椒"/>
    <s v="散装鲜菜"/>
    <x v="5"/>
    <n v="38.61"/>
    <n v="0"/>
    <n v="38.61"/>
    <s v=""/>
    <s v=""/>
    <s v=""/>
    <s v=""/>
    <s v="通过"/>
  </r>
  <r>
    <s v="SIM-20260925-C006"/>
    <n v="6"/>
    <s v="C006"/>
    <d v="2026-09-25T00:00:00"/>
    <s v="P005"/>
    <s v="公斤"/>
    <n v="5.2"/>
    <n v="5.2"/>
    <n v="0"/>
    <n v="2.7"/>
    <s v="正常交付"/>
    <s v="true"/>
    <s v="南瓜"/>
    <s v="散装鲜菜"/>
    <x v="5"/>
    <n v="14.04"/>
    <n v="0"/>
    <n v="14.04"/>
    <s v=""/>
    <s v=""/>
    <s v=""/>
    <s v=""/>
    <s v="通过"/>
  </r>
  <r>
    <s v="SIM-20260925-C006"/>
    <n v="7"/>
    <s v="C006"/>
    <d v="2026-09-25T00:00:00"/>
    <s v="P016"/>
    <s v="公斤"/>
    <n v="9"/>
    <n v="9"/>
    <n v="0"/>
    <n v="10.4"/>
    <s v="正常交付"/>
    <s v="true"/>
    <s v="鸡蛋"/>
    <s v="普通鲜鸡蛋按净重"/>
    <x v="5"/>
    <n v="93.6"/>
    <n v="0"/>
    <n v="93.6"/>
    <s v=""/>
    <s v=""/>
    <s v=""/>
    <s v=""/>
    <s v="通过"/>
  </r>
  <r>
    <s v="SIM-20260925-C006"/>
    <n v="8"/>
    <s v="C006"/>
    <d v="2026-09-25T00:00:00"/>
    <s v="P015"/>
    <s v="公斤"/>
    <n v="1"/>
    <n v="1"/>
    <n v="0"/>
    <n v="7.8"/>
    <s v="正常交付"/>
    <s v="true"/>
    <s v="小葱"/>
    <s v="散装鲜菜"/>
    <x v="5"/>
    <n v="7.8"/>
    <n v="0"/>
    <n v="7.8"/>
    <s v=""/>
    <s v=""/>
    <s v=""/>
    <s v=""/>
    <s v="通过"/>
  </r>
  <r>
    <s v="SIM-20260926-C001"/>
    <n v="1"/>
    <s v="C001"/>
    <d v="2026-09-26T00:00:00"/>
    <s v="P011"/>
    <s v="公斤"/>
    <n v="2.5"/>
    <n v="2.5"/>
    <n v="0"/>
    <n v="4.8"/>
    <s v="正常交付"/>
    <s v="true"/>
    <s v="红薯叶"/>
    <s v="散装鲜菜"/>
    <x v="0"/>
    <n v="12"/>
    <n v="0"/>
    <n v="12"/>
    <s v=""/>
    <s v=""/>
    <s v=""/>
    <s v=""/>
    <s v="通过"/>
  </r>
  <r>
    <s v="SIM-20260926-C001"/>
    <n v="2"/>
    <s v="C001"/>
    <d v="2026-09-26T00:00:00"/>
    <s v="P009"/>
    <s v="公斤"/>
    <n v="4"/>
    <n v="4"/>
    <n v="0"/>
    <n v="4.9000000000000004"/>
    <s v="正常交付"/>
    <s v="true"/>
    <s v="西红柿"/>
    <s v="散装鲜菜"/>
    <x v="0"/>
    <n v="19.600000000000001"/>
    <n v="0"/>
    <n v="19.600000000000001"/>
    <s v=""/>
    <s v=""/>
    <s v=""/>
    <s v=""/>
    <s v="通过"/>
  </r>
  <r>
    <s v="SIM-20260926-C001"/>
    <n v="3"/>
    <s v="C001"/>
    <d v="2026-09-26T00:00:00"/>
    <s v="P005"/>
    <s v="公斤"/>
    <n v="3"/>
    <n v="3"/>
    <n v="0"/>
    <n v="2.7"/>
    <s v="正常交付"/>
    <s v="true"/>
    <s v="南瓜"/>
    <s v="散装鲜菜"/>
    <x v="0"/>
    <n v="8.1"/>
    <n v="0"/>
    <n v="8.1"/>
    <s v=""/>
    <s v=""/>
    <s v=""/>
    <s v=""/>
    <s v="通过"/>
  </r>
  <r>
    <s v="SIM-20260926-C001"/>
    <n v="4"/>
    <s v="C001"/>
    <d v="2026-09-26T00:00:00"/>
    <s v="P006"/>
    <s v="公斤"/>
    <n v="2"/>
    <n v="2"/>
    <n v="0"/>
    <n v="4.5999999999999996"/>
    <s v="正常交付"/>
    <s v="true"/>
    <s v="茄子"/>
    <s v="散装鲜菜"/>
    <x v="0"/>
    <n v="9.1999999999999993"/>
    <n v="0"/>
    <n v="9.1999999999999993"/>
    <s v=""/>
    <s v=""/>
    <s v=""/>
    <s v=""/>
    <s v="通过"/>
  </r>
  <r>
    <s v="SIM-20260926-C001"/>
    <n v="5"/>
    <s v="C001"/>
    <d v="2026-09-26T00:00:00"/>
    <s v="P016"/>
    <s v="公斤"/>
    <n v="3"/>
    <n v="3"/>
    <n v="0.1"/>
    <n v="10.4"/>
    <s v="正常交付；签收时破损退回"/>
    <s v="true"/>
    <s v="鸡蛋"/>
    <s v="普通鲜鸡蛋按净重"/>
    <x v="0"/>
    <n v="31.2"/>
    <n v="1.04"/>
    <n v="30.16"/>
    <s v=""/>
    <s v=""/>
    <s v=""/>
    <s v=""/>
    <s v="通过"/>
  </r>
  <r>
    <s v="SIM-20260926-C002"/>
    <n v="1"/>
    <s v="C002"/>
    <d v="2026-09-26T00:00:00"/>
    <s v="P011"/>
    <s v="公斤"/>
    <n v="6.4"/>
    <n v="6.4"/>
    <n v="0"/>
    <n v="4.8"/>
    <s v="正常交付"/>
    <s v="true"/>
    <s v="红薯叶"/>
    <s v="散装鲜菜"/>
    <x v="1"/>
    <n v="30.72"/>
    <n v="0"/>
    <n v="30.72"/>
    <s v=""/>
    <s v=""/>
    <s v=""/>
    <s v=""/>
    <s v="通过"/>
  </r>
  <r>
    <s v="SIM-20260926-C002"/>
    <n v="2"/>
    <s v="C002"/>
    <d v="2026-09-26T00:00:00"/>
    <s v="P001"/>
    <s v="公斤"/>
    <n v="6.4"/>
    <n v="6.4"/>
    <n v="0"/>
    <n v="3.5"/>
    <s v="正常交付"/>
    <s v="true"/>
    <s v="土豆"/>
    <s v="散装鲜菜"/>
    <x v="1"/>
    <n v="22.4"/>
    <n v="0"/>
    <n v="22.4"/>
    <s v=""/>
    <s v=""/>
    <s v=""/>
    <s v=""/>
    <s v="通过"/>
  </r>
  <r>
    <s v="SIM-20260926-C002"/>
    <n v="3"/>
    <s v="C002"/>
    <d v="2026-09-26T00:00:00"/>
    <s v="P002"/>
    <s v="公斤"/>
    <n v="5.7"/>
    <n v="5.7"/>
    <n v="0"/>
    <n v="2.5"/>
    <s v="正常交付"/>
    <s v="true"/>
    <s v="白萝卜"/>
    <s v="散装鲜菜"/>
    <x v="1"/>
    <n v="14.25"/>
    <n v="0"/>
    <n v="14.25"/>
    <s v=""/>
    <s v=""/>
    <s v=""/>
    <s v=""/>
    <s v="通过"/>
  </r>
  <r>
    <s v="SIM-20260926-C002"/>
    <n v="4"/>
    <s v="C002"/>
    <d v="2026-09-26T00:00:00"/>
    <s v="P006"/>
    <s v="公斤"/>
    <n v="7.8"/>
    <n v="7.8"/>
    <n v="0"/>
    <n v="4.5999999999999996"/>
    <s v="正常交付"/>
    <s v="true"/>
    <s v="茄子"/>
    <s v="散装鲜菜"/>
    <x v="1"/>
    <n v="35.880000000000003"/>
    <n v="0"/>
    <n v="35.880000000000003"/>
    <s v=""/>
    <s v=""/>
    <s v=""/>
    <s v=""/>
    <s v="通过"/>
  </r>
  <r>
    <s v="SIM-20260926-C002"/>
    <n v="5"/>
    <s v="C002"/>
    <d v="2026-09-26T00:00:00"/>
    <s v="P007"/>
    <s v="公斤"/>
    <n v="10.7"/>
    <n v="10.7"/>
    <n v="0"/>
    <n v="4.95"/>
    <s v="正常交付"/>
    <s v="true"/>
    <s v="青椒"/>
    <s v="散装鲜菜"/>
    <x v="1"/>
    <n v="52.97"/>
    <n v="0"/>
    <n v="52.97"/>
    <s v=""/>
    <s v=""/>
    <s v=""/>
    <s v=""/>
    <s v="通过"/>
  </r>
  <r>
    <s v="SIM-20260926-C002"/>
    <n v="6"/>
    <s v="C002"/>
    <d v="2026-09-26T00:00:00"/>
    <s v="P016"/>
    <s v="公斤"/>
    <n v="4"/>
    <n v="4"/>
    <n v="0"/>
    <n v="10.4"/>
    <s v="正常交付"/>
    <s v="true"/>
    <s v="鸡蛋"/>
    <s v="普通鲜鸡蛋按净重"/>
    <x v="1"/>
    <n v="41.6"/>
    <n v="0"/>
    <n v="41.6"/>
    <s v=""/>
    <s v=""/>
    <s v=""/>
    <s v=""/>
    <s v="通过"/>
  </r>
  <r>
    <s v="SIM-20260926-C003"/>
    <n v="1"/>
    <s v="C003"/>
    <d v="2026-09-26T00:00:00"/>
    <s v="P011"/>
    <s v="公斤"/>
    <n v="9.6"/>
    <n v="9.6"/>
    <n v="0"/>
    <n v="4.8"/>
    <s v="正常交付"/>
    <s v="true"/>
    <s v="红薯叶"/>
    <s v="散装鲜菜"/>
    <x v="2"/>
    <n v="46.08"/>
    <n v="0"/>
    <n v="46.08"/>
    <s v=""/>
    <s v=""/>
    <s v=""/>
    <s v=""/>
    <s v="通过"/>
  </r>
  <r>
    <s v="SIM-20260926-C003"/>
    <n v="2"/>
    <s v="C003"/>
    <d v="2026-09-26T00:00:00"/>
    <s v="P006"/>
    <s v="公斤"/>
    <n v="7.7"/>
    <n v="7.7"/>
    <n v="0"/>
    <n v="4.5999999999999996"/>
    <s v="正常交付"/>
    <s v="true"/>
    <s v="茄子"/>
    <s v="散装鲜菜"/>
    <x v="2"/>
    <n v="35.42"/>
    <n v="0"/>
    <n v="35.42"/>
    <s v=""/>
    <s v=""/>
    <s v=""/>
    <s v=""/>
    <s v="通过"/>
  </r>
  <r>
    <s v="SIM-20260926-C003"/>
    <n v="3"/>
    <s v="C003"/>
    <d v="2026-09-26T00:00:00"/>
    <s v="P007"/>
    <s v="公斤"/>
    <n v="7"/>
    <n v="7"/>
    <n v="0"/>
    <n v="4.95"/>
    <s v="正常交付"/>
    <s v="true"/>
    <s v="青椒"/>
    <s v="散装鲜菜"/>
    <x v="2"/>
    <n v="34.65"/>
    <n v="0"/>
    <n v="34.65"/>
    <s v=""/>
    <s v=""/>
    <s v=""/>
    <s v=""/>
    <s v="通过"/>
  </r>
  <r>
    <s v="SIM-20260926-C003"/>
    <n v="4"/>
    <s v="C003"/>
    <d v="2026-09-26T00:00:00"/>
    <s v="P013"/>
    <s v="公斤"/>
    <n v="7"/>
    <n v="7"/>
    <n v="0"/>
    <n v="6.1"/>
    <s v="正常交付"/>
    <s v="true"/>
    <s v="豇豆"/>
    <s v="散装鲜菜"/>
    <x v="2"/>
    <n v="42.7"/>
    <n v="0"/>
    <n v="42.7"/>
    <s v=""/>
    <s v=""/>
    <s v=""/>
    <s v=""/>
    <s v="通过"/>
  </r>
  <r>
    <s v="SIM-20260926-C003"/>
    <n v="5"/>
    <s v="C003"/>
    <d v="2026-09-26T00:00:00"/>
    <s v="P004"/>
    <s v="公斤"/>
    <n v="6.4"/>
    <n v="6.4"/>
    <n v="0"/>
    <n v="2.2999999999999998"/>
    <s v="正常交付"/>
    <s v="true"/>
    <s v="冬瓜"/>
    <s v="散装鲜菜"/>
    <x v="2"/>
    <n v="14.72"/>
    <n v="0"/>
    <n v="14.72"/>
    <s v=""/>
    <s v=""/>
    <s v=""/>
    <s v=""/>
    <s v="通过"/>
  </r>
  <r>
    <s v="SIM-20260926-C003"/>
    <n v="6"/>
    <s v="C003"/>
    <d v="2026-09-26T00:00:00"/>
    <s v="P001"/>
    <s v="公斤"/>
    <n v="6.4"/>
    <n v="6.4"/>
    <n v="0"/>
    <n v="3.5"/>
    <s v="正常交付"/>
    <s v="true"/>
    <s v="土豆"/>
    <s v="散装鲜菜"/>
    <x v="2"/>
    <n v="22.4"/>
    <n v="0"/>
    <n v="22.4"/>
    <s v=""/>
    <s v=""/>
    <s v=""/>
    <s v=""/>
    <s v="通过"/>
  </r>
  <r>
    <s v="SIM-20260926-C003"/>
    <n v="7"/>
    <s v="C003"/>
    <d v="2026-09-26T00:00:00"/>
    <s v="P016"/>
    <s v="公斤"/>
    <n v="6"/>
    <n v="5.7"/>
    <n v="0"/>
    <n v="10.4"/>
    <s v="到货不足；按实际交付计费"/>
    <s v="true"/>
    <s v="鸡蛋"/>
    <s v="普通鲜鸡蛋按净重"/>
    <x v="2"/>
    <n v="59.28"/>
    <n v="0"/>
    <n v="59.28"/>
    <s v=""/>
    <s v=""/>
    <s v=""/>
    <s v=""/>
    <s v="通过"/>
  </r>
  <r>
    <s v="SIM-20260926-C004"/>
    <n v="1"/>
    <s v="C004"/>
    <d v="2026-09-26T00:00:00"/>
    <s v="P010"/>
    <s v="公斤"/>
    <n v="9.1"/>
    <n v="9.1"/>
    <n v="0"/>
    <n v="4.9000000000000004"/>
    <s v="正常交付"/>
    <s v="true"/>
    <s v="空心菜"/>
    <s v="散装鲜菜"/>
    <x v="3"/>
    <n v="44.59"/>
    <n v="0"/>
    <n v="44.59"/>
    <s v=""/>
    <s v=""/>
    <s v=""/>
    <s v=""/>
    <s v="通过"/>
  </r>
  <r>
    <s v="SIM-20260926-C004"/>
    <n v="2"/>
    <s v="C004"/>
    <d v="2026-09-26T00:00:00"/>
    <s v="P008"/>
    <s v="公斤"/>
    <n v="9.1"/>
    <n v="9.1"/>
    <n v="0"/>
    <n v="3.9"/>
    <s v="正常交付"/>
    <s v="true"/>
    <s v="黄瓜"/>
    <s v="散装鲜菜"/>
    <x v="3"/>
    <n v="35.49"/>
    <n v="0"/>
    <n v="35.49"/>
    <s v=""/>
    <s v=""/>
    <s v=""/>
    <s v=""/>
    <s v="通过"/>
  </r>
  <r>
    <s v="SIM-20260926-C004"/>
    <n v="3"/>
    <s v="C004"/>
    <d v="2026-09-26T00:00:00"/>
    <s v="P003"/>
    <s v="公斤"/>
    <n v="9.1"/>
    <n v="9.1"/>
    <n v="0"/>
    <n v="2.9"/>
    <s v="正常交付"/>
    <s v="true"/>
    <s v="包菜"/>
    <s v="散装鲜菜"/>
    <x v="3"/>
    <n v="26.39"/>
    <n v="0"/>
    <n v="26.39"/>
    <s v=""/>
    <s v=""/>
    <s v=""/>
    <s v=""/>
    <s v="通过"/>
  </r>
  <r>
    <s v="SIM-20260926-C004"/>
    <n v="4"/>
    <s v="C004"/>
    <d v="2026-09-26T00:00:00"/>
    <s v="P007"/>
    <s v="公斤"/>
    <n v="6.6"/>
    <n v="6.6"/>
    <n v="0"/>
    <n v="4.95"/>
    <s v="正常交付"/>
    <s v="true"/>
    <s v="青椒"/>
    <s v="散装鲜菜"/>
    <x v="3"/>
    <n v="32.67"/>
    <n v="0"/>
    <n v="32.67"/>
    <s v=""/>
    <s v=""/>
    <s v=""/>
    <s v=""/>
    <s v="通过"/>
  </r>
  <r>
    <s v="SIM-20260926-C004"/>
    <n v="5"/>
    <s v="C004"/>
    <d v="2026-09-26T00:00:00"/>
    <s v="P002"/>
    <s v="公斤"/>
    <n v="12.4"/>
    <n v="12.4"/>
    <n v="0"/>
    <n v="2.5"/>
    <s v="正常交付"/>
    <s v="true"/>
    <s v="白萝卜"/>
    <s v="散装鲜菜"/>
    <x v="3"/>
    <n v="31"/>
    <n v="0"/>
    <n v="31"/>
    <s v=""/>
    <s v=""/>
    <s v=""/>
    <s v=""/>
    <s v="通过"/>
  </r>
  <r>
    <s v="SIM-20260926-C004"/>
    <n v="6"/>
    <s v="C004"/>
    <d v="2026-09-26T00:00:00"/>
    <s v="P001"/>
    <s v="公斤"/>
    <n v="5.8"/>
    <n v="5.8"/>
    <n v="0"/>
    <n v="3.5"/>
    <s v="正常交付"/>
    <s v="true"/>
    <s v="土豆"/>
    <s v="散装鲜菜"/>
    <x v="3"/>
    <n v="20.3"/>
    <n v="0"/>
    <n v="20.3"/>
    <s v=""/>
    <s v=""/>
    <s v=""/>
    <s v=""/>
    <s v="通过"/>
  </r>
  <r>
    <s v="SIM-20260926-C006"/>
    <n v="1"/>
    <s v="C006"/>
    <d v="2026-09-26T00:00:00"/>
    <s v="P010"/>
    <s v="公斤"/>
    <n v="8.9"/>
    <n v="8.9"/>
    <n v="0"/>
    <n v="4.9000000000000004"/>
    <s v="正常交付"/>
    <s v="true"/>
    <s v="空心菜"/>
    <s v="散装鲜菜"/>
    <x v="5"/>
    <n v="43.61"/>
    <n v="0"/>
    <n v="43.61"/>
    <s v=""/>
    <s v=""/>
    <s v=""/>
    <s v=""/>
    <s v="通过"/>
  </r>
  <r>
    <s v="SIM-20260926-C006"/>
    <n v="2"/>
    <s v="C006"/>
    <d v="2026-09-26T00:00:00"/>
    <s v="P008"/>
    <s v="公斤"/>
    <n v="10.199999999999999"/>
    <n v="10.199999999999999"/>
    <n v="0"/>
    <n v="3.9"/>
    <s v="正常交付"/>
    <s v="true"/>
    <s v="黄瓜"/>
    <s v="散装鲜菜"/>
    <x v="5"/>
    <n v="39.78"/>
    <n v="0"/>
    <n v="39.78"/>
    <s v=""/>
    <s v=""/>
    <s v=""/>
    <s v=""/>
    <s v="通过"/>
  </r>
  <r>
    <s v="SIM-20260926-C006"/>
    <n v="3"/>
    <s v="C006"/>
    <d v="2026-09-26T00:00:00"/>
    <s v="P003"/>
    <s v="公斤"/>
    <n v="9.5"/>
    <n v="9.5"/>
    <n v="0"/>
    <n v="2.9"/>
    <s v="正常交付"/>
    <s v="true"/>
    <s v="包菜"/>
    <s v="散装鲜菜"/>
    <x v="5"/>
    <n v="27.55"/>
    <n v="0"/>
    <n v="27.55"/>
    <s v=""/>
    <s v=""/>
    <s v=""/>
    <s v=""/>
    <s v="通过"/>
  </r>
  <r>
    <s v="SIM-20260926-C006"/>
    <n v="4"/>
    <s v="C006"/>
    <d v="2026-09-26T00:00:00"/>
    <s v="P007"/>
    <s v="公斤"/>
    <n v="4.4000000000000004"/>
    <n v="4.4000000000000004"/>
    <n v="0"/>
    <n v="4.95"/>
    <s v="正常交付"/>
    <s v="true"/>
    <s v="青椒"/>
    <s v="散装鲜菜"/>
    <x v="5"/>
    <n v="21.78"/>
    <n v="0"/>
    <n v="21.78"/>
    <s v=""/>
    <s v=""/>
    <s v=""/>
    <s v=""/>
    <s v="通过"/>
  </r>
  <r>
    <s v="SIM-20260926-C006"/>
    <n v="5"/>
    <s v="C006"/>
    <d v="2026-09-26T00:00:00"/>
    <s v="P004"/>
    <s v="公斤"/>
    <n v="4.4000000000000004"/>
    <n v="4.4000000000000004"/>
    <n v="0"/>
    <n v="2.2999999999999998"/>
    <s v="正常交付"/>
    <s v="true"/>
    <s v="冬瓜"/>
    <s v="散装鲜菜"/>
    <x v="5"/>
    <n v="10.119999999999999"/>
    <n v="0"/>
    <n v="10.119999999999999"/>
    <s v=""/>
    <s v=""/>
    <s v=""/>
    <s v=""/>
    <s v="通过"/>
  </r>
  <r>
    <s v="SIM-20260926-C006"/>
    <n v="6"/>
    <s v="C006"/>
    <d v="2026-09-26T00:00:00"/>
    <s v="P001"/>
    <s v="公斤"/>
    <n v="5.7"/>
    <n v="5.7"/>
    <n v="0"/>
    <n v="3.5"/>
    <s v="正常交付"/>
    <s v="true"/>
    <s v="土豆"/>
    <s v="散装鲜菜"/>
    <x v="5"/>
    <n v="19.95"/>
    <n v="0"/>
    <n v="19.95"/>
    <s v=""/>
    <s v=""/>
    <s v=""/>
    <s v=""/>
    <s v="通过"/>
  </r>
  <r>
    <s v="SIM-20260926-C006"/>
    <n v="7"/>
    <s v="C006"/>
    <d v="2026-09-26T00:00:00"/>
    <s v="P017"/>
    <s v="袋"/>
    <n v="4"/>
    <n v="4"/>
    <n v="0"/>
    <n v="117"/>
    <s v="正常交付"/>
    <s v="true"/>
    <s v="籼米"/>
    <s v="25公斤/袋普通籼米"/>
    <x v="5"/>
    <n v="468"/>
    <n v="0"/>
    <n v="468"/>
    <s v=""/>
    <s v=""/>
    <s v=""/>
    <s v=""/>
    <s v="通过"/>
  </r>
  <r>
    <s v="SIM-20260926-C006"/>
    <n v="8"/>
    <s v="C006"/>
    <d v="2026-09-26T00:00:00"/>
    <s v="P020"/>
    <s v="桶"/>
    <n v="2"/>
    <n v="2"/>
    <n v="0"/>
    <n v="60"/>
    <s v="正常交付"/>
    <s v="true"/>
    <s v="大豆油"/>
    <s v="5升/桶普通大豆油"/>
    <x v="5"/>
    <n v="120"/>
    <n v="0"/>
    <n v="120"/>
    <s v=""/>
    <s v=""/>
    <s v=""/>
    <s v=""/>
    <s v="通过"/>
  </r>
  <r>
    <s v="SIM-20260927-C002"/>
    <n v="1"/>
    <s v="C002"/>
    <d v="2026-09-27T00:00:00"/>
    <s v="P011"/>
    <s v="公斤"/>
    <n v="6.4"/>
    <n v="6.4"/>
    <n v="0"/>
    <n v="4.8"/>
    <s v="正常交付"/>
    <s v="true"/>
    <s v="红薯叶"/>
    <s v="散装鲜菜"/>
    <x v="1"/>
    <n v="30.72"/>
    <n v="0"/>
    <n v="30.72"/>
    <s v=""/>
    <s v=""/>
    <s v=""/>
    <s v=""/>
    <s v="通过"/>
  </r>
  <r>
    <s v="SIM-20260927-C002"/>
    <n v="2"/>
    <s v="C002"/>
    <d v="2026-09-27T00:00:00"/>
    <s v="P013"/>
    <s v="公斤"/>
    <n v="6.4"/>
    <n v="6.4"/>
    <n v="0"/>
    <n v="6.1"/>
    <s v="正常交付"/>
    <s v="true"/>
    <s v="豇豆"/>
    <s v="散装鲜菜"/>
    <x v="1"/>
    <n v="39.04"/>
    <n v="0"/>
    <n v="39.04"/>
    <s v=""/>
    <s v=""/>
    <s v=""/>
    <s v=""/>
    <s v="通过"/>
  </r>
  <r>
    <s v="SIM-20260927-C002"/>
    <n v="3"/>
    <s v="C002"/>
    <d v="2026-09-27T00:00:00"/>
    <s v="P006"/>
    <s v="公斤"/>
    <n v="9.1999999999999993"/>
    <n v="9.1999999999999993"/>
    <n v="0"/>
    <n v="4.5999999999999996"/>
    <s v="正常交付"/>
    <s v="true"/>
    <s v="茄子"/>
    <s v="散装鲜菜"/>
    <x v="1"/>
    <n v="42.32"/>
    <n v="0"/>
    <n v="42.32"/>
    <s v=""/>
    <s v=""/>
    <s v=""/>
    <s v=""/>
    <s v="通过"/>
  </r>
  <r>
    <s v="SIM-20260927-C002"/>
    <n v="4"/>
    <s v="C002"/>
    <d v="2026-09-27T00:00:00"/>
    <s v="P005"/>
    <s v="公斤"/>
    <n v="8.5"/>
    <n v="8.5"/>
    <n v="0"/>
    <n v="2.7"/>
    <s v="正常交付"/>
    <s v="true"/>
    <s v="南瓜"/>
    <s v="散装鲜菜"/>
    <x v="1"/>
    <n v="22.95"/>
    <n v="0"/>
    <n v="22.95"/>
    <s v=""/>
    <s v=""/>
    <s v=""/>
    <s v=""/>
    <s v="通过"/>
  </r>
  <r>
    <s v="SIM-20260927-C002"/>
    <n v="5"/>
    <s v="C002"/>
    <d v="2026-09-27T00:00:00"/>
    <s v="P009"/>
    <s v="公斤"/>
    <n v="7.8"/>
    <n v="7.8"/>
    <n v="0"/>
    <n v="4.9000000000000004"/>
    <s v="正常交付"/>
    <s v="true"/>
    <s v="西红柿"/>
    <s v="散装鲜菜"/>
    <x v="1"/>
    <n v="38.22"/>
    <n v="0"/>
    <n v="38.22"/>
    <s v=""/>
    <s v=""/>
    <s v=""/>
    <s v=""/>
    <s v="通过"/>
  </r>
  <r>
    <s v="SIM-20260927-C006"/>
    <n v="1"/>
    <s v="C006"/>
    <d v="2026-09-27T00:00:00"/>
    <s v="P010"/>
    <s v="公斤"/>
    <n v="6.3"/>
    <n v="6.3"/>
    <n v="0"/>
    <n v="4.9000000000000004"/>
    <s v="正常交付"/>
    <s v="true"/>
    <s v="空心菜"/>
    <s v="散装鲜菜"/>
    <x v="5"/>
    <n v="30.87"/>
    <n v="0"/>
    <n v="30.87"/>
    <s v=""/>
    <s v=""/>
    <s v=""/>
    <s v=""/>
    <s v="通过"/>
  </r>
  <r>
    <s v="SIM-20260927-C006"/>
    <n v="2"/>
    <s v="C006"/>
    <d v="2026-09-27T00:00:00"/>
    <s v="P002"/>
    <s v="公斤"/>
    <n v="9.4"/>
    <n v="9.4"/>
    <n v="0"/>
    <n v="2.5"/>
    <s v="正常交付"/>
    <s v="true"/>
    <s v="白萝卜"/>
    <s v="散装鲜菜"/>
    <x v="5"/>
    <n v="23.5"/>
    <n v="0"/>
    <n v="23.5"/>
    <s v=""/>
    <s v=""/>
    <s v=""/>
    <s v=""/>
    <s v="通过"/>
  </r>
  <r>
    <s v="SIM-20260927-C006"/>
    <n v="3"/>
    <s v="C006"/>
    <d v="2026-09-27T00:00:00"/>
    <s v="P013"/>
    <s v="公斤"/>
    <n v="8.8000000000000007"/>
    <n v="8.8000000000000007"/>
    <n v="0"/>
    <n v="6.1"/>
    <s v="正常交付"/>
    <s v="true"/>
    <s v="豇豆"/>
    <s v="散装鲜菜"/>
    <x v="5"/>
    <n v="53.68"/>
    <n v="0"/>
    <n v="53.68"/>
    <s v=""/>
    <s v=""/>
    <s v=""/>
    <s v=""/>
    <s v="通过"/>
  </r>
  <r>
    <s v="SIM-20260927-C006"/>
    <n v="4"/>
    <s v="C006"/>
    <d v="2026-09-27T00:00:00"/>
    <s v="P007"/>
    <s v="公斤"/>
    <n v="6.3"/>
    <n v="6.3"/>
    <n v="0"/>
    <n v="4.95"/>
    <s v="正常交付"/>
    <s v="true"/>
    <s v="青椒"/>
    <s v="散装鲜菜"/>
    <x v="5"/>
    <n v="31.19"/>
    <n v="0"/>
    <n v="31.19"/>
    <s v=""/>
    <s v=""/>
    <s v=""/>
    <s v=""/>
    <s v="通过"/>
  </r>
  <r>
    <s v="SIM-20260927-C006"/>
    <n v="5"/>
    <s v="C006"/>
    <d v="2026-09-27T00:00:00"/>
    <s v="P004"/>
    <s v="公斤"/>
    <n v="8.1999999999999993"/>
    <n v="8.1999999999999993"/>
    <n v="0"/>
    <n v="2.2999999999999998"/>
    <s v="正常交付"/>
    <s v="true"/>
    <s v="冬瓜"/>
    <s v="散装鲜菜"/>
    <x v="5"/>
    <n v="18.86"/>
    <n v="0"/>
    <n v="18.86"/>
    <s v=""/>
    <s v=""/>
    <s v=""/>
    <s v=""/>
    <s v="通过"/>
  </r>
  <r>
    <s v="SIM-20260927-C006"/>
    <n v="6"/>
    <s v="C006"/>
    <d v="2026-09-27T00:00:00"/>
    <s v="P005"/>
    <s v="公斤"/>
    <n v="7.6"/>
    <n v="7.6"/>
    <n v="0"/>
    <n v="2.7"/>
    <s v="正常交付"/>
    <s v="true"/>
    <s v="南瓜"/>
    <s v="散装鲜菜"/>
    <x v="5"/>
    <n v="20.52"/>
    <n v="0"/>
    <n v="20.52"/>
    <s v=""/>
    <s v=""/>
    <s v=""/>
    <s v=""/>
    <s v="通过"/>
  </r>
  <r>
    <s v="SIM-20260927-C006"/>
    <n v="7"/>
    <s v="C006"/>
    <d v="2026-09-27T00:00:00"/>
    <s v="P016"/>
    <s v="公斤"/>
    <n v="9"/>
    <n v="9"/>
    <n v="0"/>
    <n v="10.4"/>
    <s v="正常交付"/>
    <s v="true"/>
    <s v="鸡蛋"/>
    <s v="普通鲜鸡蛋按净重"/>
    <x v="5"/>
    <n v="93.6"/>
    <n v="0"/>
    <n v="93.6"/>
    <s v=""/>
    <s v=""/>
    <s v=""/>
    <s v=""/>
    <s v="通过"/>
  </r>
  <r>
    <s v="SIM-20260928-C001"/>
    <n v="1"/>
    <s v="C001"/>
    <d v="2026-09-28T00:00:00"/>
    <s v="P012"/>
    <s v="公斤"/>
    <n v="1.8"/>
    <n v="1.8"/>
    <n v="0"/>
    <n v="5"/>
    <s v="正常交付"/>
    <s v="true"/>
    <s v="小白菜"/>
    <s v="散装鲜菜"/>
    <x v="0"/>
    <n v="9"/>
    <n v="0"/>
    <n v="9"/>
    <s v=""/>
    <s v=""/>
    <s v=""/>
    <s v=""/>
    <s v="通过"/>
  </r>
  <r>
    <s v="SIM-20260928-C001"/>
    <n v="2"/>
    <s v="C001"/>
    <d v="2026-09-28T00:00:00"/>
    <s v="P013"/>
    <s v="公斤"/>
    <n v="2.2999999999999998"/>
    <n v="2.2999999999999998"/>
    <n v="0"/>
    <n v="6.1"/>
    <s v="正常交付"/>
    <s v="true"/>
    <s v="豇豆"/>
    <s v="散装鲜菜"/>
    <x v="0"/>
    <n v="14.03"/>
    <n v="0"/>
    <n v="14.03"/>
    <s v=""/>
    <s v=""/>
    <s v=""/>
    <s v=""/>
    <s v="通过"/>
  </r>
  <r>
    <s v="SIM-20260928-C001"/>
    <n v="3"/>
    <s v="C001"/>
    <d v="2026-09-28T00:00:00"/>
    <s v="P002"/>
    <s v="公斤"/>
    <n v="3.4"/>
    <n v="3.4"/>
    <n v="0"/>
    <n v="2.5"/>
    <s v="正常交付"/>
    <s v="true"/>
    <s v="白萝卜"/>
    <s v="散装鲜菜"/>
    <x v="0"/>
    <n v="8.5"/>
    <n v="0"/>
    <n v="8.5"/>
    <s v=""/>
    <s v=""/>
    <s v=""/>
    <s v=""/>
    <s v="通过"/>
  </r>
  <r>
    <s v="SIM-20260928-C001"/>
    <n v="4"/>
    <s v="C001"/>
    <d v="2026-09-28T00:00:00"/>
    <s v="P007"/>
    <s v="公斤"/>
    <n v="3.6"/>
    <n v="3.6"/>
    <n v="0"/>
    <n v="4.95"/>
    <s v="正常交付"/>
    <s v="true"/>
    <s v="青椒"/>
    <s v="散装鲜菜"/>
    <x v="0"/>
    <n v="17.82"/>
    <n v="0"/>
    <n v="17.82"/>
    <s v=""/>
    <s v=""/>
    <s v=""/>
    <s v=""/>
    <s v="通过"/>
  </r>
  <r>
    <s v="SIM-20260928-C003"/>
    <n v="1"/>
    <s v="C003"/>
    <d v="2026-09-28T00:00:00"/>
    <s v="P012"/>
    <s v="公斤"/>
    <n v="8.1"/>
    <n v="8.1"/>
    <n v="0"/>
    <n v="5"/>
    <s v="正常交付"/>
    <s v="true"/>
    <s v="小白菜"/>
    <s v="散装鲜菜"/>
    <x v="2"/>
    <n v="40.5"/>
    <n v="0"/>
    <n v="40.5"/>
    <s v=""/>
    <s v=""/>
    <s v=""/>
    <s v=""/>
    <s v="通过"/>
  </r>
  <r>
    <s v="SIM-20260928-C003"/>
    <n v="2"/>
    <s v="C003"/>
    <d v="2026-09-28T00:00:00"/>
    <s v="P005"/>
    <s v="公斤"/>
    <n v="8.1"/>
    <n v="8.1"/>
    <n v="0"/>
    <n v="2.7"/>
    <s v="正常交付"/>
    <s v="true"/>
    <s v="南瓜"/>
    <s v="散装鲜菜"/>
    <x v="2"/>
    <n v="21.87"/>
    <n v="0"/>
    <n v="21.87"/>
    <s v=""/>
    <s v=""/>
    <s v=""/>
    <s v=""/>
    <s v="通过"/>
  </r>
  <r>
    <s v="SIM-20260928-C003"/>
    <n v="3"/>
    <s v="C003"/>
    <d v="2026-09-28T00:00:00"/>
    <s v="P009"/>
    <s v="公斤"/>
    <n v="4.4000000000000004"/>
    <n v="3.9"/>
    <n v="0"/>
    <n v="4.9000000000000004"/>
    <s v="到货不足；按实际交付计费"/>
    <s v="true"/>
    <s v="西红柿"/>
    <s v="散装鲜菜"/>
    <x v="2"/>
    <n v="19.11"/>
    <n v="0"/>
    <n v="19.11"/>
    <s v=""/>
    <s v=""/>
    <s v=""/>
    <s v=""/>
    <s v="通过"/>
  </r>
  <r>
    <s v="SIM-20260928-C003"/>
    <n v="4"/>
    <s v="C003"/>
    <d v="2026-09-28T00:00:00"/>
    <s v="P001"/>
    <s v="公斤"/>
    <n v="5"/>
    <n v="5"/>
    <n v="0"/>
    <n v="3.5"/>
    <s v="正常交付"/>
    <s v="true"/>
    <s v="土豆"/>
    <s v="散装鲜菜"/>
    <x v="2"/>
    <n v="17.5"/>
    <n v="0"/>
    <n v="17.5"/>
    <s v=""/>
    <s v=""/>
    <s v=""/>
    <s v=""/>
    <s v="通过"/>
  </r>
  <r>
    <s v="SIM-20260928-C003"/>
    <n v="5"/>
    <s v="C003"/>
    <d v="2026-09-28T00:00:00"/>
    <s v="P007"/>
    <s v="公斤"/>
    <n v="7.5"/>
    <n v="7.5"/>
    <n v="0"/>
    <n v="4.95"/>
    <s v="正常交付"/>
    <s v="true"/>
    <s v="青椒"/>
    <s v="散装鲜菜"/>
    <x v="2"/>
    <n v="37.130000000000003"/>
    <n v="0"/>
    <n v="37.130000000000003"/>
    <s v=""/>
    <s v=""/>
    <s v=""/>
    <s v=""/>
    <s v="通过"/>
  </r>
  <r>
    <s v="SIM-20260928-C003"/>
    <n v="6"/>
    <s v="C003"/>
    <d v="2026-09-28T00:00:00"/>
    <s v="P008"/>
    <s v="公斤"/>
    <n v="7.5"/>
    <n v="7.5"/>
    <n v="0"/>
    <n v="3.9"/>
    <s v="正常交付"/>
    <s v="true"/>
    <s v="黄瓜"/>
    <s v="散装鲜菜"/>
    <x v="2"/>
    <n v="29.25"/>
    <n v="0"/>
    <n v="29.25"/>
    <s v=""/>
    <s v=""/>
    <s v=""/>
    <s v=""/>
    <s v="通过"/>
  </r>
  <r>
    <s v="SIM-20260928-C005"/>
    <n v="1"/>
    <s v="C005"/>
    <d v="2026-09-28T00:00:00"/>
    <s v="P012"/>
    <s v="公斤"/>
    <n v="11.6"/>
    <n v="11.6"/>
    <n v="0"/>
    <n v="5"/>
    <s v="正常交付"/>
    <s v="true"/>
    <s v="小白菜"/>
    <s v="散装鲜菜"/>
    <x v="4"/>
    <n v="58"/>
    <n v="0"/>
    <n v="58"/>
    <s v=""/>
    <s v=""/>
    <s v=""/>
    <s v=""/>
    <s v="通过"/>
  </r>
  <r>
    <s v="SIM-20260928-C005"/>
    <n v="2"/>
    <s v="C005"/>
    <d v="2026-09-28T00:00:00"/>
    <s v="P007"/>
    <s v="公斤"/>
    <n v="9.3000000000000007"/>
    <n v="9.3000000000000007"/>
    <n v="0"/>
    <n v="4.95"/>
    <s v="正常交付"/>
    <s v="true"/>
    <s v="青椒"/>
    <s v="散装鲜菜"/>
    <x v="4"/>
    <n v="46.04"/>
    <n v="0"/>
    <n v="46.04"/>
    <s v=""/>
    <s v=""/>
    <s v=""/>
    <s v=""/>
    <s v="通过"/>
  </r>
  <r>
    <s v="SIM-20260928-C005"/>
    <n v="3"/>
    <s v="C005"/>
    <d v="2026-09-28T00:00:00"/>
    <s v="P008"/>
    <s v="公斤"/>
    <n v="8.5"/>
    <n v="8.5"/>
    <n v="0"/>
    <n v="3.9"/>
    <s v="正常交付"/>
    <s v="true"/>
    <s v="黄瓜"/>
    <s v="散装鲜菜"/>
    <x v="4"/>
    <n v="33.15"/>
    <n v="0"/>
    <n v="33.15"/>
    <s v=""/>
    <s v=""/>
    <s v=""/>
    <s v=""/>
    <s v="通过"/>
  </r>
  <r>
    <s v="SIM-20260928-C005"/>
    <n v="4"/>
    <s v="C005"/>
    <d v="2026-09-28T00:00:00"/>
    <s v="P009"/>
    <s v="公斤"/>
    <n v="7.7"/>
    <n v="7.7"/>
    <n v="0"/>
    <n v="4.9000000000000004"/>
    <s v="正常交付"/>
    <s v="true"/>
    <s v="西红柿"/>
    <s v="散装鲜菜"/>
    <x v="4"/>
    <n v="37.729999999999997"/>
    <n v="0"/>
    <n v="37.729999999999997"/>
    <s v=""/>
    <s v=""/>
    <s v=""/>
    <s v=""/>
    <s v="通过"/>
  </r>
  <r>
    <s v="SIM-20260928-C005"/>
    <n v="5"/>
    <s v="C005"/>
    <d v="2026-09-28T00:00:00"/>
    <s v="P013"/>
    <s v="公斤"/>
    <n v="10.8"/>
    <n v="10.8"/>
    <n v="0"/>
    <n v="6.1"/>
    <s v="正常交付"/>
    <s v="true"/>
    <s v="豇豆"/>
    <s v="散装鲜菜"/>
    <x v="4"/>
    <n v="65.88"/>
    <n v="0"/>
    <n v="65.88"/>
    <s v=""/>
    <s v=""/>
    <s v=""/>
    <s v=""/>
    <s v="通过"/>
  </r>
  <r>
    <s v="SIM-20260928-C005"/>
    <n v="6"/>
    <s v="C005"/>
    <d v="2026-09-28T00:00:00"/>
    <s v="P003"/>
    <s v="公斤"/>
    <n v="11.6"/>
    <n v="11.6"/>
    <n v="0"/>
    <n v="2.9"/>
    <s v="正常交付"/>
    <s v="true"/>
    <s v="包菜"/>
    <s v="散装鲜菜"/>
    <x v="4"/>
    <n v="33.64"/>
    <n v="0"/>
    <n v="33.64"/>
    <s v=""/>
    <s v=""/>
    <s v=""/>
    <s v=""/>
    <s v="通过"/>
  </r>
  <r>
    <s v="SIM-20260928-C006"/>
    <n v="1"/>
    <s v="C006"/>
    <d v="2026-09-28T00:00:00"/>
    <s v="P010"/>
    <s v="公斤"/>
    <n v="5"/>
    <n v="4.8"/>
    <n v="0"/>
    <n v="4.9000000000000004"/>
    <s v="到货不足；按实际交付计费"/>
    <s v="true"/>
    <s v="空心菜"/>
    <s v="散装鲜菜"/>
    <x v="5"/>
    <n v="23.52"/>
    <n v="0"/>
    <n v="23.52"/>
    <s v=""/>
    <s v=""/>
    <s v=""/>
    <s v=""/>
    <s v="通过"/>
  </r>
  <r>
    <s v="SIM-20260928-C006"/>
    <n v="2"/>
    <s v="C006"/>
    <d v="2026-09-28T00:00:00"/>
    <s v="P007"/>
    <s v="公斤"/>
    <n v="9.1999999999999993"/>
    <n v="9.1999999999999993"/>
    <n v="0"/>
    <n v="4.95"/>
    <s v="正常交付"/>
    <s v="true"/>
    <s v="青椒"/>
    <s v="散装鲜菜"/>
    <x v="5"/>
    <n v="45.54"/>
    <n v="0"/>
    <n v="45.54"/>
    <s v=""/>
    <s v=""/>
    <s v=""/>
    <s v=""/>
    <s v="通过"/>
  </r>
  <r>
    <s v="SIM-20260928-C006"/>
    <n v="3"/>
    <s v="C006"/>
    <d v="2026-09-28T00:00:00"/>
    <s v="P006"/>
    <s v="公斤"/>
    <n v="7.8"/>
    <n v="7.6"/>
    <n v="0"/>
    <n v="4.5999999999999996"/>
    <s v="到货不足；按实际交付计费"/>
    <s v="true"/>
    <s v="茄子"/>
    <s v="散装鲜菜"/>
    <x v="5"/>
    <n v="34.96"/>
    <n v="0"/>
    <n v="34.96"/>
    <s v=""/>
    <s v=""/>
    <s v=""/>
    <s v=""/>
    <s v="通过"/>
  </r>
  <r>
    <s v="SIM-20260928-C006"/>
    <n v="4"/>
    <s v="C006"/>
    <d v="2026-09-28T00:00:00"/>
    <s v="P009"/>
    <s v="公斤"/>
    <n v="5.7"/>
    <n v="5.7"/>
    <n v="0"/>
    <n v="4.9000000000000004"/>
    <s v="正常交付"/>
    <s v="true"/>
    <s v="西红柿"/>
    <s v="散装鲜菜"/>
    <x v="5"/>
    <n v="27.93"/>
    <n v="0"/>
    <n v="27.93"/>
    <s v=""/>
    <s v=""/>
    <s v=""/>
    <s v=""/>
    <s v="通过"/>
  </r>
  <r>
    <s v="SIM-20260928-C006"/>
    <n v="5"/>
    <s v="C006"/>
    <d v="2026-09-28T00:00:00"/>
    <s v="P003"/>
    <s v="公斤"/>
    <n v="7.1"/>
    <n v="7.1"/>
    <n v="0"/>
    <n v="2.9"/>
    <s v="正常交付"/>
    <s v="true"/>
    <s v="包菜"/>
    <s v="散装鲜菜"/>
    <x v="5"/>
    <n v="20.59"/>
    <n v="0"/>
    <n v="20.59"/>
    <s v=""/>
    <s v=""/>
    <s v=""/>
    <s v=""/>
    <s v="通过"/>
  </r>
  <r>
    <s v="SIM-20260928-C006"/>
    <n v="6"/>
    <s v="C006"/>
    <d v="2026-09-28T00:00:00"/>
    <s v="P005"/>
    <s v="公斤"/>
    <n v="11.3"/>
    <n v="11.3"/>
    <n v="0"/>
    <n v="2.7"/>
    <s v="正常交付"/>
    <s v="true"/>
    <s v="南瓜"/>
    <s v="散装鲜菜"/>
    <x v="5"/>
    <n v="30.51"/>
    <n v="0"/>
    <n v="30.51"/>
    <s v=""/>
    <s v=""/>
    <s v=""/>
    <s v=""/>
    <s v="通过"/>
  </r>
  <r>
    <s v="SIM-20260928-C006"/>
    <n v="7"/>
    <s v="C006"/>
    <d v="2026-09-28T00:00:00"/>
    <s v="P015"/>
    <s v="公斤"/>
    <n v="1"/>
    <n v="1"/>
    <n v="0"/>
    <n v="7.8"/>
    <s v="正常交付"/>
    <s v="true"/>
    <s v="小葱"/>
    <s v="散装鲜菜"/>
    <x v="5"/>
    <n v="7.8"/>
    <n v="0"/>
    <n v="7.8"/>
    <s v=""/>
    <s v=""/>
    <s v=""/>
    <s v=""/>
    <s v="通过"/>
  </r>
  <r>
    <s v="SIM-20260929-C001"/>
    <n v="1"/>
    <s v="C001"/>
    <d v="2026-09-29T00:00:00"/>
    <s v="P012"/>
    <s v="公斤"/>
    <n v="3"/>
    <n v="3"/>
    <n v="0"/>
    <n v="5.2"/>
    <s v="正常交付"/>
    <s v="true"/>
    <s v="小白菜"/>
    <s v="散装鲜菜"/>
    <x v="0"/>
    <n v="15.6"/>
    <n v="0"/>
    <n v="15.6"/>
    <s v=""/>
    <s v=""/>
    <s v=""/>
    <s v=""/>
    <s v="通过"/>
  </r>
  <r>
    <s v="SIM-20260929-C001"/>
    <n v="2"/>
    <s v="C001"/>
    <d v="2026-09-29T00:00:00"/>
    <s v="P007"/>
    <s v="公斤"/>
    <n v="5"/>
    <n v="5"/>
    <n v="0"/>
    <n v="5.25"/>
    <s v="正常交付"/>
    <s v="true"/>
    <s v="青椒"/>
    <s v="散装鲜菜"/>
    <x v="0"/>
    <n v="26.25"/>
    <n v="0"/>
    <n v="26.25"/>
    <s v=""/>
    <s v=""/>
    <s v=""/>
    <s v=""/>
    <s v="通过"/>
  </r>
  <r>
    <s v="SIM-20260929-C001"/>
    <n v="3"/>
    <s v="C001"/>
    <d v="2026-09-29T00:00:00"/>
    <s v="P014"/>
    <s v="公斤"/>
    <n v="2.6"/>
    <n v="2.6"/>
    <n v="0"/>
    <n v="4.8"/>
    <s v="正常交付"/>
    <s v="true"/>
    <s v="丝瓜"/>
    <s v="散装鲜菜"/>
    <x v="0"/>
    <n v="12.48"/>
    <n v="0"/>
    <n v="12.48"/>
    <s v=""/>
    <s v=""/>
    <s v=""/>
    <s v=""/>
    <s v="通过"/>
  </r>
  <r>
    <s v="SIM-20260929-C001"/>
    <n v="4"/>
    <s v="C001"/>
    <d v="2026-09-29T00:00:00"/>
    <s v="P005"/>
    <s v="公斤"/>
    <n v="2.6"/>
    <n v="2.6"/>
    <n v="0"/>
    <n v="2.8"/>
    <s v="正常交付"/>
    <s v="true"/>
    <s v="南瓜"/>
    <s v="散装鲜菜"/>
    <x v="0"/>
    <n v="7.28"/>
    <n v="0"/>
    <n v="7.28"/>
    <s v=""/>
    <s v=""/>
    <s v=""/>
    <s v=""/>
    <s v="通过"/>
  </r>
  <r>
    <s v="SIM-20260929-C001"/>
    <n v="5"/>
    <s v="C001"/>
    <d v="2026-09-29T00:00:00"/>
    <s v="P016"/>
    <s v="公斤"/>
    <n v="3"/>
    <n v="3"/>
    <n v="0"/>
    <n v="10.3"/>
    <s v="正常交付"/>
    <s v="true"/>
    <s v="鸡蛋"/>
    <s v="普通鲜鸡蛋按净重"/>
    <x v="0"/>
    <n v="30.9"/>
    <n v="0"/>
    <n v="30.9"/>
    <s v=""/>
    <s v=""/>
    <s v=""/>
    <s v=""/>
    <s v="通过"/>
  </r>
  <r>
    <s v="SIM-20260929-C001"/>
    <n v="6"/>
    <s v="C001"/>
    <d v="2026-09-29T00:00:00"/>
    <s v="P015"/>
    <s v="公斤"/>
    <n v="0.5"/>
    <n v="0.5"/>
    <n v="0"/>
    <n v="7.7"/>
    <s v="正常交付"/>
    <s v="true"/>
    <s v="小葱"/>
    <s v="散装鲜菜"/>
    <x v="0"/>
    <n v="3.85"/>
    <n v="0"/>
    <n v="3.85"/>
    <s v=""/>
    <s v=""/>
    <s v=""/>
    <s v=""/>
    <s v="通过"/>
  </r>
  <r>
    <s v="SIM-20260929-C002"/>
    <n v="1"/>
    <s v="C002"/>
    <d v="2026-09-29T00:00:00"/>
    <s v="P010"/>
    <s v="公斤"/>
    <n v="6.1"/>
    <n v="6.1"/>
    <n v="0.5"/>
    <n v="4.8"/>
    <s v="正常交付；签收时挑出黄叶退回"/>
    <s v="true"/>
    <s v="空心菜"/>
    <s v="散装鲜菜"/>
    <x v="1"/>
    <n v="29.28"/>
    <n v="2.4"/>
    <n v="26.880000000000003"/>
    <s v=""/>
    <s v=""/>
    <s v=""/>
    <s v=""/>
    <s v="通过"/>
  </r>
  <r>
    <s v="SIM-20260929-C002"/>
    <n v="2"/>
    <s v="C002"/>
    <d v="2026-09-29T00:00:00"/>
    <s v="P007"/>
    <s v="公斤"/>
    <n v="3.9"/>
    <n v="3.9"/>
    <n v="0"/>
    <n v="5.25"/>
    <s v="正常交付"/>
    <s v="true"/>
    <s v="青椒"/>
    <s v="散装鲜菜"/>
    <x v="1"/>
    <n v="20.48"/>
    <n v="0"/>
    <n v="20.48"/>
    <s v=""/>
    <s v=""/>
    <s v=""/>
    <s v=""/>
    <s v="通过"/>
  </r>
  <r>
    <s v="SIM-20260929-C002"/>
    <n v="3"/>
    <s v="C002"/>
    <d v="2026-09-29T00:00:00"/>
    <s v="P006"/>
    <s v="公斤"/>
    <n v="7"/>
    <n v="7"/>
    <n v="0"/>
    <n v="4.5"/>
    <s v="正常交付"/>
    <s v="true"/>
    <s v="茄子"/>
    <s v="散装鲜菜"/>
    <x v="1"/>
    <n v="31.5"/>
    <n v="0"/>
    <n v="31.5"/>
    <s v=""/>
    <s v=""/>
    <s v=""/>
    <s v=""/>
    <s v="通过"/>
  </r>
  <r>
    <s v="SIM-20260929-C002"/>
    <n v="4"/>
    <s v="C002"/>
    <d v="2026-09-29T00:00:00"/>
    <s v="P013"/>
    <s v="公斤"/>
    <n v="6.1"/>
    <n v="5.9"/>
    <n v="0"/>
    <n v="6.3"/>
    <s v="到货不足；按实际交付计费"/>
    <s v="true"/>
    <s v="豇豆"/>
    <s v="散装鲜菜"/>
    <x v="1"/>
    <n v="37.17"/>
    <n v="0"/>
    <n v="37.17"/>
    <s v=""/>
    <s v=""/>
    <s v=""/>
    <s v=""/>
    <s v="通过"/>
  </r>
  <r>
    <s v="SIM-20260929-C002"/>
    <n v="5"/>
    <s v="C002"/>
    <d v="2026-09-29T00:00:00"/>
    <s v="P009"/>
    <s v="公斤"/>
    <n v="4.4000000000000004"/>
    <n v="4.4000000000000004"/>
    <n v="0"/>
    <n v="4.8"/>
    <s v="正常交付"/>
    <s v="true"/>
    <s v="西红柿"/>
    <s v="散装鲜菜"/>
    <x v="1"/>
    <n v="21.12"/>
    <n v="0"/>
    <n v="21.12"/>
    <s v=""/>
    <s v=""/>
    <s v=""/>
    <s v=""/>
    <s v="通过"/>
  </r>
  <r>
    <s v="SIM-20260929-C002"/>
    <n v="6"/>
    <s v="C002"/>
    <d v="2026-09-29T00:00:00"/>
    <s v="P016"/>
    <s v="公斤"/>
    <n v="4"/>
    <n v="4"/>
    <n v="0"/>
    <n v="10.3"/>
    <s v="正常交付"/>
    <s v="true"/>
    <s v="鸡蛋"/>
    <s v="普通鲜鸡蛋按净重"/>
    <x v="1"/>
    <n v="41.2"/>
    <n v="0"/>
    <n v="41.2"/>
    <s v=""/>
    <s v=""/>
    <s v=""/>
    <s v=""/>
    <s v="通过"/>
  </r>
  <r>
    <s v="SIM-20260929-C002"/>
    <n v="7"/>
    <s v="C002"/>
    <d v="2026-09-29T00:00:00"/>
    <s v="P015"/>
    <s v="公斤"/>
    <n v="1"/>
    <n v="1"/>
    <n v="0"/>
    <n v="7.7"/>
    <s v="正常交付"/>
    <s v="true"/>
    <s v="小葱"/>
    <s v="散装鲜菜"/>
    <x v="1"/>
    <n v="7.7"/>
    <n v="0"/>
    <n v="7.7"/>
    <s v=""/>
    <s v=""/>
    <s v=""/>
    <s v=""/>
    <s v="通过"/>
  </r>
  <r>
    <s v="SIM-20260929-C003"/>
    <n v="1"/>
    <s v="C003"/>
    <d v="2026-09-29T00:00:00"/>
    <s v="P011"/>
    <s v="公斤"/>
    <n v="5.3"/>
    <n v="5.3"/>
    <n v="0"/>
    <n v="4.8"/>
    <s v="正常交付"/>
    <s v="true"/>
    <s v="红薯叶"/>
    <s v="散装鲜菜"/>
    <x v="2"/>
    <n v="25.44"/>
    <n v="0"/>
    <n v="25.44"/>
    <s v=""/>
    <s v=""/>
    <s v=""/>
    <s v=""/>
    <s v="通过"/>
  </r>
  <r>
    <s v="SIM-20260929-C003"/>
    <n v="2"/>
    <s v="C003"/>
    <d v="2026-09-29T00:00:00"/>
    <s v="P014"/>
    <s v="公斤"/>
    <n v="10.5"/>
    <n v="10.199999999999999"/>
    <n v="0"/>
    <n v="4.8"/>
    <s v="到货不足；按实际交付计费"/>
    <s v="true"/>
    <s v="丝瓜"/>
    <s v="散装鲜菜"/>
    <x v="2"/>
    <n v="48.96"/>
    <n v="0"/>
    <n v="48.96"/>
    <s v=""/>
    <s v=""/>
    <s v=""/>
    <s v=""/>
    <s v="通过"/>
  </r>
  <r>
    <s v="SIM-20260929-C003"/>
    <n v="3"/>
    <s v="C003"/>
    <d v="2026-09-29T00:00:00"/>
    <s v="P007"/>
    <s v="公斤"/>
    <n v="9.1999999999999993"/>
    <n v="9.1999999999999993"/>
    <n v="0"/>
    <n v="5.25"/>
    <s v="正常交付"/>
    <s v="true"/>
    <s v="青椒"/>
    <s v="散装鲜菜"/>
    <x v="2"/>
    <n v="48.3"/>
    <n v="0"/>
    <n v="48.3"/>
    <s v=""/>
    <s v=""/>
    <s v=""/>
    <s v=""/>
    <s v="通过"/>
  </r>
  <r>
    <s v="SIM-20260929-C003"/>
    <n v="4"/>
    <s v="C003"/>
    <d v="2026-09-29T00:00:00"/>
    <s v="P003"/>
    <s v="公斤"/>
    <n v="4.5999999999999996"/>
    <n v="4.5999999999999996"/>
    <n v="0"/>
    <n v="3"/>
    <s v="正常交付"/>
    <s v="true"/>
    <s v="包菜"/>
    <s v="散装鲜菜"/>
    <x v="2"/>
    <n v="13.8"/>
    <n v="0"/>
    <n v="13.8"/>
    <s v=""/>
    <s v=""/>
    <s v=""/>
    <s v=""/>
    <s v="通过"/>
  </r>
  <r>
    <s v="SIM-20260929-C003"/>
    <n v="5"/>
    <s v="C003"/>
    <d v="2026-09-29T00:00:00"/>
    <s v="P009"/>
    <s v="公斤"/>
    <n v="9.8000000000000007"/>
    <n v="9.8000000000000007"/>
    <n v="0"/>
    <n v="4.8"/>
    <s v="正常交付"/>
    <s v="true"/>
    <s v="西红柿"/>
    <s v="散装鲜菜"/>
    <x v="2"/>
    <n v="47.04"/>
    <n v="0"/>
    <n v="47.04"/>
    <s v=""/>
    <s v=""/>
    <s v=""/>
    <s v=""/>
    <s v="通过"/>
  </r>
  <r>
    <s v="SIM-20260929-C003"/>
    <n v="6"/>
    <s v="C003"/>
    <d v="2026-09-29T00:00:00"/>
    <s v="P001"/>
    <s v="公斤"/>
    <n v="7.2"/>
    <n v="7.2"/>
    <n v="0"/>
    <n v="3.1"/>
    <s v="正常交付"/>
    <s v="true"/>
    <s v="土豆"/>
    <s v="散装鲜菜"/>
    <x v="2"/>
    <n v="22.32"/>
    <n v="0"/>
    <n v="22.32"/>
    <s v=""/>
    <s v=""/>
    <s v=""/>
    <s v=""/>
    <s v="通过"/>
  </r>
  <r>
    <s v="SIM-20260929-C003"/>
    <n v="7"/>
    <s v="C003"/>
    <d v="2026-09-29T00:00:00"/>
    <s v="P016"/>
    <s v="公斤"/>
    <n v="6"/>
    <n v="6"/>
    <n v="0"/>
    <n v="10.3"/>
    <s v="正常交付"/>
    <s v="true"/>
    <s v="鸡蛋"/>
    <s v="普通鲜鸡蛋按净重"/>
    <x v="2"/>
    <n v="61.8"/>
    <n v="0"/>
    <n v="61.8"/>
    <s v=""/>
    <s v=""/>
    <s v=""/>
    <s v=""/>
    <s v="通过"/>
  </r>
  <r>
    <s v="SIM-20260929-C003"/>
    <n v="8"/>
    <s v="C003"/>
    <d v="2026-09-29T00:00:00"/>
    <s v="P015"/>
    <s v="公斤"/>
    <n v="1"/>
    <n v="1"/>
    <n v="0"/>
    <n v="7.7"/>
    <s v="正常交付"/>
    <s v="true"/>
    <s v="小葱"/>
    <s v="散装鲜菜"/>
    <x v="2"/>
    <n v="7.7"/>
    <n v="0"/>
    <n v="7.7"/>
    <s v=""/>
    <s v=""/>
    <s v=""/>
    <s v=""/>
    <s v="通过"/>
  </r>
  <r>
    <s v="SIM-20260929-C004"/>
    <n v="1"/>
    <s v="C004"/>
    <d v="2026-09-29T00:00:00"/>
    <s v="P011"/>
    <s v="公斤"/>
    <n v="7.5"/>
    <n v="7.5"/>
    <n v="0"/>
    <n v="4.8"/>
    <s v="正常交付"/>
    <s v="true"/>
    <s v="红薯叶"/>
    <s v="散装鲜菜"/>
    <x v="3"/>
    <n v="36"/>
    <n v="0"/>
    <n v="36"/>
    <s v=""/>
    <s v=""/>
    <s v=""/>
    <s v=""/>
    <s v="通过"/>
  </r>
  <r>
    <s v="SIM-20260929-C004"/>
    <n v="2"/>
    <s v="C004"/>
    <d v="2026-09-29T00:00:00"/>
    <s v="P006"/>
    <s v="公斤"/>
    <n v="8"/>
    <n v="8"/>
    <n v="0"/>
    <n v="4.5"/>
    <s v="正常交付"/>
    <s v="true"/>
    <s v="茄子"/>
    <s v="散装鲜菜"/>
    <x v="3"/>
    <n v="36"/>
    <n v="0"/>
    <n v="36"/>
    <s v=""/>
    <s v=""/>
    <s v=""/>
    <s v=""/>
    <s v="通过"/>
  </r>
  <r>
    <s v="SIM-20260929-C004"/>
    <n v="3"/>
    <s v="C004"/>
    <d v="2026-09-29T00:00:00"/>
    <s v="P014"/>
    <s v="公斤"/>
    <n v="6"/>
    <n v="6"/>
    <n v="0"/>
    <n v="4.8"/>
    <s v="正常交付"/>
    <s v="true"/>
    <s v="丝瓜"/>
    <s v="散装鲜菜"/>
    <x v="3"/>
    <n v="28.8"/>
    <n v="0"/>
    <n v="28.8"/>
    <s v=""/>
    <s v=""/>
    <s v=""/>
    <s v=""/>
    <s v="通过"/>
  </r>
  <r>
    <s v="SIM-20260929-C004"/>
    <n v="4"/>
    <s v="C004"/>
    <d v="2026-09-29T00:00:00"/>
    <s v="P013"/>
    <s v="公斤"/>
    <n v="7.5"/>
    <n v="7.5"/>
    <n v="0"/>
    <n v="6.3"/>
    <s v="正常交付"/>
    <s v="true"/>
    <s v="豇豆"/>
    <s v="散装鲜菜"/>
    <x v="3"/>
    <n v="47.25"/>
    <n v="0"/>
    <n v="47.25"/>
    <s v=""/>
    <s v=""/>
    <s v=""/>
    <s v=""/>
    <s v="通过"/>
  </r>
  <r>
    <s v="SIM-20260929-C004"/>
    <n v="5"/>
    <s v="C004"/>
    <d v="2026-09-29T00:00:00"/>
    <s v="P004"/>
    <s v="公斤"/>
    <n v="4"/>
    <n v="4"/>
    <n v="0"/>
    <n v="2.2000000000000002"/>
    <s v="正常交付"/>
    <s v="true"/>
    <s v="冬瓜"/>
    <s v="散装鲜菜"/>
    <x v="3"/>
    <n v="8.8000000000000007"/>
    <n v="0"/>
    <n v="8.8000000000000007"/>
    <s v=""/>
    <s v=""/>
    <s v=""/>
    <s v=""/>
    <s v="通过"/>
  </r>
  <r>
    <s v="SIM-20260929-C004"/>
    <n v="6"/>
    <s v="C004"/>
    <d v="2026-09-29T00:00:00"/>
    <s v="P001"/>
    <s v="公斤"/>
    <n v="4.5"/>
    <n v="4.5"/>
    <n v="0"/>
    <n v="3.1"/>
    <s v="正常交付"/>
    <s v="true"/>
    <s v="土豆"/>
    <s v="散装鲜菜"/>
    <x v="3"/>
    <n v="13.95"/>
    <n v="0"/>
    <n v="13.95"/>
    <s v=""/>
    <s v=""/>
    <s v=""/>
    <s v=""/>
    <s v="通过"/>
  </r>
  <r>
    <s v="SIM-20260929-C004"/>
    <n v="7"/>
    <s v="C004"/>
    <d v="2026-09-29T00:00:00"/>
    <s v="P016"/>
    <s v="公斤"/>
    <n v="5"/>
    <n v="5"/>
    <n v="0"/>
    <n v="10.3"/>
    <s v="正常交付"/>
    <s v="true"/>
    <s v="鸡蛋"/>
    <s v="普通鲜鸡蛋按净重"/>
    <x v="3"/>
    <n v="51.5"/>
    <n v="0"/>
    <n v="51.5"/>
    <s v=""/>
    <s v=""/>
    <s v=""/>
    <s v=""/>
    <s v="通过"/>
  </r>
  <r>
    <s v="SIM-20260929-C004"/>
    <n v="8"/>
    <s v="C004"/>
    <d v="2026-09-29T00:00:00"/>
    <s v="P015"/>
    <s v="公斤"/>
    <n v="1"/>
    <n v="1"/>
    <n v="0"/>
    <n v="7.7"/>
    <s v="正常交付"/>
    <s v="true"/>
    <s v="小葱"/>
    <s v="散装鲜菜"/>
    <x v="3"/>
    <n v="7.7"/>
    <n v="0"/>
    <n v="7.7"/>
    <s v=""/>
    <s v=""/>
    <s v=""/>
    <s v=""/>
    <s v="通过"/>
  </r>
  <r>
    <s v="SIM-20260929-C005"/>
    <n v="1"/>
    <s v="C005"/>
    <d v="2026-09-29T00:00:00"/>
    <s v="P010"/>
    <s v="公斤"/>
    <n v="15.5"/>
    <n v="15.5"/>
    <n v="0"/>
    <n v="4.8"/>
    <s v="正常交付"/>
    <s v="true"/>
    <s v="空心菜"/>
    <s v="散装鲜菜"/>
    <x v="4"/>
    <n v="74.400000000000006"/>
    <n v="0"/>
    <n v="74.400000000000006"/>
    <s v=""/>
    <s v=""/>
    <s v=""/>
    <s v=""/>
    <s v="通过"/>
  </r>
  <r>
    <s v="SIM-20260929-C005"/>
    <n v="2"/>
    <s v="C005"/>
    <d v="2026-09-29T00:00:00"/>
    <s v="P001"/>
    <s v="公斤"/>
    <n v="8.6999999999999993"/>
    <n v="8.6999999999999993"/>
    <n v="0"/>
    <n v="3.1"/>
    <s v="正常交付"/>
    <s v="true"/>
    <s v="土豆"/>
    <s v="散装鲜菜"/>
    <x v="4"/>
    <n v="26.97"/>
    <n v="0"/>
    <n v="26.97"/>
    <s v=""/>
    <s v=""/>
    <s v=""/>
    <s v=""/>
    <s v="通过"/>
  </r>
  <r>
    <s v="SIM-20260929-C005"/>
    <n v="3"/>
    <s v="C005"/>
    <d v="2026-09-29T00:00:00"/>
    <s v="P006"/>
    <s v="公斤"/>
    <n v="6.8"/>
    <n v="6.8"/>
    <n v="0"/>
    <n v="4.5"/>
    <s v="正常交付"/>
    <s v="true"/>
    <s v="茄子"/>
    <s v="散装鲜菜"/>
    <x v="4"/>
    <n v="30.6"/>
    <n v="0"/>
    <n v="30.6"/>
    <s v=""/>
    <s v=""/>
    <s v=""/>
    <s v=""/>
    <s v="通过"/>
  </r>
  <r>
    <s v="SIM-20260929-C005"/>
    <n v="4"/>
    <s v="C005"/>
    <d v="2026-09-29T00:00:00"/>
    <s v="P003"/>
    <s v="公斤"/>
    <n v="8.6999999999999993"/>
    <n v="8.6999999999999993"/>
    <n v="0"/>
    <n v="3"/>
    <s v="正常交付"/>
    <s v="true"/>
    <s v="包菜"/>
    <s v="散装鲜菜"/>
    <x v="4"/>
    <n v="26.1"/>
    <n v="0"/>
    <n v="26.1"/>
    <s v=""/>
    <s v=""/>
    <s v=""/>
    <s v=""/>
    <s v="通过"/>
  </r>
  <r>
    <s v="SIM-20260929-C005"/>
    <n v="5"/>
    <s v="C005"/>
    <d v="2026-09-29T00:00:00"/>
    <s v="P005"/>
    <s v="公斤"/>
    <n v="13.5"/>
    <n v="13.5"/>
    <n v="0"/>
    <n v="2.8"/>
    <s v="正常交付"/>
    <s v="true"/>
    <s v="南瓜"/>
    <s v="散装鲜菜"/>
    <x v="4"/>
    <n v="37.799999999999997"/>
    <n v="0"/>
    <n v="37.799999999999997"/>
    <s v=""/>
    <s v=""/>
    <s v=""/>
    <s v=""/>
    <s v="通过"/>
  </r>
  <r>
    <s v="SIM-20260929-C005"/>
    <n v="6"/>
    <s v="C005"/>
    <d v="2026-09-29T00:00:00"/>
    <s v="P013"/>
    <s v="公斤"/>
    <n v="10.6"/>
    <n v="10.6"/>
    <n v="0"/>
    <n v="6.3"/>
    <s v="正常交付"/>
    <s v="true"/>
    <s v="豇豆"/>
    <s v="散装鲜菜"/>
    <x v="4"/>
    <n v="66.78"/>
    <n v="0"/>
    <n v="66.78"/>
    <s v=""/>
    <s v=""/>
    <s v=""/>
    <s v=""/>
    <s v="通过"/>
  </r>
  <r>
    <s v="SIM-20260929-C005"/>
    <n v="7"/>
    <s v="C005"/>
    <d v="2026-09-29T00:00:00"/>
    <s v="P016"/>
    <s v="公斤"/>
    <n v="12"/>
    <n v="12"/>
    <n v="0"/>
    <n v="10.3"/>
    <s v="正常交付"/>
    <s v="true"/>
    <s v="鸡蛋"/>
    <s v="普通鲜鸡蛋按净重"/>
    <x v="4"/>
    <n v="123.6"/>
    <n v="0"/>
    <n v="123.6"/>
    <s v=""/>
    <s v=""/>
    <s v=""/>
    <s v=""/>
    <s v="通过"/>
  </r>
  <r>
    <s v="SIM-20260929-C005"/>
    <n v="8"/>
    <s v="C005"/>
    <d v="2026-09-29T00:00:00"/>
    <s v="P017"/>
    <s v="袋"/>
    <n v="6"/>
    <n v="6"/>
    <n v="0"/>
    <n v="119"/>
    <s v="正常交付"/>
    <s v="true"/>
    <s v="籼米"/>
    <s v="25公斤/袋普通籼米"/>
    <x v="4"/>
    <n v="714"/>
    <n v="0"/>
    <n v="714"/>
    <s v=""/>
    <s v=""/>
    <s v=""/>
    <s v=""/>
    <s v="通过"/>
  </r>
  <r>
    <s v="SIM-20260929-C005"/>
    <n v="9"/>
    <s v="C005"/>
    <d v="2026-09-29T00:00:00"/>
    <s v="P020"/>
    <s v="桶"/>
    <n v="2"/>
    <n v="2"/>
    <n v="0"/>
    <n v="59"/>
    <s v="正常交付"/>
    <s v="true"/>
    <s v="大豆油"/>
    <s v="5升/桶普通大豆油"/>
    <x v="4"/>
    <n v="118"/>
    <n v="0"/>
    <n v="118"/>
    <s v=""/>
    <s v=""/>
    <s v=""/>
    <s v=""/>
    <s v="通过"/>
  </r>
  <r>
    <s v="SIM-20260929-C006"/>
    <n v="1"/>
    <s v="C006"/>
    <d v="2026-09-29T00:00:00"/>
    <s v="P011"/>
    <s v="公斤"/>
    <n v="4.8"/>
    <n v="4.8"/>
    <n v="0"/>
    <n v="4.8"/>
    <s v="正常交付"/>
    <s v="true"/>
    <s v="红薯叶"/>
    <s v="散装鲜菜"/>
    <x v="5"/>
    <n v="23.04"/>
    <n v="0"/>
    <n v="23.04"/>
    <s v=""/>
    <s v=""/>
    <s v=""/>
    <s v=""/>
    <s v="通过"/>
  </r>
  <r>
    <s v="SIM-20260929-C006"/>
    <n v="2"/>
    <s v="C006"/>
    <d v="2026-09-29T00:00:00"/>
    <s v="P005"/>
    <s v="公斤"/>
    <n v="6"/>
    <n v="6"/>
    <n v="0"/>
    <n v="2.8"/>
    <s v="正常交付"/>
    <s v="true"/>
    <s v="南瓜"/>
    <s v="散装鲜菜"/>
    <x v="5"/>
    <n v="16.8"/>
    <n v="0"/>
    <n v="16.8"/>
    <s v=""/>
    <s v=""/>
    <s v=""/>
    <s v=""/>
    <s v="通过"/>
  </r>
  <r>
    <s v="SIM-20260929-C006"/>
    <n v="3"/>
    <s v="C006"/>
    <d v="2026-09-29T00:00:00"/>
    <s v="P001"/>
    <s v="公斤"/>
    <n v="9.6999999999999993"/>
    <n v="9.6999999999999993"/>
    <n v="0"/>
    <n v="3.1"/>
    <s v="正常交付"/>
    <s v="true"/>
    <s v="土豆"/>
    <s v="散装鲜菜"/>
    <x v="5"/>
    <n v="30.07"/>
    <n v="0"/>
    <n v="30.07"/>
    <s v=""/>
    <s v=""/>
    <s v=""/>
    <s v=""/>
    <s v="通过"/>
  </r>
  <r>
    <s v="SIM-20260929-C006"/>
    <n v="4"/>
    <s v="C006"/>
    <d v="2026-09-29T00:00:00"/>
    <s v="P004"/>
    <s v="公斤"/>
    <n v="8.5"/>
    <n v="8.5"/>
    <n v="0"/>
    <n v="2.2000000000000002"/>
    <s v="正常交付"/>
    <s v="true"/>
    <s v="冬瓜"/>
    <s v="散装鲜菜"/>
    <x v="5"/>
    <n v="18.7"/>
    <n v="0"/>
    <n v="18.7"/>
    <s v=""/>
    <s v=""/>
    <s v=""/>
    <s v=""/>
    <s v="通过"/>
  </r>
  <r>
    <s v="SIM-20260929-C006"/>
    <n v="5"/>
    <s v="C006"/>
    <d v="2026-09-29T00:00:00"/>
    <s v="P006"/>
    <s v="公斤"/>
    <n v="6.7"/>
    <n v="6.7"/>
    <n v="0"/>
    <n v="4.5"/>
    <s v="正常交付"/>
    <s v="true"/>
    <s v="茄子"/>
    <s v="散装鲜菜"/>
    <x v="5"/>
    <n v="30.15"/>
    <n v="0"/>
    <n v="30.15"/>
    <s v=""/>
    <s v=""/>
    <s v=""/>
    <s v=""/>
    <s v="通过"/>
  </r>
  <r>
    <s v="SIM-20260929-C006"/>
    <n v="6"/>
    <s v="C006"/>
    <d v="2026-09-29T00:00:00"/>
    <s v="P007"/>
    <s v="公斤"/>
    <n v="8.5"/>
    <n v="8.5"/>
    <n v="0"/>
    <n v="5.25"/>
    <s v="正常交付"/>
    <s v="true"/>
    <s v="青椒"/>
    <s v="散装鲜菜"/>
    <x v="5"/>
    <n v="44.63"/>
    <n v="0"/>
    <n v="44.63"/>
    <s v=""/>
    <s v=""/>
    <s v=""/>
    <s v=""/>
    <s v="通过"/>
  </r>
  <r>
    <s v="SIM-20260929-C006"/>
    <n v="7"/>
    <s v="C006"/>
    <d v="2026-09-29T00:00:00"/>
    <s v="P016"/>
    <s v="公斤"/>
    <n v="9"/>
    <n v="9"/>
    <n v="0"/>
    <n v="10.3"/>
    <s v="正常交付"/>
    <s v="true"/>
    <s v="鸡蛋"/>
    <s v="普通鲜鸡蛋按净重"/>
    <x v="5"/>
    <n v="92.7"/>
    <n v="0"/>
    <n v="92.7"/>
    <s v=""/>
    <s v=""/>
    <s v=""/>
    <s v=""/>
    <s v="通过"/>
  </r>
  <r>
    <s v="SIM-20260930-C001"/>
    <n v="1"/>
    <s v="C001"/>
    <d v="2026-09-30T00:00:00"/>
    <s v="P010"/>
    <s v="公斤"/>
    <n v="1.6"/>
    <n v="1.6"/>
    <n v="0"/>
    <n v="4.8"/>
    <s v="正常交付"/>
    <s v="true"/>
    <s v="空心菜"/>
    <s v="散装鲜菜"/>
    <x v="0"/>
    <n v="7.68"/>
    <n v="0"/>
    <n v="7.68"/>
    <s v=""/>
    <s v=""/>
    <s v=""/>
    <s v=""/>
    <s v="通过"/>
  </r>
  <r>
    <s v="SIM-20260930-C001"/>
    <n v="2"/>
    <s v="C001"/>
    <d v="2026-09-30T00:00:00"/>
    <s v="P007"/>
    <s v="公斤"/>
    <n v="3.2"/>
    <n v="3.2"/>
    <n v="0"/>
    <n v="5.25"/>
    <s v="正常交付"/>
    <s v="true"/>
    <s v="青椒"/>
    <s v="散装鲜菜"/>
    <x v="0"/>
    <n v="16.8"/>
    <n v="0"/>
    <n v="16.8"/>
    <s v=""/>
    <s v=""/>
    <s v=""/>
    <s v=""/>
    <s v="通过"/>
  </r>
  <r>
    <s v="SIM-20260930-C001"/>
    <n v="3"/>
    <s v="C001"/>
    <d v="2026-09-30T00:00:00"/>
    <s v="P008"/>
    <s v="公斤"/>
    <n v="3"/>
    <n v="3"/>
    <n v="0"/>
    <n v="4.3"/>
    <s v="正常交付"/>
    <s v="true"/>
    <s v="黄瓜"/>
    <s v="散装鲜菜"/>
    <x v="0"/>
    <n v="12.9"/>
    <n v="0"/>
    <n v="12.9"/>
    <s v=""/>
    <s v=""/>
    <s v=""/>
    <s v=""/>
    <s v="通过"/>
  </r>
  <r>
    <s v="SIM-20260930-C001"/>
    <n v="4"/>
    <s v="C001"/>
    <d v="2026-09-30T00:00:00"/>
    <s v="P001"/>
    <s v="公斤"/>
    <n v="3"/>
    <n v="3"/>
    <n v="0"/>
    <n v="3.1"/>
    <s v="正常交付"/>
    <s v="true"/>
    <s v="土豆"/>
    <s v="散装鲜菜"/>
    <x v="0"/>
    <n v="9.3000000000000007"/>
    <n v="0"/>
    <n v="9.3000000000000007"/>
    <s v=""/>
    <s v=""/>
    <s v=""/>
    <s v=""/>
    <s v="通过"/>
  </r>
  <r>
    <s v="SIM-20260930-C001"/>
    <n v="5"/>
    <s v="C001"/>
    <d v="2026-09-30T00:00:00"/>
    <s v="P019"/>
    <s v="桶"/>
    <n v="1"/>
    <n v="1"/>
    <n v="0"/>
    <n v="69"/>
    <s v="正常交付"/>
    <s v="true"/>
    <s v="菜籽油"/>
    <s v="5升/桶普通菜籽油"/>
    <x v="0"/>
    <n v="69"/>
    <n v="0"/>
    <n v="69"/>
    <s v=""/>
    <s v=""/>
    <s v=""/>
    <s v=""/>
    <s v="通过"/>
  </r>
  <r>
    <s v="SIM-20260930-C001"/>
    <n v="6"/>
    <s v="C001"/>
    <d v="2026-09-30T00:00:00"/>
    <s v="P018"/>
    <s v="袋"/>
    <n v="1"/>
    <n v="1"/>
    <n v="0"/>
    <n v="107"/>
    <s v="正常交付"/>
    <s v="true"/>
    <s v="小麦粉"/>
    <s v="25公斤/袋普通小麦粉"/>
    <x v="0"/>
    <n v="107"/>
    <n v="0"/>
    <n v="107"/>
    <s v=""/>
    <s v=""/>
    <s v=""/>
    <s v=""/>
    <s v="通过"/>
  </r>
  <r>
    <s v="SIM-20260930-C002"/>
    <n v="1"/>
    <s v="C002"/>
    <d v="2026-09-30T00:00:00"/>
    <s v="P011"/>
    <s v="公斤"/>
    <n v="3.4"/>
    <n v="3.4"/>
    <n v="0"/>
    <n v="4.8"/>
    <s v="正常交付"/>
    <s v="true"/>
    <s v="红薯叶"/>
    <s v="散装鲜菜"/>
    <x v="1"/>
    <n v="16.32"/>
    <n v="0"/>
    <n v="16.32"/>
    <s v=""/>
    <s v=""/>
    <s v=""/>
    <s v=""/>
    <s v="通过"/>
  </r>
  <r>
    <s v="SIM-20260930-C002"/>
    <n v="2"/>
    <s v="C002"/>
    <d v="2026-09-30T00:00:00"/>
    <s v="P008"/>
    <s v="公斤"/>
    <n v="6.8"/>
    <n v="6.8"/>
    <n v="0"/>
    <n v="4.3"/>
    <s v="正常交付"/>
    <s v="true"/>
    <s v="黄瓜"/>
    <s v="散装鲜菜"/>
    <x v="1"/>
    <n v="29.24"/>
    <n v="0"/>
    <n v="29.24"/>
    <s v=""/>
    <s v=""/>
    <s v=""/>
    <s v=""/>
    <s v="通过"/>
  </r>
  <r>
    <s v="SIM-20260930-C002"/>
    <n v="3"/>
    <s v="C002"/>
    <d v="2026-09-30T00:00:00"/>
    <s v="P006"/>
    <s v="公斤"/>
    <n v="6.4"/>
    <n v="6.4"/>
    <n v="0"/>
    <n v="4.5"/>
    <s v="正常交付"/>
    <s v="true"/>
    <s v="茄子"/>
    <s v="散装鲜菜"/>
    <x v="1"/>
    <n v="28.8"/>
    <n v="0"/>
    <n v="28.8"/>
    <s v=""/>
    <s v=""/>
    <s v=""/>
    <s v=""/>
    <s v="通过"/>
  </r>
  <r>
    <s v="SIM-20260930-C002"/>
    <n v="4"/>
    <s v="C002"/>
    <d v="2026-09-30T00:00:00"/>
    <s v="P003"/>
    <s v="公斤"/>
    <n v="6.4"/>
    <n v="6.4"/>
    <n v="0"/>
    <n v="3"/>
    <s v="正常交付"/>
    <s v="true"/>
    <s v="包菜"/>
    <s v="散装鲜菜"/>
    <x v="1"/>
    <n v="19.2"/>
    <n v="0"/>
    <n v="19.2"/>
    <s v=""/>
    <s v=""/>
    <s v=""/>
    <s v=""/>
    <s v="通过"/>
  </r>
  <r>
    <s v="SIM-20260930-C002"/>
    <n v="5"/>
    <s v="C002"/>
    <d v="2026-09-30T00:00:00"/>
    <s v="P004"/>
    <s v="公斤"/>
    <n v="3.9"/>
    <n v="3.9"/>
    <n v="0"/>
    <n v="2.2000000000000002"/>
    <s v="正常交付"/>
    <s v="true"/>
    <s v="冬瓜"/>
    <s v="散装鲜菜"/>
    <x v="1"/>
    <n v="8.58"/>
    <n v="0"/>
    <n v="8.58"/>
    <s v=""/>
    <s v=""/>
    <s v=""/>
    <s v=""/>
    <s v="通过"/>
  </r>
  <r>
    <s v="SIM-20260930-C002"/>
    <n v="6"/>
    <s v="C002"/>
    <d v="2026-09-30T00:00:00"/>
    <s v="P017"/>
    <s v="袋"/>
    <n v="3"/>
    <n v="3"/>
    <n v="0"/>
    <n v="119"/>
    <s v="正常交付"/>
    <s v="true"/>
    <s v="籼米"/>
    <s v="25公斤/袋普通籼米"/>
    <x v="1"/>
    <n v="357"/>
    <n v="0"/>
    <n v="357"/>
    <s v=""/>
    <s v=""/>
    <s v=""/>
    <s v=""/>
    <s v="通过"/>
  </r>
  <r>
    <s v="SIM-20260930-C002"/>
    <n v="7"/>
    <s v="C002"/>
    <d v="2026-09-30T00:00:00"/>
    <s v="P019"/>
    <s v="桶"/>
    <n v="1"/>
    <n v="1"/>
    <n v="0"/>
    <n v="69"/>
    <s v="正常交付"/>
    <s v="true"/>
    <s v="菜籽油"/>
    <s v="5升/桶普通菜籽油"/>
    <x v="1"/>
    <n v="69"/>
    <n v="0"/>
    <n v="69"/>
    <s v=""/>
    <s v=""/>
    <s v=""/>
    <s v=""/>
    <s v="通过"/>
  </r>
  <r>
    <s v="SIM-20260930-C003"/>
    <n v="1"/>
    <s v="C003"/>
    <d v="2026-09-30T00:00:00"/>
    <s v="P011"/>
    <s v="公斤"/>
    <n v="5.6"/>
    <n v="5.6"/>
    <n v="0.3"/>
    <n v="4.8"/>
    <s v="正常交付；签收时挑出黄叶退回"/>
    <s v="true"/>
    <s v="红薯叶"/>
    <s v="散装鲜菜"/>
    <x v="2"/>
    <n v="26.88"/>
    <n v="1.44"/>
    <n v="25.439999999999998"/>
    <s v=""/>
    <s v=""/>
    <s v=""/>
    <s v=""/>
    <s v="通过"/>
  </r>
  <r>
    <s v="SIM-20260930-C003"/>
    <n v="2"/>
    <s v="C003"/>
    <d v="2026-09-30T00:00:00"/>
    <s v="P004"/>
    <s v="公斤"/>
    <n v="7.5"/>
    <n v="7.5"/>
    <n v="0"/>
    <n v="2.2000000000000002"/>
    <s v="正常交付"/>
    <s v="true"/>
    <s v="冬瓜"/>
    <s v="散装鲜菜"/>
    <x v="2"/>
    <n v="16.5"/>
    <n v="0"/>
    <n v="16.5"/>
    <s v=""/>
    <s v=""/>
    <s v=""/>
    <s v=""/>
    <s v="通过"/>
  </r>
  <r>
    <s v="SIM-20260930-C003"/>
    <n v="3"/>
    <s v="C003"/>
    <d v="2026-09-30T00:00:00"/>
    <s v="P001"/>
    <s v="公斤"/>
    <n v="6.1"/>
    <n v="6.1"/>
    <n v="0"/>
    <n v="3.1"/>
    <s v="正常交付"/>
    <s v="true"/>
    <s v="土豆"/>
    <s v="散装鲜菜"/>
    <x v="2"/>
    <n v="18.91"/>
    <n v="0"/>
    <n v="18.91"/>
    <s v=""/>
    <s v=""/>
    <s v=""/>
    <s v=""/>
    <s v="通过"/>
  </r>
  <r>
    <s v="SIM-20260930-C003"/>
    <n v="4"/>
    <s v="C003"/>
    <d v="2026-09-30T00:00:00"/>
    <s v="P013"/>
    <s v="公斤"/>
    <n v="7"/>
    <n v="6.5"/>
    <n v="0"/>
    <n v="6.3"/>
    <s v="到货不足；按实际交付计费"/>
    <s v="true"/>
    <s v="豇豆"/>
    <s v="散装鲜菜"/>
    <x v="2"/>
    <n v="40.950000000000003"/>
    <n v="0"/>
    <n v="40.950000000000003"/>
    <s v=""/>
    <s v=""/>
    <s v=""/>
    <s v=""/>
    <s v="通过"/>
  </r>
  <r>
    <s v="SIM-20260930-C003"/>
    <n v="5"/>
    <s v="C003"/>
    <d v="2026-09-30T00:00:00"/>
    <s v="P008"/>
    <s v="公斤"/>
    <n v="7"/>
    <n v="7"/>
    <n v="0"/>
    <n v="4.3"/>
    <s v="正常交付"/>
    <s v="true"/>
    <s v="黄瓜"/>
    <s v="散装鲜菜"/>
    <x v="2"/>
    <n v="30.1"/>
    <n v="0"/>
    <n v="30.1"/>
    <s v=""/>
    <s v=""/>
    <s v=""/>
    <s v=""/>
    <s v="通过"/>
  </r>
  <r>
    <s v="SIM-20260930-C003"/>
    <n v="6"/>
    <s v="C003"/>
    <d v="2026-09-30T00:00:00"/>
    <s v="P002"/>
    <s v="公斤"/>
    <n v="5.0999999999999996"/>
    <n v="5.0999999999999996"/>
    <n v="0"/>
    <n v="2.7"/>
    <s v="正常交付"/>
    <s v="true"/>
    <s v="白萝卜"/>
    <s v="散装鲜菜"/>
    <x v="2"/>
    <n v="13.77"/>
    <n v="0"/>
    <n v="13.77"/>
    <s v=""/>
    <s v=""/>
    <s v=""/>
    <s v=""/>
    <s v="通过"/>
  </r>
  <r>
    <s v="SIM-20260930-C003"/>
    <n v="7"/>
    <s v="C003"/>
    <d v="2026-09-30T00:00:00"/>
    <s v="P017"/>
    <s v="袋"/>
    <n v="5"/>
    <n v="5"/>
    <n v="0"/>
    <n v="119"/>
    <s v="正常交付"/>
    <s v="true"/>
    <s v="籼米"/>
    <s v="25公斤/袋普通籼米"/>
    <x v="2"/>
    <n v="595"/>
    <n v="0"/>
    <n v="595"/>
    <s v=""/>
    <s v=""/>
    <s v=""/>
    <s v=""/>
    <s v="通过"/>
  </r>
  <r>
    <s v="SIM-20260930-C003"/>
    <n v="8"/>
    <s v="C003"/>
    <d v="2026-09-30T00:00:00"/>
    <s v="P020"/>
    <s v="桶"/>
    <n v="2"/>
    <n v="2"/>
    <n v="0"/>
    <n v="59"/>
    <s v="正常交付"/>
    <s v="true"/>
    <s v="大豆油"/>
    <s v="5升/桶普通大豆油"/>
    <x v="2"/>
    <n v="118"/>
    <n v="0"/>
    <n v="118"/>
    <s v=""/>
    <s v=""/>
    <s v=""/>
    <s v=""/>
    <s v="通过"/>
  </r>
  <r>
    <s v="SIM-20260930-C005"/>
    <n v="1"/>
    <s v="C005"/>
    <d v="2026-09-30T00:00:00"/>
    <s v="P011"/>
    <s v="公斤"/>
    <n v="8.3000000000000007"/>
    <n v="8.3000000000000007"/>
    <n v="0"/>
    <n v="4.8"/>
    <s v="正常交付"/>
    <s v="true"/>
    <s v="红薯叶"/>
    <s v="散装鲜菜"/>
    <x v="4"/>
    <n v="39.840000000000003"/>
    <n v="0"/>
    <n v="39.840000000000003"/>
    <s v=""/>
    <s v=""/>
    <s v=""/>
    <s v=""/>
    <s v="通过"/>
  </r>
  <r>
    <s v="SIM-20260930-C005"/>
    <n v="2"/>
    <s v="C005"/>
    <d v="2026-09-30T00:00:00"/>
    <s v="P014"/>
    <s v="公斤"/>
    <n v="6.4"/>
    <n v="6.4"/>
    <n v="0"/>
    <n v="4.8"/>
    <s v="正常交付"/>
    <s v="true"/>
    <s v="丝瓜"/>
    <s v="散装鲜菜"/>
    <x v="4"/>
    <n v="30.72"/>
    <n v="0"/>
    <n v="30.72"/>
    <s v=""/>
    <s v=""/>
    <s v=""/>
    <s v=""/>
    <s v="通过"/>
  </r>
  <r>
    <s v="SIM-20260930-C005"/>
    <n v="3"/>
    <s v="C005"/>
    <d v="2026-09-30T00:00:00"/>
    <s v="P013"/>
    <s v="公斤"/>
    <n v="6.4"/>
    <n v="6.4"/>
    <n v="0"/>
    <n v="6.3"/>
    <s v="正常交付"/>
    <s v="true"/>
    <s v="豇豆"/>
    <s v="散装鲜菜"/>
    <x v="4"/>
    <n v="40.32"/>
    <n v="0"/>
    <n v="40.32"/>
    <s v=""/>
    <s v=""/>
    <s v=""/>
    <s v=""/>
    <s v="通过"/>
  </r>
  <r>
    <s v="SIM-20260930-C005"/>
    <n v="4"/>
    <s v="C005"/>
    <d v="2026-09-30T00:00:00"/>
    <s v="P009"/>
    <s v="公斤"/>
    <n v="8.3000000000000007"/>
    <n v="7.8"/>
    <n v="0"/>
    <n v="4.8"/>
    <s v="到货不足；按实际交付计费"/>
    <s v="true"/>
    <s v="西红柿"/>
    <s v="散装鲜菜"/>
    <x v="4"/>
    <n v="37.44"/>
    <n v="0"/>
    <n v="37.44"/>
    <s v=""/>
    <s v=""/>
    <s v=""/>
    <s v=""/>
    <s v="通过"/>
  </r>
  <r>
    <s v="SIM-20260930-C005"/>
    <n v="5"/>
    <s v="C005"/>
    <d v="2026-09-30T00:00:00"/>
    <s v="P002"/>
    <s v="公斤"/>
    <n v="12.9"/>
    <n v="12.9"/>
    <n v="0"/>
    <n v="2.7"/>
    <s v="正常交付"/>
    <s v="true"/>
    <s v="白萝卜"/>
    <s v="散装鲜菜"/>
    <x v="4"/>
    <n v="34.83"/>
    <n v="0"/>
    <n v="34.83"/>
    <s v=""/>
    <s v=""/>
    <s v=""/>
    <s v=""/>
    <s v="通过"/>
  </r>
  <r>
    <s v="SIM-20260930-C005"/>
    <n v="6"/>
    <s v="C005"/>
    <d v="2026-09-30T00:00:00"/>
    <s v="P005"/>
    <s v="公斤"/>
    <n v="14.7"/>
    <n v="14.7"/>
    <n v="0"/>
    <n v="2.8"/>
    <s v="正常交付"/>
    <s v="true"/>
    <s v="南瓜"/>
    <s v="散装鲜菜"/>
    <x v="4"/>
    <n v="41.16"/>
    <n v="0"/>
    <n v="41.16"/>
    <s v=""/>
    <s v=""/>
    <s v=""/>
    <s v=""/>
    <s v="通过"/>
  </r>
  <r>
    <s v="SIM-20260930-C005"/>
    <n v="7"/>
    <s v="C005"/>
    <d v="2026-09-30T00:00:00"/>
    <s v="P015"/>
    <s v="公斤"/>
    <n v="1"/>
    <n v="1"/>
    <n v="0"/>
    <n v="7.7"/>
    <s v="正常交付"/>
    <s v="true"/>
    <s v="小葱"/>
    <s v="散装鲜菜"/>
    <x v="4"/>
    <n v="7.7"/>
    <n v="0"/>
    <n v="7.7"/>
    <s v=""/>
    <s v=""/>
    <s v=""/>
    <s v=""/>
    <s v="通过"/>
  </r>
  <r>
    <s v="SIM-20260930-C006"/>
    <n v="1"/>
    <s v="C006"/>
    <d v="2026-09-30T00:00:00"/>
    <s v="P011"/>
    <s v="公斤"/>
    <n v="5.5"/>
    <n v="5.5"/>
    <n v="0"/>
    <n v="4.8"/>
    <s v="正常交付"/>
    <s v="true"/>
    <s v="红薯叶"/>
    <s v="散装鲜菜"/>
    <x v="5"/>
    <n v="26.4"/>
    <n v="0"/>
    <n v="26.4"/>
    <s v=""/>
    <s v=""/>
    <s v=""/>
    <s v=""/>
    <s v="通过"/>
  </r>
  <r>
    <s v="SIM-20260930-C006"/>
    <n v="2"/>
    <s v="C006"/>
    <d v="2026-09-30T00:00:00"/>
    <s v="P002"/>
    <s v="公斤"/>
    <n v="7.1"/>
    <n v="7.1"/>
    <n v="0"/>
    <n v="2.7"/>
    <s v="正常交付"/>
    <s v="true"/>
    <s v="白萝卜"/>
    <s v="散装鲜菜"/>
    <x v="5"/>
    <n v="19.170000000000002"/>
    <n v="0"/>
    <n v="19.170000000000002"/>
    <s v=""/>
    <s v=""/>
    <s v=""/>
    <s v=""/>
    <s v="通过"/>
  </r>
  <r>
    <s v="SIM-20260930-C006"/>
    <n v="3"/>
    <s v="C006"/>
    <d v="2026-09-30T00:00:00"/>
    <s v="P007"/>
    <s v="公斤"/>
    <n v="11.8"/>
    <n v="11.8"/>
    <n v="0"/>
    <n v="5.25"/>
    <s v="正常交付"/>
    <s v="true"/>
    <s v="青椒"/>
    <s v="散装鲜菜"/>
    <x v="5"/>
    <n v="61.95"/>
    <n v="0"/>
    <n v="61.95"/>
    <s v=""/>
    <s v=""/>
    <s v=""/>
    <s v=""/>
    <s v="通过"/>
  </r>
  <r>
    <s v="SIM-20260930-C006"/>
    <n v="4"/>
    <s v="C006"/>
    <d v="2026-09-30T00:00:00"/>
    <s v="P013"/>
    <s v="公斤"/>
    <n v="7.9"/>
    <n v="7.9"/>
    <n v="0"/>
    <n v="6.3"/>
    <s v="正常交付"/>
    <s v="true"/>
    <s v="豇豆"/>
    <s v="散装鲜菜"/>
    <x v="5"/>
    <n v="49.77"/>
    <n v="0"/>
    <n v="49.77"/>
    <s v=""/>
    <s v=""/>
    <s v=""/>
    <s v=""/>
    <s v="通过"/>
  </r>
  <r>
    <s v="SIM-20260930-C006"/>
    <n v="5"/>
    <s v="C006"/>
    <d v="2026-09-30T00:00:00"/>
    <s v="P008"/>
    <s v="公斤"/>
    <n v="12.6"/>
    <n v="12.6"/>
    <n v="0"/>
    <n v="4.3"/>
    <s v="正常交付"/>
    <s v="true"/>
    <s v="黄瓜"/>
    <s v="散装鲜菜"/>
    <x v="5"/>
    <n v="54.18"/>
    <n v="0"/>
    <n v="54.18"/>
    <s v=""/>
    <s v=""/>
    <s v=""/>
    <s v=""/>
    <s v="通过"/>
  </r>
  <r>
    <s v="SIM-20260930-C006"/>
    <n v="6"/>
    <s v="C006"/>
    <d v="2026-09-30T00:00:00"/>
    <s v="P001"/>
    <s v="公斤"/>
    <n v="5.5"/>
    <n v="5.5"/>
    <n v="0"/>
    <n v="3.1"/>
    <s v="正常交付"/>
    <s v="true"/>
    <s v="土豆"/>
    <s v="散装鲜菜"/>
    <x v="5"/>
    <n v="17.05"/>
    <n v="0"/>
    <n v="17.05"/>
    <s v=""/>
    <s v=""/>
    <s v=""/>
    <s v=""/>
    <s v="通过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">
  <r>
    <s v="SIM-20260901-C001"/>
    <n v="1"/>
    <s v="C001"/>
    <d v="2026-09-01T00:00:00"/>
    <s v="P012"/>
    <x v="0"/>
    <n v="4.0999999999999996"/>
    <n v="4.0999999999999996"/>
    <n v="0"/>
    <n v="4.5999999999999996"/>
    <s v="正常交付"/>
    <s v="true"/>
    <x v="0"/>
    <s v="散装鲜菜"/>
    <s v="模拟_榕树下粉面店"/>
    <n v="18.86"/>
    <n v="0"/>
    <n v="18.86"/>
    <s v=""/>
    <s v=""/>
    <s v=""/>
    <s v=""/>
    <s v="通过"/>
  </r>
  <r>
    <s v="SIM-20260901-C001"/>
    <n v="2"/>
    <s v="C001"/>
    <d v="2026-09-01T00:00:00"/>
    <s v="P005"/>
    <x v="0"/>
    <n v="3.3"/>
    <n v="3.3"/>
    <n v="0"/>
    <n v="2.7"/>
    <s v="正常交付"/>
    <s v="true"/>
    <x v="1"/>
    <s v="散装鲜菜"/>
    <s v="模拟_榕树下粉面店"/>
    <n v="8.91"/>
    <n v="0"/>
    <n v="8.91"/>
    <s v=""/>
    <s v=""/>
    <s v=""/>
    <s v=""/>
    <s v="通过"/>
  </r>
  <r>
    <s v="SIM-20260901-C001"/>
    <n v="3"/>
    <s v="C001"/>
    <d v="2026-09-01T00:00:00"/>
    <s v="P002"/>
    <x v="0"/>
    <n v="2.6"/>
    <n v="2.6"/>
    <n v="0"/>
    <n v="2.2999999999999998"/>
    <s v="正常交付"/>
    <s v="true"/>
    <x v="2"/>
    <s v="散装鲜菜"/>
    <s v="模拟_榕树下粉面店"/>
    <n v="5.98"/>
    <n v="0"/>
    <n v="5.98"/>
    <s v=""/>
    <s v=""/>
    <s v=""/>
    <s v=""/>
    <s v="通过"/>
  </r>
  <r>
    <s v="SIM-20260901-C001"/>
    <n v="4"/>
    <s v="C001"/>
    <d v="2026-09-01T00:00:00"/>
    <s v="P004"/>
    <x v="0"/>
    <n v="3"/>
    <n v="3"/>
    <n v="0"/>
    <n v="2.2999999999999998"/>
    <s v="正常交付"/>
    <s v="true"/>
    <x v="3"/>
    <s v="散装鲜菜"/>
    <s v="模拟_榕树下粉面店"/>
    <n v="6.9"/>
    <n v="0"/>
    <n v="6.9"/>
    <s v=""/>
    <s v=""/>
    <s v=""/>
    <s v=""/>
    <s v="通过"/>
  </r>
  <r>
    <s v="SIM-20260901-C001"/>
    <n v="5"/>
    <s v="C001"/>
    <d v="2026-09-01T00:00:00"/>
    <s v="P016"/>
    <x v="0"/>
    <n v="3"/>
    <n v="3"/>
    <n v="0"/>
    <n v="10.1"/>
    <s v="正常交付"/>
    <s v="true"/>
    <x v="4"/>
    <s v="普通鲜鸡蛋按净重"/>
    <s v="模拟_榕树下粉面店"/>
    <n v="30.3"/>
    <n v="0"/>
    <n v="30.3"/>
    <s v=""/>
    <s v=""/>
    <s v=""/>
    <s v=""/>
    <s v="通过"/>
  </r>
  <r>
    <s v="SIM-20260901-C001"/>
    <n v="6"/>
    <s v="C001"/>
    <d v="2026-09-01T00:00:00"/>
    <s v="P015"/>
    <x v="0"/>
    <n v="0.5"/>
    <n v="0.5"/>
    <n v="0"/>
    <n v="7.3"/>
    <s v="正常交付"/>
    <s v="true"/>
    <x v="5"/>
    <s v="散装鲜菜"/>
    <s v="模拟_榕树下粉面店"/>
    <n v="3.65"/>
    <n v="0"/>
    <n v="3.65"/>
    <s v=""/>
    <s v=""/>
    <s v=""/>
    <s v=""/>
    <s v="通过"/>
  </r>
  <r>
    <s v="SIM-20260901-C001"/>
    <n v="7"/>
    <s v="C001"/>
    <d v="2026-09-01T00:00:00"/>
    <s v="P019"/>
    <x v="1"/>
    <n v="1"/>
    <n v="1"/>
    <n v="0"/>
    <n v="71"/>
    <s v="正常交付"/>
    <s v="true"/>
    <x v="6"/>
    <s v="5升/桶普通菜籽油"/>
    <s v="模拟_榕树下粉面店"/>
    <n v="71"/>
    <n v="0"/>
    <n v="71"/>
    <s v=""/>
    <s v=""/>
    <s v=""/>
    <s v=""/>
    <s v="通过"/>
  </r>
  <r>
    <s v="SIM-20260901-C001"/>
    <n v="8"/>
    <s v="C001"/>
    <d v="2026-09-01T00:00:00"/>
    <s v="P018"/>
    <x v="2"/>
    <n v="1"/>
    <n v="1"/>
    <n v="0"/>
    <n v="111"/>
    <s v="正常交付"/>
    <s v="true"/>
    <x v="7"/>
    <s v="25公斤/袋普通小麦粉"/>
    <s v="模拟_榕树下粉面店"/>
    <n v="111"/>
    <n v="0"/>
    <n v="111"/>
    <s v=""/>
    <s v=""/>
    <s v=""/>
    <s v=""/>
    <s v="通过"/>
  </r>
  <r>
    <s v="SIM-20260901-C002"/>
    <n v="1"/>
    <s v="C002"/>
    <d v="2026-09-01T00:00:00"/>
    <s v="P011"/>
    <x v="0"/>
    <n v="4.5"/>
    <n v="4.5"/>
    <n v="0"/>
    <n v="4.4000000000000004"/>
    <s v="正常交付"/>
    <s v="true"/>
    <x v="8"/>
    <s v="散装鲜菜"/>
    <s v="模拟_桥头家常菜馆"/>
    <n v="19.8"/>
    <n v="0"/>
    <n v="19.8"/>
    <s v=""/>
    <s v=""/>
    <s v=""/>
    <s v=""/>
    <s v="通过"/>
  </r>
  <r>
    <s v="SIM-20260901-C002"/>
    <n v="2"/>
    <s v="C002"/>
    <d v="2026-09-01T00:00:00"/>
    <s v="P001"/>
    <x v="0"/>
    <n v="4.5"/>
    <n v="4.5"/>
    <n v="0"/>
    <n v="3.3"/>
    <s v="正常交付"/>
    <s v="true"/>
    <x v="9"/>
    <s v="散装鲜菜"/>
    <s v="模拟_桥头家常菜馆"/>
    <n v="14.85"/>
    <n v="0"/>
    <n v="14.85"/>
    <s v=""/>
    <s v=""/>
    <s v=""/>
    <s v=""/>
    <s v="通过"/>
  </r>
  <r>
    <s v="SIM-20260901-C002"/>
    <n v="3"/>
    <s v="C002"/>
    <d v="2026-09-01T00:00:00"/>
    <s v="P006"/>
    <x v="0"/>
    <n v="9"/>
    <n v="9"/>
    <n v="0"/>
    <n v="4.5999999999999996"/>
    <s v="正常交付"/>
    <s v="true"/>
    <x v="10"/>
    <s v="散装鲜菜"/>
    <s v="模拟_桥头家常菜馆"/>
    <n v="41.4"/>
    <n v="0"/>
    <n v="41.4"/>
    <s v=""/>
    <s v=""/>
    <s v=""/>
    <s v=""/>
    <s v="通过"/>
  </r>
  <r>
    <s v="SIM-20260901-C002"/>
    <n v="4"/>
    <s v="C002"/>
    <d v="2026-09-01T00:00:00"/>
    <s v="P013"/>
    <x v="0"/>
    <n v="4.5"/>
    <n v="4.5"/>
    <n v="0"/>
    <n v="6.3"/>
    <s v="正常交付"/>
    <s v="true"/>
    <x v="11"/>
    <s v="散装鲜菜"/>
    <s v="模拟_桥头家常菜馆"/>
    <n v="28.35"/>
    <n v="0"/>
    <n v="28.35"/>
    <s v=""/>
    <s v=""/>
    <s v=""/>
    <s v=""/>
    <s v="通过"/>
  </r>
  <r>
    <s v="SIM-20260901-C002"/>
    <n v="5"/>
    <s v="C002"/>
    <d v="2026-09-01T00:00:00"/>
    <s v="P003"/>
    <x v="0"/>
    <n v="6.4"/>
    <n v="6.4"/>
    <n v="0"/>
    <n v="3.3"/>
    <s v="正常交付"/>
    <s v="true"/>
    <x v="12"/>
    <s v="散装鲜菜"/>
    <s v="模拟_桥头家常菜馆"/>
    <n v="21.12"/>
    <n v="0"/>
    <n v="21.12"/>
    <s v=""/>
    <s v=""/>
    <s v=""/>
    <s v=""/>
    <s v="通过"/>
  </r>
  <r>
    <s v="SIM-20260901-C002"/>
    <n v="6"/>
    <s v="C002"/>
    <d v="2026-09-01T00:00:00"/>
    <s v="P016"/>
    <x v="0"/>
    <n v="4"/>
    <n v="4"/>
    <n v="0"/>
    <n v="10.1"/>
    <s v="正常交付"/>
    <s v="true"/>
    <x v="4"/>
    <s v="普通鲜鸡蛋按净重"/>
    <s v="模拟_桥头家常菜馆"/>
    <n v="40.4"/>
    <n v="0"/>
    <n v="40.4"/>
    <s v=""/>
    <s v=""/>
    <s v=""/>
    <s v=""/>
    <s v="通过"/>
  </r>
  <r>
    <s v="SIM-20260901-C002"/>
    <n v="7"/>
    <s v="C002"/>
    <d v="2026-09-01T00:00:00"/>
    <s v="P015"/>
    <x v="0"/>
    <n v="1"/>
    <n v="1"/>
    <n v="0"/>
    <n v="7.3"/>
    <s v="正常交付"/>
    <s v="true"/>
    <x v="5"/>
    <s v="散装鲜菜"/>
    <s v="模拟_桥头家常菜馆"/>
    <n v="7.3"/>
    <n v="0"/>
    <n v="7.3"/>
    <s v=""/>
    <s v=""/>
    <s v=""/>
    <s v=""/>
    <s v="通过"/>
  </r>
  <r>
    <s v="SIM-20260901-C002"/>
    <n v="8"/>
    <s v="C002"/>
    <d v="2026-09-01T00:00:00"/>
    <s v="P017"/>
    <x v="2"/>
    <n v="3"/>
    <n v="3"/>
    <n v="0"/>
    <n v="118"/>
    <s v="正常交付"/>
    <s v="true"/>
    <x v="13"/>
    <s v="25公斤/袋普通籼米"/>
    <s v="模拟_桥头家常菜馆"/>
    <n v="354"/>
    <n v="0"/>
    <n v="354"/>
    <s v=""/>
    <s v=""/>
    <s v=""/>
    <s v=""/>
    <s v="通过"/>
  </r>
  <r>
    <s v="SIM-20260901-C002"/>
    <n v="9"/>
    <s v="C002"/>
    <d v="2026-09-01T00:00:00"/>
    <s v="P019"/>
    <x v="1"/>
    <n v="1"/>
    <n v="1"/>
    <n v="0"/>
    <n v="71"/>
    <s v="正常交付"/>
    <s v="true"/>
    <x v="6"/>
    <s v="5升/桶普通菜籽油"/>
    <s v="模拟_桥头家常菜馆"/>
    <n v="71"/>
    <n v="0"/>
    <n v="71"/>
    <s v=""/>
    <s v=""/>
    <s v=""/>
    <s v=""/>
    <s v="通过"/>
  </r>
  <r>
    <s v="SIM-20260901-C003"/>
    <n v="1"/>
    <s v="C003"/>
    <d v="2026-09-01T00:00:00"/>
    <s v="P011"/>
    <x v="0"/>
    <n v="7.6"/>
    <n v="7.6"/>
    <n v="0"/>
    <n v="4.4000000000000004"/>
    <s v="正常交付"/>
    <s v="true"/>
    <x v="8"/>
    <s v="散装鲜菜"/>
    <s v="模拟_兴街快餐店"/>
    <n v="33.44"/>
    <n v="0"/>
    <n v="33.44"/>
    <s v=""/>
    <s v=""/>
    <s v=""/>
    <s v=""/>
    <s v="通过"/>
  </r>
  <r>
    <s v="SIM-20260901-C003"/>
    <n v="2"/>
    <s v="C003"/>
    <d v="2026-09-01T00:00:00"/>
    <s v="P004"/>
    <x v="0"/>
    <n v="3.5"/>
    <n v="3.5"/>
    <n v="0"/>
    <n v="2.2999999999999998"/>
    <s v="正常交付"/>
    <s v="true"/>
    <x v="3"/>
    <s v="散装鲜菜"/>
    <s v="模拟_兴街快餐店"/>
    <n v="8.0500000000000007"/>
    <n v="0"/>
    <n v="8.0500000000000007"/>
    <s v=""/>
    <s v=""/>
    <s v=""/>
    <s v=""/>
    <s v="通过"/>
  </r>
  <r>
    <s v="SIM-20260901-C003"/>
    <n v="3"/>
    <s v="C003"/>
    <d v="2026-09-01T00:00:00"/>
    <s v="P005"/>
    <x v="0"/>
    <n v="8.1"/>
    <n v="8.1"/>
    <n v="0"/>
    <n v="2.7"/>
    <s v="正常交付"/>
    <s v="true"/>
    <x v="1"/>
    <s v="散装鲜菜"/>
    <s v="模拟_兴街快餐店"/>
    <n v="21.87"/>
    <n v="0"/>
    <n v="21.87"/>
    <s v=""/>
    <s v=""/>
    <s v=""/>
    <s v=""/>
    <s v="通过"/>
  </r>
  <r>
    <s v="SIM-20260901-C003"/>
    <n v="4"/>
    <s v="C003"/>
    <d v="2026-09-01T00:00:00"/>
    <s v="P003"/>
    <x v="0"/>
    <n v="6.6"/>
    <n v="6.6"/>
    <n v="0"/>
    <n v="3.3"/>
    <s v="正常交付"/>
    <s v="true"/>
    <x v="12"/>
    <s v="散装鲜菜"/>
    <s v="模拟_兴街快餐店"/>
    <n v="21.78"/>
    <n v="0"/>
    <n v="21.78"/>
    <s v=""/>
    <s v=""/>
    <s v=""/>
    <s v=""/>
    <s v="通过"/>
  </r>
  <r>
    <s v="SIM-20260901-C003"/>
    <n v="5"/>
    <s v="C003"/>
    <d v="2026-09-01T00:00:00"/>
    <s v="P001"/>
    <x v="0"/>
    <n v="7.1"/>
    <n v="7.1"/>
    <n v="0"/>
    <n v="3.3"/>
    <s v="正常交付"/>
    <s v="true"/>
    <x v="9"/>
    <s v="散装鲜菜"/>
    <s v="模拟_兴街快餐店"/>
    <n v="23.43"/>
    <n v="0"/>
    <n v="23.43"/>
    <s v=""/>
    <s v=""/>
    <s v=""/>
    <s v=""/>
    <s v="通过"/>
  </r>
  <r>
    <s v="SIM-20260901-C003"/>
    <n v="6"/>
    <s v="C003"/>
    <d v="2026-09-01T00:00:00"/>
    <s v="P008"/>
    <x v="0"/>
    <n v="4.0999999999999996"/>
    <n v="4.0999999999999996"/>
    <n v="0"/>
    <n v="4.0999999999999996"/>
    <s v="正常交付"/>
    <s v="true"/>
    <x v="14"/>
    <s v="散装鲜菜"/>
    <s v="模拟_兴街快餐店"/>
    <n v="16.809999999999999"/>
    <n v="0"/>
    <n v="16.809999999999999"/>
    <s v=""/>
    <s v=""/>
    <s v=""/>
    <s v=""/>
    <s v="通过"/>
  </r>
  <r>
    <s v="SIM-20260901-C003"/>
    <n v="7"/>
    <s v="C003"/>
    <d v="2026-09-01T00:00:00"/>
    <s v="P016"/>
    <x v="0"/>
    <n v="6"/>
    <n v="6"/>
    <n v="0"/>
    <n v="10.1"/>
    <s v="正常交付"/>
    <s v="true"/>
    <x v="4"/>
    <s v="普通鲜鸡蛋按净重"/>
    <s v="模拟_兴街快餐店"/>
    <n v="60.6"/>
    <n v="0"/>
    <n v="60.6"/>
    <s v=""/>
    <s v=""/>
    <s v=""/>
    <s v=""/>
    <s v="通过"/>
  </r>
  <r>
    <s v="SIM-20260901-C003"/>
    <n v="8"/>
    <s v="C003"/>
    <d v="2026-09-01T00:00:00"/>
    <s v="P015"/>
    <x v="0"/>
    <n v="1"/>
    <n v="1"/>
    <n v="0"/>
    <n v="7.3"/>
    <s v="正常交付"/>
    <s v="true"/>
    <x v="5"/>
    <s v="散装鲜菜"/>
    <s v="模拟_兴街快餐店"/>
    <n v="7.3"/>
    <n v="0"/>
    <n v="7.3"/>
    <s v=""/>
    <s v=""/>
    <s v=""/>
    <s v=""/>
    <s v="通过"/>
  </r>
  <r>
    <s v="SIM-20260901-C003"/>
    <n v="9"/>
    <s v="C003"/>
    <d v="2026-09-01T00:00:00"/>
    <s v="P017"/>
    <x v="2"/>
    <n v="5"/>
    <n v="5"/>
    <n v="0"/>
    <n v="118"/>
    <s v="正常交付"/>
    <s v="true"/>
    <x v="13"/>
    <s v="25公斤/袋普通籼米"/>
    <s v="模拟_兴街快餐店"/>
    <n v="590"/>
    <n v="0"/>
    <n v="590"/>
    <s v=""/>
    <s v=""/>
    <s v=""/>
    <s v=""/>
    <s v="通过"/>
  </r>
  <r>
    <s v="SIM-20260901-C003"/>
    <n v="10"/>
    <s v="C003"/>
    <d v="2026-09-01T00:00:00"/>
    <s v="P020"/>
    <x v="1"/>
    <n v="2"/>
    <n v="2"/>
    <n v="0"/>
    <n v="59"/>
    <s v="正常交付"/>
    <s v="true"/>
    <x v="15"/>
    <s v="5升/桶普通大豆油"/>
    <s v="模拟_兴街快餐店"/>
    <n v="118"/>
    <n v="0"/>
    <n v="118"/>
    <s v=""/>
    <s v=""/>
    <s v=""/>
    <s v=""/>
    <s v="通过"/>
  </r>
  <r>
    <s v="SIM-20260901-C004"/>
    <n v="1"/>
    <s v="C004"/>
    <d v="2026-09-01T00:00:00"/>
    <s v="P010"/>
    <x v="0"/>
    <n v="5"/>
    <n v="5"/>
    <n v="0"/>
    <n v="5"/>
    <s v="正常交付"/>
    <s v="true"/>
    <x v="16"/>
    <s v="散装鲜菜"/>
    <s v="模拟_田畔饭店"/>
    <n v="25"/>
    <n v="0"/>
    <n v="25"/>
    <s v=""/>
    <s v=""/>
    <s v=""/>
    <s v=""/>
    <s v="通过"/>
  </r>
  <r>
    <s v="SIM-20260901-C004"/>
    <n v="2"/>
    <s v="C004"/>
    <d v="2026-09-01T00:00:00"/>
    <s v="P005"/>
    <x v="0"/>
    <n v="7.5"/>
    <n v="7.5"/>
    <n v="0"/>
    <n v="2.7"/>
    <s v="正常交付"/>
    <s v="true"/>
    <x v="1"/>
    <s v="散装鲜菜"/>
    <s v="模拟_田畔饭店"/>
    <n v="20.25"/>
    <n v="0"/>
    <n v="20.25"/>
    <s v=""/>
    <s v=""/>
    <s v=""/>
    <s v=""/>
    <s v="通过"/>
  </r>
  <r>
    <s v="SIM-20260901-C004"/>
    <n v="3"/>
    <s v="C004"/>
    <d v="2026-09-01T00:00:00"/>
    <s v="P001"/>
    <x v="0"/>
    <n v="5.5"/>
    <n v="5.5"/>
    <n v="0"/>
    <n v="3.3"/>
    <s v="正常交付"/>
    <s v="true"/>
    <x v="9"/>
    <s v="散装鲜菜"/>
    <s v="模拟_田畔饭店"/>
    <n v="18.149999999999999"/>
    <n v="0"/>
    <n v="18.149999999999999"/>
    <s v=""/>
    <s v=""/>
    <s v=""/>
    <s v=""/>
    <s v="通过"/>
  </r>
  <r>
    <s v="SIM-20260901-C004"/>
    <n v="4"/>
    <s v="C004"/>
    <d v="2026-09-01T00:00:00"/>
    <s v="P003"/>
    <x v="0"/>
    <n v="5.5"/>
    <n v="5"/>
    <n v="0"/>
    <n v="3.3"/>
    <s v="到货不足；按实际交付计费"/>
    <s v="true"/>
    <x v="12"/>
    <s v="散装鲜菜"/>
    <s v="模拟_田畔饭店"/>
    <n v="16.5"/>
    <n v="0"/>
    <n v="16.5"/>
    <s v=""/>
    <s v=""/>
    <s v=""/>
    <s v=""/>
    <s v="通过"/>
  </r>
  <r>
    <s v="SIM-20260901-C004"/>
    <n v="5"/>
    <s v="C004"/>
    <d v="2026-09-01T00:00:00"/>
    <s v="P009"/>
    <x v="0"/>
    <n v="6.5"/>
    <n v="6.5"/>
    <n v="0"/>
    <n v="5"/>
    <s v="正常交付"/>
    <s v="true"/>
    <x v="17"/>
    <s v="散装鲜菜"/>
    <s v="模拟_田畔饭店"/>
    <n v="32.5"/>
    <n v="0"/>
    <n v="32.5"/>
    <s v=""/>
    <s v=""/>
    <s v=""/>
    <s v=""/>
    <s v="通过"/>
  </r>
  <r>
    <s v="SIM-20260901-C004"/>
    <n v="6"/>
    <s v="C004"/>
    <d v="2026-09-01T00:00:00"/>
    <s v="P008"/>
    <x v="0"/>
    <n v="6.5"/>
    <n v="6.5"/>
    <n v="0"/>
    <n v="4.0999999999999996"/>
    <s v="正常交付"/>
    <s v="true"/>
    <x v="14"/>
    <s v="散装鲜菜"/>
    <s v="模拟_田畔饭店"/>
    <n v="26.65"/>
    <n v="0"/>
    <n v="26.65"/>
    <s v=""/>
    <s v=""/>
    <s v=""/>
    <s v=""/>
    <s v="通过"/>
  </r>
  <r>
    <s v="SIM-20260901-C004"/>
    <n v="7"/>
    <s v="C004"/>
    <d v="2026-09-01T00:00:00"/>
    <s v="P016"/>
    <x v="0"/>
    <n v="5"/>
    <n v="4.8"/>
    <n v="0"/>
    <n v="10.1"/>
    <s v="到货不足；按实际交付计费"/>
    <s v="true"/>
    <x v="4"/>
    <s v="普通鲜鸡蛋按净重"/>
    <s v="模拟_田畔饭店"/>
    <n v="48.48"/>
    <n v="0"/>
    <n v="48.48"/>
    <s v=""/>
    <s v=""/>
    <s v=""/>
    <s v=""/>
    <s v="通过"/>
  </r>
  <r>
    <s v="SIM-20260901-C004"/>
    <n v="8"/>
    <s v="C004"/>
    <d v="2026-09-01T00:00:00"/>
    <s v="P015"/>
    <x v="0"/>
    <n v="1"/>
    <n v="1"/>
    <n v="0"/>
    <n v="7.3"/>
    <s v="正常交付"/>
    <s v="true"/>
    <x v="5"/>
    <s v="散装鲜菜"/>
    <s v="模拟_田畔饭店"/>
    <n v="7.3"/>
    <n v="0"/>
    <n v="7.3"/>
    <s v=""/>
    <s v=""/>
    <s v=""/>
    <s v=""/>
    <s v="通过"/>
  </r>
  <r>
    <s v="SIM-20260901-C004"/>
    <n v="9"/>
    <s v="C004"/>
    <d v="2026-09-01T00:00:00"/>
    <s v="P017"/>
    <x v="2"/>
    <n v="3"/>
    <n v="3"/>
    <n v="0"/>
    <n v="118"/>
    <s v="正常交付"/>
    <s v="true"/>
    <x v="13"/>
    <s v="25公斤/袋普通籼米"/>
    <s v="模拟_田畔饭店"/>
    <n v="354"/>
    <n v="0"/>
    <n v="354"/>
    <s v=""/>
    <s v=""/>
    <s v=""/>
    <s v=""/>
    <s v="通过"/>
  </r>
  <r>
    <s v="SIM-20260901-C004"/>
    <n v="10"/>
    <s v="C004"/>
    <d v="2026-09-01T00:00:00"/>
    <s v="P019"/>
    <x v="1"/>
    <n v="1"/>
    <n v="1"/>
    <n v="0"/>
    <n v="71"/>
    <s v="正常交付"/>
    <s v="true"/>
    <x v="6"/>
    <s v="5升/桶普通菜籽油"/>
    <s v="模拟_田畔饭店"/>
    <n v="71"/>
    <n v="0"/>
    <n v="71"/>
    <s v=""/>
    <s v=""/>
    <s v=""/>
    <s v=""/>
    <s v="通过"/>
  </r>
  <r>
    <s v="SIM-20260901-C005"/>
    <n v="1"/>
    <s v="C005"/>
    <d v="2026-09-01T00:00:00"/>
    <s v="P011"/>
    <x v="0"/>
    <n v="14.4"/>
    <n v="14.4"/>
    <n v="0"/>
    <n v="4.4000000000000004"/>
    <s v="正常交付"/>
    <s v="true"/>
    <x v="8"/>
    <s v="散装鲜菜"/>
    <s v="模拟_青禾小学食堂"/>
    <n v="63.36"/>
    <n v="0"/>
    <n v="63.36"/>
    <s v=""/>
    <s v=""/>
    <s v=""/>
    <s v=""/>
    <s v="通过"/>
  </r>
  <r>
    <s v="SIM-20260901-C005"/>
    <n v="2"/>
    <s v="C005"/>
    <d v="2026-09-01T00:00:00"/>
    <s v="P007"/>
    <x v="0"/>
    <n v="12.6"/>
    <n v="12.6"/>
    <n v="0"/>
    <n v="5.15"/>
    <s v="正常交付"/>
    <s v="true"/>
    <x v="18"/>
    <s v="散装鲜菜"/>
    <s v="模拟_青禾小学食堂"/>
    <n v="64.89"/>
    <n v="0"/>
    <n v="64.89"/>
    <s v=""/>
    <s v=""/>
    <s v=""/>
    <s v=""/>
    <s v="通过"/>
  </r>
  <r>
    <s v="SIM-20260901-C005"/>
    <n v="3"/>
    <s v="C005"/>
    <d v="2026-09-01T00:00:00"/>
    <s v="P001"/>
    <x v="0"/>
    <n v="12.6"/>
    <n v="12.6"/>
    <n v="0"/>
    <n v="3.3"/>
    <s v="正常交付"/>
    <s v="true"/>
    <x v="9"/>
    <s v="散装鲜菜"/>
    <s v="模拟_青禾小学食堂"/>
    <n v="41.58"/>
    <n v="0"/>
    <n v="41.58"/>
    <s v=""/>
    <s v=""/>
    <s v=""/>
    <s v=""/>
    <s v="通过"/>
  </r>
  <r>
    <s v="SIM-20260901-C005"/>
    <n v="4"/>
    <s v="C005"/>
    <d v="2026-09-01T00:00:00"/>
    <s v="P004"/>
    <x v="0"/>
    <n v="12.6"/>
    <n v="12.6"/>
    <n v="0"/>
    <n v="2.2999999999999998"/>
    <s v="正常交付"/>
    <s v="true"/>
    <x v="3"/>
    <s v="散装鲜菜"/>
    <s v="模拟_青禾小学食堂"/>
    <n v="28.98"/>
    <n v="0"/>
    <n v="28.98"/>
    <s v=""/>
    <s v=""/>
    <s v=""/>
    <s v=""/>
    <s v="通过"/>
  </r>
  <r>
    <s v="SIM-20260901-C005"/>
    <n v="5"/>
    <s v="C005"/>
    <d v="2026-09-01T00:00:00"/>
    <s v="P006"/>
    <x v="0"/>
    <n v="8.1"/>
    <n v="8.1"/>
    <n v="0"/>
    <n v="4.5999999999999996"/>
    <s v="正常交付"/>
    <s v="true"/>
    <x v="10"/>
    <s v="散装鲜菜"/>
    <s v="模拟_青禾小学食堂"/>
    <n v="37.26"/>
    <n v="0"/>
    <n v="37.26"/>
    <s v=""/>
    <s v=""/>
    <s v=""/>
    <s v=""/>
    <s v="通过"/>
  </r>
  <r>
    <s v="SIM-20260901-C005"/>
    <n v="6"/>
    <s v="C005"/>
    <d v="2026-09-01T00:00:00"/>
    <s v="P005"/>
    <x v="0"/>
    <n v="9"/>
    <n v="9"/>
    <n v="0"/>
    <n v="2.7"/>
    <s v="正常交付"/>
    <s v="true"/>
    <x v="1"/>
    <s v="散装鲜菜"/>
    <s v="模拟_青禾小学食堂"/>
    <n v="24.3"/>
    <n v="0"/>
    <n v="24.3"/>
    <s v=""/>
    <s v=""/>
    <s v=""/>
    <s v=""/>
    <s v="通过"/>
  </r>
  <r>
    <s v="SIM-20260901-C005"/>
    <n v="7"/>
    <s v="C005"/>
    <d v="2026-09-01T00:00:00"/>
    <s v="P016"/>
    <x v="0"/>
    <n v="12"/>
    <n v="12"/>
    <n v="0"/>
    <n v="10.1"/>
    <s v="正常交付"/>
    <s v="true"/>
    <x v="4"/>
    <s v="普通鲜鸡蛋按净重"/>
    <s v="模拟_青禾小学食堂"/>
    <n v="121.2"/>
    <n v="0"/>
    <n v="121.2"/>
    <s v=""/>
    <s v=""/>
    <s v=""/>
    <s v=""/>
    <s v="通过"/>
  </r>
  <r>
    <s v="SIM-20260901-C005"/>
    <n v="8"/>
    <s v="C005"/>
    <d v="2026-09-01T00:00:00"/>
    <s v="P015"/>
    <x v="0"/>
    <n v="1"/>
    <n v="0.7"/>
    <n v="0"/>
    <n v="7.3"/>
    <s v="到货不足；按实际交付计费"/>
    <s v="true"/>
    <x v="5"/>
    <s v="散装鲜菜"/>
    <s v="模拟_青禾小学食堂"/>
    <n v="5.1100000000000003"/>
    <n v="0"/>
    <n v="5.1100000000000003"/>
    <s v=""/>
    <s v=""/>
    <s v=""/>
    <s v=""/>
    <s v="通过"/>
  </r>
  <r>
    <s v="SIM-20260901-C005"/>
    <n v="9"/>
    <s v="C005"/>
    <d v="2026-09-01T00:00:00"/>
    <s v="P017"/>
    <x v="2"/>
    <n v="6"/>
    <n v="6"/>
    <n v="0"/>
    <n v="118"/>
    <s v="正常交付"/>
    <s v="true"/>
    <x v="13"/>
    <s v="25公斤/袋普通籼米"/>
    <s v="模拟_青禾小学食堂"/>
    <n v="708"/>
    <n v="0"/>
    <n v="708"/>
    <s v=""/>
    <s v=""/>
    <s v=""/>
    <s v=""/>
    <s v="通过"/>
  </r>
  <r>
    <s v="SIM-20260901-C005"/>
    <n v="10"/>
    <s v="C005"/>
    <d v="2026-09-01T00:00:00"/>
    <s v="P020"/>
    <x v="1"/>
    <n v="2"/>
    <n v="2"/>
    <n v="0"/>
    <n v="59"/>
    <s v="正常交付"/>
    <s v="true"/>
    <x v="15"/>
    <s v="5升/桶普通大豆油"/>
    <s v="模拟_青禾小学食堂"/>
    <n v="118"/>
    <n v="0"/>
    <n v="118"/>
    <s v=""/>
    <s v=""/>
    <s v=""/>
    <s v=""/>
    <s v="通过"/>
  </r>
  <r>
    <s v="SIM-20260901-C006"/>
    <n v="1"/>
    <s v="C006"/>
    <d v="2026-09-01T00:00:00"/>
    <s v="P010"/>
    <x v="0"/>
    <n v="7.6"/>
    <n v="7.6"/>
    <n v="0"/>
    <n v="5"/>
    <s v="正常交付"/>
    <s v="true"/>
    <x v="16"/>
    <s v="散装鲜菜"/>
    <s v="模拟_溪桥医院食堂"/>
    <n v="38"/>
    <n v="0"/>
    <n v="38"/>
    <s v=""/>
    <s v=""/>
    <s v=""/>
    <s v=""/>
    <s v="通过"/>
  </r>
  <r>
    <s v="SIM-20260901-C006"/>
    <n v="2"/>
    <s v="C006"/>
    <d v="2026-09-01T00:00:00"/>
    <s v="P013"/>
    <x v="0"/>
    <n v="6.7"/>
    <n v="6.7"/>
    <n v="0"/>
    <n v="6.3"/>
    <s v="正常交付"/>
    <s v="true"/>
    <x v="11"/>
    <s v="散装鲜菜"/>
    <s v="模拟_溪桥医院食堂"/>
    <n v="42.21"/>
    <n v="0"/>
    <n v="42.21"/>
    <s v=""/>
    <s v=""/>
    <s v=""/>
    <s v=""/>
    <s v="通过"/>
  </r>
  <r>
    <s v="SIM-20260901-C006"/>
    <n v="3"/>
    <s v="C006"/>
    <d v="2026-09-01T00:00:00"/>
    <s v="P008"/>
    <x v="0"/>
    <n v="7.6"/>
    <n v="7.6"/>
    <n v="0"/>
    <n v="4.0999999999999996"/>
    <s v="正常交付"/>
    <s v="true"/>
    <x v="14"/>
    <s v="散装鲜菜"/>
    <s v="模拟_溪桥医院食堂"/>
    <n v="31.16"/>
    <n v="0"/>
    <n v="31.16"/>
    <s v=""/>
    <s v=""/>
    <s v=""/>
    <s v=""/>
    <s v="通过"/>
  </r>
  <r>
    <s v="SIM-20260901-C006"/>
    <n v="4"/>
    <s v="C006"/>
    <d v="2026-09-01T00:00:00"/>
    <s v="P005"/>
    <x v="0"/>
    <n v="6.7"/>
    <n v="6.7"/>
    <n v="0"/>
    <n v="2.7"/>
    <s v="正常交付"/>
    <s v="true"/>
    <x v="1"/>
    <s v="散装鲜菜"/>
    <s v="模拟_溪桥医院食堂"/>
    <n v="18.09"/>
    <n v="0"/>
    <n v="18.09"/>
    <s v=""/>
    <s v=""/>
    <s v=""/>
    <s v=""/>
    <s v="通过"/>
  </r>
  <r>
    <s v="SIM-20260901-C006"/>
    <n v="5"/>
    <s v="C006"/>
    <d v="2026-09-01T00:00:00"/>
    <s v="P009"/>
    <x v="0"/>
    <n v="9.3000000000000007"/>
    <n v="9.3000000000000007"/>
    <n v="0"/>
    <n v="5"/>
    <s v="正常交付"/>
    <s v="true"/>
    <x v="17"/>
    <s v="散装鲜菜"/>
    <s v="模拟_溪桥医院食堂"/>
    <n v="46.5"/>
    <n v="0"/>
    <n v="46.5"/>
    <s v=""/>
    <s v=""/>
    <s v=""/>
    <s v=""/>
    <s v="通过"/>
  </r>
  <r>
    <s v="SIM-20260901-C006"/>
    <n v="6"/>
    <s v="C006"/>
    <d v="2026-09-01T00:00:00"/>
    <s v="P006"/>
    <x v="0"/>
    <n v="13.5"/>
    <n v="13.5"/>
    <n v="0"/>
    <n v="4.5999999999999996"/>
    <s v="正常交付"/>
    <s v="true"/>
    <x v="10"/>
    <s v="散装鲜菜"/>
    <s v="模拟_溪桥医院食堂"/>
    <n v="62.1"/>
    <n v="0"/>
    <n v="62.1"/>
    <s v=""/>
    <s v=""/>
    <s v=""/>
    <s v=""/>
    <s v="通过"/>
  </r>
  <r>
    <s v="SIM-20260901-C006"/>
    <n v="7"/>
    <s v="C006"/>
    <d v="2026-09-01T00:00:00"/>
    <s v="P016"/>
    <x v="0"/>
    <n v="9"/>
    <n v="9"/>
    <n v="0"/>
    <n v="10.1"/>
    <s v="正常交付"/>
    <s v="true"/>
    <x v="4"/>
    <s v="普通鲜鸡蛋按净重"/>
    <s v="模拟_溪桥医院食堂"/>
    <n v="90.9"/>
    <n v="0"/>
    <n v="90.9"/>
    <s v=""/>
    <s v=""/>
    <s v=""/>
    <s v=""/>
    <s v="通过"/>
  </r>
  <r>
    <s v="SIM-20260901-C006"/>
    <n v="8"/>
    <s v="C006"/>
    <d v="2026-09-01T00:00:00"/>
    <s v="P015"/>
    <x v="0"/>
    <n v="1"/>
    <n v="1"/>
    <n v="0"/>
    <n v="7.3"/>
    <s v="正常交付"/>
    <s v="true"/>
    <x v="5"/>
    <s v="散装鲜菜"/>
    <s v="模拟_溪桥医院食堂"/>
    <n v="7.3"/>
    <n v="0"/>
    <n v="7.3"/>
    <s v=""/>
    <s v=""/>
    <s v=""/>
    <s v=""/>
    <s v="通过"/>
  </r>
  <r>
    <s v="SIM-20260901-C006"/>
    <n v="9"/>
    <s v="C006"/>
    <d v="2026-09-01T00:00:00"/>
    <s v="P017"/>
    <x v="2"/>
    <n v="4"/>
    <n v="4"/>
    <n v="0"/>
    <n v="118"/>
    <s v="正常交付"/>
    <s v="true"/>
    <x v="13"/>
    <s v="25公斤/袋普通籼米"/>
    <s v="模拟_溪桥医院食堂"/>
    <n v="472"/>
    <n v="0"/>
    <n v="472"/>
    <s v=""/>
    <s v=""/>
    <s v=""/>
    <s v=""/>
    <s v="通过"/>
  </r>
  <r>
    <s v="SIM-20260901-C006"/>
    <n v="10"/>
    <s v="C006"/>
    <d v="2026-09-01T00:00:00"/>
    <s v="P020"/>
    <x v="1"/>
    <n v="2"/>
    <n v="2"/>
    <n v="0"/>
    <n v="59"/>
    <s v="正常交付"/>
    <s v="true"/>
    <x v="15"/>
    <s v="5升/桶普通大豆油"/>
    <s v="模拟_溪桥医院食堂"/>
    <n v="118"/>
    <n v="0"/>
    <n v="118"/>
    <s v=""/>
    <s v=""/>
    <s v=""/>
    <s v=""/>
    <s v="通过"/>
  </r>
  <r>
    <s v="SIM-20260902-C001"/>
    <n v="1"/>
    <s v="C001"/>
    <d v="2026-09-02T00:00:00"/>
    <s v="P011"/>
    <x v="0"/>
    <n v="2.6"/>
    <n v="2.6"/>
    <n v="0.3"/>
    <n v="4.4000000000000004"/>
    <s v="正常交付；签收时挑出黄叶退回"/>
    <s v="true"/>
    <x v="8"/>
    <s v="散装鲜菜"/>
    <s v="模拟_榕树下粉面店"/>
    <n v="11.44"/>
    <n v="1.32"/>
    <n v="10.119999999999999"/>
    <s v=""/>
    <s v=""/>
    <s v=""/>
    <s v=""/>
    <s v="通过"/>
  </r>
  <r>
    <s v="SIM-20260902-C001"/>
    <n v="2"/>
    <s v="C001"/>
    <d v="2026-09-02T00:00:00"/>
    <s v="P008"/>
    <x v="0"/>
    <n v="3.2"/>
    <n v="3.2"/>
    <n v="0"/>
    <n v="4.0999999999999996"/>
    <s v="正常交付"/>
    <s v="true"/>
    <x v="14"/>
    <s v="散装鲜菜"/>
    <s v="模拟_榕树下粉面店"/>
    <n v="13.12"/>
    <n v="0"/>
    <n v="13.12"/>
    <s v=""/>
    <s v=""/>
    <s v=""/>
    <s v=""/>
    <s v="通过"/>
  </r>
  <r>
    <s v="SIM-20260902-C001"/>
    <n v="3"/>
    <s v="C001"/>
    <d v="2026-09-02T00:00:00"/>
    <s v="P014"/>
    <x v="0"/>
    <n v="3"/>
    <n v="3"/>
    <n v="0"/>
    <n v="4.7"/>
    <s v="正常交付"/>
    <s v="true"/>
    <x v="19"/>
    <s v="散装鲜菜"/>
    <s v="模拟_榕树下粉面店"/>
    <n v="14.1"/>
    <n v="0"/>
    <n v="14.1"/>
    <s v=""/>
    <s v=""/>
    <s v=""/>
    <s v=""/>
    <s v="通过"/>
  </r>
  <r>
    <s v="SIM-20260902-C001"/>
    <n v="4"/>
    <s v="C001"/>
    <d v="2026-09-02T00:00:00"/>
    <s v="P003"/>
    <x v="0"/>
    <n v="3.2"/>
    <n v="3.2"/>
    <n v="0"/>
    <n v="3.3"/>
    <s v="正常交付"/>
    <s v="true"/>
    <x v="12"/>
    <s v="散装鲜菜"/>
    <s v="模拟_榕树下粉面店"/>
    <n v="10.56"/>
    <n v="0"/>
    <n v="10.56"/>
    <s v=""/>
    <s v=""/>
    <s v=""/>
    <s v=""/>
    <s v="通过"/>
  </r>
  <r>
    <s v="SIM-20260902-C002"/>
    <n v="1"/>
    <s v="C002"/>
    <d v="2026-09-02T00:00:00"/>
    <s v="P011"/>
    <x v="0"/>
    <n v="3.5"/>
    <n v="3.5"/>
    <n v="0"/>
    <n v="4.4000000000000004"/>
    <s v="正常交付"/>
    <s v="true"/>
    <x v="8"/>
    <s v="散装鲜菜"/>
    <s v="模拟_桥头家常菜馆"/>
    <n v="15.4"/>
    <n v="0"/>
    <n v="15.4"/>
    <s v=""/>
    <s v=""/>
    <s v=""/>
    <s v=""/>
    <s v="通过"/>
  </r>
  <r>
    <s v="SIM-20260902-C002"/>
    <n v="2"/>
    <s v="C002"/>
    <d v="2026-09-02T00:00:00"/>
    <s v="P002"/>
    <x v="0"/>
    <n v="6.5"/>
    <n v="6.5"/>
    <n v="0"/>
    <n v="2.2999999999999998"/>
    <s v="正常交付"/>
    <s v="true"/>
    <x v="2"/>
    <s v="散装鲜菜"/>
    <s v="模拟_桥头家常菜馆"/>
    <n v="14.95"/>
    <n v="0"/>
    <n v="14.95"/>
    <s v=""/>
    <s v=""/>
    <s v=""/>
    <s v=""/>
    <s v="通过"/>
  </r>
  <r>
    <s v="SIM-20260902-C002"/>
    <n v="3"/>
    <s v="C002"/>
    <d v="2026-09-02T00:00:00"/>
    <s v="P006"/>
    <x v="0"/>
    <n v="6.5"/>
    <n v="6.5"/>
    <n v="0"/>
    <n v="4.5999999999999996"/>
    <s v="正常交付"/>
    <s v="true"/>
    <x v="10"/>
    <s v="散装鲜菜"/>
    <s v="模拟_桥头家常菜馆"/>
    <n v="29.9"/>
    <n v="0"/>
    <n v="29.9"/>
    <s v=""/>
    <s v=""/>
    <s v=""/>
    <s v=""/>
    <s v="通过"/>
  </r>
  <r>
    <s v="SIM-20260902-C002"/>
    <n v="4"/>
    <s v="C002"/>
    <d v="2026-09-02T00:00:00"/>
    <s v="P004"/>
    <x v="0"/>
    <n v="7"/>
    <n v="7"/>
    <n v="0"/>
    <n v="2.2999999999999998"/>
    <s v="正常交付"/>
    <s v="true"/>
    <x v="3"/>
    <s v="散装鲜菜"/>
    <s v="模拟_桥头家常菜馆"/>
    <n v="16.100000000000001"/>
    <n v="0"/>
    <n v="16.100000000000001"/>
    <s v=""/>
    <s v=""/>
    <s v=""/>
    <s v=""/>
    <s v="通过"/>
  </r>
  <r>
    <s v="SIM-20260902-C002"/>
    <n v="5"/>
    <s v="C002"/>
    <d v="2026-09-02T00:00:00"/>
    <s v="P001"/>
    <x v="0"/>
    <n v="5.5"/>
    <n v="5.5"/>
    <n v="0"/>
    <n v="3.3"/>
    <s v="正常交付"/>
    <s v="true"/>
    <x v="9"/>
    <s v="散装鲜菜"/>
    <s v="模拟_桥头家常菜馆"/>
    <n v="18.149999999999999"/>
    <n v="0"/>
    <n v="18.149999999999999"/>
    <s v=""/>
    <s v=""/>
    <s v=""/>
    <s v=""/>
    <s v="通过"/>
  </r>
  <r>
    <s v="SIM-20260902-C003"/>
    <n v="1"/>
    <s v="C003"/>
    <d v="2026-09-02T00:00:00"/>
    <s v="P012"/>
    <x v="0"/>
    <n v="6.8"/>
    <n v="6.8"/>
    <n v="0"/>
    <n v="4.5999999999999996"/>
    <s v="正常交付"/>
    <s v="true"/>
    <x v="0"/>
    <s v="散装鲜菜"/>
    <s v="模拟_兴街快餐店"/>
    <n v="31.28"/>
    <n v="0"/>
    <n v="31.28"/>
    <s v=""/>
    <s v=""/>
    <s v=""/>
    <s v=""/>
    <s v="通过"/>
  </r>
  <r>
    <s v="SIM-20260902-C003"/>
    <n v="2"/>
    <s v="C003"/>
    <d v="2026-09-02T00:00:00"/>
    <s v="P009"/>
    <x v="0"/>
    <n v="5.0999999999999996"/>
    <n v="5.0999999999999996"/>
    <n v="0"/>
    <n v="5"/>
    <s v="正常交付"/>
    <s v="true"/>
    <x v="17"/>
    <s v="散装鲜菜"/>
    <s v="模拟_兴街快餐店"/>
    <n v="25.5"/>
    <n v="0"/>
    <n v="25.5"/>
    <s v=""/>
    <s v=""/>
    <s v=""/>
    <s v=""/>
    <s v="通过"/>
  </r>
  <r>
    <s v="SIM-20260902-C003"/>
    <n v="3"/>
    <s v="C003"/>
    <d v="2026-09-02T00:00:00"/>
    <s v="P008"/>
    <x v="0"/>
    <n v="6.3"/>
    <n v="6.3"/>
    <n v="0"/>
    <n v="4.0999999999999996"/>
    <s v="正常交付"/>
    <s v="true"/>
    <x v="14"/>
    <s v="散装鲜菜"/>
    <s v="模拟_兴街快餐店"/>
    <n v="25.83"/>
    <n v="0"/>
    <n v="25.83"/>
    <s v=""/>
    <s v=""/>
    <s v=""/>
    <s v=""/>
    <s v="通过"/>
  </r>
  <r>
    <s v="SIM-20260902-C003"/>
    <n v="4"/>
    <s v="C003"/>
    <d v="2026-09-02T00:00:00"/>
    <s v="P003"/>
    <x v="0"/>
    <n v="6.3"/>
    <n v="6.3"/>
    <n v="0"/>
    <n v="3.3"/>
    <s v="正常交付"/>
    <s v="true"/>
    <x v="12"/>
    <s v="散装鲜菜"/>
    <s v="模拟_兴街快餐店"/>
    <n v="20.79"/>
    <n v="0"/>
    <n v="20.79"/>
    <s v=""/>
    <s v=""/>
    <s v=""/>
    <s v=""/>
    <s v="通过"/>
  </r>
  <r>
    <s v="SIM-20260902-C003"/>
    <n v="5"/>
    <s v="C003"/>
    <d v="2026-09-02T00:00:00"/>
    <s v="P001"/>
    <x v="0"/>
    <n v="8"/>
    <n v="8"/>
    <n v="0"/>
    <n v="3.3"/>
    <s v="正常交付"/>
    <s v="true"/>
    <x v="9"/>
    <s v="散装鲜菜"/>
    <s v="模拟_兴街快餐店"/>
    <n v="26.4"/>
    <n v="0"/>
    <n v="26.4"/>
    <s v=""/>
    <s v=""/>
    <s v=""/>
    <s v=""/>
    <s v="通过"/>
  </r>
  <r>
    <s v="SIM-20260902-C003"/>
    <n v="6"/>
    <s v="C003"/>
    <d v="2026-09-02T00:00:00"/>
    <s v="P007"/>
    <x v="0"/>
    <n v="5.7"/>
    <n v="5.7"/>
    <n v="0"/>
    <n v="5.15"/>
    <s v="正常交付"/>
    <s v="true"/>
    <x v="18"/>
    <s v="散装鲜菜"/>
    <s v="模拟_兴街快餐店"/>
    <n v="29.36"/>
    <n v="0"/>
    <n v="29.36"/>
    <s v=""/>
    <s v=""/>
    <s v=""/>
    <s v=""/>
    <s v="通过"/>
  </r>
  <r>
    <s v="SIM-20260902-C005"/>
    <n v="1"/>
    <s v="C005"/>
    <d v="2026-09-02T00:00:00"/>
    <s v="P012"/>
    <x v="0"/>
    <n v="11.4"/>
    <n v="11.4"/>
    <n v="0"/>
    <n v="4.5999999999999996"/>
    <s v="正常交付"/>
    <s v="true"/>
    <x v="0"/>
    <s v="散装鲜菜"/>
    <s v="模拟_青禾小学食堂"/>
    <n v="52.44"/>
    <n v="0"/>
    <n v="52.44"/>
    <s v=""/>
    <s v=""/>
    <s v=""/>
    <s v=""/>
    <s v="通过"/>
  </r>
  <r>
    <s v="SIM-20260902-C005"/>
    <n v="2"/>
    <s v="C005"/>
    <d v="2026-09-02T00:00:00"/>
    <s v="P006"/>
    <x v="0"/>
    <n v="15.2"/>
    <n v="15.2"/>
    <n v="0"/>
    <n v="4.5999999999999996"/>
    <s v="正常交付"/>
    <s v="true"/>
    <x v="10"/>
    <s v="散装鲜菜"/>
    <s v="模拟_青禾小学食堂"/>
    <n v="69.92"/>
    <n v="0"/>
    <n v="69.92"/>
    <s v=""/>
    <s v=""/>
    <s v=""/>
    <s v=""/>
    <s v="通过"/>
  </r>
  <r>
    <s v="SIM-20260902-C005"/>
    <n v="3"/>
    <s v="C005"/>
    <d v="2026-09-02T00:00:00"/>
    <s v="P013"/>
    <x v="0"/>
    <n v="7.6"/>
    <n v="7.6"/>
    <n v="0"/>
    <n v="6.3"/>
    <s v="正常交付"/>
    <s v="true"/>
    <x v="11"/>
    <s v="散装鲜菜"/>
    <s v="模拟_青禾小学食堂"/>
    <n v="47.88"/>
    <n v="0"/>
    <n v="47.88"/>
    <s v=""/>
    <s v=""/>
    <s v=""/>
    <s v=""/>
    <s v="通过"/>
  </r>
  <r>
    <s v="SIM-20260902-C005"/>
    <n v="4"/>
    <s v="C005"/>
    <d v="2026-09-02T00:00:00"/>
    <s v="P004"/>
    <x v="0"/>
    <n v="8.6"/>
    <n v="8.6"/>
    <n v="0"/>
    <n v="2.2999999999999998"/>
    <s v="正常交付"/>
    <s v="true"/>
    <x v="3"/>
    <s v="散装鲜菜"/>
    <s v="模拟_青禾小学食堂"/>
    <n v="19.78"/>
    <n v="0"/>
    <n v="19.78"/>
    <s v=""/>
    <s v=""/>
    <s v=""/>
    <s v=""/>
    <s v="通过"/>
  </r>
  <r>
    <s v="SIM-20260902-C005"/>
    <n v="5"/>
    <s v="C005"/>
    <d v="2026-09-02T00:00:00"/>
    <s v="P002"/>
    <x v="0"/>
    <n v="12.4"/>
    <n v="12.4"/>
    <n v="0"/>
    <n v="2.2999999999999998"/>
    <s v="正常交付"/>
    <s v="true"/>
    <x v="2"/>
    <s v="散装鲜菜"/>
    <s v="模拟_青禾小学食堂"/>
    <n v="28.52"/>
    <n v="0"/>
    <n v="28.52"/>
    <s v=""/>
    <s v=""/>
    <s v=""/>
    <s v=""/>
    <s v="通过"/>
  </r>
  <r>
    <s v="SIM-20260902-C005"/>
    <n v="6"/>
    <s v="C005"/>
    <d v="2026-09-02T00:00:00"/>
    <s v="P001"/>
    <x v="0"/>
    <n v="10.5"/>
    <n v="10.5"/>
    <n v="0"/>
    <n v="3.3"/>
    <s v="正常交付"/>
    <s v="true"/>
    <x v="9"/>
    <s v="散装鲜菜"/>
    <s v="模拟_青禾小学食堂"/>
    <n v="34.65"/>
    <n v="0"/>
    <n v="34.65"/>
    <s v=""/>
    <s v=""/>
    <s v=""/>
    <s v=""/>
    <s v="通过"/>
  </r>
  <r>
    <s v="SIM-20260902-C006"/>
    <n v="1"/>
    <s v="C006"/>
    <d v="2026-09-02T00:00:00"/>
    <s v="P010"/>
    <x v="0"/>
    <n v="9"/>
    <n v="9"/>
    <n v="0"/>
    <n v="5"/>
    <s v="正常交付"/>
    <s v="true"/>
    <x v="16"/>
    <s v="散装鲜菜"/>
    <s v="模拟_溪桥医院食堂"/>
    <n v="45"/>
    <n v="0"/>
    <n v="45"/>
    <s v=""/>
    <s v=""/>
    <s v=""/>
    <s v=""/>
    <s v="通过"/>
  </r>
  <r>
    <s v="SIM-20260902-C006"/>
    <n v="2"/>
    <s v="C006"/>
    <d v="2026-09-02T00:00:00"/>
    <s v="P009"/>
    <x v="0"/>
    <n v="10.4"/>
    <n v="10.4"/>
    <n v="0"/>
    <n v="5"/>
    <s v="正常交付"/>
    <s v="true"/>
    <x v="17"/>
    <s v="散装鲜菜"/>
    <s v="模拟_溪桥医院食堂"/>
    <n v="52"/>
    <n v="0"/>
    <n v="52"/>
    <s v=""/>
    <s v=""/>
    <s v=""/>
    <s v=""/>
    <s v="通过"/>
  </r>
  <r>
    <s v="SIM-20260902-C006"/>
    <n v="3"/>
    <s v="C006"/>
    <d v="2026-09-02T00:00:00"/>
    <s v="P008"/>
    <x v="0"/>
    <n v="8.3000000000000007"/>
    <n v="8.3000000000000007"/>
    <n v="0"/>
    <n v="4.0999999999999996"/>
    <s v="正常交付"/>
    <s v="true"/>
    <x v="14"/>
    <s v="散装鲜菜"/>
    <s v="模拟_溪桥医院食堂"/>
    <n v="34.03"/>
    <n v="0"/>
    <n v="34.03"/>
    <s v=""/>
    <s v=""/>
    <s v=""/>
    <s v=""/>
    <s v="通过"/>
  </r>
  <r>
    <s v="SIM-20260902-C006"/>
    <n v="4"/>
    <s v="C006"/>
    <d v="2026-09-02T00:00:00"/>
    <s v="P014"/>
    <x v="0"/>
    <n v="4.8"/>
    <n v="4.8"/>
    <n v="0"/>
    <n v="4.7"/>
    <s v="正常交付"/>
    <s v="true"/>
    <x v="19"/>
    <s v="散装鲜菜"/>
    <s v="模拟_溪桥医院食堂"/>
    <n v="22.56"/>
    <n v="0"/>
    <n v="22.56"/>
    <s v=""/>
    <s v=""/>
    <s v=""/>
    <s v=""/>
    <s v="通过"/>
  </r>
  <r>
    <s v="SIM-20260902-C006"/>
    <n v="5"/>
    <s v="C006"/>
    <d v="2026-09-02T00:00:00"/>
    <s v="P013"/>
    <x v="0"/>
    <n v="8.3000000000000007"/>
    <n v="8.3000000000000007"/>
    <n v="0"/>
    <n v="6.3"/>
    <s v="正常交付"/>
    <s v="true"/>
    <x v="11"/>
    <s v="散装鲜菜"/>
    <s v="模拟_溪桥医院食堂"/>
    <n v="52.29"/>
    <n v="0"/>
    <n v="52.29"/>
    <s v=""/>
    <s v=""/>
    <s v=""/>
    <s v=""/>
    <s v="通过"/>
  </r>
  <r>
    <s v="SIM-20260902-C006"/>
    <n v="6"/>
    <s v="C006"/>
    <d v="2026-09-02T00:00:00"/>
    <s v="P001"/>
    <x v="0"/>
    <n v="4.8"/>
    <n v="4.8"/>
    <n v="0"/>
    <n v="3.3"/>
    <s v="正常交付"/>
    <s v="true"/>
    <x v="9"/>
    <s v="散装鲜菜"/>
    <s v="模拟_溪桥医院食堂"/>
    <n v="15.84"/>
    <n v="0"/>
    <n v="15.84"/>
    <s v=""/>
    <s v=""/>
    <s v=""/>
    <s v=""/>
    <s v="通过"/>
  </r>
  <r>
    <s v="SIM-20260903-C001"/>
    <n v="1"/>
    <s v="C001"/>
    <d v="2026-09-03T00:00:00"/>
    <s v="P011"/>
    <x v="0"/>
    <n v="2.6"/>
    <n v="2.4"/>
    <n v="0"/>
    <n v="4.4000000000000004"/>
    <s v="到货不足；按实际交付计费"/>
    <s v="true"/>
    <x v="8"/>
    <s v="散装鲜菜"/>
    <s v="模拟_榕树下粉面店"/>
    <n v="10.56"/>
    <n v="0"/>
    <n v="10.56"/>
    <s v=""/>
    <s v=""/>
    <s v=""/>
    <s v=""/>
    <s v="通过"/>
  </r>
  <r>
    <s v="SIM-20260903-C001"/>
    <n v="2"/>
    <s v="C001"/>
    <d v="2026-09-03T00:00:00"/>
    <s v="P009"/>
    <x v="0"/>
    <n v="2.8"/>
    <n v="2.8"/>
    <n v="0"/>
    <n v="5"/>
    <s v="正常交付"/>
    <s v="true"/>
    <x v="17"/>
    <s v="散装鲜菜"/>
    <s v="模拟_榕树下粉面店"/>
    <n v="14"/>
    <n v="0"/>
    <n v="14"/>
    <s v=""/>
    <s v=""/>
    <s v=""/>
    <s v=""/>
    <s v="通过"/>
  </r>
  <r>
    <s v="SIM-20260903-C001"/>
    <n v="3"/>
    <s v="C001"/>
    <d v="2026-09-03T00:00:00"/>
    <s v="P007"/>
    <x v="0"/>
    <n v="3"/>
    <n v="2.5"/>
    <n v="0"/>
    <n v="5.15"/>
    <s v="到货不足；按实际交付计费"/>
    <s v="true"/>
    <x v="18"/>
    <s v="散装鲜菜"/>
    <s v="模拟_榕树下粉面店"/>
    <n v="12.88"/>
    <n v="0"/>
    <n v="12.88"/>
    <s v=""/>
    <s v=""/>
    <s v=""/>
    <s v=""/>
    <s v="通过"/>
  </r>
  <r>
    <s v="SIM-20260903-C001"/>
    <n v="4"/>
    <s v="C001"/>
    <d v="2026-09-03T00:00:00"/>
    <s v="P001"/>
    <x v="0"/>
    <n v="3"/>
    <n v="3"/>
    <n v="0"/>
    <n v="3.3"/>
    <s v="正常交付"/>
    <s v="true"/>
    <x v="9"/>
    <s v="散装鲜菜"/>
    <s v="模拟_榕树下粉面店"/>
    <n v="9.9"/>
    <n v="0"/>
    <n v="9.9"/>
    <s v=""/>
    <s v=""/>
    <s v=""/>
    <s v=""/>
    <s v="通过"/>
  </r>
  <r>
    <s v="SIM-20260903-C001"/>
    <n v="5"/>
    <s v="C001"/>
    <d v="2026-09-03T00:00:00"/>
    <s v="P016"/>
    <x v="0"/>
    <n v="3"/>
    <n v="3"/>
    <n v="0"/>
    <n v="10.1"/>
    <s v="正常交付"/>
    <s v="true"/>
    <x v="4"/>
    <s v="普通鲜鸡蛋按净重"/>
    <s v="模拟_榕树下粉面店"/>
    <n v="30.3"/>
    <n v="0"/>
    <n v="30.3"/>
    <s v=""/>
    <s v=""/>
    <s v=""/>
    <s v=""/>
    <s v="通过"/>
  </r>
  <r>
    <s v="SIM-20260903-C002"/>
    <n v="1"/>
    <s v="C002"/>
    <d v="2026-09-03T00:00:00"/>
    <s v="P011"/>
    <x v="0"/>
    <n v="5.8"/>
    <n v="5.8"/>
    <n v="0"/>
    <n v="4.4000000000000004"/>
    <s v="正常交付"/>
    <s v="true"/>
    <x v="8"/>
    <s v="散装鲜菜"/>
    <s v="模拟_桥头家常菜馆"/>
    <n v="25.52"/>
    <n v="0"/>
    <n v="25.52"/>
    <s v=""/>
    <s v=""/>
    <s v=""/>
    <s v=""/>
    <s v="通过"/>
  </r>
  <r>
    <s v="SIM-20260903-C002"/>
    <n v="2"/>
    <s v="C002"/>
    <d v="2026-09-03T00:00:00"/>
    <s v="P003"/>
    <x v="0"/>
    <n v="3.5"/>
    <n v="3.5"/>
    <n v="0"/>
    <n v="3.3"/>
    <s v="正常交付"/>
    <s v="true"/>
    <x v="12"/>
    <s v="散装鲜菜"/>
    <s v="模拟_桥头家常菜馆"/>
    <n v="11.55"/>
    <n v="0"/>
    <n v="11.55"/>
    <s v=""/>
    <s v=""/>
    <s v=""/>
    <s v=""/>
    <s v="通过"/>
  </r>
  <r>
    <s v="SIM-20260903-C002"/>
    <n v="3"/>
    <s v="C002"/>
    <d v="2026-09-03T00:00:00"/>
    <s v="P004"/>
    <x v="0"/>
    <n v="7.1"/>
    <n v="7.1"/>
    <n v="0"/>
    <n v="2.2999999999999998"/>
    <s v="正常交付"/>
    <s v="true"/>
    <x v="3"/>
    <s v="散装鲜菜"/>
    <s v="模拟_桥头家常菜馆"/>
    <n v="16.329999999999998"/>
    <n v="0"/>
    <n v="16.329999999999998"/>
    <s v=""/>
    <s v=""/>
    <s v=""/>
    <s v=""/>
    <s v="通过"/>
  </r>
  <r>
    <s v="SIM-20260903-C002"/>
    <n v="4"/>
    <s v="C002"/>
    <d v="2026-09-03T00:00:00"/>
    <s v="P002"/>
    <x v="0"/>
    <n v="4.9000000000000004"/>
    <n v="4.7"/>
    <n v="0"/>
    <n v="2.2999999999999998"/>
    <s v="到货不足；按实际交付计费"/>
    <s v="true"/>
    <x v="2"/>
    <s v="散装鲜菜"/>
    <s v="模拟_桥头家常菜馆"/>
    <n v="10.81"/>
    <n v="0"/>
    <n v="10.81"/>
    <s v=""/>
    <s v=""/>
    <s v=""/>
    <s v=""/>
    <s v="通过"/>
  </r>
  <r>
    <s v="SIM-20260903-C002"/>
    <n v="5"/>
    <s v="C002"/>
    <d v="2026-09-03T00:00:00"/>
    <s v="P013"/>
    <x v="0"/>
    <n v="5.3"/>
    <n v="5.3"/>
    <n v="0"/>
    <n v="6.3"/>
    <s v="正常交付"/>
    <s v="true"/>
    <x v="11"/>
    <s v="散装鲜菜"/>
    <s v="模拟_桥头家常菜馆"/>
    <n v="33.39"/>
    <n v="0"/>
    <n v="33.39"/>
    <s v=""/>
    <s v=""/>
    <s v=""/>
    <s v=""/>
    <s v="通过"/>
  </r>
  <r>
    <s v="SIM-20260903-C002"/>
    <n v="6"/>
    <s v="C002"/>
    <d v="2026-09-03T00:00:00"/>
    <s v="P016"/>
    <x v="0"/>
    <n v="4"/>
    <n v="4"/>
    <n v="0"/>
    <n v="10.1"/>
    <s v="正常交付"/>
    <s v="true"/>
    <x v="4"/>
    <s v="普通鲜鸡蛋按净重"/>
    <s v="模拟_桥头家常菜馆"/>
    <n v="40.4"/>
    <n v="0"/>
    <n v="40.4"/>
    <s v=""/>
    <s v=""/>
    <s v=""/>
    <s v=""/>
    <s v="通过"/>
  </r>
  <r>
    <s v="SIM-20260903-C003"/>
    <n v="1"/>
    <s v="C003"/>
    <d v="2026-09-03T00:00:00"/>
    <s v="P010"/>
    <x v="0"/>
    <n v="8.1999999999999993"/>
    <n v="8.1999999999999993"/>
    <n v="0"/>
    <n v="5"/>
    <s v="正常交付"/>
    <s v="true"/>
    <x v="16"/>
    <s v="散装鲜菜"/>
    <s v="模拟_兴街快餐店"/>
    <n v="41"/>
    <n v="0"/>
    <n v="41"/>
    <s v=""/>
    <s v=""/>
    <s v=""/>
    <s v=""/>
    <s v="通过"/>
  </r>
  <r>
    <s v="SIM-20260903-C003"/>
    <n v="2"/>
    <s v="C003"/>
    <d v="2026-09-03T00:00:00"/>
    <s v="P009"/>
    <x v="0"/>
    <n v="4.5999999999999996"/>
    <n v="4.5999999999999996"/>
    <n v="0"/>
    <n v="5"/>
    <s v="正常交付"/>
    <s v="true"/>
    <x v="17"/>
    <s v="散装鲜菜"/>
    <s v="模拟_兴街快餐店"/>
    <n v="23"/>
    <n v="0"/>
    <n v="23"/>
    <s v=""/>
    <s v=""/>
    <s v=""/>
    <s v=""/>
    <s v="通过"/>
  </r>
  <r>
    <s v="SIM-20260903-C003"/>
    <n v="3"/>
    <s v="C003"/>
    <d v="2026-09-03T00:00:00"/>
    <s v="P002"/>
    <x v="0"/>
    <n v="6.2"/>
    <n v="6.2"/>
    <n v="0"/>
    <n v="2.2999999999999998"/>
    <s v="正常交付"/>
    <s v="true"/>
    <x v="2"/>
    <s v="散装鲜菜"/>
    <s v="模拟_兴街快餐店"/>
    <n v="14.26"/>
    <n v="0"/>
    <n v="14.26"/>
    <s v=""/>
    <s v=""/>
    <s v=""/>
    <s v=""/>
    <s v="通过"/>
  </r>
  <r>
    <s v="SIM-20260903-C003"/>
    <n v="4"/>
    <s v="C003"/>
    <d v="2026-09-03T00:00:00"/>
    <s v="P006"/>
    <x v="0"/>
    <n v="6.7"/>
    <n v="6.7"/>
    <n v="0"/>
    <n v="4.5999999999999996"/>
    <s v="正常交付"/>
    <s v="true"/>
    <x v="10"/>
    <s v="散装鲜菜"/>
    <s v="模拟_兴街快餐店"/>
    <n v="30.82"/>
    <n v="0"/>
    <n v="30.82"/>
    <s v=""/>
    <s v=""/>
    <s v=""/>
    <s v=""/>
    <s v="通过"/>
  </r>
  <r>
    <s v="SIM-20260903-C003"/>
    <n v="5"/>
    <s v="C003"/>
    <d v="2026-09-03T00:00:00"/>
    <s v="P014"/>
    <x v="0"/>
    <n v="7.2"/>
    <n v="7.2"/>
    <n v="0"/>
    <n v="4.7"/>
    <s v="正常交付"/>
    <s v="true"/>
    <x v="19"/>
    <s v="散装鲜菜"/>
    <s v="模拟_兴街快餐店"/>
    <n v="33.840000000000003"/>
    <n v="0"/>
    <n v="33.840000000000003"/>
    <s v=""/>
    <s v=""/>
    <s v=""/>
    <s v=""/>
    <s v="通过"/>
  </r>
  <r>
    <s v="SIM-20260903-C003"/>
    <n v="6"/>
    <s v="C003"/>
    <d v="2026-09-03T00:00:00"/>
    <s v="P003"/>
    <x v="0"/>
    <n v="6.2"/>
    <n v="5.7"/>
    <n v="0"/>
    <n v="3.3"/>
    <s v="到货不足；按实际交付计费"/>
    <s v="true"/>
    <x v="12"/>
    <s v="散装鲜菜"/>
    <s v="模拟_兴街快餐店"/>
    <n v="18.809999999999999"/>
    <n v="0"/>
    <n v="18.809999999999999"/>
    <s v=""/>
    <s v=""/>
    <s v=""/>
    <s v=""/>
    <s v="通过"/>
  </r>
  <r>
    <s v="SIM-20260903-C003"/>
    <n v="7"/>
    <s v="C003"/>
    <d v="2026-09-03T00:00:00"/>
    <s v="P016"/>
    <x v="0"/>
    <n v="6"/>
    <n v="6"/>
    <n v="0"/>
    <n v="10.1"/>
    <s v="正常交付"/>
    <s v="true"/>
    <x v="4"/>
    <s v="普通鲜鸡蛋按净重"/>
    <s v="模拟_兴街快餐店"/>
    <n v="60.6"/>
    <n v="0"/>
    <n v="60.6"/>
    <s v=""/>
    <s v=""/>
    <s v=""/>
    <s v=""/>
    <s v="通过"/>
  </r>
  <r>
    <s v="SIM-20260903-C004"/>
    <n v="1"/>
    <s v="C004"/>
    <d v="2026-09-03T00:00:00"/>
    <s v="P010"/>
    <x v="0"/>
    <n v="5.6"/>
    <n v="5.6"/>
    <n v="0"/>
    <n v="5"/>
    <s v="正常交付"/>
    <s v="true"/>
    <x v="16"/>
    <s v="散装鲜菜"/>
    <s v="模拟_田畔饭店"/>
    <n v="28"/>
    <n v="0"/>
    <n v="28"/>
    <s v=""/>
    <s v=""/>
    <s v=""/>
    <s v=""/>
    <s v="通过"/>
  </r>
  <r>
    <s v="SIM-20260903-C004"/>
    <n v="2"/>
    <s v="C004"/>
    <d v="2026-09-03T00:00:00"/>
    <s v="P006"/>
    <x v="0"/>
    <n v="4.0999999999999996"/>
    <n v="4.0999999999999996"/>
    <n v="0"/>
    <n v="4.5999999999999996"/>
    <s v="正常交付"/>
    <s v="true"/>
    <x v="10"/>
    <s v="散装鲜菜"/>
    <s v="模拟_田畔饭店"/>
    <n v="18.86"/>
    <n v="0"/>
    <n v="18.86"/>
    <s v=""/>
    <s v=""/>
    <s v=""/>
    <s v=""/>
    <s v="通过"/>
  </r>
  <r>
    <s v="SIM-20260903-C004"/>
    <n v="3"/>
    <s v="C004"/>
    <d v="2026-09-03T00:00:00"/>
    <s v="P003"/>
    <x v="0"/>
    <n v="7.6"/>
    <n v="7.6"/>
    <n v="0"/>
    <n v="3.3"/>
    <s v="正常交付"/>
    <s v="true"/>
    <x v="12"/>
    <s v="散装鲜菜"/>
    <s v="模拟_田畔饭店"/>
    <n v="25.08"/>
    <n v="0"/>
    <n v="25.08"/>
    <s v=""/>
    <s v=""/>
    <s v=""/>
    <s v=""/>
    <s v="通过"/>
  </r>
  <r>
    <s v="SIM-20260903-C004"/>
    <n v="4"/>
    <s v="C004"/>
    <d v="2026-09-03T00:00:00"/>
    <s v="P013"/>
    <x v="0"/>
    <n v="7.6"/>
    <n v="7.6"/>
    <n v="0"/>
    <n v="6.3"/>
    <s v="正常交付"/>
    <s v="true"/>
    <x v="11"/>
    <s v="散装鲜菜"/>
    <s v="模拟_田畔饭店"/>
    <n v="47.88"/>
    <n v="0"/>
    <n v="47.88"/>
    <s v=""/>
    <s v=""/>
    <s v=""/>
    <s v=""/>
    <s v="通过"/>
  </r>
  <r>
    <s v="SIM-20260903-C004"/>
    <n v="5"/>
    <s v="C004"/>
    <d v="2026-09-03T00:00:00"/>
    <s v="P007"/>
    <x v="0"/>
    <n v="7.1"/>
    <n v="7.1"/>
    <n v="0"/>
    <n v="5.15"/>
    <s v="正常交付"/>
    <s v="true"/>
    <x v="18"/>
    <s v="散装鲜菜"/>
    <s v="模拟_田畔饭店"/>
    <n v="36.57"/>
    <n v="0"/>
    <n v="36.57"/>
    <s v=""/>
    <s v=""/>
    <s v=""/>
    <s v=""/>
    <s v="通过"/>
  </r>
  <r>
    <s v="SIM-20260903-C004"/>
    <n v="6"/>
    <s v="C004"/>
    <d v="2026-09-03T00:00:00"/>
    <s v="P009"/>
    <x v="0"/>
    <n v="7.1"/>
    <n v="7.1"/>
    <n v="0"/>
    <n v="5"/>
    <s v="正常交付"/>
    <s v="true"/>
    <x v="17"/>
    <s v="散装鲜菜"/>
    <s v="模拟_田畔饭店"/>
    <n v="35.5"/>
    <n v="0"/>
    <n v="35.5"/>
    <s v=""/>
    <s v=""/>
    <s v=""/>
    <s v=""/>
    <s v="通过"/>
  </r>
  <r>
    <s v="SIM-20260903-C005"/>
    <n v="1"/>
    <s v="C005"/>
    <d v="2026-09-03T00:00:00"/>
    <s v="P010"/>
    <x v="0"/>
    <n v="8.1999999999999993"/>
    <n v="8.1999999999999993"/>
    <n v="0"/>
    <n v="5"/>
    <s v="正常交付"/>
    <s v="true"/>
    <x v="16"/>
    <s v="散装鲜菜"/>
    <s v="模拟_青禾小学食堂"/>
    <n v="41"/>
    <n v="0"/>
    <n v="41"/>
    <s v=""/>
    <s v=""/>
    <s v=""/>
    <s v=""/>
    <s v="通过"/>
  </r>
  <r>
    <s v="SIM-20260903-C005"/>
    <n v="2"/>
    <s v="C005"/>
    <d v="2026-09-03T00:00:00"/>
    <s v="P001"/>
    <x v="0"/>
    <n v="8.1999999999999993"/>
    <n v="8.1999999999999993"/>
    <n v="0"/>
    <n v="3.3"/>
    <s v="正常交付"/>
    <s v="true"/>
    <x v="9"/>
    <s v="散装鲜菜"/>
    <s v="模拟_青禾小学食堂"/>
    <n v="27.06"/>
    <n v="0"/>
    <n v="27.06"/>
    <s v=""/>
    <s v=""/>
    <s v=""/>
    <s v=""/>
    <s v="通过"/>
  </r>
  <r>
    <s v="SIM-20260903-C005"/>
    <n v="3"/>
    <s v="C005"/>
    <d v="2026-09-03T00:00:00"/>
    <s v="P008"/>
    <x v="0"/>
    <n v="13.3"/>
    <n v="13.3"/>
    <n v="0"/>
    <n v="4.0999999999999996"/>
    <s v="正常交付"/>
    <s v="true"/>
    <x v="14"/>
    <s v="散装鲜菜"/>
    <s v="模拟_青禾小学食堂"/>
    <n v="54.53"/>
    <n v="0"/>
    <n v="54.53"/>
    <s v=""/>
    <s v=""/>
    <s v=""/>
    <s v=""/>
    <s v="通过"/>
  </r>
  <r>
    <s v="SIM-20260903-C005"/>
    <n v="4"/>
    <s v="C005"/>
    <d v="2026-09-03T00:00:00"/>
    <s v="P009"/>
    <x v="0"/>
    <n v="7.2"/>
    <n v="7.2"/>
    <n v="0"/>
    <n v="5"/>
    <s v="正常交付"/>
    <s v="true"/>
    <x v="17"/>
    <s v="散装鲜菜"/>
    <s v="模拟_青禾小学食堂"/>
    <n v="36"/>
    <n v="0"/>
    <n v="36"/>
    <s v=""/>
    <s v=""/>
    <s v=""/>
    <s v=""/>
    <s v="通过"/>
  </r>
  <r>
    <s v="SIM-20260903-C005"/>
    <n v="5"/>
    <s v="C005"/>
    <d v="2026-09-03T00:00:00"/>
    <s v="P013"/>
    <x v="0"/>
    <n v="8.1999999999999993"/>
    <n v="8.1999999999999993"/>
    <n v="0"/>
    <n v="6.3"/>
    <s v="正常交付"/>
    <s v="true"/>
    <x v="11"/>
    <s v="散装鲜菜"/>
    <s v="模拟_青禾小学食堂"/>
    <n v="51.66"/>
    <n v="0"/>
    <n v="51.66"/>
    <s v=""/>
    <s v=""/>
    <s v=""/>
    <s v=""/>
    <s v="通过"/>
  </r>
  <r>
    <s v="SIM-20260903-C005"/>
    <n v="6"/>
    <s v="C005"/>
    <d v="2026-09-03T00:00:00"/>
    <s v="P005"/>
    <x v="0"/>
    <n v="16.399999999999999"/>
    <n v="16.399999999999999"/>
    <n v="0"/>
    <n v="2.7"/>
    <s v="正常交付"/>
    <s v="true"/>
    <x v="1"/>
    <s v="散装鲜菜"/>
    <s v="模拟_青禾小学食堂"/>
    <n v="44.28"/>
    <n v="0"/>
    <n v="44.28"/>
    <s v=""/>
    <s v=""/>
    <s v=""/>
    <s v=""/>
    <s v="通过"/>
  </r>
  <r>
    <s v="SIM-20260903-C005"/>
    <n v="7"/>
    <s v="C005"/>
    <d v="2026-09-03T00:00:00"/>
    <s v="P016"/>
    <x v="0"/>
    <n v="12"/>
    <n v="12"/>
    <n v="0"/>
    <n v="10.1"/>
    <s v="正常交付"/>
    <s v="true"/>
    <x v="4"/>
    <s v="普通鲜鸡蛋按净重"/>
    <s v="模拟_青禾小学食堂"/>
    <n v="121.2"/>
    <n v="0"/>
    <n v="121.2"/>
    <s v=""/>
    <s v=""/>
    <s v=""/>
    <s v=""/>
    <s v="通过"/>
  </r>
  <r>
    <s v="SIM-20260903-C006"/>
    <n v="1"/>
    <s v="C006"/>
    <d v="2026-09-03T00:00:00"/>
    <s v="P011"/>
    <x v="0"/>
    <n v="5"/>
    <n v="5"/>
    <n v="0"/>
    <n v="4.4000000000000004"/>
    <s v="正常交付"/>
    <s v="true"/>
    <x v="8"/>
    <s v="散装鲜菜"/>
    <s v="模拟_溪桥医院食堂"/>
    <n v="22"/>
    <n v="0"/>
    <n v="22"/>
    <s v=""/>
    <s v=""/>
    <s v=""/>
    <s v=""/>
    <s v="通过"/>
  </r>
  <r>
    <s v="SIM-20260903-C006"/>
    <n v="2"/>
    <s v="C006"/>
    <d v="2026-09-03T00:00:00"/>
    <s v="P004"/>
    <x v="0"/>
    <n v="4.4000000000000004"/>
    <n v="4.4000000000000004"/>
    <n v="0"/>
    <n v="2.2999999999999998"/>
    <s v="正常交付"/>
    <s v="true"/>
    <x v="3"/>
    <s v="散装鲜菜"/>
    <s v="模拟_溪桥医院食堂"/>
    <n v="10.119999999999999"/>
    <n v="0"/>
    <n v="10.119999999999999"/>
    <s v=""/>
    <s v=""/>
    <s v=""/>
    <s v=""/>
    <s v="通过"/>
  </r>
  <r>
    <s v="SIM-20260903-C006"/>
    <n v="3"/>
    <s v="C006"/>
    <d v="2026-09-03T00:00:00"/>
    <s v="P003"/>
    <x v="0"/>
    <n v="8.8000000000000007"/>
    <n v="8.8000000000000007"/>
    <n v="0"/>
    <n v="3.3"/>
    <s v="正常交付"/>
    <s v="true"/>
    <x v="12"/>
    <s v="散装鲜菜"/>
    <s v="模拟_溪桥医院食堂"/>
    <n v="29.04"/>
    <n v="0"/>
    <n v="29.04"/>
    <s v=""/>
    <s v=""/>
    <s v=""/>
    <s v=""/>
    <s v="通过"/>
  </r>
  <r>
    <s v="SIM-20260903-C006"/>
    <n v="4"/>
    <s v="C006"/>
    <d v="2026-09-03T00:00:00"/>
    <s v="P014"/>
    <x v="0"/>
    <n v="9.5"/>
    <n v="9.5"/>
    <n v="0"/>
    <n v="4.7"/>
    <s v="正常交付"/>
    <s v="true"/>
    <x v="19"/>
    <s v="散装鲜菜"/>
    <s v="模拟_溪桥医院食堂"/>
    <n v="44.65"/>
    <n v="0"/>
    <n v="44.65"/>
    <s v=""/>
    <s v=""/>
    <s v=""/>
    <s v=""/>
    <s v="通过"/>
  </r>
  <r>
    <s v="SIM-20260903-C006"/>
    <n v="5"/>
    <s v="C006"/>
    <d v="2026-09-03T00:00:00"/>
    <s v="P002"/>
    <x v="0"/>
    <n v="10.1"/>
    <n v="10.1"/>
    <n v="0"/>
    <n v="2.2999999999999998"/>
    <s v="正常交付"/>
    <s v="true"/>
    <x v="2"/>
    <s v="散装鲜菜"/>
    <s v="模拟_溪桥医院食堂"/>
    <n v="23.23"/>
    <n v="0"/>
    <n v="23.23"/>
    <s v=""/>
    <s v=""/>
    <s v=""/>
    <s v=""/>
    <s v="通过"/>
  </r>
  <r>
    <s v="SIM-20260903-C006"/>
    <n v="6"/>
    <s v="C006"/>
    <d v="2026-09-03T00:00:00"/>
    <s v="P008"/>
    <x v="0"/>
    <n v="8.1999999999999993"/>
    <n v="8.1999999999999993"/>
    <n v="0"/>
    <n v="4.0999999999999996"/>
    <s v="正常交付"/>
    <s v="true"/>
    <x v="14"/>
    <s v="散装鲜菜"/>
    <s v="模拟_溪桥医院食堂"/>
    <n v="33.619999999999997"/>
    <n v="0"/>
    <n v="33.619999999999997"/>
    <s v=""/>
    <s v=""/>
    <s v=""/>
    <s v=""/>
    <s v="通过"/>
  </r>
  <r>
    <s v="SIM-20260903-C006"/>
    <n v="7"/>
    <s v="C006"/>
    <d v="2026-09-03T00:00:00"/>
    <s v="P016"/>
    <x v="0"/>
    <n v="9"/>
    <n v="9"/>
    <n v="0"/>
    <n v="10.1"/>
    <s v="正常交付"/>
    <s v="true"/>
    <x v="4"/>
    <s v="普通鲜鸡蛋按净重"/>
    <s v="模拟_溪桥医院食堂"/>
    <n v="90.9"/>
    <n v="0"/>
    <n v="90.9"/>
    <s v=""/>
    <s v=""/>
    <s v=""/>
    <s v=""/>
    <s v="通过"/>
  </r>
  <r>
    <s v="SIM-20260904-C001"/>
    <n v="1"/>
    <s v="C001"/>
    <d v="2026-09-04T00:00:00"/>
    <s v="P012"/>
    <x v="0"/>
    <n v="2.6"/>
    <n v="2.6"/>
    <n v="0"/>
    <n v="4.5999999999999996"/>
    <s v="正常交付"/>
    <s v="true"/>
    <x v="0"/>
    <s v="散装鲜菜"/>
    <s v="模拟_榕树下粉面店"/>
    <n v="11.96"/>
    <n v="0"/>
    <n v="11.96"/>
    <s v=""/>
    <s v=""/>
    <s v=""/>
    <s v=""/>
    <s v="通过"/>
  </r>
  <r>
    <s v="SIM-20260904-C001"/>
    <n v="2"/>
    <s v="C001"/>
    <d v="2026-09-04T00:00:00"/>
    <s v="P008"/>
    <x v="0"/>
    <n v="2"/>
    <n v="2"/>
    <n v="0"/>
    <n v="4.0999999999999996"/>
    <s v="正常交付"/>
    <s v="true"/>
    <x v="14"/>
    <s v="散装鲜菜"/>
    <s v="模拟_榕树下粉面店"/>
    <n v="8.1999999999999993"/>
    <n v="0"/>
    <n v="8.1999999999999993"/>
    <s v=""/>
    <s v=""/>
    <s v=""/>
    <s v=""/>
    <s v="通过"/>
  </r>
  <r>
    <s v="SIM-20260904-C001"/>
    <n v="3"/>
    <s v="C001"/>
    <d v="2026-09-04T00:00:00"/>
    <s v="P007"/>
    <x v="0"/>
    <n v="3.1"/>
    <n v="3.1"/>
    <n v="0"/>
    <n v="5.15"/>
    <s v="正常交付"/>
    <s v="true"/>
    <x v="18"/>
    <s v="散装鲜菜"/>
    <s v="模拟_榕树下粉面店"/>
    <n v="15.97"/>
    <n v="0"/>
    <n v="15.97"/>
    <s v=""/>
    <s v=""/>
    <s v=""/>
    <s v=""/>
    <s v="通过"/>
  </r>
  <r>
    <s v="SIM-20260904-C001"/>
    <n v="4"/>
    <s v="C001"/>
    <d v="2026-09-04T00:00:00"/>
    <s v="P009"/>
    <x v="0"/>
    <n v="2.9"/>
    <n v="2.9"/>
    <n v="0"/>
    <n v="5"/>
    <s v="正常交付"/>
    <s v="true"/>
    <x v="17"/>
    <s v="散装鲜菜"/>
    <s v="模拟_榕树下粉面店"/>
    <n v="14.5"/>
    <n v="0"/>
    <n v="14.5"/>
    <s v=""/>
    <s v=""/>
    <s v=""/>
    <s v=""/>
    <s v="通过"/>
  </r>
  <r>
    <s v="SIM-20260904-C001"/>
    <n v="5"/>
    <s v="C001"/>
    <d v="2026-09-04T00:00:00"/>
    <s v="P015"/>
    <x v="0"/>
    <n v="0.5"/>
    <n v="0.3"/>
    <n v="0"/>
    <n v="7.3"/>
    <s v="到货不足；按实际交付计费"/>
    <s v="true"/>
    <x v="5"/>
    <s v="散装鲜菜"/>
    <s v="模拟_榕树下粉面店"/>
    <n v="2.19"/>
    <n v="0"/>
    <n v="2.19"/>
    <s v=""/>
    <s v=""/>
    <s v=""/>
    <s v=""/>
    <s v="通过"/>
  </r>
  <r>
    <s v="SIM-20260904-C002"/>
    <n v="1"/>
    <s v="C002"/>
    <d v="2026-09-04T00:00:00"/>
    <s v="P012"/>
    <x v="0"/>
    <n v="4.2"/>
    <n v="4.2"/>
    <n v="0.5"/>
    <n v="4.5999999999999996"/>
    <s v="正常交付；签收时挑出黄叶退回"/>
    <s v="true"/>
    <x v="0"/>
    <s v="散装鲜菜"/>
    <s v="模拟_桥头家常菜馆"/>
    <n v="19.32"/>
    <n v="2.2999999999999998"/>
    <n v="17.02"/>
    <s v=""/>
    <s v=""/>
    <s v=""/>
    <s v=""/>
    <s v="通过"/>
  </r>
  <r>
    <s v="SIM-20260904-C002"/>
    <n v="2"/>
    <s v="C002"/>
    <d v="2026-09-04T00:00:00"/>
    <s v="P014"/>
    <x v="0"/>
    <n v="6"/>
    <n v="6"/>
    <n v="0"/>
    <n v="4.7"/>
    <s v="正常交付"/>
    <s v="true"/>
    <x v="19"/>
    <s v="散装鲜菜"/>
    <s v="模拟_桥头家常菜馆"/>
    <n v="28.2"/>
    <n v="0"/>
    <n v="28.2"/>
    <s v=""/>
    <s v=""/>
    <s v=""/>
    <s v=""/>
    <s v="通过"/>
  </r>
  <r>
    <s v="SIM-20260904-C002"/>
    <n v="3"/>
    <s v="C002"/>
    <d v="2026-09-04T00:00:00"/>
    <s v="P002"/>
    <x v="0"/>
    <n v="6.7"/>
    <n v="6.7"/>
    <n v="0"/>
    <n v="2.2999999999999998"/>
    <s v="正常交付"/>
    <s v="true"/>
    <x v="2"/>
    <s v="散装鲜菜"/>
    <s v="模拟_桥头家常菜馆"/>
    <n v="15.41"/>
    <n v="0"/>
    <n v="15.41"/>
    <s v=""/>
    <s v=""/>
    <s v=""/>
    <s v=""/>
    <s v="通过"/>
  </r>
  <r>
    <s v="SIM-20260904-C002"/>
    <n v="4"/>
    <s v="C002"/>
    <d v="2026-09-04T00:00:00"/>
    <s v="P006"/>
    <x v="0"/>
    <n v="9.1"/>
    <n v="9.1"/>
    <n v="0"/>
    <n v="4.5999999999999996"/>
    <s v="正常交付"/>
    <s v="true"/>
    <x v="10"/>
    <s v="散装鲜菜"/>
    <s v="模拟_桥头家常菜馆"/>
    <n v="41.86"/>
    <n v="0"/>
    <n v="41.86"/>
    <s v=""/>
    <s v=""/>
    <s v=""/>
    <s v=""/>
    <s v="通过"/>
  </r>
  <r>
    <s v="SIM-20260904-C002"/>
    <n v="5"/>
    <s v="C002"/>
    <d v="2026-09-04T00:00:00"/>
    <s v="P013"/>
    <x v="0"/>
    <n v="7.3"/>
    <n v="7.3"/>
    <n v="0"/>
    <n v="6.3"/>
    <s v="正常交付"/>
    <s v="true"/>
    <x v="11"/>
    <s v="散装鲜菜"/>
    <s v="模拟_桥头家常菜馆"/>
    <n v="45.99"/>
    <n v="0"/>
    <n v="45.99"/>
    <s v=""/>
    <s v=""/>
    <s v=""/>
    <s v=""/>
    <s v="通过"/>
  </r>
  <r>
    <s v="SIM-20260904-C002"/>
    <n v="6"/>
    <s v="C002"/>
    <d v="2026-09-04T00:00:00"/>
    <s v="P015"/>
    <x v="0"/>
    <n v="1"/>
    <n v="1"/>
    <n v="0"/>
    <n v="7.3"/>
    <s v="正常交付"/>
    <s v="true"/>
    <x v="5"/>
    <s v="散装鲜菜"/>
    <s v="模拟_桥头家常菜馆"/>
    <n v="7.3"/>
    <n v="0"/>
    <n v="7.3"/>
    <s v=""/>
    <s v=""/>
    <s v=""/>
    <s v=""/>
    <s v="通过"/>
  </r>
  <r>
    <s v="SIM-20260904-C003"/>
    <n v="1"/>
    <s v="C003"/>
    <d v="2026-09-04T00:00:00"/>
    <s v="P011"/>
    <x v="0"/>
    <n v="8.6999999999999993"/>
    <n v="8.6999999999999993"/>
    <n v="0"/>
    <n v="4.4000000000000004"/>
    <s v="正常交付"/>
    <s v="true"/>
    <x v="8"/>
    <s v="散装鲜菜"/>
    <s v="模拟_兴街快餐店"/>
    <n v="38.28"/>
    <n v="0"/>
    <n v="38.28"/>
    <s v=""/>
    <s v=""/>
    <s v=""/>
    <s v=""/>
    <s v="通过"/>
  </r>
  <r>
    <s v="SIM-20260904-C003"/>
    <n v="2"/>
    <s v="C003"/>
    <d v="2026-09-04T00:00:00"/>
    <s v="P007"/>
    <x v="0"/>
    <n v="5.3"/>
    <n v="5.3"/>
    <n v="0"/>
    <n v="5.15"/>
    <s v="正常交付"/>
    <s v="true"/>
    <x v="18"/>
    <s v="散装鲜菜"/>
    <s v="模拟_兴街快餐店"/>
    <n v="27.3"/>
    <n v="0"/>
    <n v="27.3"/>
    <s v=""/>
    <s v=""/>
    <s v=""/>
    <s v=""/>
    <s v="通过"/>
  </r>
  <r>
    <s v="SIM-20260904-C003"/>
    <n v="3"/>
    <s v="C003"/>
    <d v="2026-09-04T00:00:00"/>
    <s v="P002"/>
    <x v="0"/>
    <n v="8"/>
    <n v="8"/>
    <n v="0"/>
    <n v="2.2999999999999998"/>
    <s v="正常交付"/>
    <s v="true"/>
    <x v="2"/>
    <s v="散装鲜菜"/>
    <s v="模拟_兴街快餐店"/>
    <n v="18.399999999999999"/>
    <n v="0"/>
    <n v="18.399999999999999"/>
    <s v=""/>
    <s v=""/>
    <s v=""/>
    <s v=""/>
    <s v="通过"/>
  </r>
  <r>
    <s v="SIM-20260904-C003"/>
    <n v="4"/>
    <s v="C003"/>
    <d v="2026-09-04T00:00:00"/>
    <s v="P013"/>
    <x v="0"/>
    <n v="10.7"/>
    <n v="10.7"/>
    <n v="0"/>
    <n v="6.3"/>
    <s v="正常交付"/>
    <s v="true"/>
    <x v="11"/>
    <s v="散装鲜菜"/>
    <s v="模拟_兴街快餐店"/>
    <n v="67.41"/>
    <n v="0"/>
    <n v="67.41"/>
    <s v=""/>
    <s v=""/>
    <s v=""/>
    <s v=""/>
    <s v="通过"/>
  </r>
  <r>
    <s v="SIM-20260904-C003"/>
    <n v="5"/>
    <s v="C003"/>
    <d v="2026-09-04T00:00:00"/>
    <s v="P003"/>
    <x v="0"/>
    <n v="5.3"/>
    <n v="5.3"/>
    <n v="0"/>
    <n v="3.3"/>
    <s v="正常交付"/>
    <s v="true"/>
    <x v="12"/>
    <s v="散装鲜菜"/>
    <s v="模拟_兴街快餐店"/>
    <n v="17.489999999999998"/>
    <n v="0"/>
    <n v="17.489999999999998"/>
    <s v=""/>
    <s v=""/>
    <s v=""/>
    <s v=""/>
    <s v="通过"/>
  </r>
  <r>
    <s v="SIM-20260904-C003"/>
    <n v="6"/>
    <s v="C003"/>
    <d v="2026-09-04T00:00:00"/>
    <s v="P014"/>
    <x v="0"/>
    <n v="6"/>
    <n v="6"/>
    <n v="0"/>
    <n v="4.7"/>
    <s v="正常交付"/>
    <s v="true"/>
    <x v="19"/>
    <s v="散装鲜菜"/>
    <s v="模拟_兴街快餐店"/>
    <n v="28.2"/>
    <n v="0"/>
    <n v="28.2"/>
    <s v=""/>
    <s v=""/>
    <s v=""/>
    <s v=""/>
    <s v="通过"/>
  </r>
  <r>
    <s v="SIM-20260904-C003"/>
    <n v="7"/>
    <s v="C003"/>
    <d v="2026-09-04T00:00:00"/>
    <s v="P015"/>
    <x v="0"/>
    <n v="1"/>
    <n v="1"/>
    <n v="0"/>
    <n v="7.3"/>
    <s v="正常交付"/>
    <s v="true"/>
    <x v="5"/>
    <s v="散装鲜菜"/>
    <s v="模拟_兴街快餐店"/>
    <n v="7.3"/>
    <n v="0"/>
    <n v="7.3"/>
    <s v=""/>
    <s v=""/>
    <s v=""/>
    <s v=""/>
    <s v="通过"/>
  </r>
  <r>
    <s v="SIM-20260904-C005"/>
    <n v="1"/>
    <s v="C005"/>
    <d v="2026-09-04T00:00:00"/>
    <s v="P012"/>
    <x v="0"/>
    <n v="15.2"/>
    <n v="15.2"/>
    <n v="0"/>
    <n v="4.5999999999999996"/>
    <s v="正常交付"/>
    <s v="true"/>
    <x v="0"/>
    <s v="散装鲜菜"/>
    <s v="模拟_青禾小学食堂"/>
    <n v="69.92"/>
    <n v="0"/>
    <n v="69.92"/>
    <s v=""/>
    <s v=""/>
    <s v=""/>
    <s v=""/>
    <s v="通过"/>
  </r>
  <r>
    <s v="SIM-20260904-C005"/>
    <n v="2"/>
    <s v="C005"/>
    <d v="2026-09-04T00:00:00"/>
    <s v="P008"/>
    <x v="0"/>
    <n v="11.9"/>
    <n v="11.9"/>
    <n v="0"/>
    <n v="4.0999999999999996"/>
    <s v="正常交付"/>
    <s v="true"/>
    <x v="14"/>
    <s v="散装鲜菜"/>
    <s v="模拟_青禾小学食堂"/>
    <n v="48.79"/>
    <n v="0"/>
    <n v="48.79"/>
    <s v=""/>
    <s v=""/>
    <s v=""/>
    <s v=""/>
    <s v="通过"/>
  </r>
  <r>
    <s v="SIM-20260904-C005"/>
    <n v="3"/>
    <s v="C005"/>
    <d v="2026-09-04T00:00:00"/>
    <s v="P003"/>
    <x v="0"/>
    <n v="8.6999999999999993"/>
    <n v="8.6999999999999993"/>
    <n v="0"/>
    <n v="3.3"/>
    <s v="正常交付"/>
    <s v="true"/>
    <x v="12"/>
    <s v="散装鲜菜"/>
    <s v="模拟_青禾小学食堂"/>
    <n v="28.71"/>
    <n v="0"/>
    <n v="28.71"/>
    <s v=""/>
    <s v=""/>
    <s v=""/>
    <s v=""/>
    <s v="通过"/>
  </r>
  <r>
    <s v="SIM-20260904-C005"/>
    <n v="4"/>
    <s v="C005"/>
    <d v="2026-09-04T00:00:00"/>
    <s v="P002"/>
    <x v="0"/>
    <n v="7.6"/>
    <n v="7.6"/>
    <n v="0"/>
    <n v="2.2999999999999998"/>
    <s v="正常交付"/>
    <s v="true"/>
    <x v="2"/>
    <s v="散装鲜菜"/>
    <s v="模拟_青禾小学食堂"/>
    <n v="17.48"/>
    <n v="0"/>
    <n v="17.48"/>
    <s v=""/>
    <s v=""/>
    <s v=""/>
    <s v=""/>
    <s v="通过"/>
  </r>
  <r>
    <s v="SIM-20260904-C005"/>
    <n v="5"/>
    <s v="C005"/>
    <d v="2026-09-04T00:00:00"/>
    <s v="P006"/>
    <x v="0"/>
    <n v="17.3"/>
    <n v="17.3"/>
    <n v="0"/>
    <n v="4.5999999999999996"/>
    <s v="正常交付"/>
    <s v="true"/>
    <x v="10"/>
    <s v="散装鲜菜"/>
    <s v="模拟_青禾小学食堂"/>
    <n v="79.58"/>
    <n v="0"/>
    <n v="79.58"/>
    <s v=""/>
    <s v=""/>
    <s v=""/>
    <s v=""/>
    <s v="通过"/>
  </r>
  <r>
    <s v="SIM-20260904-C005"/>
    <n v="6"/>
    <s v="C005"/>
    <d v="2026-09-04T00:00:00"/>
    <s v="P004"/>
    <x v="0"/>
    <n v="7.6"/>
    <n v="7.6"/>
    <n v="0"/>
    <n v="2.2999999999999998"/>
    <s v="正常交付"/>
    <s v="true"/>
    <x v="3"/>
    <s v="散装鲜菜"/>
    <s v="模拟_青禾小学食堂"/>
    <n v="17.48"/>
    <n v="0"/>
    <n v="17.48"/>
    <s v=""/>
    <s v=""/>
    <s v=""/>
    <s v=""/>
    <s v="通过"/>
  </r>
  <r>
    <s v="SIM-20260904-C005"/>
    <n v="7"/>
    <s v="C005"/>
    <d v="2026-09-04T00:00:00"/>
    <s v="P015"/>
    <x v="0"/>
    <n v="1"/>
    <n v="1"/>
    <n v="0"/>
    <n v="7.3"/>
    <s v="正常交付"/>
    <s v="true"/>
    <x v="5"/>
    <s v="散装鲜菜"/>
    <s v="模拟_青禾小学食堂"/>
    <n v="7.3"/>
    <n v="0"/>
    <n v="7.3"/>
    <s v=""/>
    <s v=""/>
    <s v=""/>
    <s v=""/>
    <s v="通过"/>
  </r>
  <r>
    <s v="SIM-20260904-C006"/>
    <n v="1"/>
    <s v="C006"/>
    <d v="2026-09-04T00:00:00"/>
    <s v="P012"/>
    <x v="0"/>
    <n v="6"/>
    <n v="6"/>
    <n v="0"/>
    <n v="4.5999999999999996"/>
    <s v="正常交付"/>
    <s v="true"/>
    <x v="0"/>
    <s v="散装鲜菜"/>
    <s v="模拟_溪桥医院食堂"/>
    <n v="27.6"/>
    <n v="0"/>
    <n v="27.6"/>
    <s v=""/>
    <s v=""/>
    <s v=""/>
    <s v=""/>
    <s v="通过"/>
  </r>
  <r>
    <s v="SIM-20260904-C006"/>
    <n v="2"/>
    <s v="C006"/>
    <d v="2026-09-04T00:00:00"/>
    <s v="P003"/>
    <x v="0"/>
    <n v="8"/>
    <n v="8"/>
    <n v="0"/>
    <n v="3.3"/>
    <s v="正常交付"/>
    <s v="true"/>
    <x v="12"/>
    <s v="散装鲜菜"/>
    <s v="模拟_溪桥医院食堂"/>
    <n v="26.4"/>
    <n v="0"/>
    <n v="26.4"/>
    <s v=""/>
    <s v=""/>
    <s v=""/>
    <s v=""/>
    <s v="通过"/>
  </r>
  <r>
    <s v="SIM-20260904-C006"/>
    <n v="3"/>
    <s v="C006"/>
    <d v="2026-09-04T00:00:00"/>
    <s v="P002"/>
    <x v="0"/>
    <n v="8"/>
    <n v="8"/>
    <n v="0"/>
    <n v="2.2999999999999998"/>
    <s v="正常交付"/>
    <s v="true"/>
    <x v="2"/>
    <s v="散装鲜菜"/>
    <s v="模拟_溪桥医院食堂"/>
    <n v="18.399999999999999"/>
    <n v="0"/>
    <n v="18.399999999999999"/>
    <s v=""/>
    <s v=""/>
    <s v=""/>
    <s v=""/>
    <s v="通过"/>
  </r>
  <r>
    <s v="SIM-20260904-C006"/>
    <n v="4"/>
    <s v="C006"/>
    <d v="2026-09-04T00:00:00"/>
    <s v="P009"/>
    <x v="0"/>
    <n v="8.6"/>
    <n v="8.6"/>
    <n v="0"/>
    <n v="5"/>
    <s v="正常交付"/>
    <s v="true"/>
    <x v="17"/>
    <s v="散装鲜菜"/>
    <s v="模拟_溪桥医院食堂"/>
    <n v="43"/>
    <n v="0"/>
    <n v="43"/>
    <s v=""/>
    <s v=""/>
    <s v=""/>
    <s v=""/>
    <s v="通过"/>
  </r>
  <r>
    <s v="SIM-20260904-C006"/>
    <n v="5"/>
    <s v="C006"/>
    <d v="2026-09-04T00:00:00"/>
    <s v="P014"/>
    <x v="0"/>
    <n v="8"/>
    <n v="8"/>
    <n v="0"/>
    <n v="4.7"/>
    <s v="正常交付"/>
    <s v="true"/>
    <x v="19"/>
    <s v="散装鲜菜"/>
    <s v="模拟_溪桥医院食堂"/>
    <n v="37.6"/>
    <n v="0"/>
    <n v="37.6"/>
    <s v=""/>
    <s v=""/>
    <s v=""/>
    <s v=""/>
    <s v="通过"/>
  </r>
  <r>
    <s v="SIM-20260904-C006"/>
    <n v="6"/>
    <s v="C006"/>
    <d v="2026-09-04T00:00:00"/>
    <s v="P005"/>
    <x v="0"/>
    <n v="4.7"/>
    <n v="4.7"/>
    <n v="0"/>
    <n v="2.7"/>
    <s v="正常交付"/>
    <s v="true"/>
    <x v="1"/>
    <s v="散装鲜菜"/>
    <s v="模拟_溪桥医院食堂"/>
    <n v="12.69"/>
    <n v="0"/>
    <n v="12.69"/>
    <s v=""/>
    <s v=""/>
    <s v=""/>
    <s v=""/>
    <s v="通过"/>
  </r>
  <r>
    <s v="SIM-20260904-C006"/>
    <n v="7"/>
    <s v="C006"/>
    <d v="2026-09-04T00:00:00"/>
    <s v="P015"/>
    <x v="0"/>
    <n v="1"/>
    <n v="1"/>
    <n v="0"/>
    <n v="7.3"/>
    <s v="正常交付"/>
    <s v="true"/>
    <x v="5"/>
    <s v="散装鲜菜"/>
    <s v="模拟_溪桥医院食堂"/>
    <n v="7.3"/>
    <n v="0"/>
    <n v="7.3"/>
    <s v=""/>
    <s v=""/>
    <s v=""/>
    <s v=""/>
    <s v="通过"/>
  </r>
  <r>
    <s v="SIM-20260905-C001"/>
    <n v="1"/>
    <s v="C001"/>
    <d v="2026-09-05T00:00:00"/>
    <s v="P010"/>
    <x v="0"/>
    <n v="3.1"/>
    <n v="3.1"/>
    <n v="0"/>
    <n v="5"/>
    <s v="正常交付"/>
    <s v="true"/>
    <x v="16"/>
    <s v="散装鲜菜"/>
    <s v="模拟_榕树下粉面店"/>
    <n v="15.5"/>
    <n v="0"/>
    <n v="15.5"/>
    <s v=""/>
    <s v=""/>
    <s v=""/>
    <s v=""/>
    <s v="通过"/>
  </r>
  <r>
    <s v="SIM-20260905-C001"/>
    <n v="2"/>
    <s v="C001"/>
    <d v="2026-09-05T00:00:00"/>
    <s v="P014"/>
    <x v="0"/>
    <n v="2.4"/>
    <n v="2.4"/>
    <n v="0"/>
    <n v="4.7"/>
    <s v="正常交付"/>
    <s v="true"/>
    <x v="19"/>
    <s v="散装鲜菜"/>
    <s v="模拟_榕树下粉面店"/>
    <n v="11.28"/>
    <n v="0"/>
    <n v="11.28"/>
    <s v=""/>
    <s v=""/>
    <s v=""/>
    <s v=""/>
    <s v="通过"/>
  </r>
  <r>
    <s v="SIM-20260905-C001"/>
    <n v="3"/>
    <s v="C001"/>
    <d v="2026-09-05T00:00:00"/>
    <s v="P003"/>
    <x v="0"/>
    <n v="3.1"/>
    <n v="3.1"/>
    <n v="0"/>
    <n v="3.3"/>
    <s v="正常交付"/>
    <s v="true"/>
    <x v="12"/>
    <s v="散装鲜菜"/>
    <s v="模拟_榕树下粉面店"/>
    <n v="10.23"/>
    <n v="0"/>
    <n v="10.23"/>
    <s v=""/>
    <s v=""/>
    <s v=""/>
    <s v=""/>
    <s v="通过"/>
  </r>
  <r>
    <s v="SIM-20260905-C001"/>
    <n v="4"/>
    <s v="C001"/>
    <d v="2026-09-05T00:00:00"/>
    <s v="P007"/>
    <x v="0"/>
    <n v="2.9"/>
    <n v="2.9"/>
    <n v="0"/>
    <n v="5.15"/>
    <s v="正常交付"/>
    <s v="true"/>
    <x v="18"/>
    <s v="散装鲜菜"/>
    <s v="模拟_榕树下粉面店"/>
    <n v="14.94"/>
    <n v="0"/>
    <n v="14.94"/>
    <s v=""/>
    <s v=""/>
    <s v=""/>
    <s v=""/>
    <s v="通过"/>
  </r>
  <r>
    <s v="SIM-20260905-C001"/>
    <n v="5"/>
    <s v="C001"/>
    <d v="2026-09-05T00:00:00"/>
    <s v="P016"/>
    <x v="0"/>
    <n v="3"/>
    <n v="3"/>
    <n v="0"/>
    <n v="10.1"/>
    <s v="正常交付"/>
    <s v="true"/>
    <x v="4"/>
    <s v="普通鲜鸡蛋按净重"/>
    <s v="模拟_榕树下粉面店"/>
    <n v="30.3"/>
    <n v="0"/>
    <n v="30.3"/>
    <s v=""/>
    <s v=""/>
    <s v=""/>
    <s v=""/>
    <s v="通过"/>
  </r>
  <r>
    <s v="SIM-20260905-C002"/>
    <n v="1"/>
    <s v="C002"/>
    <d v="2026-09-05T00:00:00"/>
    <s v="P012"/>
    <x v="0"/>
    <n v="7.5"/>
    <n v="7.5"/>
    <n v="0"/>
    <n v="4.5999999999999996"/>
    <s v="正常交付"/>
    <s v="true"/>
    <x v="0"/>
    <s v="散装鲜菜"/>
    <s v="模拟_桥头家常菜馆"/>
    <n v="34.5"/>
    <n v="0"/>
    <n v="34.5"/>
    <s v=""/>
    <s v=""/>
    <s v=""/>
    <s v=""/>
    <s v="通过"/>
  </r>
  <r>
    <s v="SIM-20260905-C002"/>
    <n v="2"/>
    <s v="C002"/>
    <d v="2026-09-05T00:00:00"/>
    <s v="P013"/>
    <x v="0"/>
    <n v="8.8000000000000007"/>
    <n v="8.8000000000000007"/>
    <n v="0"/>
    <n v="6.3"/>
    <s v="正常交付"/>
    <s v="true"/>
    <x v="11"/>
    <s v="散装鲜菜"/>
    <s v="模拟_桥头家常菜馆"/>
    <n v="55.44"/>
    <n v="0"/>
    <n v="55.44"/>
    <s v=""/>
    <s v=""/>
    <s v=""/>
    <s v=""/>
    <s v="通过"/>
  </r>
  <r>
    <s v="SIM-20260905-C002"/>
    <n v="3"/>
    <s v="C002"/>
    <d v="2026-09-05T00:00:00"/>
    <s v="P003"/>
    <x v="0"/>
    <n v="6.3"/>
    <n v="6.3"/>
    <n v="0"/>
    <n v="3.3"/>
    <s v="正常交付"/>
    <s v="true"/>
    <x v="12"/>
    <s v="散装鲜菜"/>
    <s v="模拟_桥头家常菜馆"/>
    <n v="20.79"/>
    <n v="0"/>
    <n v="20.79"/>
    <s v=""/>
    <s v=""/>
    <s v=""/>
    <s v=""/>
    <s v="通过"/>
  </r>
  <r>
    <s v="SIM-20260905-C002"/>
    <n v="4"/>
    <s v="C002"/>
    <d v="2026-09-05T00:00:00"/>
    <s v="P007"/>
    <x v="0"/>
    <n v="6.9"/>
    <n v="6.9"/>
    <n v="0"/>
    <n v="5.15"/>
    <s v="正常交付"/>
    <s v="true"/>
    <x v="18"/>
    <s v="散装鲜菜"/>
    <s v="模拟_桥头家常菜馆"/>
    <n v="35.54"/>
    <n v="0"/>
    <n v="35.54"/>
    <s v=""/>
    <s v=""/>
    <s v=""/>
    <s v=""/>
    <s v="通过"/>
  </r>
  <r>
    <s v="SIM-20260905-C002"/>
    <n v="5"/>
    <s v="C002"/>
    <d v="2026-09-05T00:00:00"/>
    <s v="P008"/>
    <x v="0"/>
    <n v="9.4"/>
    <n v="9.4"/>
    <n v="0"/>
    <n v="4.0999999999999996"/>
    <s v="正常交付"/>
    <s v="true"/>
    <x v="14"/>
    <s v="散装鲜菜"/>
    <s v="模拟_桥头家常菜馆"/>
    <n v="38.54"/>
    <n v="0"/>
    <n v="38.54"/>
    <s v=""/>
    <s v=""/>
    <s v=""/>
    <s v=""/>
    <s v="通过"/>
  </r>
  <r>
    <s v="SIM-20260905-C002"/>
    <n v="6"/>
    <s v="C002"/>
    <d v="2026-09-05T00:00:00"/>
    <s v="P016"/>
    <x v="0"/>
    <n v="4"/>
    <n v="4"/>
    <n v="0"/>
    <n v="10.1"/>
    <s v="正常交付"/>
    <s v="true"/>
    <x v="4"/>
    <s v="普通鲜鸡蛋按净重"/>
    <s v="模拟_桥头家常菜馆"/>
    <n v="40.4"/>
    <n v="0"/>
    <n v="40.4"/>
    <s v=""/>
    <s v=""/>
    <s v=""/>
    <s v=""/>
    <s v="通过"/>
  </r>
  <r>
    <s v="SIM-20260905-C003"/>
    <n v="1"/>
    <s v="C003"/>
    <d v="2026-09-05T00:00:00"/>
    <s v="P011"/>
    <x v="0"/>
    <n v="6.6"/>
    <n v="6.6"/>
    <n v="0"/>
    <n v="4.4000000000000004"/>
    <s v="正常交付"/>
    <s v="true"/>
    <x v="8"/>
    <s v="散装鲜菜"/>
    <s v="模拟_兴街快餐店"/>
    <n v="29.04"/>
    <n v="0"/>
    <n v="29.04"/>
    <s v=""/>
    <s v=""/>
    <s v=""/>
    <s v=""/>
    <s v="通过"/>
  </r>
  <r>
    <s v="SIM-20260905-C003"/>
    <n v="2"/>
    <s v="C003"/>
    <d v="2026-09-05T00:00:00"/>
    <s v="P009"/>
    <x v="0"/>
    <n v="6.6"/>
    <n v="6.6"/>
    <n v="0"/>
    <n v="5"/>
    <s v="正常交付"/>
    <s v="true"/>
    <x v="17"/>
    <s v="散装鲜菜"/>
    <s v="模拟_兴街快餐店"/>
    <n v="33"/>
    <n v="0"/>
    <n v="33"/>
    <s v=""/>
    <s v=""/>
    <s v=""/>
    <s v=""/>
    <s v="通过"/>
  </r>
  <r>
    <s v="SIM-20260905-C003"/>
    <n v="3"/>
    <s v="C003"/>
    <d v="2026-09-05T00:00:00"/>
    <s v="P005"/>
    <x v="0"/>
    <n v="6.6"/>
    <n v="6.6"/>
    <n v="0"/>
    <n v="2.7"/>
    <s v="正常交付"/>
    <s v="true"/>
    <x v="1"/>
    <s v="散装鲜菜"/>
    <s v="模拟_兴街快餐店"/>
    <n v="17.82"/>
    <n v="0"/>
    <n v="17.82"/>
    <s v=""/>
    <s v=""/>
    <s v=""/>
    <s v=""/>
    <s v="通过"/>
  </r>
  <r>
    <s v="SIM-20260905-C003"/>
    <n v="4"/>
    <s v="C003"/>
    <d v="2026-09-05T00:00:00"/>
    <s v="P001"/>
    <x v="0"/>
    <n v="4.9000000000000004"/>
    <n v="4.9000000000000004"/>
    <n v="0"/>
    <n v="3.3"/>
    <s v="正常交付"/>
    <s v="true"/>
    <x v="9"/>
    <s v="散装鲜菜"/>
    <s v="模拟_兴街快餐店"/>
    <n v="16.170000000000002"/>
    <n v="0"/>
    <n v="16.170000000000002"/>
    <s v=""/>
    <s v=""/>
    <s v=""/>
    <s v=""/>
    <s v="通过"/>
  </r>
  <r>
    <s v="SIM-20260905-C003"/>
    <n v="5"/>
    <s v="C003"/>
    <d v="2026-09-05T00:00:00"/>
    <s v="P002"/>
    <x v="0"/>
    <n v="4.9000000000000004"/>
    <n v="4.9000000000000004"/>
    <n v="0"/>
    <n v="2.2999999999999998"/>
    <s v="正常交付"/>
    <s v="true"/>
    <x v="2"/>
    <s v="散装鲜菜"/>
    <s v="模拟_兴街快餐店"/>
    <n v="11.27"/>
    <n v="0"/>
    <n v="11.27"/>
    <s v=""/>
    <s v=""/>
    <s v=""/>
    <s v=""/>
    <s v="通过"/>
  </r>
  <r>
    <s v="SIM-20260905-C003"/>
    <n v="6"/>
    <s v="C003"/>
    <d v="2026-09-05T00:00:00"/>
    <s v="P008"/>
    <x v="0"/>
    <n v="8.1999999999999993"/>
    <n v="8.1999999999999993"/>
    <n v="0"/>
    <n v="4.0999999999999996"/>
    <s v="正常交付"/>
    <s v="true"/>
    <x v="14"/>
    <s v="散装鲜菜"/>
    <s v="模拟_兴街快餐店"/>
    <n v="33.619999999999997"/>
    <n v="0"/>
    <n v="33.619999999999997"/>
    <s v=""/>
    <s v=""/>
    <s v=""/>
    <s v=""/>
    <s v="通过"/>
  </r>
  <r>
    <s v="SIM-20260905-C003"/>
    <n v="7"/>
    <s v="C003"/>
    <d v="2026-09-05T00:00:00"/>
    <s v="P016"/>
    <x v="0"/>
    <n v="6"/>
    <n v="6"/>
    <n v="0"/>
    <n v="10.1"/>
    <s v="正常交付"/>
    <s v="true"/>
    <x v="4"/>
    <s v="普通鲜鸡蛋按净重"/>
    <s v="模拟_兴街快餐店"/>
    <n v="60.6"/>
    <n v="0"/>
    <n v="60.6"/>
    <s v=""/>
    <s v=""/>
    <s v=""/>
    <s v=""/>
    <s v="通过"/>
  </r>
  <r>
    <s v="SIM-20260905-C004"/>
    <n v="1"/>
    <s v="C004"/>
    <d v="2026-09-05T00:00:00"/>
    <s v="P012"/>
    <x v="0"/>
    <n v="9.4"/>
    <n v="9.4"/>
    <n v="0"/>
    <n v="4.5999999999999996"/>
    <s v="正常交付"/>
    <s v="true"/>
    <x v="0"/>
    <s v="散装鲜菜"/>
    <s v="模拟_田畔饭店"/>
    <n v="43.24"/>
    <n v="0"/>
    <n v="43.24"/>
    <s v=""/>
    <s v=""/>
    <s v=""/>
    <s v=""/>
    <s v="通过"/>
  </r>
  <r>
    <s v="SIM-20260905-C004"/>
    <n v="2"/>
    <s v="C004"/>
    <d v="2026-09-05T00:00:00"/>
    <s v="P001"/>
    <x v="0"/>
    <n v="8.6999999999999993"/>
    <n v="8.6999999999999993"/>
    <n v="0"/>
    <n v="3.3"/>
    <s v="正常交付"/>
    <s v="true"/>
    <x v="9"/>
    <s v="散装鲜菜"/>
    <s v="模拟_田畔饭店"/>
    <n v="28.71"/>
    <n v="0"/>
    <n v="28.71"/>
    <s v=""/>
    <s v=""/>
    <s v=""/>
    <s v=""/>
    <s v="通过"/>
  </r>
  <r>
    <s v="SIM-20260905-C004"/>
    <n v="3"/>
    <s v="C004"/>
    <d v="2026-09-05T00:00:00"/>
    <s v="P008"/>
    <x v="0"/>
    <n v="5.0999999999999996"/>
    <n v="5.0999999999999996"/>
    <n v="0"/>
    <n v="4.0999999999999996"/>
    <s v="正常交付"/>
    <s v="true"/>
    <x v="14"/>
    <s v="散装鲜菜"/>
    <s v="模拟_田畔饭店"/>
    <n v="20.91"/>
    <n v="0"/>
    <n v="20.91"/>
    <s v=""/>
    <s v=""/>
    <s v=""/>
    <s v=""/>
    <s v="通过"/>
  </r>
  <r>
    <s v="SIM-20260905-C004"/>
    <n v="4"/>
    <s v="C004"/>
    <d v="2026-09-05T00:00:00"/>
    <s v="P003"/>
    <x v="0"/>
    <n v="5.0999999999999996"/>
    <n v="4.5999999999999996"/>
    <n v="0"/>
    <n v="3.3"/>
    <s v="到货不足；按实际交付计费"/>
    <s v="true"/>
    <x v="12"/>
    <s v="散装鲜菜"/>
    <s v="模拟_田畔饭店"/>
    <n v="15.18"/>
    <n v="0"/>
    <n v="15.18"/>
    <s v=""/>
    <s v=""/>
    <s v=""/>
    <s v=""/>
    <s v="通过"/>
  </r>
  <r>
    <s v="SIM-20260905-C004"/>
    <n v="5"/>
    <s v="C004"/>
    <d v="2026-09-05T00:00:00"/>
    <s v="P002"/>
    <x v="0"/>
    <n v="11.6"/>
    <n v="11.6"/>
    <n v="0"/>
    <n v="2.2999999999999998"/>
    <s v="正常交付"/>
    <s v="true"/>
    <x v="2"/>
    <s v="散装鲜菜"/>
    <s v="模拟_田畔饭店"/>
    <n v="26.68"/>
    <n v="0"/>
    <n v="26.68"/>
    <s v=""/>
    <s v=""/>
    <s v=""/>
    <s v=""/>
    <s v="通过"/>
  </r>
  <r>
    <s v="SIM-20260905-C004"/>
    <n v="6"/>
    <s v="C004"/>
    <d v="2026-09-05T00:00:00"/>
    <s v="P013"/>
    <x v="0"/>
    <n v="8.6999999999999993"/>
    <n v="8.6999999999999993"/>
    <n v="0"/>
    <n v="6.3"/>
    <s v="正常交付"/>
    <s v="true"/>
    <x v="11"/>
    <s v="散装鲜菜"/>
    <s v="模拟_田畔饭店"/>
    <n v="54.81"/>
    <n v="0"/>
    <n v="54.81"/>
    <s v=""/>
    <s v=""/>
    <s v=""/>
    <s v=""/>
    <s v="通过"/>
  </r>
  <r>
    <s v="SIM-20260905-C004"/>
    <n v="7"/>
    <s v="C004"/>
    <d v="2026-09-05T00:00:00"/>
    <s v="P016"/>
    <x v="0"/>
    <n v="5"/>
    <n v="5"/>
    <n v="0"/>
    <n v="10.1"/>
    <s v="正常交付"/>
    <s v="true"/>
    <x v="4"/>
    <s v="普通鲜鸡蛋按净重"/>
    <s v="模拟_田畔饭店"/>
    <n v="50.5"/>
    <n v="0"/>
    <n v="50.5"/>
    <s v=""/>
    <s v=""/>
    <s v=""/>
    <s v=""/>
    <s v="通过"/>
  </r>
  <r>
    <s v="SIM-20260905-C006"/>
    <n v="1"/>
    <s v="C006"/>
    <d v="2026-09-05T00:00:00"/>
    <s v="P012"/>
    <x v="0"/>
    <n v="6.1"/>
    <n v="6.1"/>
    <n v="0"/>
    <n v="4.5999999999999996"/>
    <s v="正常交付"/>
    <s v="true"/>
    <x v="0"/>
    <s v="散装鲜菜"/>
    <s v="模拟_溪桥医院食堂"/>
    <n v="28.06"/>
    <n v="0"/>
    <n v="28.06"/>
    <s v=""/>
    <s v=""/>
    <s v=""/>
    <s v=""/>
    <s v="通过"/>
  </r>
  <r>
    <s v="SIM-20260905-C006"/>
    <n v="2"/>
    <s v="C006"/>
    <d v="2026-09-05T00:00:00"/>
    <s v="P001"/>
    <x v="0"/>
    <n v="9.4"/>
    <n v="8.9"/>
    <n v="0"/>
    <n v="3.3"/>
    <s v="到货不足；按实际交付计费"/>
    <s v="true"/>
    <x v="9"/>
    <s v="散装鲜菜"/>
    <s v="模拟_溪桥医院食堂"/>
    <n v="29.37"/>
    <n v="0"/>
    <n v="29.37"/>
    <s v=""/>
    <s v=""/>
    <s v=""/>
    <s v=""/>
    <s v="通过"/>
  </r>
  <r>
    <s v="SIM-20260905-C006"/>
    <n v="3"/>
    <s v="C006"/>
    <d v="2026-09-05T00:00:00"/>
    <s v="P007"/>
    <x v="0"/>
    <n v="8.1"/>
    <n v="8.1"/>
    <n v="0"/>
    <n v="5.15"/>
    <s v="正常交付"/>
    <s v="true"/>
    <x v="18"/>
    <s v="散装鲜菜"/>
    <s v="模拟_溪桥医院食堂"/>
    <n v="41.72"/>
    <n v="0"/>
    <n v="41.72"/>
    <s v=""/>
    <s v=""/>
    <s v=""/>
    <s v=""/>
    <s v="通过"/>
  </r>
  <r>
    <s v="SIM-20260905-C006"/>
    <n v="4"/>
    <s v="C006"/>
    <d v="2026-09-05T00:00:00"/>
    <s v="P004"/>
    <x v="0"/>
    <n v="10.8"/>
    <n v="10.8"/>
    <n v="0"/>
    <n v="2.2999999999999998"/>
    <s v="正常交付"/>
    <s v="true"/>
    <x v="3"/>
    <s v="散装鲜菜"/>
    <s v="模拟_溪桥医院食堂"/>
    <n v="24.84"/>
    <n v="0"/>
    <n v="24.84"/>
    <s v=""/>
    <s v=""/>
    <s v=""/>
    <s v=""/>
    <s v="通过"/>
  </r>
  <r>
    <s v="SIM-20260905-C006"/>
    <n v="5"/>
    <s v="C006"/>
    <d v="2026-09-05T00:00:00"/>
    <s v="P003"/>
    <x v="0"/>
    <n v="8.1"/>
    <n v="8.1"/>
    <n v="0"/>
    <n v="3.3"/>
    <s v="正常交付"/>
    <s v="true"/>
    <x v="12"/>
    <s v="散装鲜菜"/>
    <s v="模拟_溪桥医院食堂"/>
    <n v="26.73"/>
    <n v="0"/>
    <n v="26.73"/>
    <s v=""/>
    <s v=""/>
    <s v=""/>
    <s v=""/>
    <s v="通过"/>
  </r>
  <r>
    <s v="SIM-20260905-C006"/>
    <n v="6"/>
    <s v="C006"/>
    <d v="2026-09-05T00:00:00"/>
    <s v="P009"/>
    <x v="0"/>
    <n v="7.4"/>
    <n v="7.4"/>
    <n v="0"/>
    <n v="5"/>
    <s v="正常交付"/>
    <s v="true"/>
    <x v="17"/>
    <s v="散装鲜菜"/>
    <s v="模拟_溪桥医院食堂"/>
    <n v="37"/>
    <n v="0"/>
    <n v="37"/>
    <s v=""/>
    <s v=""/>
    <s v=""/>
    <s v=""/>
    <s v="通过"/>
  </r>
  <r>
    <s v="SIM-20260905-C006"/>
    <n v="7"/>
    <s v="C006"/>
    <d v="2026-09-05T00:00:00"/>
    <s v="P016"/>
    <x v="0"/>
    <n v="9"/>
    <n v="9"/>
    <n v="0"/>
    <n v="10.1"/>
    <s v="正常交付"/>
    <s v="true"/>
    <x v="4"/>
    <s v="普通鲜鸡蛋按净重"/>
    <s v="模拟_溪桥医院食堂"/>
    <n v="90.9"/>
    <n v="0"/>
    <n v="90.9"/>
    <s v=""/>
    <s v=""/>
    <s v=""/>
    <s v=""/>
    <s v="通过"/>
  </r>
  <r>
    <s v="SIM-20260906-C002"/>
    <n v="1"/>
    <s v="C002"/>
    <d v="2026-09-06T00:00:00"/>
    <s v="P012"/>
    <x v="0"/>
    <n v="7.8"/>
    <n v="7.8"/>
    <n v="0.3"/>
    <n v="4.5999999999999996"/>
    <s v="正常交付；签收时挑出黄叶退回"/>
    <s v="true"/>
    <x v="0"/>
    <s v="散装鲜菜"/>
    <s v="模拟_桥头家常菜馆"/>
    <n v="35.880000000000003"/>
    <n v="1.38"/>
    <n v="34.5"/>
    <s v=""/>
    <s v=""/>
    <s v=""/>
    <s v=""/>
    <s v="通过"/>
  </r>
  <r>
    <s v="SIM-20260906-C002"/>
    <n v="2"/>
    <s v="C002"/>
    <d v="2026-09-06T00:00:00"/>
    <s v="P006"/>
    <x v="0"/>
    <n v="6.7"/>
    <n v="6.7"/>
    <n v="0"/>
    <n v="4.5999999999999996"/>
    <s v="正常交付"/>
    <s v="true"/>
    <x v="10"/>
    <s v="散装鲜菜"/>
    <s v="模拟_桥头家常菜馆"/>
    <n v="30.82"/>
    <n v="0"/>
    <n v="30.82"/>
    <s v=""/>
    <s v=""/>
    <s v=""/>
    <s v=""/>
    <s v="通过"/>
  </r>
  <r>
    <s v="SIM-20260906-C002"/>
    <n v="3"/>
    <s v="C002"/>
    <d v="2026-09-06T00:00:00"/>
    <s v="P008"/>
    <x v="0"/>
    <n v="4.0999999999999996"/>
    <n v="4.0999999999999996"/>
    <n v="0"/>
    <n v="4.0999999999999996"/>
    <s v="正常交付"/>
    <s v="true"/>
    <x v="14"/>
    <s v="散装鲜菜"/>
    <s v="模拟_桥头家常菜馆"/>
    <n v="16.809999999999999"/>
    <n v="0"/>
    <n v="16.809999999999999"/>
    <s v=""/>
    <s v=""/>
    <s v=""/>
    <s v=""/>
    <s v="通过"/>
  </r>
  <r>
    <s v="SIM-20260906-C002"/>
    <n v="4"/>
    <s v="C002"/>
    <d v="2026-09-06T00:00:00"/>
    <s v="P014"/>
    <x v="0"/>
    <n v="7.2"/>
    <n v="7.2"/>
    <n v="0"/>
    <n v="4.7"/>
    <s v="正常交付"/>
    <s v="true"/>
    <x v="19"/>
    <s v="散装鲜菜"/>
    <s v="模拟_桥头家常菜馆"/>
    <n v="33.840000000000003"/>
    <n v="0"/>
    <n v="33.840000000000003"/>
    <s v=""/>
    <s v=""/>
    <s v=""/>
    <s v=""/>
    <s v="通过"/>
  </r>
  <r>
    <s v="SIM-20260906-C002"/>
    <n v="5"/>
    <s v="C002"/>
    <d v="2026-09-06T00:00:00"/>
    <s v="P007"/>
    <x v="0"/>
    <n v="6.7"/>
    <n v="6.7"/>
    <n v="0"/>
    <n v="5.15"/>
    <s v="正常交付"/>
    <s v="true"/>
    <x v="18"/>
    <s v="散装鲜菜"/>
    <s v="模拟_桥头家常菜馆"/>
    <n v="34.51"/>
    <n v="0"/>
    <n v="34.51"/>
    <s v=""/>
    <s v=""/>
    <s v=""/>
    <s v=""/>
    <s v="通过"/>
  </r>
  <r>
    <s v="SIM-20260906-C002"/>
    <n v="6"/>
    <s v="C002"/>
    <d v="2026-09-06T00:00:00"/>
    <s v="P017"/>
    <x v="2"/>
    <n v="3"/>
    <n v="3"/>
    <n v="0"/>
    <n v="118"/>
    <s v="正常交付"/>
    <s v="true"/>
    <x v="13"/>
    <s v="25公斤/袋普通籼米"/>
    <s v="模拟_桥头家常菜馆"/>
    <n v="354"/>
    <n v="0"/>
    <n v="354"/>
    <s v=""/>
    <s v=""/>
    <s v=""/>
    <s v=""/>
    <s v="通过"/>
  </r>
  <r>
    <s v="SIM-20260906-C002"/>
    <n v="7"/>
    <s v="C002"/>
    <d v="2026-09-06T00:00:00"/>
    <s v="P019"/>
    <x v="1"/>
    <n v="1"/>
    <n v="1"/>
    <n v="0"/>
    <n v="71"/>
    <s v="正常交付"/>
    <s v="true"/>
    <x v="6"/>
    <s v="5升/桶普通菜籽油"/>
    <s v="模拟_桥头家常菜馆"/>
    <n v="71"/>
    <n v="0"/>
    <n v="71"/>
    <s v=""/>
    <s v=""/>
    <s v=""/>
    <s v=""/>
    <s v="通过"/>
  </r>
  <r>
    <s v="SIM-20260906-C006"/>
    <n v="1"/>
    <s v="C006"/>
    <d v="2026-09-06T00:00:00"/>
    <s v="P011"/>
    <x v="0"/>
    <n v="7.6"/>
    <n v="7.6"/>
    <n v="0"/>
    <n v="4.4000000000000004"/>
    <s v="正常交付"/>
    <s v="true"/>
    <x v="8"/>
    <s v="散装鲜菜"/>
    <s v="模拟_溪桥医院食堂"/>
    <n v="33.44"/>
    <n v="0"/>
    <n v="33.44"/>
    <s v=""/>
    <s v=""/>
    <s v=""/>
    <s v=""/>
    <s v="通过"/>
  </r>
  <r>
    <s v="SIM-20260906-C006"/>
    <n v="2"/>
    <s v="C006"/>
    <d v="2026-09-06T00:00:00"/>
    <s v="P013"/>
    <x v="0"/>
    <n v="4.8"/>
    <n v="4.8"/>
    <n v="0"/>
    <n v="6.3"/>
    <s v="正常交付"/>
    <s v="true"/>
    <x v="11"/>
    <s v="散装鲜菜"/>
    <s v="模拟_溪桥医院食堂"/>
    <n v="30.24"/>
    <n v="0"/>
    <n v="30.24"/>
    <s v=""/>
    <s v=""/>
    <s v=""/>
    <s v=""/>
    <s v="通过"/>
  </r>
  <r>
    <s v="SIM-20260906-C006"/>
    <n v="3"/>
    <s v="C006"/>
    <d v="2026-09-06T00:00:00"/>
    <s v="P002"/>
    <x v="0"/>
    <n v="11"/>
    <n v="11"/>
    <n v="0"/>
    <n v="2.2999999999999998"/>
    <s v="正常交付"/>
    <s v="true"/>
    <x v="2"/>
    <s v="散装鲜菜"/>
    <s v="模拟_溪桥医院食堂"/>
    <n v="25.3"/>
    <n v="0"/>
    <n v="25.3"/>
    <s v=""/>
    <s v=""/>
    <s v=""/>
    <s v=""/>
    <s v="通过"/>
  </r>
  <r>
    <s v="SIM-20260906-C006"/>
    <n v="4"/>
    <s v="C006"/>
    <d v="2026-09-06T00:00:00"/>
    <s v="P014"/>
    <x v="0"/>
    <n v="7.6"/>
    <n v="7.6"/>
    <n v="0"/>
    <n v="4.7"/>
    <s v="正常交付"/>
    <s v="true"/>
    <x v="19"/>
    <s v="散装鲜菜"/>
    <s v="模拟_溪桥医院食堂"/>
    <n v="35.72"/>
    <n v="0"/>
    <n v="35.72"/>
    <s v=""/>
    <s v=""/>
    <s v=""/>
    <s v=""/>
    <s v="通过"/>
  </r>
  <r>
    <s v="SIM-20260906-C006"/>
    <n v="5"/>
    <s v="C006"/>
    <d v="2026-09-06T00:00:00"/>
    <s v="P003"/>
    <x v="0"/>
    <n v="5.5"/>
    <n v="5.5"/>
    <n v="0"/>
    <n v="3.3"/>
    <s v="正常交付"/>
    <s v="true"/>
    <x v="12"/>
    <s v="散装鲜菜"/>
    <s v="模拟_溪桥医院食堂"/>
    <n v="18.149999999999999"/>
    <n v="0"/>
    <n v="18.149999999999999"/>
    <s v=""/>
    <s v=""/>
    <s v=""/>
    <s v=""/>
    <s v="通过"/>
  </r>
  <r>
    <s v="SIM-20260906-C006"/>
    <n v="6"/>
    <s v="C006"/>
    <d v="2026-09-06T00:00:00"/>
    <s v="P009"/>
    <x v="0"/>
    <n v="9.6"/>
    <n v="9.6"/>
    <n v="0"/>
    <n v="5"/>
    <s v="正常交付"/>
    <s v="true"/>
    <x v="17"/>
    <s v="散装鲜菜"/>
    <s v="模拟_溪桥医院食堂"/>
    <n v="48"/>
    <n v="0"/>
    <n v="48"/>
    <s v=""/>
    <s v=""/>
    <s v=""/>
    <s v=""/>
    <s v="通过"/>
  </r>
  <r>
    <s v="SIM-20260906-C006"/>
    <n v="7"/>
    <s v="C006"/>
    <d v="2026-09-06T00:00:00"/>
    <s v="P017"/>
    <x v="2"/>
    <n v="4"/>
    <n v="4"/>
    <n v="0"/>
    <n v="118"/>
    <s v="正常交付"/>
    <s v="true"/>
    <x v="13"/>
    <s v="25公斤/袋普通籼米"/>
    <s v="模拟_溪桥医院食堂"/>
    <n v="472"/>
    <n v="0"/>
    <n v="472"/>
    <s v=""/>
    <s v=""/>
    <s v=""/>
    <s v=""/>
    <s v="通过"/>
  </r>
  <r>
    <s v="SIM-20260906-C006"/>
    <n v="8"/>
    <s v="C006"/>
    <d v="2026-09-06T00:00:00"/>
    <s v="P020"/>
    <x v="1"/>
    <n v="2"/>
    <n v="2"/>
    <n v="0"/>
    <n v="59"/>
    <s v="正常交付"/>
    <s v="true"/>
    <x v="15"/>
    <s v="5升/桶普通大豆油"/>
    <s v="模拟_溪桥医院食堂"/>
    <n v="118"/>
    <n v="0"/>
    <n v="118"/>
    <s v=""/>
    <s v=""/>
    <s v=""/>
    <s v=""/>
    <s v="通过"/>
  </r>
  <r>
    <s v="SIM-20260907-C001"/>
    <n v="1"/>
    <s v="C001"/>
    <d v="2026-09-07T00:00:00"/>
    <s v="P010"/>
    <x v="0"/>
    <n v="3.3"/>
    <n v="3.3"/>
    <n v="0"/>
    <n v="5"/>
    <s v="正常交付"/>
    <s v="true"/>
    <x v="16"/>
    <s v="散装鲜菜"/>
    <s v="模拟_榕树下粉面店"/>
    <n v="16.5"/>
    <n v="0"/>
    <n v="16.5"/>
    <s v=""/>
    <s v=""/>
    <s v=""/>
    <s v=""/>
    <s v="通过"/>
  </r>
  <r>
    <s v="SIM-20260907-C001"/>
    <n v="2"/>
    <s v="C001"/>
    <d v="2026-09-07T00:00:00"/>
    <s v="P005"/>
    <x v="0"/>
    <n v="2.1"/>
    <n v="2.1"/>
    <n v="0"/>
    <n v="2.7"/>
    <s v="正常交付"/>
    <s v="true"/>
    <x v="1"/>
    <s v="散装鲜菜"/>
    <s v="模拟_榕树下粉面店"/>
    <n v="5.67"/>
    <n v="0"/>
    <n v="5.67"/>
    <s v=""/>
    <s v=""/>
    <s v=""/>
    <s v=""/>
    <s v="通过"/>
  </r>
  <r>
    <s v="SIM-20260907-C001"/>
    <n v="3"/>
    <s v="C001"/>
    <d v="2026-09-07T00:00:00"/>
    <s v="P001"/>
    <x v="0"/>
    <n v="3.3"/>
    <n v="3.3"/>
    <n v="0"/>
    <n v="3.3"/>
    <s v="正常交付"/>
    <s v="true"/>
    <x v="9"/>
    <s v="散装鲜菜"/>
    <s v="模拟_榕树下粉面店"/>
    <n v="10.89"/>
    <n v="0"/>
    <n v="10.89"/>
    <s v=""/>
    <s v=""/>
    <s v=""/>
    <s v=""/>
    <s v="通过"/>
  </r>
  <r>
    <s v="SIM-20260907-C001"/>
    <n v="4"/>
    <s v="C001"/>
    <d v="2026-09-07T00:00:00"/>
    <s v="P008"/>
    <x v="0"/>
    <n v="3.8"/>
    <n v="3.8"/>
    <n v="0"/>
    <n v="4.0999999999999996"/>
    <s v="正常交付"/>
    <s v="true"/>
    <x v="14"/>
    <s v="散装鲜菜"/>
    <s v="模拟_榕树下粉面店"/>
    <n v="15.58"/>
    <n v="0"/>
    <n v="15.58"/>
    <s v=""/>
    <s v=""/>
    <s v=""/>
    <s v=""/>
    <s v="通过"/>
  </r>
  <r>
    <s v="SIM-20260907-C001"/>
    <n v="5"/>
    <s v="C001"/>
    <d v="2026-09-07T00:00:00"/>
    <s v="P019"/>
    <x v="1"/>
    <n v="1"/>
    <n v="1"/>
    <n v="0"/>
    <n v="71"/>
    <s v="正常交付"/>
    <s v="true"/>
    <x v="6"/>
    <s v="5升/桶普通菜籽油"/>
    <s v="模拟_榕树下粉面店"/>
    <n v="71"/>
    <n v="0"/>
    <n v="71"/>
    <s v=""/>
    <s v=""/>
    <s v=""/>
    <s v=""/>
    <s v="通过"/>
  </r>
  <r>
    <s v="SIM-20260907-C001"/>
    <n v="6"/>
    <s v="C001"/>
    <d v="2026-09-07T00:00:00"/>
    <s v="P018"/>
    <x v="2"/>
    <n v="1"/>
    <n v="1"/>
    <n v="0"/>
    <n v="111"/>
    <s v="正常交付"/>
    <s v="true"/>
    <x v="7"/>
    <s v="25公斤/袋普通小麦粉"/>
    <s v="模拟_榕树下粉面店"/>
    <n v="111"/>
    <n v="0"/>
    <n v="111"/>
    <s v=""/>
    <s v=""/>
    <s v=""/>
    <s v=""/>
    <s v="通过"/>
  </r>
  <r>
    <s v="SIM-20260907-C003"/>
    <n v="1"/>
    <s v="C003"/>
    <d v="2026-09-07T00:00:00"/>
    <s v="P012"/>
    <x v="0"/>
    <n v="5.5"/>
    <n v="5.5"/>
    <n v="0"/>
    <n v="4.5999999999999996"/>
    <s v="正常交付"/>
    <s v="true"/>
    <x v="0"/>
    <s v="散装鲜菜"/>
    <s v="模拟_兴街快餐店"/>
    <n v="25.3"/>
    <n v="0"/>
    <n v="25.3"/>
    <s v=""/>
    <s v=""/>
    <s v=""/>
    <s v=""/>
    <s v="通过"/>
  </r>
  <r>
    <s v="SIM-20260907-C003"/>
    <n v="2"/>
    <s v="C003"/>
    <d v="2026-09-07T00:00:00"/>
    <s v="P008"/>
    <x v="0"/>
    <n v="4.4000000000000004"/>
    <n v="4.4000000000000004"/>
    <n v="0"/>
    <n v="4.0999999999999996"/>
    <s v="正常交付"/>
    <s v="true"/>
    <x v="14"/>
    <s v="散装鲜菜"/>
    <s v="模拟_兴街快餐店"/>
    <n v="18.04"/>
    <n v="0"/>
    <n v="18.04"/>
    <s v=""/>
    <s v=""/>
    <s v=""/>
    <s v=""/>
    <s v="通过"/>
  </r>
  <r>
    <s v="SIM-20260907-C003"/>
    <n v="3"/>
    <s v="C003"/>
    <d v="2026-09-07T00:00:00"/>
    <s v="P009"/>
    <x v="0"/>
    <n v="7.2"/>
    <n v="7.2"/>
    <n v="0"/>
    <n v="5"/>
    <s v="正常交付"/>
    <s v="true"/>
    <x v="17"/>
    <s v="散装鲜菜"/>
    <s v="模拟_兴街快餐店"/>
    <n v="36"/>
    <n v="0"/>
    <n v="36"/>
    <s v=""/>
    <s v=""/>
    <s v=""/>
    <s v=""/>
    <s v="通过"/>
  </r>
  <r>
    <s v="SIM-20260907-C003"/>
    <n v="4"/>
    <s v="C003"/>
    <d v="2026-09-07T00:00:00"/>
    <s v="P002"/>
    <x v="0"/>
    <n v="6.1"/>
    <n v="5.6"/>
    <n v="0"/>
    <n v="2.2999999999999998"/>
    <s v="到货不足；按实际交付计费"/>
    <s v="true"/>
    <x v="2"/>
    <s v="散装鲜菜"/>
    <s v="模拟_兴街快餐店"/>
    <n v="12.88"/>
    <n v="0"/>
    <n v="12.88"/>
    <s v=""/>
    <s v=""/>
    <s v=""/>
    <s v=""/>
    <s v="通过"/>
  </r>
  <r>
    <s v="SIM-20260907-C003"/>
    <n v="5"/>
    <s v="C003"/>
    <d v="2026-09-07T00:00:00"/>
    <s v="P006"/>
    <x v="0"/>
    <n v="8.8000000000000007"/>
    <n v="8.8000000000000007"/>
    <n v="0"/>
    <n v="4.5999999999999996"/>
    <s v="正常交付"/>
    <s v="true"/>
    <x v="10"/>
    <s v="散装鲜菜"/>
    <s v="模拟_兴街快餐店"/>
    <n v="40.479999999999997"/>
    <n v="0"/>
    <n v="40.479999999999997"/>
    <s v=""/>
    <s v=""/>
    <s v=""/>
    <s v=""/>
    <s v="通过"/>
  </r>
  <r>
    <s v="SIM-20260907-C003"/>
    <n v="6"/>
    <s v="C003"/>
    <d v="2026-09-07T00:00:00"/>
    <s v="P007"/>
    <x v="0"/>
    <n v="8.8000000000000007"/>
    <n v="8.8000000000000007"/>
    <n v="0"/>
    <n v="5.15"/>
    <s v="正常交付"/>
    <s v="true"/>
    <x v="18"/>
    <s v="散装鲜菜"/>
    <s v="模拟_兴街快餐店"/>
    <n v="45.32"/>
    <n v="0"/>
    <n v="45.32"/>
    <s v=""/>
    <s v=""/>
    <s v=""/>
    <s v=""/>
    <s v="通过"/>
  </r>
  <r>
    <s v="SIM-20260907-C003"/>
    <n v="7"/>
    <s v="C003"/>
    <d v="2026-09-07T00:00:00"/>
    <s v="P017"/>
    <x v="2"/>
    <n v="5"/>
    <n v="5"/>
    <n v="0"/>
    <n v="118"/>
    <s v="正常交付"/>
    <s v="true"/>
    <x v="13"/>
    <s v="25公斤/袋普通籼米"/>
    <s v="模拟_兴街快餐店"/>
    <n v="590"/>
    <n v="0"/>
    <n v="590"/>
    <s v=""/>
    <s v=""/>
    <s v=""/>
    <s v=""/>
    <s v="通过"/>
  </r>
  <r>
    <s v="SIM-20260907-C003"/>
    <n v="8"/>
    <s v="C003"/>
    <d v="2026-09-07T00:00:00"/>
    <s v="P020"/>
    <x v="1"/>
    <n v="2"/>
    <n v="2"/>
    <n v="0"/>
    <n v="59"/>
    <s v="正常交付"/>
    <s v="true"/>
    <x v="15"/>
    <s v="5升/桶普通大豆油"/>
    <s v="模拟_兴街快餐店"/>
    <n v="118"/>
    <n v="0"/>
    <n v="118"/>
    <s v=""/>
    <s v=""/>
    <s v=""/>
    <s v=""/>
    <s v="通过"/>
  </r>
  <r>
    <s v="SIM-20260907-C005"/>
    <n v="1"/>
    <s v="C005"/>
    <d v="2026-09-07T00:00:00"/>
    <s v="P012"/>
    <x v="0"/>
    <n v="12"/>
    <n v="12"/>
    <n v="0"/>
    <n v="4.5999999999999996"/>
    <s v="正常交付"/>
    <s v="true"/>
    <x v="0"/>
    <s v="散装鲜菜"/>
    <s v="模拟_青禾小学食堂"/>
    <n v="55.2"/>
    <n v="0"/>
    <n v="55.2"/>
    <s v=""/>
    <s v=""/>
    <s v=""/>
    <s v=""/>
    <s v="通过"/>
  </r>
  <r>
    <s v="SIM-20260907-C005"/>
    <n v="2"/>
    <s v="C005"/>
    <d v="2026-09-07T00:00:00"/>
    <s v="P006"/>
    <x v="0"/>
    <n v="9"/>
    <n v="9"/>
    <n v="0"/>
    <n v="4.5999999999999996"/>
    <s v="正常交付"/>
    <s v="true"/>
    <x v="10"/>
    <s v="散装鲜菜"/>
    <s v="模拟_青禾小学食堂"/>
    <n v="41.4"/>
    <n v="0"/>
    <n v="41.4"/>
    <s v=""/>
    <s v=""/>
    <s v=""/>
    <s v=""/>
    <s v="通过"/>
  </r>
  <r>
    <s v="SIM-20260907-C005"/>
    <n v="3"/>
    <s v="C005"/>
    <d v="2026-09-07T00:00:00"/>
    <s v="P004"/>
    <x v="0"/>
    <n v="12"/>
    <n v="12"/>
    <n v="0"/>
    <n v="2.2999999999999998"/>
    <s v="正常交付"/>
    <s v="true"/>
    <x v="3"/>
    <s v="散装鲜菜"/>
    <s v="模拟_青禾小学食堂"/>
    <n v="27.6"/>
    <n v="0"/>
    <n v="27.6"/>
    <s v=""/>
    <s v=""/>
    <s v=""/>
    <s v=""/>
    <s v="通过"/>
  </r>
  <r>
    <s v="SIM-20260907-C005"/>
    <n v="4"/>
    <s v="C005"/>
    <d v="2026-09-07T00:00:00"/>
    <s v="P002"/>
    <x v="0"/>
    <n v="8"/>
    <n v="8"/>
    <n v="0"/>
    <n v="2.2999999999999998"/>
    <s v="正常交付"/>
    <s v="true"/>
    <x v="2"/>
    <s v="散装鲜菜"/>
    <s v="模拟_青禾小学食堂"/>
    <n v="18.399999999999999"/>
    <n v="0"/>
    <n v="18.399999999999999"/>
    <s v=""/>
    <s v=""/>
    <s v=""/>
    <s v=""/>
    <s v="通过"/>
  </r>
  <r>
    <s v="SIM-20260907-C005"/>
    <n v="5"/>
    <s v="C005"/>
    <d v="2026-09-07T00:00:00"/>
    <s v="P014"/>
    <x v="0"/>
    <n v="10"/>
    <n v="10"/>
    <n v="0"/>
    <n v="4.7"/>
    <s v="正常交付"/>
    <s v="true"/>
    <x v="19"/>
    <s v="散装鲜菜"/>
    <s v="模拟_青禾小学食堂"/>
    <n v="47"/>
    <n v="0"/>
    <n v="47"/>
    <s v=""/>
    <s v=""/>
    <s v=""/>
    <s v=""/>
    <s v="通过"/>
  </r>
  <r>
    <s v="SIM-20260907-C005"/>
    <n v="6"/>
    <s v="C005"/>
    <d v="2026-09-07T00:00:00"/>
    <s v="P001"/>
    <x v="0"/>
    <n v="14"/>
    <n v="14"/>
    <n v="0"/>
    <n v="3.3"/>
    <s v="正常交付"/>
    <s v="true"/>
    <x v="9"/>
    <s v="散装鲜菜"/>
    <s v="模拟_青禾小学食堂"/>
    <n v="46.2"/>
    <n v="0"/>
    <n v="46.2"/>
    <s v=""/>
    <s v=""/>
    <s v=""/>
    <s v=""/>
    <s v="通过"/>
  </r>
  <r>
    <s v="SIM-20260907-C005"/>
    <n v="7"/>
    <s v="C005"/>
    <d v="2026-09-07T00:00:00"/>
    <s v="P016"/>
    <x v="0"/>
    <n v="12"/>
    <n v="12"/>
    <n v="0"/>
    <n v="10.1"/>
    <s v="正常交付"/>
    <s v="true"/>
    <x v="4"/>
    <s v="普通鲜鸡蛋按净重"/>
    <s v="模拟_青禾小学食堂"/>
    <n v="121.2"/>
    <n v="0"/>
    <n v="121.2"/>
    <s v=""/>
    <s v=""/>
    <s v=""/>
    <s v=""/>
    <s v="通过"/>
  </r>
  <r>
    <s v="SIM-20260907-C006"/>
    <n v="1"/>
    <s v="C006"/>
    <d v="2026-09-07T00:00:00"/>
    <s v="P010"/>
    <x v="0"/>
    <n v="4.5999999999999996"/>
    <n v="4.5999999999999996"/>
    <n v="0"/>
    <n v="5"/>
    <s v="正常交付"/>
    <s v="true"/>
    <x v="16"/>
    <s v="散装鲜菜"/>
    <s v="模拟_溪桥医院食堂"/>
    <n v="23"/>
    <n v="0"/>
    <n v="23"/>
    <s v=""/>
    <s v=""/>
    <s v=""/>
    <s v=""/>
    <s v="通过"/>
  </r>
  <r>
    <s v="SIM-20260907-C006"/>
    <n v="2"/>
    <s v="C006"/>
    <d v="2026-09-07T00:00:00"/>
    <s v="P001"/>
    <x v="0"/>
    <n v="8.6"/>
    <n v="8.6"/>
    <n v="0"/>
    <n v="3.3"/>
    <s v="正常交付"/>
    <s v="true"/>
    <x v="9"/>
    <s v="散装鲜菜"/>
    <s v="模拟_溪桥医院食堂"/>
    <n v="28.38"/>
    <n v="0"/>
    <n v="28.38"/>
    <s v=""/>
    <s v=""/>
    <s v=""/>
    <s v=""/>
    <s v="通过"/>
  </r>
  <r>
    <s v="SIM-20260907-C006"/>
    <n v="3"/>
    <s v="C006"/>
    <d v="2026-09-07T00:00:00"/>
    <s v="P006"/>
    <x v="0"/>
    <n v="7.3"/>
    <n v="7.3"/>
    <n v="0"/>
    <n v="4.5999999999999996"/>
    <s v="正常交付"/>
    <s v="true"/>
    <x v="10"/>
    <s v="散装鲜菜"/>
    <s v="模拟_溪桥医院食堂"/>
    <n v="33.58"/>
    <n v="0"/>
    <n v="33.58"/>
    <s v=""/>
    <s v=""/>
    <s v=""/>
    <s v=""/>
    <s v="通过"/>
  </r>
  <r>
    <s v="SIM-20260907-C006"/>
    <n v="4"/>
    <s v="C006"/>
    <d v="2026-09-07T00:00:00"/>
    <s v="P013"/>
    <x v="0"/>
    <n v="9.3000000000000007"/>
    <n v="9.3000000000000007"/>
    <n v="0"/>
    <n v="6.3"/>
    <s v="正常交付"/>
    <s v="true"/>
    <x v="11"/>
    <s v="散装鲜菜"/>
    <s v="模拟_溪桥医院食堂"/>
    <n v="58.59"/>
    <n v="0"/>
    <n v="58.59"/>
    <s v=""/>
    <s v=""/>
    <s v=""/>
    <s v=""/>
    <s v="通过"/>
  </r>
  <r>
    <s v="SIM-20260907-C006"/>
    <n v="5"/>
    <s v="C006"/>
    <d v="2026-09-07T00:00:00"/>
    <s v="P002"/>
    <x v="0"/>
    <n v="8"/>
    <n v="8"/>
    <n v="0"/>
    <n v="2.2999999999999998"/>
    <s v="正常交付"/>
    <s v="true"/>
    <x v="2"/>
    <s v="散装鲜菜"/>
    <s v="模拟_溪桥医院食堂"/>
    <n v="18.399999999999999"/>
    <n v="0"/>
    <n v="18.399999999999999"/>
    <s v=""/>
    <s v=""/>
    <s v=""/>
    <s v=""/>
    <s v="通过"/>
  </r>
  <r>
    <s v="SIM-20260907-C006"/>
    <n v="6"/>
    <s v="C006"/>
    <d v="2026-09-07T00:00:00"/>
    <s v="P003"/>
    <x v="0"/>
    <n v="9.3000000000000007"/>
    <n v="9.3000000000000007"/>
    <n v="0"/>
    <n v="3.3"/>
    <s v="正常交付"/>
    <s v="true"/>
    <x v="12"/>
    <s v="散装鲜菜"/>
    <s v="模拟_溪桥医院食堂"/>
    <n v="30.69"/>
    <n v="0"/>
    <n v="30.69"/>
    <s v=""/>
    <s v=""/>
    <s v=""/>
    <s v=""/>
    <s v="通过"/>
  </r>
  <r>
    <s v="SIM-20260907-C006"/>
    <n v="7"/>
    <s v="C006"/>
    <d v="2026-09-07T00:00:00"/>
    <s v="P016"/>
    <x v="0"/>
    <n v="9"/>
    <n v="9"/>
    <n v="0"/>
    <n v="10.1"/>
    <s v="正常交付"/>
    <s v="true"/>
    <x v="4"/>
    <s v="普通鲜鸡蛋按净重"/>
    <s v="模拟_溪桥医院食堂"/>
    <n v="90.9"/>
    <n v="0"/>
    <n v="90.9"/>
    <s v=""/>
    <s v=""/>
    <s v=""/>
    <s v=""/>
    <s v="通过"/>
  </r>
  <r>
    <s v="SIM-20260907-C006"/>
    <n v="8"/>
    <s v="C006"/>
    <d v="2026-09-07T00:00:00"/>
    <s v="P015"/>
    <x v="0"/>
    <n v="1"/>
    <n v="1"/>
    <n v="0"/>
    <n v="7.3"/>
    <s v="正常交付"/>
    <s v="true"/>
    <x v="5"/>
    <s v="散装鲜菜"/>
    <s v="模拟_溪桥医院食堂"/>
    <n v="7.3"/>
    <n v="0"/>
    <n v="7.3"/>
    <s v=""/>
    <s v=""/>
    <s v=""/>
    <s v=""/>
    <s v="通过"/>
  </r>
  <r>
    <s v="SIM-20260908-C001"/>
    <n v="1"/>
    <s v="C001"/>
    <d v="2026-09-08T00:00:00"/>
    <s v="P012"/>
    <x v="0"/>
    <n v="2.6"/>
    <n v="2.6"/>
    <n v="0"/>
    <n v="5"/>
    <s v="正常交付"/>
    <s v="true"/>
    <x v="0"/>
    <s v="散装鲜菜"/>
    <s v="模拟_榕树下粉面店"/>
    <n v="13"/>
    <n v="0"/>
    <n v="13"/>
    <s v=""/>
    <s v=""/>
    <s v=""/>
    <s v=""/>
    <s v="通过"/>
  </r>
  <r>
    <s v="SIM-20260908-C001"/>
    <n v="2"/>
    <s v="C001"/>
    <d v="2026-09-08T00:00:00"/>
    <s v="P006"/>
    <x v="0"/>
    <n v="2.2999999999999998"/>
    <n v="2.2999999999999998"/>
    <n v="0"/>
    <n v="4.8"/>
    <s v="正常交付"/>
    <s v="true"/>
    <x v="10"/>
    <s v="散装鲜菜"/>
    <s v="模拟_榕树下粉面店"/>
    <n v="11.04"/>
    <n v="0"/>
    <n v="11.04"/>
    <s v=""/>
    <s v=""/>
    <s v=""/>
    <s v=""/>
    <s v="通过"/>
  </r>
  <r>
    <s v="SIM-20260908-C001"/>
    <n v="3"/>
    <s v="C001"/>
    <d v="2026-09-08T00:00:00"/>
    <s v="P014"/>
    <x v="0"/>
    <n v="3.1"/>
    <n v="3.1"/>
    <n v="0"/>
    <n v="5"/>
    <s v="正常交付"/>
    <s v="true"/>
    <x v="19"/>
    <s v="散装鲜菜"/>
    <s v="模拟_榕树下粉面店"/>
    <n v="15.5"/>
    <n v="0"/>
    <n v="15.5"/>
    <s v=""/>
    <s v=""/>
    <s v=""/>
    <s v=""/>
    <s v="通过"/>
  </r>
  <r>
    <s v="SIM-20260908-C001"/>
    <n v="4"/>
    <s v="C001"/>
    <d v="2026-09-08T00:00:00"/>
    <s v="P005"/>
    <x v="0"/>
    <n v="3.1"/>
    <n v="3.1"/>
    <n v="0"/>
    <n v="2.7"/>
    <s v="正常交付"/>
    <s v="true"/>
    <x v="1"/>
    <s v="散装鲜菜"/>
    <s v="模拟_榕树下粉面店"/>
    <n v="8.3699999999999992"/>
    <n v="0"/>
    <n v="8.3699999999999992"/>
    <s v=""/>
    <s v=""/>
    <s v=""/>
    <s v=""/>
    <s v="通过"/>
  </r>
  <r>
    <s v="SIM-20260908-C001"/>
    <n v="5"/>
    <s v="C001"/>
    <d v="2026-09-08T00:00:00"/>
    <s v="P016"/>
    <x v="0"/>
    <n v="3"/>
    <n v="3"/>
    <n v="0"/>
    <n v="10.4"/>
    <s v="正常交付"/>
    <s v="true"/>
    <x v="4"/>
    <s v="普通鲜鸡蛋按净重"/>
    <s v="模拟_榕树下粉面店"/>
    <n v="31.2"/>
    <n v="0"/>
    <n v="31.2"/>
    <s v=""/>
    <s v=""/>
    <s v=""/>
    <s v=""/>
    <s v="通过"/>
  </r>
  <r>
    <s v="SIM-20260908-C001"/>
    <n v="6"/>
    <s v="C001"/>
    <d v="2026-09-08T00:00:00"/>
    <s v="P015"/>
    <x v="0"/>
    <n v="0.5"/>
    <n v="0.5"/>
    <n v="0"/>
    <n v="7.2"/>
    <s v="正常交付"/>
    <s v="true"/>
    <x v="5"/>
    <s v="散装鲜菜"/>
    <s v="模拟_榕树下粉面店"/>
    <n v="3.6"/>
    <n v="0"/>
    <n v="3.6"/>
    <s v=""/>
    <s v=""/>
    <s v=""/>
    <s v=""/>
    <s v="通过"/>
  </r>
  <r>
    <s v="SIM-20260908-C002"/>
    <n v="1"/>
    <s v="C002"/>
    <d v="2026-09-08T00:00:00"/>
    <s v="P011"/>
    <x v="0"/>
    <n v="5.7"/>
    <n v="5.7"/>
    <n v="0.5"/>
    <n v="4.3"/>
    <s v="正常交付；签收时挑出黄叶退回"/>
    <s v="true"/>
    <x v="8"/>
    <s v="散装鲜菜"/>
    <s v="模拟_桥头家常菜馆"/>
    <n v="24.51"/>
    <n v="2.15"/>
    <n v="22.360000000000003"/>
    <s v=""/>
    <s v=""/>
    <s v=""/>
    <s v=""/>
    <s v="通过"/>
  </r>
  <r>
    <s v="SIM-20260908-C002"/>
    <n v="2"/>
    <s v="C002"/>
    <d v="2026-09-08T00:00:00"/>
    <s v="P013"/>
    <x v="0"/>
    <n v="8"/>
    <n v="8"/>
    <n v="0"/>
    <n v="6"/>
    <s v="正常交付"/>
    <s v="true"/>
    <x v="11"/>
    <s v="散装鲜菜"/>
    <s v="模拟_桥头家常菜馆"/>
    <n v="48"/>
    <n v="0"/>
    <n v="48"/>
    <s v=""/>
    <s v=""/>
    <s v=""/>
    <s v=""/>
    <s v="通过"/>
  </r>
  <r>
    <s v="SIM-20260908-C002"/>
    <n v="3"/>
    <s v="C002"/>
    <d v="2026-09-08T00:00:00"/>
    <s v="P005"/>
    <x v="0"/>
    <n v="4"/>
    <n v="4"/>
    <n v="0"/>
    <n v="2.7"/>
    <s v="正常交付"/>
    <s v="true"/>
    <x v="1"/>
    <s v="散装鲜菜"/>
    <s v="模拟_桥头家常菜馆"/>
    <n v="10.8"/>
    <n v="0"/>
    <n v="10.8"/>
    <s v=""/>
    <s v=""/>
    <s v=""/>
    <s v=""/>
    <s v="通过"/>
  </r>
  <r>
    <s v="SIM-20260908-C002"/>
    <n v="4"/>
    <s v="C002"/>
    <d v="2026-09-08T00:00:00"/>
    <s v="P009"/>
    <x v="0"/>
    <n v="4.5999999999999996"/>
    <n v="4.5999999999999996"/>
    <n v="0"/>
    <n v="5"/>
    <s v="正常交付"/>
    <s v="true"/>
    <x v="17"/>
    <s v="散装鲜菜"/>
    <s v="模拟_桥头家常菜馆"/>
    <n v="23"/>
    <n v="0"/>
    <n v="23"/>
    <s v=""/>
    <s v=""/>
    <s v=""/>
    <s v=""/>
    <s v="通过"/>
  </r>
  <r>
    <s v="SIM-20260908-C002"/>
    <n v="5"/>
    <s v="C002"/>
    <d v="2026-09-08T00:00:00"/>
    <s v="P006"/>
    <x v="0"/>
    <n v="5.0999999999999996"/>
    <n v="5.0999999999999996"/>
    <n v="0"/>
    <n v="4.8"/>
    <s v="正常交付"/>
    <s v="true"/>
    <x v="10"/>
    <s v="散装鲜菜"/>
    <s v="模拟_桥头家常菜馆"/>
    <n v="24.48"/>
    <n v="0"/>
    <n v="24.48"/>
    <s v=""/>
    <s v=""/>
    <s v=""/>
    <s v=""/>
    <s v="通过"/>
  </r>
  <r>
    <s v="SIM-20260908-C002"/>
    <n v="6"/>
    <s v="C002"/>
    <d v="2026-09-08T00:00:00"/>
    <s v="P016"/>
    <x v="0"/>
    <n v="4"/>
    <n v="4"/>
    <n v="0"/>
    <n v="10.4"/>
    <s v="正常交付"/>
    <s v="true"/>
    <x v="4"/>
    <s v="普通鲜鸡蛋按净重"/>
    <s v="模拟_桥头家常菜馆"/>
    <n v="41.6"/>
    <n v="0"/>
    <n v="41.6"/>
    <s v=""/>
    <s v=""/>
    <s v=""/>
    <s v=""/>
    <s v="通过"/>
  </r>
  <r>
    <s v="SIM-20260908-C002"/>
    <n v="7"/>
    <s v="C002"/>
    <d v="2026-09-08T00:00:00"/>
    <s v="P015"/>
    <x v="0"/>
    <n v="1"/>
    <n v="1"/>
    <n v="0"/>
    <n v="7.2"/>
    <s v="正常交付"/>
    <s v="true"/>
    <x v="5"/>
    <s v="散装鲜菜"/>
    <s v="模拟_桥头家常菜馆"/>
    <n v="7.2"/>
    <n v="0"/>
    <n v="7.2"/>
    <s v=""/>
    <s v=""/>
    <s v=""/>
    <s v=""/>
    <s v="通过"/>
  </r>
  <r>
    <s v="SIM-20260908-C003"/>
    <n v="1"/>
    <s v="C003"/>
    <d v="2026-09-08T00:00:00"/>
    <s v="P011"/>
    <x v="0"/>
    <n v="4.9000000000000004"/>
    <n v="4.9000000000000004"/>
    <n v="0.3"/>
    <n v="4.3"/>
    <s v="正常交付；签收时挑出黄叶退回"/>
    <s v="true"/>
    <x v="8"/>
    <s v="散装鲜菜"/>
    <s v="模拟_兴街快餐店"/>
    <n v="21.07"/>
    <n v="1.29"/>
    <n v="19.78"/>
    <s v=""/>
    <s v=""/>
    <s v=""/>
    <s v=""/>
    <s v="通过"/>
  </r>
  <r>
    <s v="SIM-20260908-C003"/>
    <n v="2"/>
    <s v="C003"/>
    <d v="2026-09-08T00:00:00"/>
    <s v="P003"/>
    <x v="0"/>
    <n v="8.6"/>
    <n v="8.6"/>
    <n v="0"/>
    <n v="2.9"/>
    <s v="正常交付"/>
    <s v="true"/>
    <x v="12"/>
    <s v="散装鲜菜"/>
    <s v="模拟_兴街快餐店"/>
    <n v="24.94"/>
    <n v="0"/>
    <n v="24.94"/>
    <s v=""/>
    <s v=""/>
    <s v=""/>
    <s v=""/>
    <s v="通过"/>
  </r>
  <r>
    <s v="SIM-20260908-C003"/>
    <n v="3"/>
    <s v="C003"/>
    <d v="2026-09-08T00:00:00"/>
    <s v="P014"/>
    <x v="0"/>
    <n v="5.9"/>
    <n v="5.9"/>
    <n v="0"/>
    <n v="5"/>
    <s v="正常交付"/>
    <s v="true"/>
    <x v="19"/>
    <s v="散装鲜菜"/>
    <s v="模拟_兴街快餐店"/>
    <n v="29.5"/>
    <n v="0"/>
    <n v="29.5"/>
    <s v=""/>
    <s v=""/>
    <s v=""/>
    <s v=""/>
    <s v="通过"/>
  </r>
  <r>
    <s v="SIM-20260908-C003"/>
    <n v="4"/>
    <s v="C003"/>
    <d v="2026-09-08T00:00:00"/>
    <s v="P008"/>
    <x v="0"/>
    <n v="8.6"/>
    <n v="8.6"/>
    <n v="0"/>
    <n v="4.4000000000000004"/>
    <s v="正常交付"/>
    <s v="true"/>
    <x v="14"/>
    <s v="散装鲜菜"/>
    <s v="模拟_兴街快餐店"/>
    <n v="37.840000000000003"/>
    <n v="0"/>
    <n v="37.840000000000003"/>
    <s v=""/>
    <s v=""/>
    <s v=""/>
    <s v=""/>
    <s v="通过"/>
  </r>
  <r>
    <s v="SIM-20260908-C003"/>
    <n v="5"/>
    <s v="C003"/>
    <d v="2026-09-08T00:00:00"/>
    <s v="P002"/>
    <x v="0"/>
    <n v="8.6"/>
    <n v="8.6"/>
    <n v="0"/>
    <n v="2.7"/>
    <s v="正常交付"/>
    <s v="true"/>
    <x v="2"/>
    <s v="散装鲜菜"/>
    <s v="模拟_兴街快餐店"/>
    <n v="23.22"/>
    <n v="0"/>
    <n v="23.22"/>
    <s v=""/>
    <s v=""/>
    <s v=""/>
    <s v=""/>
    <s v="通过"/>
  </r>
  <r>
    <s v="SIM-20260908-C003"/>
    <n v="6"/>
    <s v="C003"/>
    <d v="2026-09-08T00:00:00"/>
    <s v="P009"/>
    <x v="0"/>
    <n v="8.6"/>
    <n v="8.4"/>
    <n v="0"/>
    <n v="5"/>
    <s v="到货不足；按实际交付计费"/>
    <s v="true"/>
    <x v="17"/>
    <s v="散装鲜菜"/>
    <s v="模拟_兴街快餐店"/>
    <n v="42"/>
    <n v="0"/>
    <n v="42"/>
    <s v=""/>
    <s v=""/>
    <s v=""/>
    <s v=""/>
    <s v="通过"/>
  </r>
  <r>
    <s v="SIM-20260908-C003"/>
    <n v="7"/>
    <s v="C003"/>
    <d v="2026-09-08T00:00:00"/>
    <s v="P016"/>
    <x v="0"/>
    <n v="6"/>
    <n v="6"/>
    <n v="0"/>
    <n v="10.4"/>
    <s v="正常交付"/>
    <s v="true"/>
    <x v="4"/>
    <s v="普通鲜鸡蛋按净重"/>
    <s v="模拟_兴街快餐店"/>
    <n v="62.4"/>
    <n v="0"/>
    <n v="62.4"/>
    <s v=""/>
    <s v=""/>
    <s v=""/>
    <s v=""/>
    <s v="通过"/>
  </r>
  <r>
    <s v="SIM-20260908-C003"/>
    <n v="8"/>
    <s v="C003"/>
    <d v="2026-09-08T00:00:00"/>
    <s v="P015"/>
    <x v="0"/>
    <n v="1"/>
    <n v="1"/>
    <n v="0"/>
    <n v="7.2"/>
    <s v="正常交付"/>
    <s v="true"/>
    <x v="5"/>
    <s v="散装鲜菜"/>
    <s v="模拟_兴街快餐店"/>
    <n v="7.2"/>
    <n v="0"/>
    <n v="7.2"/>
    <s v=""/>
    <s v=""/>
    <s v=""/>
    <s v=""/>
    <s v="通过"/>
  </r>
  <r>
    <s v="SIM-20260908-C004"/>
    <n v="1"/>
    <s v="C004"/>
    <d v="2026-09-08T00:00:00"/>
    <s v="P011"/>
    <x v="0"/>
    <n v="6.4"/>
    <n v="6.4"/>
    <n v="0"/>
    <n v="4.3"/>
    <s v="正常交付"/>
    <s v="true"/>
    <x v="8"/>
    <s v="散装鲜菜"/>
    <s v="模拟_田畔饭店"/>
    <n v="27.52"/>
    <n v="0"/>
    <n v="27.52"/>
    <s v=""/>
    <s v=""/>
    <s v=""/>
    <s v=""/>
    <s v="通过"/>
  </r>
  <r>
    <s v="SIM-20260908-C004"/>
    <n v="2"/>
    <s v="C004"/>
    <d v="2026-09-08T00:00:00"/>
    <s v="P014"/>
    <x v="0"/>
    <n v="4.4000000000000004"/>
    <n v="4.4000000000000004"/>
    <n v="0"/>
    <n v="5"/>
    <s v="正常交付"/>
    <s v="true"/>
    <x v="19"/>
    <s v="散装鲜菜"/>
    <s v="模拟_田畔饭店"/>
    <n v="22"/>
    <n v="0"/>
    <n v="22"/>
    <s v=""/>
    <s v=""/>
    <s v=""/>
    <s v=""/>
    <s v="通过"/>
  </r>
  <r>
    <s v="SIM-20260908-C004"/>
    <n v="3"/>
    <s v="C004"/>
    <d v="2026-09-08T00:00:00"/>
    <s v="P001"/>
    <x v="0"/>
    <n v="5.6"/>
    <n v="5.6"/>
    <n v="0"/>
    <n v="3.3"/>
    <s v="正常交付"/>
    <s v="true"/>
    <x v="9"/>
    <s v="散装鲜菜"/>
    <s v="模拟_田畔饭店"/>
    <n v="18.48"/>
    <n v="0"/>
    <n v="18.48"/>
    <s v=""/>
    <s v=""/>
    <s v=""/>
    <s v=""/>
    <s v="通过"/>
  </r>
  <r>
    <s v="SIM-20260908-C004"/>
    <n v="4"/>
    <s v="C004"/>
    <d v="2026-09-08T00:00:00"/>
    <s v="P007"/>
    <x v="0"/>
    <n v="6.4"/>
    <n v="6.4"/>
    <n v="0"/>
    <n v="5.45"/>
    <s v="正常交付"/>
    <s v="true"/>
    <x v="18"/>
    <s v="散装鲜菜"/>
    <s v="模拟_田畔饭店"/>
    <n v="34.880000000000003"/>
    <n v="0"/>
    <n v="34.880000000000003"/>
    <s v=""/>
    <s v=""/>
    <s v=""/>
    <s v=""/>
    <s v="通过"/>
  </r>
  <r>
    <s v="SIM-20260908-C004"/>
    <n v="5"/>
    <s v="C004"/>
    <d v="2026-09-08T00:00:00"/>
    <s v="P003"/>
    <x v="0"/>
    <n v="6"/>
    <n v="6"/>
    <n v="0"/>
    <n v="2.9"/>
    <s v="正常交付"/>
    <s v="true"/>
    <x v="12"/>
    <s v="散装鲜菜"/>
    <s v="模拟_田畔饭店"/>
    <n v="17.399999999999999"/>
    <n v="0"/>
    <n v="17.399999999999999"/>
    <s v=""/>
    <s v=""/>
    <s v=""/>
    <s v=""/>
    <s v="通过"/>
  </r>
  <r>
    <s v="SIM-20260908-C004"/>
    <n v="6"/>
    <s v="C004"/>
    <d v="2026-09-08T00:00:00"/>
    <s v="P013"/>
    <x v="0"/>
    <n v="6"/>
    <n v="6"/>
    <n v="0"/>
    <n v="6"/>
    <s v="正常交付"/>
    <s v="true"/>
    <x v="11"/>
    <s v="散装鲜菜"/>
    <s v="模拟_田畔饭店"/>
    <n v="36"/>
    <n v="0"/>
    <n v="36"/>
    <s v=""/>
    <s v=""/>
    <s v=""/>
    <s v=""/>
    <s v="通过"/>
  </r>
  <r>
    <s v="SIM-20260908-C004"/>
    <n v="7"/>
    <s v="C004"/>
    <d v="2026-09-08T00:00:00"/>
    <s v="P015"/>
    <x v="0"/>
    <n v="1"/>
    <n v="1"/>
    <n v="0"/>
    <n v="7.2"/>
    <s v="正常交付"/>
    <s v="true"/>
    <x v="5"/>
    <s v="散装鲜菜"/>
    <s v="模拟_田畔饭店"/>
    <n v="7.2"/>
    <n v="0"/>
    <n v="7.2"/>
    <s v=""/>
    <s v=""/>
    <s v=""/>
    <s v=""/>
    <s v="通过"/>
  </r>
  <r>
    <s v="SIM-20260908-C005"/>
    <n v="1"/>
    <s v="C005"/>
    <d v="2026-09-08T00:00:00"/>
    <s v="P011"/>
    <x v="0"/>
    <n v="7.4"/>
    <n v="7.4"/>
    <n v="0"/>
    <n v="4.3"/>
    <s v="正常交付"/>
    <s v="true"/>
    <x v="8"/>
    <s v="散装鲜菜"/>
    <s v="模拟_青禾小学食堂"/>
    <n v="31.82"/>
    <n v="0"/>
    <n v="31.82"/>
    <s v=""/>
    <s v=""/>
    <s v=""/>
    <s v=""/>
    <s v="通过"/>
  </r>
  <r>
    <s v="SIM-20260908-C005"/>
    <n v="2"/>
    <s v="C005"/>
    <d v="2026-09-08T00:00:00"/>
    <s v="P001"/>
    <x v="0"/>
    <n v="6.5"/>
    <n v="6.5"/>
    <n v="0"/>
    <n v="3.3"/>
    <s v="正常交付"/>
    <s v="true"/>
    <x v="9"/>
    <s v="散装鲜菜"/>
    <s v="模拟_青禾小学食堂"/>
    <n v="21.45"/>
    <n v="0"/>
    <n v="21.45"/>
    <s v=""/>
    <s v=""/>
    <s v=""/>
    <s v=""/>
    <s v="通过"/>
  </r>
  <r>
    <s v="SIM-20260908-C005"/>
    <n v="3"/>
    <s v="C005"/>
    <d v="2026-09-08T00:00:00"/>
    <s v="P002"/>
    <x v="0"/>
    <n v="6.5"/>
    <n v="6.2"/>
    <n v="0"/>
    <n v="2.7"/>
    <s v="到货不足；按实际交付计费"/>
    <s v="true"/>
    <x v="2"/>
    <s v="散装鲜菜"/>
    <s v="模拟_青禾小学食堂"/>
    <n v="16.739999999999998"/>
    <n v="0"/>
    <n v="16.739999999999998"/>
    <s v=""/>
    <s v=""/>
    <s v=""/>
    <s v=""/>
    <s v="通过"/>
  </r>
  <r>
    <s v="SIM-20260908-C005"/>
    <n v="4"/>
    <s v="C005"/>
    <d v="2026-09-08T00:00:00"/>
    <s v="P003"/>
    <x v="0"/>
    <n v="14.9"/>
    <n v="14.9"/>
    <n v="0"/>
    <n v="2.9"/>
    <s v="正常交付"/>
    <s v="true"/>
    <x v="12"/>
    <s v="散装鲜菜"/>
    <s v="模拟_青禾小学食堂"/>
    <n v="43.21"/>
    <n v="0"/>
    <n v="43.21"/>
    <s v=""/>
    <s v=""/>
    <s v=""/>
    <s v=""/>
    <s v="通过"/>
  </r>
  <r>
    <s v="SIM-20260908-C005"/>
    <n v="5"/>
    <s v="C005"/>
    <d v="2026-09-08T00:00:00"/>
    <s v="P009"/>
    <x v="0"/>
    <n v="10.199999999999999"/>
    <n v="10.199999999999999"/>
    <n v="0"/>
    <n v="5"/>
    <s v="正常交付"/>
    <s v="true"/>
    <x v="17"/>
    <s v="散装鲜菜"/>
    <s v="模拟_青禾小学食堂"/>
    <n v="51"/>
    <n v="0"/>
    <n v="51"/>
    <s v=""/>
    <s v=""/>
    <s v=""/>
    <s v=""/>
    <s v="通过"/>
  </r>
  <r>
    <s v="SIM-20260908-C005"/>
    <n v="6"/>
    <s v="C005"/>
    <d v="2026-09-08T00:00:00"/>
    <s v="P013"/>
    <x v="0"/>
    <n v="10.199999999999999"/>
    <n v="10.199999999999999"/>
    <n v="0"/>
    <n v="6"/>
    <s v="正常交付"/>
    <s v="true"/>
    <x v="11"/>
    <s v="散装鲜菜"/>
    <s v="模拟_青禾小学食堂"/>
    <n v="61.2"/>
    <n v="0"/>
    <n v="61.2"/>
    <s v=""/>
    <s v=""/>
    <s v=""/>
    <s v=""/>
    <s v="通过"/>
  </r>
  <r>
    <s v="SIM-20260908-C005"/>
    <n v="7"/>
    <s v="C005"/>
    <d v="2026-09-08T00:00:00"/>
    <s v="P017"/>
    <x v="2"/>
    <n v="6"/>
    <n v="6"/>
    <n v="0"/>
    <n v="116"/>
    <s v="正常交付"/>
    <s v="true"/>
    <x v="13"/>
    <s v="25公斤/袋普通籼米"/>
    <s v="模拟_青禾小学食堂"/>
    <n v="696"/>
    <n v="0"/>
    <n v="696"/>
    <s v=""/>
    <s v=""/>
    <s v=""/>
    <s v=""/>
    <s v="通过"/>
  </r>
  <r>
    <s v="SIM-20260908-C005"/>
    <n v="8"/>
    <s v="C005"/>
    <d v="2026-09-08T00:00:00"/>
    <s v="P020"/>
    <x v="1"/>
    <n v="2"/>
    <n v="2"/>
    <n v="0"/>
    <n v="59"/>
    <s v="正常交付"/>
    <s v="true"/>
    <x v="15"/>
    <s v="5升/桶普通大豆油"/>
    <s v="模拟_青禾小学食堂"/>
    <n v="118"/>
    <n v="0"/>
    <n v="118"/>
    <s v=""/>
    <s v=""/>
    <s v=""/>
    <s v=""/>
    <s v="通过"/>
  </r>
  <r>
    <s v="SIM-20260908-C006"/>
    <n v="1"/>
    <s v="C006"/>
    <d v="2026-09-08T00:00:00"/>
    <s v="P010"/>
    <x v="0"/>
    <n v="10.1"/>
    <n v="10.1"/>
    <n v="0.5"/>
    <n v="5"/>
    <s v="正常交付；签收时挑出黄叶退回"/>
    <s v="true"/>
    <x v="16"/>
    <s v="散装鲜菜"/>
    <s v="模拟_溪桥医院食堂"/>
    <n v="50.5"/>
    <n v="2.5"/>
    <n v="48"/>
    <s v=""/>
    <s v=""/>
    <s v=""/>
    <s v=""/>
    <s v="通过"/>
  </r>
  <r>
    <s v="SIM-20260908-C006"/>
    <n v="2"/>
    <s v="C006"/>
    <d v="2026-09-08T00:00:00"/>
    <s v="P005"/>
    <x v="0"/>
    <n v="8.4"/>
    <n v="8.4"/>
    <n v="0"/>
    <n v="2.7"/>
    <s v="正常交付"/>
    <s v="true"/>
    <x v="1"/>
    <s v="散装鲜菜"/>
    <s v="模拟_溪桥医院食堂"/>
    <n v="22.68"/>
    <n v="0"/>
    <n v="22.68"/>
    <s v=""/>
    <s v=""/>
    <s v=""/>
    <s v=""/>
    <s v="通过"/>
  </r>
  <r>
    <s v="SIM-20260908-C006"/>
    <n v="3"/>
    <s v="C006"/>
    <d v="2026-09-08T00:00:00"/>
    <s v="P009"/>
    <x v="0"/>
    <n v="8.4"/>
    <n v="8.4"/>
    <n v="0"/>
    <n v="5"/>
    <s v="正常交付"/>
    <s v="true"/>
    <x v="17"/>
    <s v="散装鲜菜"/>
    <s v="模拟_溪桥医院食堂"/>
    <n v="42"/>
    <n v="0"/>
    <n v="42"/>
    <s v=""/>
    <s v=""/>
    <s v=""/>
    <s v=""/>
    <s v="通过"/>
  </r>
  <r>
    <s v="SIM-20260908-C006"/>
    <n v="4"/>
    <s v="C006"/>
    <d v="2026-09-08T00:00:00"/>
    <s v="P003"/>
    <x v="0"/>
    <n v="9.3000000000000007"/>
    <n v="9.3000000000000007"/>
    <n v="0"/>
    <n v="2.9"/>
    <s v="正常交付"/>
    <s v="true"/>
    <x v="12"/>
    <s v="散装鲜菜"/>
    <s v="模拟_溪桥医院食堂"/>
    <n v="26.97"/>
    <n v="0"/>
    <n v="26.97"/>
    <s v=""/>
    <s v=""/>
    <s v=""/>
    <s v=""/>
    <s v="通过"/>
  </r>
  <r>
    <s v="SIM-20260908-C006"/>
    <n v="5"/>
    <s v="C006"/>
    <d v="2026-09-08T00:00:00"/>
    <s v="P004"/>
    <x v="0"/>
    <n v="5.9"/>
    <n v="5.9"/>
    <n v="0"/>
    <n v="2.7"/>
    <s v="正常交付"/>
    <s v="true"/>
    <x v="3"/>
    <s v="散装鲜菜"/>
    <s v="模拟_溪桥医院食堂"/>
    <n v="15.93"/>
    <n v="0"/>
    <n v="15.93"/>
    <s v=""/>
    <s v=""/>
    <s v=""/>
    <s v=""/>
    <s v="通过"/>
  </r>
  <r>
    <s v="SIM-20260908-C006"/>
    <n v="6"/>
    <s v="C006"/>
    <d v="2026-09-08T00:00:00"/>
    <s v="P006"/>
    <x v="0"/>
    <n v="6.8"/>
    <n v="6.8"/>
    <n v="0"/>
    <n v="4.8"/>
    <s v="正常交付"/>
    <s v="true"/>
    <x v="10"/>
    <s v="散装鲜菜"/>
    <s v="模拟_溪桥医院食堂"/>
    <n v="32.64"/>
    <n v="0"/>
    <n v="32.64"/>
    <s v=""/>
    <s v=""/>
    <s v=""/>
    <s v=""/>
    <s v="通过"/>
  </r>
  <r>
    <s v="SIM-20260909-C001"/>
    <n v="1"/>
    <s v="C001"/>
    <d v="2026-09-09T00:00:00"/>
    <s v="P011"/>
    <x v="0"/>
    <n v="3.4"/>
    <n v="3.4"/>
    <n v="0"/>
    <n v="4.3"/>
    <s v="正常交付"/>
    <s v="true"/>
    <x v="8"/>
    <s v="散装鲜菜"/>
    <s v="模拟_榕树下粉面店"/>
    <n v="14.62"/>
    <n v="0"/>
    <n v="14.62"/>
    <s v=""/>
    <s v=""/>
    <s v=""/>
    <s v=""/>
    <s v="通过"/>
  </r>
  <r>
    <s v="SIM-20260909-C001"/>
    <n v="2"/>
    <s v="C001"/>
    <d v="2026-09-09T00:00:00"/>
    <s v="P004"/>
    <x v="0"/>
    <n v="1.7"/>
    <n v="1.7"/>
    <n v="0"/>
    <n v="2.7"/>
    <s v="正常交付"/>
    <s v="true"/>
    <x v="3"/>
    <s v="散装鲜菜"/>
    <s v="模拟_榕树下粉面店"/>
    <n v="4.59"/>
    <n v="0"/>
    <n v="4.59"/>
    <s v=""/>
    <s v=""/>
    <s v=""/>
    <s v=""/>
    <s v="通过"/>
  </r>
  <r>
    <s v="SIM-20260909-C001"/>
    <n v="3"/>
    <s v="C001"/>
    <d v="2026-09-09T00:00:00"/>
    <s v="P013"/>
    <x v="0"/>
    <n v="3.2"/>
    <n v="3.2"/>
    <n v="0"/>
    <n v="6"/>
    <s v="正常交付"/>
    <s v="true"/>
    <x v="11"/>
    <s v="散装鲜菜"/>
    <s v="模拟_榕树下粉面店"/>
    <n v="19.2"/>
    <n v="0"/>
    <n v="19.2"/>
    <s v=""/>
    <s v=""/>
    <s v=""/>
    <s v=""/>
    <s v="通过"/>
  </r>
  <r>
    <s v="SIM-20260909-C001"/>
    <n v="4"/>
    <s v="C001"/>
    <d v="2026-09-09T00:00:00"/>
    <s v="P003"/>
    <x v="0"/>
    <n v="2.5"/>
    <n v="2.5"/>
    <n v="0"/>
    <n v="2.9"/>
    <s v="正常交付"/>
    <s v="true"/>
    <x v="12"/>
    <s v="散装鲜菜"/>
    <s v="模拟_榕树下粉面店"/>
    <n v="7.25"/>
    <n v="0"/>
    <n v="7.25"/>
    <s v=""/>
    <s v=""/>
    <s v=""/>
    <s v=""/>
    <s v="通过"/>
  </r>
  <r>
    <s v="SIM-20260909-C002"/>
    <n v="1"/>
    <s v="C002"/>
    <d v="2026-09-09T00:00:00"/>
    <s v="P012"/>
    <x v="0"/>
    <n v="3.2"/>
    <n v="3.2"/>
    <n v="0"/>
    <n v="5"/>
    <s v="正常交付"/>
    <s v="true"/>
    <x v="0"/>
    <s v="散装鲜菜"/>
    <s v="模拟_桥头家常菜馆"/>
    <n v="16"/>
    <n v="0"/>
    <n v="16"/>
    <s v=""/>
    <s v=""/>
    <s v=""/>
    <s v=""/>
    <s v="通过"/>
  </r>
  <r>
    <s v="SIM-20260909-C002"/>
    <n v="2"/>
    <s v="C002"/>
    <d v="2026-09-09T00:00:00"/>
    <s v="P006"/>
    <x v="0"/>
    <n v="5.6"/>
    <n v="5.6"/>
    <n v="0"/>
    <n v="4.8"/>
    <s v="正常交付"/>
    <s v="true"/>
    <x v="10"/>
    <s v="散装鲜菜"/>
    <s v="模拟_桥头家常菜馆"/>
    <n v="26.88"/>
    <n v="0"/>
    <n v="26.88"/>
    <s v=""/>
    <s v=""/>
    <s v=""/>
    <s v=""/>
    <s v="通过"/>
  </r>
  <r>
    <s v="SIM-20260909-C002"/>
    <n v="3"/>
    <s v="C002"/>
    <d v="2026-09-09T00:00:00"/>
    <s v="P003"/>
    <x v="0"/>
    <n v="4.4000000000000004"/>
    <n v="4.4000000000000004"/>
    <n v="0"/>
    <n v="2.9"/>
    <s v="正常交付"/>
    <s v="true"/>
    <x v="12"/>
    <s v="散装鲜菜"/>
    <s v="模拟_桥头家常菜馆"/>
    <n v="12.76"/>
    <n v="0"/>
    <n v="12.76"/>
    <s v=""/>
    <s v=""/>
    <s v=""/>
    <s v=""/>
    <s v="通过"/>
  </r>
  <r>
    <s v="SIM-20260909-C002"/>
    <n v="4"/>
    <s v="C002"/>
    <d v="2026-09-09T00:00:00"/>
    <s v="P001"/>
    <x v="0"/>
    <n v="6.4"/>
    <n v="6.4"/>
    <n v="0"/>
    <n v="3.3"/>
    <s v="正常交付"/>
    <s v="true"/>
    <x v="9"/>
    <s v="散装鲜菜"/>
    <s v="模拟_桥头家常菜馆"/>
    <n v="21.12"/>
    <n v="0"/>
    <n v="21.12"/>
    <s v=""/>
    <s v=""/>
    <s v=""/>
    <s v=""/>
    <s v="通过"/>
  </r>
  <r>
    <s v="SIM-20260909-C002"/>
    <n v="5"/>
    <s v="C002"/>
    <d v="2026-09-09T00:00:00"/>
    <s v="P004"/>
    <x v="0"/>
    <n v="6"/>
    <n v="6"/>
    <n v="0"/>
    <n v="2.7"/>
    <s v="正常交付"/>
    <s v="true"/>
    <x v="3"/>
    <s v="散装鲜菜"/>
    <s v="模拟_桥头家常菜馆"/>
    <n v="16.2"/>
    <n v="0"/>
    <n v="16.2"/>
    <s v=""/>
    <s v=""/>
    <s v=""/>
    <s v=""/>
    <s v="通过"/>
  </r>
  <r>
    <s v="SIM-20260909-C003"/>
    <n v="1"/>
    <s v="C003"/>
    <d v="2026-09-09T00:00:00"/>
    <s v="P010"/>
    <x v="0"/>
    <n v="7.6"/>
    <n v="7.4"/>
    <n v="0"/>
    <n v="5"/>
    <s v="到货不足；按实际交付计费"/>
    <s v="true"/>
    <x v="16"/>
    <s v="散装鲜菜"/>
    <s v="模拟_兴街快餐店"/>
    <n v="37"/>
    <n v="0"/>
    <n v="37"/>
    <s v=""/>
    <s v=""/>
    <s v=""/>
    <s v=""/>
    <s v="通过"/>
  </r>
  <r>
    <s v="SIM-20260909-C003"/>
    <n v="2"/>
    <s v="C003"/>
    <d v="2026-09-09T00:00:00"/>
    <s v="P001"/>
    <x v="0"/>
    <n v="4.0999999999999996"/>
    <n v="4.0999999999999996"/>
    <n v="0"/>
    <n v="3.3"/>
    <s v="正常交付"/>
    <s v="true"/>
    <x v="9"/>
    <s v="散装鲜菜"/>
    <s v="模拟_兴街快餐店"/>
    <n v="13.53"/>
    <n v="0"/>
    <n v="13.53"/>
    <s v=""/>
    <s v=""/>
    <s v=""/>
    <s v=""/>
    <s v="通过"/>
  </r>
  <r>
    <s v="SIM-20260909-C003"/>
    <n v="3"/>
    <s v="C003"/>
    <d v="2026-09-09T00:00:00"/>
    <s v="P007"/>
    <x v="0"/>
    <n v="4.7"/>
    <n v="4.7"/>
    <n v="0"/>
    <n v="5.45"/>
    <s v="正常交付"/>
    <s v="true"/>
    <x v="18"/>
    <s v="散装鲜菜"/>
    <s v="模拟_兴街快餐店"/>
    <n v="25.62"/>
    <n v="0"/>
    <n v="25.62"/>
    <s v=""/>
    <s v=""/>
    <s v=""/>
    <s v=""/>
    <s v="通过"/>
  </r>
  <r>
    <s v="SIM-20260909-C003"/>
    <n v="4"/>
    <s v="C003"/>
    <d v="2026-09-09T00:00:00"/>
    <s v="P004"/>
    <x v="0"/>
    <n v="6.5"/>
    <n v="6.5"/>
    <n v="0"/>
    <n v="2.7"/>
    <s v="正常交付"/>
    <s v="true"/>
    <x v="3"/>
    <s v="散装鲜菜"/>
    <s v="模拟_兴街快餐店"/>
    <n v="17.55"/>
    <n v="0"/>
    <n v="17.55"/>
    <s v=""/>
    <s v=""/>
    <s v=""/>
    <s v=""/>
    <s v="通过"/>
  </r>
  <r>
    <s v="SIM-20260909-C003"/>
    <n v="5"/>
    <s v="C003"/>
    <d v="2026-09-09T00:00:00"/>
    <s v="P003"/>
    <x v="0"/>
    <n v="7.1"/>
    <n v="7.1"/>
    <n v="0"/>
    <n v="2.9"/>
    <s v="正常交付"/>
    <s v="true"/>
    <x v="12"/>
    <s v="散装鲜菜"/>
    <s v="模拟_兴街快餐店"/>
    <n v="20.59"/>
    <n v="0"/>
    <n v="20.59"/>
    <s v=""/>
    <s v=""/>
    <s v=""/>
    <s v=""/>
    <s v="通过"/>
  </r>
  <r>
    <s v="SIM-20260909-C003"/>
    <n v="6"/>
    <s v="C003"/>
    <d v="2026-09-09T00:00:00"/>
    <s v="P006"/>
    <x v="0"/>
    <n v="8.1999999999999993"/>
    <n v="8.1999999999999993"/>
    <n v="0"/>
    <n v="4.8"/>
    <s v="正常交付"/>
    <s v="true"/>
    <x v="10"/>
    <s v="散装鲜菜"/>
    <s v="模拟_兴街快餐店"/>
    <n v="39.36"/>
    <n v="0"/>
    <n v="39.36"/>
    <s v=""/>
    <s v=""/>
    <s v=""/>
    <s v=""/>
    <s v="通过"/>
  </r>
  <r>
    <s v="SIM-20260909-C005"/>
    <n v="1"/>
    <s v="C005"/>
    <d v="2026-09-09T00:00:00"/>
    <s v="P011"/>
    <x v="0"/>
    <n v="12.8"/>
    <n v="12.8"/>
    <n v="0"/>
    <n v="4.3"/>
    <s v="正常交付"/>
    <s v="true"/>
    <x v="8"/>
    <s v="散装鲜菜"/>
    <s v="模拟_青禾小学食堂"/>
    <n v="55.04"/>
    <n v="0"/>
    <n v="55.04"/>
    <s v=""/>
    <s v=""/>
    <s v=""/>
    <s v=""/>
    <s v="通过"/>
  </r>
  <r>
    <s v="SIM-20260909-C005"/>
    <n v="2"/>
    <s v="C005"/>
    <d v="2026-09-09T00:00:00"/>
    <s v="P008"/>
    <x v="0"/>
    <n v="8.1999999999999993"/>
    <n v="8.1999999999999993"/>
    <n v="0"/>
    <n v="4.4000000000000004"/>
    <s v="正常交付"/>
    <s v="true"/>
    <x v="14"/>
    <s v="散装鲜菜"/>
    <s v="模拟_青禾小学食堂"/>
    <n v="36.08"/>
    <n v="0"/>
    <n v="36.08"/>
    <s v=""/>
    <s v=""/>
    <s v=""/>
    <s v=""/>
    <s v="通过"/>
  </r>
  <r>
    <s v="SIM-20260909-C005"/>
    <n v="3"/>
    <s v="C005"/>
    <d v="2026-09-09T00:00:00"/>
    <s v="P013"/>
    <x v="0"/>
    <n v="11.9"/>
    <n v="11.9"/>
    <n v="0"/>
    <n v="6"/>
    <s v="正常交付"/>
    <s v="true"/>
    <x v="11"/>
    <s v="散装鲜菜"/>
    <s v="模拟_青禾小学食堂"/>
    <n v="71.400000000000006"/>
    <n v="0"/>
    <n v="71.400000000000006"/>
    <s v=""/>
    <s v=""/>
    <s v=""/>
    <s v=""/>
    <s v="通过"/>
  </r>
  <r>
    <s v="SIM-20260909-C005"/>
    <n v="4"/>
    <s v="C005"/>
    <d v="2026-09-09T00:00:00"/>
    <s v="P004"/>
    <x v="0"/>
    <n v="8.1999999999999993"/>
    <n v="8.1999999999999993"/>
    <n v="0"/>
    <n v="2.7"/>
    <s v="正常交付"/>
    <s v="true"/>
    <x v="3"/>
    <s v="散装鲜菜"/>
    <s v="模拟_青禾小学食堂"/>
    <n v="22.14"/>
    <n v="0"/>
    <n v="22.14"/>
    <s v=""/>
    <s v=""/>
    <s v=""/>
    <s v=""/>
    <s v="通过"/>
  </r>
  <r>
    <s v="SIM-20260909-C005"/>
    <n v="5"/>
    <s v="C005"/>
    <d v="2026-09-09T00:00:00"/>
    <s v="P002"/>
    <x v="0"/>
    <n v="7.3"/>
    <n v="7.3"/>
    <n v="0"/>
    <n v="2.7"/>
    <s v="正常交付"/>
    <s v="true"/>
    <x v="2"/>
    <s v="散装鲜菜"/>
    <s v="模拟_青禾小学食堂"/>
    <n v="19.71"/>
    <n v="0"/>
    <n v="19.71"/>
    <s v=""/>
    <s v=""/>
    <s v=""/>
    <s v=""/>
    <s v="通过"/>
  </r>
  <r>
    <s v="SIM-20260909-C005"/>
    <n v="6"/>
    <s v="C005"/>
    <d v="2026-09-09T00:00:00"/>
    <s v="P007"/>
    <x v="0"/>
    <n v="13.7"/>
    <n v="13.7"/>
    <n v="0"/>
    <n v="5.45"/>
    <s v="正常交付"/>
    <s v="true"/>
    <x v="18"/>
    <s v="散装鲜菜"/>
    <s v="模拟_青禾小学食堂"/>
    <n v="74.67"/>
    <n v="0"/>
    <n v="74.67"/>
    <s v=""/>
    <s v=""/>
    <s v=""/>
    <s v=""/>
    <s v="通过"/>
  </r>
  <r>
    <s v="SIM-20260909-C005"/>
    <n v="7"/>
    <s v="C005"/>
    <d v="2026-09-09T00:00:00"/>
    <s v="P016"/>
    <x v="0"/>
    <n v="12"/>
    <n v="12"/>
    <n v="0"/>
    <n v="10.4"/>
    <s v="正常交付"/>
    <s v="true"/>
    <x v="4"/>
    <s v="普通鲜鸡蛋按净重"/>
    <s v="模拟_青禾小学食堂"/>
    <n v="124.8"/>
    <n v="0"/>
    <n v="124.8"/>
    <s v=""/>
    <s v=""/>
    <s v=""/>
    <s v=""/>
    <s v="通过"/>
  </r>
  <r>
    <s v="SIM-20260909-C005"/>
    <n v="8"/>
    <s v="C005"/>
    <d v="2026-09-09T00:00:00"/>
    <s v="P015"/>
    <x v="0"/>
    <n v="1"/>
    <n v="1"/>
    <n v="0"/>
    <n v="7.2"/>
    <s v="正常交付"/>
    <s v="true"/>
    <x v="5"/>
    <s v="散装鲜菜"/>
    <s v="模拟_青禾小学食堂"/>
    <n v="7.2"/>
    <n v="0"/>
    <n v="7.2"/>
    <s v=""/>
    <s v=""/>
    <s v=""/>
    <s v=""/>
    <s v="通过"/>
  </r>
  <r>
    <s v="SIM-20260909-C006"/>
    <n v="1"/>
    <s v="C006"/>
    <d v="2026-09-09T00:00:00"/>
    <s v="P011"/>
    <x v="0"/>
    <n v="9.1999999999999993"/>
    <n v="9.1999999999999993"/>
    <n v="0"/>
    <n v="4.3"/>
    <s v="正常交付"/>
    <s v="true"/>
    <x v="8"/>
    <s v="散装鲜菜"/>
    <s v="模拟_溪桥医院食堂"/>
    <n v="39.56"/>
    <n v="0"/>
    <n v="39.56"/>
    <s v=""/>
    <s v=""/>
    <s v=""/>
    <s v=""/>
    <s v="通过"/>
  </r>
  <r>
    <s v="SIM-20260909-C006"/>
    <n v="2"/>
    <s v="C006"/>
    <d v="2026-09-09T00:00:00"/>
    <s v="P013"/>
    <x v="0"/>
    <n v="8.6"/>
    <n v="8.6"/>
    <n v="0"/>
    <n v="6"/>
    <s v="正常交付"/>
    <s v="true"/>
    <x v="11"/>
    <s v="散装鲜菜"/>
    <s v="模拟_溪桥医院食堂"/>
    <n v="51.6"/>
    <n v="0"/>
    <n v="51.6"/>
    <s v=""/>
    <s v=""/>
    <s v=""/>
    <s v=""/>
    <s v="通过"/>
  </r>
  <r>
    <s v="SIM-20260909-C006"/>
    <n v="3"/>
    <s v="C006"/>
    <d v="2026-09-09T00:00:00"/>
    <s v="P003"/>
    <x v="0"/>
    <n v="9.1999999999999993"/>
    <n v="9.1999999999999993"/>
    <n v="0"/>
    <n v="2.9"/>
    <s v="正常交付"/>
    <s v="true"/>
    <x v="12"/>
    <s v="散装鲜菜"/>
    <s v="模拟_溪桥医院食堂"/>
    <n v="26.68"/>
    <n v="0"/>
    <n v="26.68"/>
    <s v=""/>
    <s v=""/>
    <s v=""/>
    <s v=""/>
    <s v="通过"/>
  </r>
  <r>
    <s v="SIM-20260909-C006"/>
    <n v="4"/>
    <s v="C006"/>
    <d v="2026-09-09T00:00:00"/>
    <s v="P005"/>
    <x v="0"/>
    <n v="6.7"/>
    <n v="6.7"/>
    <n v="0"/>
    <n v="2.7"/>
    <s v="正常交付"/>
    <s v="true"/>
    <x v="1"/>
    <s v="散装鲜菜"/>
    <s v="模拟_溪桥医院食堂"/>
    <n v="18.09"/>
    <n v="0"/>
    <n v="18.09"/>
    <s v=""/>
    <s v=""/>
    <s v=""/>
    <s v=""/>
    <s v="通过"/>
  </r>
  <r>
    <s v="SIM-20260909-C006"/>
    <n v="5"/>
    <s v="C006"/>
    <d v="2026-09-09T00:00:00"/>
    <s v="P009"/>
    <x v="0"/>
    <n v="5.5"/>
    <n v="5.5"/>
    <n v="0"/>
    <n v="5"/>
    <s v="正常交付"/>
    <s v="true"/>
    <x v="17"/>
    <s v="散装鲜菜"/>
    <s v="模拟_溪桥医院食堂"/>
    <n v="27.5"/>
    <n v="0"/>
    <n v="27.5"/>
    <s v=""/>
    <s v=""/>
    <s v=""/>
    <s v=""/>
    <s v="通过"/>
  </r>
  <r>
    <s v="SIM-20260909-C006"/>
    <n v="6"/>
    <s v="C006"/>
    <d v="2026-09-09T00:00:00"/>
    <s v="P004"/>
    <x v="0"/>
    <n v="7.9"/>
    <n v="7.9"/>
    <n v="0"/>
    <n v="2.7"/>
    <s v="正常交付"/>
    <s v="true"/>
    <x v="3"/>
    <s v="散装鲜菜"/>
    <s v="模拟_溪桥医院食堂"/>
    <n v="21.33"/>
    <n v="0"/>
    <n v="21.33"/>
    <s v=""/>
    <s v=""/>
    <s v=""/>
    <s v=""/>
    <s v="通过"/>
  </r>
  <r>
    <s v="SIM-20260909-C006"/>
    <n v="7"/>
    <s v="C006"/>
    <d v="2026-09-09T00:00:00"/>
    <s v="P016"/>
    <x v="0"/>
    <n v="9"/>
    <n v="9"/>
    <n v="0"/>
    <n v="10.4"/>
    <s v="正常交付"/>
    <s v="true"/>
    <x v="4"/>
    <s v="普通鲜鸡蛋按净重"/>
    <s v="模拟_溪桥医院食堂"/>
    <n v="93.6"/>
    <n v="0"/>
    <n v="93.6"/>
    <s v=""/>
    <s v=""/>
    <s v=""/>
    <s v=""/>
    <s v="通过"/>
  </r>
  <r>
    <s v="SIM-20260910-C001"/>
    <n v="1"/>
    <s v="C001"/>
    <d v="2026-09-10T00:00:00"/>
    <s v="P012"/>
    <x v="0"/>
    <n v="2.5"/>
    <n v="2.5"/>
    <n v="0.5"/>
    <n v="5"/>
    <s v="正常交付；签收时挑出黄叶退回"/>
    <s v="true"/>
    <x v="0"/>
    <s v="散装鲜菜"/>
    <s v="模拟_榕树下粉面店"/>
    <n v="12.5"/>
    <n v="2.5"/>
    <n v="10"/>
    <s v=""/>
    <s v=""/>
    <s v=""/>
    <s v=""/>
    <s v="通过"/>
  </r>
  <r>
    <s v="SIM-20260910-C001"/>
    <n v="2"/>
    <s v="C001"/>
    <d v="2026-09-10T00:00:00"/>
    <s v="P005"/>
    <x v="0"/>
    <n v="3.2"/>
    <n v="3.2"/>
    <n v="0"/>
    <n v="2.7"/>
    <s v="正常交付"/>
    <s v="true"/>
    <x v="1"/>
    <s v="散装鲜菜"/>
    <s v="模拟_榕树下粉面店"/>
    <n v="8.64"/>
    <n v="0"/>
    <n v="8.64"/>
    <s v=""/>
    <s v=""/>
    <s v=""/>
    <s v=""/>
    <s v="通过"/>
  </r>
  <r>
    <s v="SIM-20260910-C001"/>
    <n v="3"/>
    <s v="C001"/>
    <d v="2026-09-10T00:00:00"/>
    <s v="P014"/>
    <x v="0"/>
    <n v="3.2"/>
    <n v="3.2"/>
    <n v="0"/>
    <n v="5"/>
    <s v="正常交付"/>
    <s v="true"/>
    <x v="19"/>
    <s v="散装鲜菜"/>
    <s v="模拟_榕树下粉面店"/>
    <n v="16"/>
    <n v="0"/>
    <n v="16"/>
    <s v=""/>
    <s v=""/>
    <s v=""/>
    <s v=""/>
    <s v="通过"/>
  </r>
  <r>
    <s v="SIM-20260910-C001"/>
    <n v="4"/>
    <s v="C001"/>
    <d v="2026-09-10T00:00:00"/>
    <s v="P006"/>
    <x v="0"/>
    <n v="2.2999999999999998"/>
    <n v="2.2999999999999998"/>
    <n v="0"/>
    <n v="4.8"/>
    <s v="正常交付"/>
    <s v="true"/>
    <x v="10"/>
    <s v="散装鲜菜"/>
    <s v="模拟_榕树下粉面店"/>
    <n v="11.04"/>
    <n v="0"/>
    <n v="11.04"/>
    <s v=""/>
    <s v=""/>
    <s v=""/>
    <s v=""/>
    <s v="通过"/>
  </r>
  <r>
    <s v="SIM-20260910-C001"/>
    <n v="5"/>
    <s v="C001"/>
    <d v="2026-09-10T00:00:00"/>
    <s v="P016"/>
    <x v="0"/>
    <n v="3"/>
    <n v="3"/>
    <n v="0"/>
    <n v="10.4"/>
    <s v="正常交付"/>
    <s v="true"/>
    <x v="4"/>
    <s v="普通鲜鸡蛋按净重"/>
    <s v="模拟_榕树下粉面店"/>
    <n v="31.2"/>
    <n v="0"/>
    <n v="31.2"/>
    <s v=""/>
    <s v=""/>
    <s v=""/>
    <s v=""/>
    <s v="通过"/>
  </r>
  <r>
    <s v="SIM-20260910-C002"/>
    <n v="1"/>
    <s v="C002"/>
    <d v="2026-09-10T00:00:00"/>
    <s v="P011"/>
    <x v="0"/>
    <n v="3.3"/>
    <n v="3.3"/>
    <n v="0"/>
    <n v="4.3"/>
    <s v="正常交付"/>
    <s v="true"/>
    <x v="8"/>
    <s v="散装鲜菜"/>
    <s v="模拟_桥头家常菜馆"/>
    <n v="14.19"/>
    <n v="0"/>
    <n v="14.19"/>
    <s v=""/>
    <s v=""/>
    <s v=""/>
    <s v=""/>
    <s v="通过"/>
  </r>
  <r>
    <s v="SIM-20260910-C002"/>
    <n v="2"/>
    <s v="C002"/>
    <d v="2026-09-10T00:00:00"/>
    <s v="P004"/>
    <x v="0"/>
    <n v="5.4"/>
    <n v="5.4"/>
    <n v="0"/>
    <n v="2.7"/>
    <s v="正常交付"/>
    <s v="true"/>
    <x v="3"/>
    <s v="散装鲜菜"/>
    <s v="模拟_桥头家常菜馆"/>
    <n v="14.58"/>
    <n v="0"/>
    <n v="14.58"/>
    <s v=""/>
    <s v=""/>
    <s v=""/>
    <s v=""/>
    <s v="通过"/>
  </r>
  <r>
    <s v="SIM-20260910-C002"/>
    <n v="3"/>
    <s v="C002"/>
    <d v="2026-09-10T00:00:00"/>
    <s v="P006"/>
    <x v="0"/>
    <n v="5"/>
    <n v="5"/>
    <n v="0"/>
    <n v="4.8"/>
    <s v="正常交付"/>
    <s v="true"/>
    <x v="10"/>
    <s v="散装鲜菜"/>
    <s v="模拟_桥头家常菜馆"/>
    <n v="24"/>
    <n v="0"/>
    <n v="24"/>
    <s v=""/>
    <s v=""/>
    <s v=""/>
    <s v=""/>
    <s v="通过"/>
  </r>
  <r>
    <s v="SIM-20260910-C002"/>
    <n v="4"/>
    <s v="C002"/>
    <d v="2026-09-10T00:00:00"/>
    <s v="P003"/>
    <x v="0"/>
    <n v="5"/>
    <n v="5"/>
    <n v="0"/>
    <n v="2.9"/>
    <s v="正常交付"/>
    <s v="true"/>
    <x v="12"/>
    <s v="散装鲜菜"/>
    <s v="模拟_桥头家常菜馆"/>
    <n v="14.5"/>
    <n v="0"/>
    <n v="14.5"/>
    <s v=""/>
    <s v=""/>
    <s v=""/>
    <s v=""/>
    <s v="通过"/>
  </r>
  <r>
    <s v="SIM-20260910-C002"/>
    <n v="5"/>
    <s v="C002"/>
    <d v="2026-09-10T00:00:00"/>
    <s v="P002"/>
    <x v="0"/>
    <n v="6.7"/>
    <n v="6.7"/>
    <n v="0"/>
    <n v="2.7"/>
    <s v="正常交付"/>
    <s v="true"/>
    <x v="2"/>
    <s v="散装鲜菜"/>
    <s v="模拟_桥头家常菜馆"/>
    <n v="18.09"/>
    <n v="0"/>
    <n v="18.09"/>
    <s v=""/>
    <s v=""/>
    <s v=""/>
    <s v=""/>
    <s v="通过"/>
  </r>
  <r>
    <s v="SIM-20260910-C002"/>
    <n v="6"/>
    <s v="C002"/>
    <d v="2026-09-10T00:00:00"/>
    <s v="P016"/>
    <x v="0"/>
    <n v="4"/>
    <n v="4"/>
    <n v="0"/>
    <n v="10.4"/>
    <s v="正常交付"/>
    <s v="true"/>
    <x v="4"/>
    <s v="普通鲜鸡蛋按净重"/>
    <s v="模拟_桥头家常菜馆"/>
    <n v="41.6"/>
    <n v="0"/>
    <n v="41.6"/>
    <s v=""/>
    <s v=""/>
    <s v=""/>
    <s v=""/>
    <s v="通过"/>
  </r>
  <r>
    <s v="SIM-20260910-C003"/>
    <n v="1"/>
    <s v="C003"/>
    <d v="2026-09-10T00:00:00"/>
    <s v="P012"/>
    <x v="0"/>
    <n v="7"/>
    <n v="7"/>
    <n v="0.2"/>
    <n v="5"/>
    <s v="正常交付；签收时挑出黄叶退回"/>
    <s v="true"/>
    <x v="0"/>
    <s v="散装鲜菜"/>
    <s v="模拟_兴街快餐店"/>
    <n v="35"/>
    <n v="1"/>
    <n v="34"/>
    <s v=""/>
    <s v=""/>
    <s v=""/>
    <s v=""/>
    <s v="通过"/>
  </r>
  <r>
    <s v="SIM-20260910-C003"/>
    <n v="2"/>
    <s v="C003"/>
    <d v="2026-09-10T00:00:00"/>
    <s v="P007"/>
    <x v="0"/>
    <n v="6.4"/>
    <n v="6.4"/>
    <n v="0"/>
    <n v="5.45"/>
    <s v="正常交付"/>
    <s v="true"/>
    <x v="18"/>
    <s v="散装鲜菜"/>
    <s v="模拟_兴街快餐店"/>
    <n v="34.880000000000003"/>
    <n v="0"/>
    <n v="34.880000000000003"/>
    <s v=""/>
    <s v=""/>
    <s v=""/>
    <s v=""/>
    <s v="通过"/>
  </r>
  <r>
    <s v="SIM-20260910-C003"/>
    <n v="3"/>
    <s v="C003"/>
    <d v="2026-09-10T00:00:00"/>
    <s v="P004"/>
    <x v="0"/>
    <n v="5.7"/>
    <n v="5.7"/>
    <n v="0"/>
    <n v="2.7"/>
    <s v="正常交付"/>
    <s v="true"/>
    <x v="3"/>
    <s v="散装鲜菜"/>
    <s v="模拟_兴街快餐店"/>
    <n v="15.39"/>
    <n v="0"/>
    <n v="15.39"/>
    <s v=""/>
    <s v=""/>
    <s v=""/>
    <s v=""/>
    <s v="通过"/>
  </r>
  <r>
    <s v="SIM-20260910-C003"/>
    <n v="4"/>
    <s v="C003"/>
    <d v="2026-09-10T00:00:00"/>
    <s v="P013"/>
    <x v="0"/>
    <n v="5.7"/>
    <n v="5.7"/>
    <n v="0"/>
    <n v="6"/>
    <s v="正常交付"/>
    <s v="true"/>
    <x v="11"/>
    <s v="散装鲜菜"/>
    <s v="模拟_兴街快餐店"/>
    <n v="34.200000000000003"/>
    <n v="0"/>
    <n v="34.200000000000003"/>
    <s v=""/>
    <s v=""/>
    <s v=""/>
    <s v=""/>
    <s v="通过"/>
  </r>
  <r>
    <s v="SIM-20260910-C003"/>
    <n v="5"/>
    <s v="C003"/>
    <d v="2026-09-10T00:00:00"/>
    <s v="P001"/>
    <x v="0"/>
    <n v="8.3000000000000007"/>
    <n v="8.3000000000000007"/>
    <n v="0"/>
    <n v="3.3"/>
    <s v="正常交付"/>
    <s v="true"/>
    <x v="9"/>
    <s v="散装鲜菜"/>
    <s v="模拟_兴街快餐店"/>
    <n v="27.39"/>
    <n v="0"/>
    <n v="27.39"/>
    <s v=""/>
    <s v=""/>
    <s v=""/>
    <s v=""/>
    <s v="通过"/>
  </r>
  <r>
    <s v="SIM-20260910-C003"/>
    <n v="6"/>
    <s v="C003"/>
    <d v="2026-09-10T00:00:00"/>
    <s v="P009"/>
    <x v="0"/>
    <n v="7.6"/>
    <n v="7.6"/>
    <n v="0"/>
    <n v="5"/>
    <s v="正常交付"/>
    <s v="true"/>
    <x v="17"/>
    <s v="散装鲜菜"/>
    <s v="模拟_兴街快餐店"/>
    <n v="38"/>
    <n v="0"/>
    <n v="38"/>
    <s v=""/>
    <s v=""/>
    <s v=""/>
    <s v=""/>
    <s v="通过"/>
  </r>
  <r>
    <s v="SIM-20260910-C003"/>
    <n v="7"/>
    <s v="C003"/>
    <d v="2026-09-10T00:00:00"/>
    <s v="P016"/>
    <x v="0"/>
    <n v="6"/>
    <n v="6"/>
    <n v="0.1"/>
    <n v="10.4"/>
    <s v="正常交付；签收时破损退回"/>
    <s v="true"/>
    <x v="4"/>
    <s v="普通鲜鸡蛋按净重"/>
    <s v="模拟_兴街快餐店"/>
    <n v="62.4"/>
    <n v="1.04"/>
    <n v="61.36"/>
    <s v=""/>
    <s v=""/>
    <s v=""/>
    <s v=""/>
    <s v="通过"/>
  </r>
  <r>
    <s v="SIM-20260910-C004"/>
    <n v="1"/>
    <s v="C004"/>
    <d v="2026-09-10T00:00:00"/>
    <s v="P012"/>
    <x v="0"/>
    <n v="4.5"/>
    <n v="4.5"/>
    <n v="0"/>
    <n v="5"/>
    <s v="正常交付"/>
    <s v="true"/>
    <x v="0"/>
    <s v="散装鲜菜"/>
    <s v="模拟_田畔饭店"/>
    <n v="22.5"/>
    <n v="0"/>
    <n v="22.5"/>
    <s v=""/>
    <s v=""/>
    <s v=""/>
    <s v=""/>
    <s v="通过"/>
  </r>
  <r>
    <s v="SIM-20260910-C004"/>
    <n v="2"/>
    <s v="C004"/>
    <d v="2026-09-10T00:00:00"/>
    <s v="P008"/>
    <x v="0"/>
    <n v="6.2"/>
    <n v="6.2"/>
    <n v="0"/>
    <n v="4.4000000000000004"/>
    <s v="正常交付"/>
    <s v="true"/>
    <x v="14"/>
    <s v="散装鲜菜"/>
    <s v="模拟_田畔饭店"/>
    <n v="27.28"/>
    <n v="0"/>
    <n v="27.28"/>
    <s v=""/>
    <s v=""/>
    <s v=""/>
    <s v=""/>
    <s v="通过"/>
  </r>
  <r>
    <s v="SIM-20260910-C004"/>
    <n v="3"/>
    <s v="C004"/>
    <d v="2026-09-10T00:00:00"/>
    <s v="P006"/>
    <x v="0"/>
    <n v="6.8"/>
    <n v="6.8"/>
    <n v="0"/>
    <n v="4.8"/>
    <s v="正常交付"/>
    <s v="true"/>
    <x v="10"/>
    <s v="散装鲜菜"/>
    <s v="模拟_田畔饭店"/>
    <n v="32.64"/>
    <n v="0"/>
    <n v="32.64"/>
    <s v=""/>
    <s v=""/>
    <s v=""/>
    <s v=""/>
    <s v="通过"/>
  </r>
  <r>
    <s v="SIM-20260910-C004"/>
    <n v="4"/>
    <s v="C004"/>
    <d v="2026-09-10T00:00:00"/>
    <s v="P005"/>
    <x v="0"/>
    <n v="5.6"/>
    <n v="5.6"/>
    <n v="0"/>
    <n v="2.7"/>
    <s v="正常交付"/>
    <s v="true"/>
    <x v="1"/>
    <s v="散装鲜菜"/>
    <s v="模拟_田畔饭店"/>
    <n v="15.12"/>
    <n v="0"/>
    <n v="15.12"/>
    <s v=""/>
    <s v=""/>
    <s v=""/>
    <s v=""/>
    <s v="通过"/>
  </r>
  <r>
    <s v="SIM-20260910-C004"/>
    <n v="5"/>
    <s v="C004"/>
    <d v="2026-09-10T00:00:00"/>
    <s v="P009"/>
    <x v="0"/>
    <n v="6.2"/>
    <n v="6.2"/>
    <n v="0"/>
    <n v="5"/>
    <s v="正常交付"/>
    <s v="true"/>
    <x v="17"/>
    <s v="散装鲜菜"/>
    <s v="模拟_田畔饭店"/>
    <n v="31"/>
    <n v="0"/>
    <n v="31"/>
    <s v=""/>
    <s v=""/>
    <s v=""/>
    <s v=""/>
    <s v="通过"/>
  </r>
  <r>
    <s v="SIM-20260910-C004"/>
    <n v="6"/>
    <s v="C004"/>
    <d v="2026-09-10T00:00:00"/>
    <s v="P002"/>
    <x v="0"/>
    <n v="9"/>
    <n v="9"/>
    <n v="0"/>
    <n v="2.7"/>
    <s v="正常交付"/>
    <s v="true"/>
    <x v="2"/>
    <s v="散装鲜菜"/>
    <s v="模拟_田畔饭店"/>
    <n v="24.3"/>
    <n v="0"/>
    <n v="24.3"/>
    <s v=""/>
    <s v=""/>
    <s v=""/>
    <s v=""/>
    <s v="通过"/>
  </r>
  <r>
    <s v="SIM-20260910-C004"/>
    <n v="7"/>
    <s v="C004"/>
    <d v="2026-09-10T00:00:00"/>
    <s v="P016"/>
    <x v="0"/>
    <n v="5"/>
    <n v="5"/>
    <n v="0.1"/>
    <n v="10.4"/>
    <s v="正常交付；签收时破损退回"/>
    <s v="true"/>
    <x v="4"/>
    <s v="普通鲜鸡蛋按净重"/>
    <s v="模拟_田畔饭店"/>
    <n v="52"/>
    <n v="1.04"/>
    <n v="50.96"/>
    <s v=""/>
    <s v=""/>
    <s v=""/>
    <s v=""/>
    <s v="通过"/>
  </r>
  <r>
    <s v="SIM-20260910-C005"/>
    <n v="1"/>
    <s v="C005"/>
    <d v="2026-09-10T00:00:00"/>
    <s v="P011"/>
    <x v="0"/>
    <n v="10.1"/>
    <n v="10.1"/>
    <n v="0"/>
    <n v="4.3"/>
    <s v="正常交付"/>
    <s v="true"/>
    <x v="8"/>
    <s v="散装鲜菜"/>
    <s v="模拟_青禾小学食堂"/>
    <n v="43.43"/>
    <n v="0"/>
    <n v="43.43"/>
    <s v=""/>
    <s v=""/>
    <s v=""/>
    <s v=""/>
    <s v="通过"/>
  </r>
  <r>
    <s v="SIM-20260910-C005"/>
    <n v="2"/>
    <s v="C005"/>
    <d v="2026-09-10T00:00:00"/>
    <s v="P002"/>
    <x v="0"/>
    <n v="10.9"/>
    <n v="10.9"/>
    <n v="0"/>
    <n v="2.7"/>
    <s v="正常交付"/>
    <s v="true"/>
    <x v="2"/>
    <s v="散装鲜菜"/>
    <s v="模拟_青禾小学食堂"/>
    <n v="29.43"/>
    <n v="0"/>
    <n v="29.43"/>
    <s v=""/>
    <s v=""/>
    <s v=""/>
    <s v=""/>
    <s v="通过"/>
  </r>
  <r>
    <s v="SIM-20260910-C005"/>
    <n v="3"/>
    <s v="C005"/>
    <d v="2026-09-10T00:00:00"/>
    <s v="P006"/>
    <x v="0"/>
    <n v="5.9"/>
    <n v="5.9"/>
    <n v="0"/>
    <n v="4.8"/>
    <s v="正常交付"/>
    <s v="true"/>
    <x v="10"/>
    <s v="散装鲜菜"/>
    <s v="模拟_青禾小学食堂"/>
    <n v="28.32"/>
    <n v="0"/>
    <n v="28.32"/>
    <s v=""/>
    <s v=""/>
    <s v=""/>
    <s v=""/>
    <s v="通过"/>
  </r>
  <r>
    <s v="SIM-20260910-C005"/>
    <n v="4"/>
    <s v="C005"/>
    <d v="2026-09-10T00:00:00"/>
    <s v="P005"/>
    <x v="0"/>
    <n v="9.3000000000000007"/>
    <n v="9.3000000000000007"/>
    <n v="0"/>
    <n v="2.7"/>
    <s v="正常交付"/>
    <s v="true"/>
    <x v="1"/>
    <s v="散装鲜菜"/>
    <s v="模拟_青禾小学食堂"/>
    <n v="25.11"/>
    <n v="0"/>
    <n v="25.11"/>
    <s v=""/>
    <s v=""/>
    <s v=""/>
    <s v=""/>
    <s v="通过"/>
  </r>
  <r>
    <s v="SIM-20260910-C005"/>
    <n v="5"/>
    <s v="C005"/>
    <d v="2026-09-10T00:00:00"/>
    <s v="P009"/>
    <x v="0"/>
    <n v="6.7"/>
    <n v="6.7"/>
    <n v="0"/>
    <n v="5"/>
    <s v="正常交付"/>
    <s v="true"/>
    <x v="17"/>
    <s v="散装鲜菜"/>
    <s v="模拟_青禾小学食堂"/>
    <n v="33.5"/>
    <n v="0"/>
    <n v="33.5"/>
    <s v=""/>
    <s v=""/>
    <s v=""/>
    <s v=""/>
    <s v="通过"/>
  </r>
  <r>
    <s v="SIM-20260910-C005"/>
    <n v="6"/>
    <s v="C005"/>
    <d v="2026-09-10T00:00:00"/>
    <s v="P003"/>
    <x v="0"/>
    <n v="13.5"/>
    <n v="13.5"/>
    <n v="0"/>
    <n v="2.9"/>
    <s v="正常交付"/>
    <s v="true"/>
    <x v="12"/>
    <s v="散装鲜菜"/>
    <s v="模拟_青禾小学食堂"/>
    <n v="39.15"/>
    <n v="0"/>
    <n v="39.15"/>
    <s v=""/>
    <s v=""/>
    <s v=""/>
    <s v=""/>
    <s v="通过"/>
  </r>
  <r>
    <s v="SIM-20260910-C006"/>
    <n v="1"/>
    <s v="C006"/>
    <d v="2026-09-10T00:00:00"/>
    <s v="P010"/>
    <x v="0"/>
    <n v="6.9"/>
    <n v="6.9"/>
    <n v="0"/>
    <n v="5"/>
    <s v="正常交付"/>
    <s v="true"/>
    <x v="16"/>
    <s v="散装鲜菜"/>
    <s v="模拟_溪桥医院食堂"/>
    <n v="34.5"/>
    <n v="0"/>
    <n v="34.5"/>
    <s v=""/>
    <s v=""/>
    <s v=""/>
    <s v=""/>
    <s v="通过"/>
  </r>
  <r>
    <s v="SIM-20260910-C006"/>
    <n v="2"/>
    <s v="C006"/>
    <d v="2026-09-10T00:00:00"/>
    <s v="P005"/>
    <x v="0"/>
    <n v="6.9"/>
    <n v="6.9"/>
    <n v="0"/>
    <n v="2.7"/>
    <s v="正常交付"/>
    <s v="true"/>
    <x v="1"/>
    <s v="散装鲜菜"/>
    <s v="模拟_溪桥医院食堂"/>
    <n v="18.63"/>
    <n v="0"/>
    <n v="18.63"/>
    <s v=""/>
    <s v=""/>
    <s v=""/>
    <s v=""/>
    <s v="通过"/>
  </r>
  <r>
    <s v="SIM-20260910-C006"/>
    <n v="3"/>
    <s v="C006"/>
    <d v="2026-09-10T00:00:00"/>
    <s v="P014"/>
    <x v="0"/>
    <n v="7.7"/>
    <n v="7.7"/>
    <n v="0"/>
    <n v="5"/>
    <s v="正常交付"/>
    <s v="true"/>
    <x v="19"/>
    <s v="散装鲜菜"/>
    <s v="模拟_溪桥医院食堂"/>
    <n v="38.5"/>
    <n v="0"/>
    <n v="38.5"/>
    <s v=""/>
    <s v=""/>
    <s v=""/>
    <s v=""/>
    <s v="通过"/>
  </r>
  <r>
    <s v="SIM-20260910-C006"/>
    <n v="4"/>
    <s v="C006"/>
    <d v="2026-09-10T00:00:00"/>
    <s v="P001"/>
    <x v="0"/>
    <n v="6"/>
    <n v="5.8"/>
    <n v="0"/>
    <n v="3.3"/>
    <s v="到货不足；按实际交付计费"/>
    <s v="true"/>
    <x v="9"/>
    <s v="散装鲜菜"/>
    <s v="模拟_溪桥医院食堂"/>
    <n v="19.14"/>
    <n v="0"/>
    <n v="19.14"/>
    <s v=""/>
    <s v=""/>
    <s v=""/>
    <s v=""/>
    <s v="通过"/>
  </r>
  <r>
    <s v="SIM-20260910-C006"/>
    <n v="5"/>
    <s v="C006"/>
    <d v="2026-09-10T00:00:00"/>
    <s v="P013"/>
    <x v="0"/>
    <n v="11.2"/>
    <n v="10.7"/>
    <n v="0"/>
    <n v="6"/>
    <s v="到货不足；按实际交付计费"/>
    <s v="true"/>
    <x v="11"/>
    <s v="散装鲜菜"/>
    <s v="模拟_溪桥医院食堂"/>
    <n v="64.2"/>
    <n v="0"/>
    <n v="64.2"/>
    <s v=""/>
    <s v=""/>
    <s v=""/>
    <s v=""/>
    <s v="通过"/>
  </r>
  <r>
    <s v="SIM-20260910-C006"/>
    <n v="6"/>
    <s v="C006"/>
    <d v="2026-09-10T00:00:00"/>
    <s v="P008"/>
    <x v="0"/>
    <n v="6"/>
    <n v="6"/>
    <n v="0"/>
    <n v="4.4000000000000004"/>
    <s v="正常交付"/>
    <s v="true"/>
    <x v="14"/>
    <s v="散装鲜菜"/>
    <s v="模拟_溪桥医院食堂"/>
    <n v="26.4"/>
    <n v="0"/>
    <n v="26.4"/>
    <s v=""/>
    <s v=""/>
    <s v=""/>
    <s v=""/>
    <s v="通过"/>
  </r>
  <r>
    <s v="SIM-20260910-C006"/>
    <n v="7"/>
    <s v="C006"/>
    <d v="2026-09-10T00:00:00"/>
    <s v="P015"/>
    <x v="0"/>
    <n v="1"/>
    <n v="1"/>
    <n v="0"/>
    <n v="7.2"/>
    <s v="正常交付"/>
    <s v="true"/>
    <x v="5"/>
    <s v="散装鲜菜"/>
    <s v="模拟_溪桥医院食堂"/>
    <n v="7.2"/>
    <n v="0"/>
    <n v="7.2"/>
    <s v=""/>
    <s v=""/>
    <s v=""/>
    <s v=""/>
    <s v="通过"/>
  </r>
  <r>
    <s v="SIM-20260911-C001"/>
    <n v="1"/>
    <s v="C001"/>
    <d v="2026-09-11T00:00:00"/>
    <s v="P012"/>
    <x v="0"/>
    <n v="2.1"/>
    <n v="2.1"/>
    <n v="0.2"/>
    <n v="5"/>
    <s v="正常交付；签收时挑出黄叶退回"/>
    <s v="true"/>
    <x v="0"/>
    <s v="散装鲜菜"/>
    <s v="模拟_榕树下粉面店"/>
    <n v="10.5"/>
    <n v="1"/>
    <n v="9.5"/>
    <s v=""/>
    <s v=""/>
    <s v=""/>
    <s v=""/>
    <s v="通过"/>
  </r>
  <r>
    <s v="SIM-20260911-C001"/>
    <n v="2"/>
    <s v="C001"/>
    <d v="2026-09-11T00:00:00"/>
    <s v="P007"/>
    <x v="0"/>
    <n v="2.9"/>
    <n v="2.6"/>
    <n v="0"/>
    <n v="5.45"/>
    <s v="到货不足；按实际交付计费"/>
    <s v="true"/>
    <x v="18"/>
    <s v="散装鲜菜"/>
    <s v="模拟_榕树下粉面店"/>
    <n v="14.17"/>
    <n v="0"/>
    <n v="14.17"/>
    <s v=""/>
    <s v=""/>
    <s v=""/>
    <s v=""/>
    <s v="通过"/>
  </r>
  <r>
    <s v="SIM-20260911-C001"/>
    <n v="3"/>
    <s v="C001"/>
    <d v="2026-09-11T00:00:00"/>
    <s v="P005"/>
    <x v="0"/>
    <n v="2.4"/>
    <n v="2.4"/>
    <n v="0"/>
    <n v="2.7"/>
    <s v="正常交付"/>
    <s v="true"/>
    <x v="1"/>
    <s v="散装鲜菜"/>
    <s v="模拟_榕树下粉面店"/>
    <n v="6.48"/>
    <n v="0"/>
    <n v="6.48"/>
    <s v=""/>
    <s v=""/>
    <s v=""/>
    <s v=""/>
    <s v="通过"/>
  </r>
  <r>
    <s v="SIM-20260911-C001"/>
    <n v="4"/>
    <s v="C001"/>
    <d v="2026-09-11T00:00:00"/>
    <s v="P003"/>
    <x v="0"/>
    <n v="3.2"/>
    <n v="3.2"/>
    <n v="0"/>
    <n v="2.9"/>
    <s v="正常交付"/>
    <s v="true"/>
    <x v="12"/>
    <s v="散装鲜菜"/>
    <s v="模拟_榕树下粉面店"/>
    <n v="9.2799999999999994"/>
    <n v="0"/>
    <n v="9.2799999999999994"/>
    <s v=""/>
    <s v=""/>
    <s v=""/>
    <s v=""/>
    <s v="通过"/>
  </r>
  <r>
    <s v="SIM-20260911-C001"/>
    <n v="5"/>
    <s v="C001"/>
    <d v="2026-09-11T00:00:00"/>
    <s v="P015"/>
    <x v="0"/>
    <n v="0.5"/>
    <n v="0.5"/>
    <n v="0"/>
    <n v="7.2"/>
    <s v="正常交付"/>
    <s v="true"/>
    <x v="5"/>
    <s v="散装鲜菜"/>
    <s v="模拟_榕树下粉面店"/>
    <n v="3.6"/>
    <n v="0"/>
    <n v="3.6"/>
    <s v=""/>
    <s v=""/>
    <s v=""/>
    <s v=""/>
    <s v="通过"/>
  </r>
  <r>
    <s v="SIM-20260911-C002"/>
    <n v="1"/>
    <s v="C002"/>
    <d v="2026-09-11T00:00:00"/>
    <s v="P012"/>
    <x v="0"/>
    <n v="8.6"/>
    <n v="8.6"/>
    <n v="0"/>
    <n v="5"/>
    <s v="正常交付"/>
    <s v="true"/>
    <x v="0"/>
    <s v="散装鲜菜"/>
    <s v="模拟_桥头家常菜馆"/>
    <n v="43"/>
    <n v="0"/>
    <n v="43"/>
    <s v=""/>
    <s v=""/>
    <s v=""/>
    <s v=""/>
    <s v="通过"/>
  </r>
  <r>
    <s v="SIM-20260911-C002"/>
    <n v="2"/>
    <s v="C002"/>
    <d v="2026-09-11T00:00:00"/>
    <s v="P003"/>
    <x v="0"/>
    <n v="4.3"/>
    <n v="4.3"/>
    <n v="0"/>
    <n v="2.9"/>
    <s v="正常交付"/>
    <s v="true"/>
    <x v="12"/>
    <s v="散装鲜菜"/>
    <s v="模拟_桥头家常菜馆"/>
    <n v="12.47"/>
    <n v="0"/>
    <n v="12.47"/>
    <s v=""/>
    <s v=""/>
    <s v=""/>
    <s v=""/>
    <s v="通过"/>
  </r>
  <r>
    <s v="SIM-20260911-C002"/>
    <n v="3"/>
    <s v="C002"/>
    <d v="2026-09-11T00:00:00"/>
    <s v="P009"/>
    <x v="0"/>
    <n v="9.9"/>
    <n v="9.9"/>
    <n v="0"/>
    <n v="5"/>
    <s v="正常交付"/>
    <s v="true"/>
    <x v="17"/>
    <s v="散装鲜菜"/>
    <s v="模拟_桥头家常菜馆"/>
    <n v="49.5"/>
    <n v="0"/>
    <n v="49.5"/>
    <s v=""/>
    <s v=""/>
    <s v=""/>
    <s v=""/>
    <s v="通过"/>
  </r>
  <r>
    <s v="SIM-20260911-C002"/>
    <n v="4"/>
    <s v="C002"/>
    <d v="2026-09-11T00:00:00"/>
    <s v="P002"/>
    <x v="0"/>
    <n v="9.3000000000000007"/>
    <n v="9.3000000000000007"/>
    <n v="0"/>
    <n v="2.7"/>
    <s v="正常交付"/>
    <s v="true"/>
    <x v="2"/>
    <s v="散装鲜菜"/>
    <s v="模拟_桥头家常菜馆"/>
    <n v="25.11"/>
    <n v="0"/>
    <n v="25.11"/>
    <s v=""/>
    <s v=""/>
    <s v=""/>
    <s v=""/>
    <s v="通过"/>
  </r>
  <r>
    <s v="SIM-20260911-C002"/>
    <n v="5"/>
    <s v="C002"/>
    <d v="2026-09-11T00:00:00"/>
    <s v="P014"/>
    <x v="0"/>
    <n v="4.3"/>
    <n v="4.3"/>
    <n v="0"/>
    <n v="5"/>
    <s v="正常交付"/>
    <s v="true"/>
    <x v="19"/>
    <s v="散装鲜菜"/>
    <s v="模拟_桥头家常菜馆"/>
    <n v="21.5"/>
    <n v="0"/>
    <n v="21.5"/>
    <s v=""/>
    <s v=""/>
    <s v=""/>
    <s v=""/>
    <s v="通过"/>
  </r>
  <r>
    <s v="SIM-20260911-C002"/>
    <n v="6"/>
    <s v="C002"/>
    <d v="2026-09-11T00:00:00"/>
    <s v="P015"/>
    <x v="0"/>
    <n v="1"/>
    <n v="1"/>
    <n v="0"/>
    <n v="7.2"/>
    <s v="正常交付"/>
    <s v="true"/>
    <x v="5"/>
    <s v="散装鲜菜"/>
    <s v="模拟_桥头家常菜馆"/>
    <n v="7.2"/>
    <n v="0"/>
    <n v="7.2"/>
    <s v=""/>
    <s v=""/>
    <s v=""/>
    <s v=""/>
    <s v="通过"/>
  </r>
  <r>
    <s v="SIM-20260911-C003"/>
    <n v="1"/>
    <s v="C003"/>
    <d v="2026-09-11T00:00:00"/>
    <s v="P010"/>
    <x v="0"/>
    <n v="9"/>
    <n v="9"/>
    <n v="0"/>
    <n v="5"/>
    <s v="正常交付"/>
    <s v="true"/>
    <x v="16"/>
    <s v="散装鲜菜"/>
    <s v="模拟_兴街快餐店"/>
    <n v="45"/>
    <n v="0"/>
    <n v="45"/>
    <s v=""/>
    <s v=""/>
    <s v=""/>
    <s v=""/>
    <s v="通过"/>
  </r>
  <r>
    <s v="SIM-20260911-C003"/>
    <n v="2"/>
    <s v="C003"/>
    <d v="2026-09-11T00:00:00"/>
    <s v="P001"/>
    <x v="0"/>
    <n v="7.3"/>
    <n v="7.3"/>
    <n v="0"/>
    <n v="3.3"/>
    <s v="正常交付"/>
    <s v="true"/>
    <x v="9"/>
    <s v="散装鲜菜"/>
    <s v="模拟_兴街快餐店"/>
    <n v="24.09"/>
    <n v="0"/>
    <n v="24.09"/>
    <s v=""/>
    <s v=""/>
    <s v=""/>
    <s v=""/>
    <s v="通过"/>
  </r>
  <r>
    <s v="SIM-20260911-C003"/>
    <n v="3"/>
    <s v="C003"/>
    <d v="2026-09-11T00:00:00"/>
    <s v="P014"/>
    <x v="0"/>
    <n v="3.9"/>
    <n v="3.9"/>
    <n v="0"/>
    <n v="5"/>
    <s v="正常交付"/>
    <s v="true"/>
    <x v="19"/>
    <s v="散装鲜菜"/>
    <s v="模拟_兴街快餐店"/>
    <n v="19.5"/>
    <n v="0"/>
    <n v="19.5"/>
    <s v=""/>
    <s v=""/>
    <s v=""/>
    <s v=""/>
    <s v="通过"/>
  </r>
  <r>
    <s v="SIM-20260911-C003"/>
    <n v="4"/>
    <s v="C003"/>
    <d v="2026-09-11T00:00:00"/>
    <s v="P005"/>
    <x v="0"/>
    <n v="6.2"/>
    <n v="6.2"/>
    <n v="0"/>
    <n v="2.7"/>
    <s v="正常交付"/>
    <s v="true"/>
    <x v="1"/>
    <s v="散装鲜菜"/>
    <s v="模拟_兴街快餐店"/>
    <n v="16.739999999999998"/>
    <n v="0"/>
    <n v="16.739999999999998"/>
    <s v=""/>
    <s v=""/>
    <s v=""/>
    <s v=""/>
    <s v="通过"/>
  </r>
  <r>
    <s v="SIM-20260911-C003"/>
    <n v="5"/>
    <s v="C003"/>
    <d v="2026-09-11T00:00:00"/>
    <s v="P003"/>
    <x v="0"/>
    <n v="5.0999999999999996"/>
    <n v="5.0999999999999996"/>
    <n v="0"/>
    <n v="2.9"/>
    <s v="正常交付"/>
    <s v="true"/>
    <x v="12"/>
    <s v="散装鲜菜"/>
    <s v="模拟_兴街快餐店"/>
    <n v="14.79"/>
    <n v="0"/>
    <n v="14.79"/>
    <s v=""/>
    <s v=""/>
    <s v=""/>
    <s v=""/>
    <s v="通过"/>
  </r>
  <r>
    <s v="SIM-20260911-C003"/>
    <n v="6"/>
    <s v="C003"/>
    <d v="2026-09-11T00:00:00"/>
    <s v="P009"/>
    <x v="0"/>
    <n v="7.9"/>
    <n v="7.9"/>
    <n v="0"/>
    <n v="5"/>
    <s v="正常交付"/>
    <s v="true"/>
    <x v="17"/>
    <s v="散装鲜菜"/>
    <s v="模拟_兴街快餐店"/>
    <n v="39.5"/>
    <n v="0"/>
    <n v="39.5"/>
    <s v=""/>
    <s v=""/>
    <s v=""/>
    <s v=""/>
    <s v="通过"/>
  </r>
  <r>
    <s v="SIM-20260911-C003"/>
    <n v="7"/>
    <s v="C003"/>
    <d v="2026-09-11T00:00:00"/>
    <s v="P015"/>
    <x v="0"/>
    <n v="1"/>
    <n v="1"/>
    <n v="0"/>
    <n v="7.2"/>
    <s v="正常交付"/>
    <s v="true"/>
    <x v="5"/>
    <s v="散装鲜菜"/>
    <s v="模拟_兴街快餐店"/>
    <n v="7.2"/>
    <n v="0"/>
    <n v="7.2"/>
    <s v=""/>
    <s v=""/>
    <s v=""/>
    <s v=""/>
    <s v="通过"/>
  </r>
  <r>
    <s v="SIM-20260911-C005"/>
    <n v="1"/>
    <s v="C005"/>
    <d v="2026-09-11T00:00:00"/>
    <s v="P010"/>
    <x v="0"/>
    <n v="15"/>
    <n v="15"/>
    <n v="0"/>
    <n v="5"/>
    <s v="正常交付"/>
    <s v="true"/>
    <x v="16"/>
    <s v="散装鲜菜"/>
    <s v="模拟_青禾小学食堂"/>
    <n v="75"/>
    <n v="0"/>
    <n v="75"/>
    <s v=""/>
    <s v=""/>
    <s v=""/>
    <s v=""/>
    <s v="通过"/>
  </r>
  <r>
    <s v="SIM-20260911-C005"/>
    <n v="2"/>
    <s v="C005"/>
    <d v="2026-09-11T00:00:00"/>
    <s v="P013"/>
    <x v="0"/>
    <n v="16"/>
    <n v="16"/>
    <n v="0"/>
    <n v="6"/>
    <s v="正常交付"/>
    <s v="true"/>
    <x v="11"/>
    <s v="散装鲜菜"/>
    <s v="模拟_青禾小学食堂"/>
    <n v="96"/>
    <n v="0"/>
    <n v="96"/>
    <s v=""/>
    <s v=""/>
    <s v=""/>
    <s v=""/>
    <s v="通过"/>
  </r>
  <r>
    <s v="SIM-20260911-C005"/>
    <n v="3"/>
    <s v="C005"/>
    <d v="2026-09-11T00:00:00"/>
    <s v="P006"/>
    <x v="0"/>
    <n v="7.5"/>
    <n v="7.5"/>
    <n v="0"/>
    <n v="4.8"/>
    <s v="正常交付"/>
    <s v="true"/>
    <x v="10"/>
    <s v="散装鲜菜"/>
    <s v="模拟_青禾小学食堂"/>
    <n v="36"/>
    <n v="0"/>
    <n v="36"/>
    <s v=""/>
    <s v=""/>
    <s v=""/>
    <s v=""/>
    <s v="通过"/>
  </r>
  <r>
    <s v="SIM-20260911-C005"/>
    <n v="4"/>
    <s v="C005"/>
    <d v="2026-09-11T00:00:00"/>
    <s v="P001"/>
    <x v="0"/>
    <n v="8.5"/>
    <n v="8.5"/>
    <n v="0"/>
    <n v="3.3"/>
    <s v="正常交付"/>
    <s v="true"/>
    <x v="9"/>
    <s v="散装鲜菜"/>
    <s v="模拟_青禾小学食堂"/>
    <n v="28.05"/>
    <n v="0"/>
    <n v="28.05"/>
    <s v=""/>
    <s v=""/>
    <s v=""/>
    <s v=""/>
    <s v="通过"/>
  </r>
  <r>
    <s v="SIM-20260911-C005"/>
    <n v="5"/>
    <s v="C005"/>
    <d v="2026-09-11T00:00:00"/>
    <s v="P003"/>
    <x v="0"/>
    <n v="12.8"/>
    <n v="12.8"/>
    <n v="0"/>
    <n v="2.9"/>
    <s v="正常交付"/>
    <s v="true"/>
    <x v="12"/>
    <s v="散装鲜菜"/>
    <s v="模拟_青禾小学食堂"/>
    <n v="37.119999999999997"/>
    <n v="0"/>
    <n v="37.119999999999997"/>
    <s v=""/>
    <s v=""/>
    <s v=""/>
    <s v=""/>
    <s v="通过"/>
  </r>
  <r>
    <s v="SIM-20260911-C005"/>
    <n v="6"/>
    <s v="C005"/>
    <d v="2026-09-11T00:00:00"/>
    <s v="P007"/>
    <x v="0"/>
    <n v="9.6"/>
    <n v="9.6"/>
    <n v="0"/>
    <n v="5.45"/>
    <s v="正常交付"/>
    <s v="true"/>
    <x v="18"/>
    <s v="散装鲜菜"/>
    <s v="模拟_青禾小学食堂"/>
    <n v="52.32"/>
    <n v="0"/>
    <n v="52.32"/>
    <s v=""/>
    <s v=""/>
    <s v=""/>
    <s v=""/>
    <s v="通过"/>
  </r>
  <r>
    <s v="SIM-20260911-C005"/>
    <n v="7"/>
    <s v="C005"/>
    <d v="2026-09-11T00:00:00"/>
    <s v="P016"/>
    <x v="0"/>
    <n v="12"/>
    <n v="12"/>
    <n v="0"/>
    <n v="10.4"/>
    <s v="正常交付"/>
    <s v="true"/>
    <x v="4"/>
    <s v="普通鲜鸡蛋按净重"/>
    <s v="模拟_青禾小学食堂"/>
    <n v="124.8"/>
    <n v="0"/>
    <n v="124.8"/>
    <s v=""/>
    <s v=""/>
    <s v=""/>
    <s v=""/>
    <s v="通过"/>
  </r>
  <r>
    <s v="SIM-20260911-C006"/>
    <n v="1"/>
    <s v="C006"/>
    <d v="2026-09-11T00:00:00"/>
    <s v="P012"/>
    <x v="0"/>
    <n v="12.3"/>
    <n v="12.3"/>
    <n v="0.3"/>
    <n v="5"/>
    <s v="正常交付；签收时挑出黄叶退回"/>
    <s v="true"/>
    <x v="0"/>
    <s v="散装鲜菜"/>
    <s v="模拟_溪桥医院食堂"/>
    <n v="61.5"/>
    <n v="1.5"/>
    <n v="60"/>
    <s v=""/>
    <s v=""/>
    <s v=""/>
    <s v=""/>
    <s v="通过"/>
  </r>
  <r>
    <s v="SIM-20260911-C006"/>
    <n v="2"/>
    <s v="C006"/>
    <d v="2026-09-11T00:00:00"/>
    <s v="P004"/>
    <x v="0"/>
    <n v="5.4"/>
    <n v="5.4"/>
    <n v="0"/>
    <n v="2.7"/>
    <s v="正常交付"/>
    <s v="true"/>
    <x v="3"/>
    <s v="散装鲜菜"/>
    <s v="模拟_溪桥医院食堂"/>
    <n v="14.58"/>
    <n v="0"/>
    <n v="14.58"/>
    <s v=""/>
    <s v=""/>
    <s v=""/>
    <s v=""/>
    <s v="通过"/>
  </r>
  <r>
    <s v="SIM-20260911-C006"/>
    <n v="3"/>
    <s v="C006"/>
    <d v="2026-09-11T00:00:00"/>
    <s v="P013"/>
    <x v="0"/>
    <n v="8.5"/>
    <n v="8.5"/>
    <n v="0"/>
    <n v="6"/>
    <s v="正常交付"/>
    <s v="true"/>
    <x v="11"/>
    <s v="散装鲜菜"/>
    <s v="模拟_溪桥医院食堂"/>
    <n v="51"/>
    <n v="0"/>
    <n v="51"/>
    <s v=""/>
    <s v=""/>
    <s v=""/>
    <s v=""/>
    <s v="通过"/>
  </r>
  <r>
    <s v="SIM-20260911-C006"/>
    <n v="4"/>
    <s v="C006"/>
    <d v="2026-09-11T00:00:00"/>
    <s v="P002"/>
    <x v="0"/>
    <n v="9.1999999999999993"/>
    <n v="9.1999999999999993"/>
    <n v="0"/>
    <n v="2.7"/>
    <s v="正常交付"/>
    <s v="true"/>
    <x v="2"/>
    <s v="散装鲜菜"/>
    <s v="模拟_溪桥医院食堂"/>
    <n v="24.84"/>
    <n v="0"/>
    <n v="24.84"/>
    <s v=""/>
    <s v=""/>
    <s v=""/>
    <s v=""/>
    <s v="通过"/>
  </r>
  <r>
    <s v="SIM-20260911-C006"/>
    <n v="5"/>
    <s v="C006"/>
    <d v="2026-09-11T00:00:00"/>
    <s v="P014"/>
    <x v="0"/>
    <n v="5.4"/>
    <n v="5.4"/>
    <n v="0"/>
    <n v="5"/>
    <s v="正常交付"/>
    <s v="true"/>
    <x v="19"/>
    <s v="散装鲜菜"/>
    <s v="模拟_溪桥医院食堂"/>
    <n v="27"/>
    <n v="0"/>
    <n v="27"/>
    <s v=""/>
    <s v=""/>
    <s v=""/>
    <s v=""/>
    <s v="通过"/>
  </r>
  <r>
    <s v="SIM-20260911-C006"/>
    <n v="6"/>
    <s v="C006"/>
    <d v="2026-09-11T00:00:00"/>
    <s v="P007"/>
    <x v="0"/>
    <n v="7.7"/>
    <n v="7.7"/>
    <n v="0"/>
    <n v="5.45"/>
    <s v="正常交付"/>
    <s v="true"/>
    <x v="18"/>
    <s v="散装鲜菜"/>
    <s v="模拟_溪桥医院食堂"/>
    <n v="41.97"/>
    <n v="0"/>
    <n v="41.97"/>
    <s v=""/>
    <s v=""/>
    <s v=""/>
    <s v=""/>
    <s v="通过"/>
  </r>
  <r>
    <s v="SIM-20260911-C006"/>
    <n v="7"/>
    <s v="C006"/>
    <d v="2026-09-11T00:00:00"/>
    <s v="P016"/>
    <x v="0"/>
    <n v="9"/>
    <n v="9"/>
    <n v="0"/>
    <n v="10.4"/>
    <s v="正常交付"/>
    <s v="true"/>
    <x v="4"/>
    <s v="普通鲜鸡蛋按净重"/>
    <s v="模拟_溪桥医院食堂"/>
    <n v="93.6"/>
    <n v="0"/>
    <n v="93.6"/>
    <s v=""/>
    <s v=""/>
    <s v=""/>
    <s v=""/>
    <s v="通过"/>
  </r>
  <r>
    <s v="SIM-20260911-C006"/>
    <n v="8"/>
    <s v="C006"/>
    <d v="2026-09-11T00:00:00"/>
    <s v="P017"/>
    <x v="2"/>
    <n v="4"/>
    <n v="4"/>
    <n v="0"/>
    <n v="116"/>
    <s v="正常交付"/>
    <s v="true"/>
    <x v="13"/>
    <s v="25公斤/袋普通籼米"/>
    <s v="模拟_溪桥医院食堂"/>
    <n v="464"/>
    <n v="0"/>
    <n v="464"/>
    <s v=""/>
    <s v=""/>
    <s v=""/>
    <s v=""/>
    <s v="通过"/>
  </r>
  <r>
    <s v="SIM-20260911-C006"/>
    <n v="9"/>
    <s v="C006"/>
    <d v="2026-09-11T00:00:00"/>
    <s v="P020"/>
    <x v="1"/>
    <n v="2"/>
    <n v="2"/>
    <n v="0"/>
    <n v="59"/>
    <s v="正常交付"/>
    <s v="true"/>
    <x v="15"/>
    <s v="5升/桶普通大豆油"/>
    <s v="模拟_溪桥医院食堂"/>
    <n v="118"/>
    <n v="0"/>
    <n v="118"/>
    <s v=""/>
    <s v=""/>
    <s v=""/>
    <s v=""/>
    <s v="通过"/>
  </r>
  <r>
    <s v="SIM-20260912-C001"/>
    <n v="1"/>
    <s v="C001"/>
    <d v="2026-09-12T00:00:00"/>
    <s v="P011"/>
    <x v="0"/>
    <n v="3.2"/>
    <n v="3.2"/>
    <n v="0"/>
    <n v="4.3"/>
    <s v="正常交付"/>
    <s v="true"/>
    <x v="8"/>
    <s v="散装鲜菜"/>
    <s v="模拟_榕树下粉面店"/>
    <n v="13.76"/>
    <n v="0"/>
    <n v="13.76"/>
    <s v=""/>
    <s v=""/>
    <s v=""/>
    <s v=""/>
    <s v="通过"/>
  </r>
  <r>
    <s v="SIM-20260912-C001"/>
    <n v="2"/>
    <s v="C001"/>
    <d v="2026-09-12T00:00:00"/>
    <s v="P013"/>
    <x v="0"/>
    <n v="3.6"/>
    <n v="3.6"/>
    <n v="0"/>
    <n v="6"/>
    <s v="正常交付"/>
    <s v="true"/>
    <x v="11"/>
    <s v="散装鲜菜"/>
    <s v="模拟_榕树下粉面店"/>
    <n v="21.6"/>
    <n v="0"/>
    <n v="21.6"/>
    <s v=""/>
    <s v=""/>
    <s v=""/>
    <s v=""/>
    <s v="通过"/>
  </r>
  <r>
    <s v="SIM-20260912-C001"/>
    <n v="3"/>
    <s v="C001"/>
    <d v="2026-09-12T00:00:00"/>
    <s v="P014"/>
    <x v="0"/>
    <n v="3"/>
    <n v="3"/>
    <n v="0"/>
    <n v="5"/>
    <s v="正常交付"/>
    <s v="true"/>
    <x v="19"/>
    <s v="散装鲜菜"/>
    <s v="模拟_榕树下粉面店"/>
    <n v="15"/>
    <n v="0"/>
    <n v="15"/>
    <s v=""/>
    <s v=""/>
    <s v=""/>
    <s v=""/>
    <s v="通过"/>
  </r>
  <r>
    <s v="SIM-20260912-C001"/>
    <n v="4"/>
    <s v="C001"/>
    <d v="2026-09-12T00:00:00"/>
    <s v="P008"/>
    <x v="0"/>
    <n v="3.2"/>
    <n v="3.2"/>
    <n v="0"/>
    <n v="4.4000000000000004"/>
    <s v="正常交付"/>
    <s v="true"/>
    <x v="14"/>
    <s v="散装鲜菜"/>
    <s v="模拟_榕树下粉面店"/>
    <n v="14.08"/>
    <n v="0"/>
    <n v="14.08"/>
    <s v=""/>
    <s v=""/>
    <s v=""/>
    <s v=""/>
    <s v="通过"/>
  </r>
  <r>
    <s v="SIM-20260912-C001"/>
    <n v="5"/>
    <s v="C001"/>
    <d v="2026-09-12T00:00:00"/>
    <s v="P016"/>
    <x v="0"/>
    <n v="3"/>
    <n v="3"/>
    <n v="0"/>
    <n v="10.4"/>
    <s v="正常交付"/>
    <s v="true"/>
    <x v="4"/>
    <s v="普通鲜鸡蛋按净重"/>
    <s v="模拟_榕树下粉面店"/>
    <n v="31.2"/>
    <n v="0"/>
    <n v="31.2"/>
    <s v=""/>
    <s v=""/>
    <s v=""/>
    <s v=""/>
    <s v="通过"/>
  </r>
  <r>
    <s v="SIM-20260912-C001"/>
    <n v="6"/>
    <s v="C001"/>
    <d v="2026-09-12T00:00:00"/>
    <s v="P019"/>
    <x v="1"/>
    <n v="1"/>
    <n v="1"/>
    <n v="0"/>
    <n v="66"/>
    <s v="正常交付"/>
    <s v="true"/>
    <x v="6"/>
    <s v="5升/桶普通菜籽油"/>
    <s v="模拟_榕树下粉面店"/>
    <n v="66"/>
    <n v="0"/>
    <n v="66"/>
    <s v=""/>
    <s v=""/>
    <s v=""/>
    <s v=""/>
    <s v="通过"/>
  </r>
  <r>
    <s v="SIM-20260912-C001"/>
    <n v="7"/>
    <s v="C001"/>
    <d v="2026-09-12T00:00:00"/>
    <s v="P018"/>
    <x v="2"/>
    <n v="1"/>
    <n v="1"/>
    <n v="0"/>
    <n v="108"/>
    <s v="正常交付"/>
    <s v="true"/>
    <x v="7"/>
    <s v="25公斤/袋普通小麦粉"/>
    <s v="模拟_榕树下粉面店"/>
    <n v="108"/>
    <n v="0"/>
    <n v="108"/>
    <s v=""/>
    <s v=""/>
    <s v=""/>
    <s v=""/>
    <s v="通过"/>
  </r>
  <r>
    <s v="SIM-20260912-C002"/>
    <n v="1"/>
    <s v="C002"/>
    <d v="2026-09-12T00:00:00"/>
    <s v="P010"/>
    <x v="0"/>
    <n v="5.0999999999999996"/>
    <n v="5.0999999999999996"/>
    <n v="0"/>
    <n v="5"/>
    <s v="正常交付"/>
    <s v="true"/>
    <x v="16"/>
    <s v="散装鲜菜"/>
    <s v="模拟_桥头家常菜馆"/>
    <n v="25.5"/>
    <n v="0"/>
    <n v="25.5"/>
    <s v=""/>
    <s v=""/>
    <s v=""/>
    <s v=""/>
    <s v="通过"/>
  </r>
  <r>
    <s v="SIM-20260912-C002"/>
    <n v="2"/>
    <s v="C002"/>
    <d v="2026-09-12T00:00:00"/>
    <s v="P003"/>
    <x v="0"/>
    <n v="4.5999999999999996"/>
    <n v="4.5999999999999996"/>
    <n v="0"/>
    <n v="2.9"/>
    <s v="正常交付"/>
    <s v="true"/>
    <x v="12"/>
    <s v="散装鲜菜"/>
    <s v="模拟_桥头家常菜馆"/>
    <n v="13.34"/>
    <n v="0"/>
    <n v="13.34"/>
    <s v=""/>
    <s v=""/>
    <s v=""/>
    <s v=""/>
    <s v="通过"/>
  </r>
  <r>
    <s v="SIM-20260912-C002"/>
    <n v="3"/>
    <s v="C002"/>
    <d v="2026-09-12T00:00:00"/>
    <s v="P005"/>
    <x v="0"/>
    <n v="4.5999999999999996"/>
    <n v="4.5999999999999996"/>
    <n v="0"/>
    <n v="2.7"/>
    <s v="正常交付"/>
    <s v="true"/>
    <x v="1"/>
    <s v="散装鲜菜"/>
    <s v="模拟_桥头家常菜馆"/>
    <n v="12.42"/>
    <n v="0"/>
    <n v="12.42"/>
    <s v=""/>
    <s v=""/>
    <s v=""/>
    <s v=""/>
    <s v="通过"/>
  </r>
  <r>
    <s v="SIM-20260912-C002"/>
    <n v="4"/>
    <s v="C002"/>
    <d v="2026-09-12T00:00:00"/>
    <s v="P009"/>
    <x v="0"/>
    <n v="8.6"/>
    <n v="8.6"/>
    <n v="0"/>
    <n v="5"/>
    <s v="正常交付"/>
    <s v="true"/>
    <x v="17"/>
    <s v="散装鲜菜"/>
    <s v="模拟_桥头家常菜馆"/>
    <n v="43"/>
    <n v="0"/>
    <n v="43"/>
    <s v=""/>
    <s v=""/>
    <s v=""/>
    <s v=""/>
    <s v="通过"/>
  </r>
  <r>
    <s v="SIM-20260912-C002"/>
    <n v="5"/>
    <s v="C002"/>
    <d v="2026-09-12T00:00:00"/>
    <s v="P002"/>
    <x v="0"/>
    <n v="8"/>
    <n v="8"/>
    <n v="0"/>
    <n v="2.7"/>
    <s v="正常交付"/>
    <s v="true"/>
    <x v="2"/>
    <s v="散装鲜菜"/>
    <s v="模拟_桥头家常菜馆"/>
    <n v="21.6"/>
    <n v="0"/>
    <n v="21.6"/>
    <s v=""/>
    <s v=""/>
    <s v=""/>
    <s v=""/>
    <s v="通过"/>
  </r>
  <r>
    <s v="SIM-20260912-C002"/>
    <n v="6"/>
    <s v="C002"/>
    <d v="2026-09-12T00:00:00"/>
    <s v="P016"/>
    <x v="0"/>
    <n v="4"/>
    <n v="4"/>
    <n v="0"/>
    <n v="10.4"/>
    <s v="正常交付"/>
    <s v="true"/>
    <x v="4"/>
    <s v="普通鲜鸡蛋按净重"/>
    <s v="模拟_桥头家常菜馆"/>
    <n v="41.6"/>
    <n v="0"/>
    <n v="41.6"/>
    <s v=""/>
    <s v=""/>
    <s v=""/>
    <s v=""/>
    <s v="通过"/>
  </r>
  <r>
    <s v="SIM-20260912-C002"/>
    <n v="7"/>
    <s v="C002"/>
    <d v="2026-09-12T00:00:00"/>
    <s v="P017"/>
    <x v="2"/>
    <n v="3"/>
    <n v="3"/>
    <n v="0"/>
    <n v="116"/>
    <s v="正常交付"/>
    <s v="true"/>
    <x v="13"/>
    <s v="25公斤/袋普通籼米"/>
    <s v="模拟_桥头家常菜馆"/>
    <n v="348"/>
    <n v="0"/>
    <n v="348"/>
    <s v=""/>
    <s v=""/>
    <s v=""/>
    <s v=""/>
    <s v="通过"/>
  </r>
  <r>
    <s v="SIM-20260912-C002"/>
    <n v="8"/>
    <s v="C002"/>
    <d v="2026-09-12T00:00:00"/>
    <s v="P019"/>
    <x v="1"/>
    <n v="1"/>
    <n v="1"/>
    <n v="0"/>
    <n v="66"/>
    <s v="正常交付"/>
    <s v="true"/>
    <x v="6"/>
    <s v="5升/桶普通菜籽油"/>
    <s v="模拟_桥头家常菜馆"/>
    <n v="66"/>
    <n v="0"/>
    <n v="66"/>
    <s v=""/>
    <s v=""/>
    <s v=""/>
    <s v=""/>
    <s v="通过"/>
  </r>
  <r>
    <s v="SIM-20260912-C003"/>
    <n v="1"/>
    <s v="C003"/>
    <d v="2026-09-12T00:00:00"/>
    <s v="P012"/>
    <x v="0"/>
    <n v="4.9000000000000004"/>
    <n v="4.9000000000000004"/>
    <n v="0"/>
    <n v="5"/>
    <s v="正常交付"/>
    <s v="true"/>
    <x v="0"/>
    <s v="散装鲜菜"/>
    <s v="模拟_兴街快餐店"/>
    <n v="24.5"/>
    <n v="0"/>
    <n v="24.5"/>
    <s v=""/>
    <s v=""/>
    <s v=""/>
    <s v=""/>
    <s v="通过"/>
  </r>
  <r>
    <s v="SIM-20260912-C003"/>
    <n v="2"/>
    <s v="C003"/>
    <d v="2026-09-12T00:00:00"/>
    <s v="P013"/>
    <x v="0"/>
    <n v="6.3"/>
    <n v="6.3"/>
    <n v="0"/>
    <n v="6"/>
    <s v="正常交付"/>
    <s v="true"/>
    <x v="11"/>
    <s v="散装鲜菜"/>
    <s v="模拟_兴街快餐店"/>
    <n v="37.799999999999997"/>
    <n v="0"/>
    <n v="37.799999999999997"/>
    <s v=""/>
    <s v=""/>
    <s v=""/>
    <s v=""/>
    <s v="通过"/>
  </r>
  <r>
    <s v="SIM-20260912-C003"/>
    <n v="3"/>
    <s v="C003"/>
    <d v="2026-09-12T00:00:00"/>
    <s v="P014"/>
    <x v="0"/>
    <n v="7.3"/>
    <n v="7.3"/>
    <n v="0"/>
    <n v="5"/>
    <s v="正常交付"/>
    <s v="true"/>
    <x v="19"/>
    <s v="散装鲜菜"/>
    <s v="模拟_兴街快餐店"/>
    <n v="36.5"/>
    <n v="0"/>
    <n v="36.5"/>
    <s v=""/>
    <s v=""/>
    <s v=""/>
    <s v=""/>
    <s v="通过"/>
  </r>
  <r>
    <s v="SIM-20260912-C003"/>
    <n v="4"/>
    <s v="C003"/>
    <d v="2026-09-12T00:00:00"/>
    <s v="P003"/>
    <x v="0"/>
    <n v="4.4000000000000004"/>
    <n v="4.4000000000000004"/>
    <n v="0"/>
    <n v="2.9"/>
    <s v="正常交付"/>
    <s v="true"/>
    <x v="12"/>
    <s v="散装鲜菜"/>
    <s v="模拟_兴街快餐店"/>
    <n v="12.76"/>
    <n v="0"/>
    <n v="12.76"/>
    <s v=""/>
    <s v=""/>
    <s v=""/>
    <s v=""/>
    <s v="通过"/>
  </r>
  <r>
    <s v="SIM-20260912-C003"/>
    <n v="5"/>
    <s v="C003"/>
    <d v="2026-09-12T00:00:00"/>
    <s v="P005"/>
    <x v="0"/>
    <n v="6.8"/>
    <n v="6.8"/>
    <n v="0"/>
    <n v="2.7"/>
    <s v="正常交付"/>
    <s v="true"/>
    <x v="1"/>
    <s v="散装鲜菜"/>
    <s v="模拟_兴街快餐店"/>
    <n v="18.36"/>
    <n v="0"/>
    <n v="18.36"/>
    <s v=""/>
    <s v=""/>
    <s v=""/>
    <s v=""/>
    <s v="通过"/>
  </r>
  <r>
    <s v="SIM-20260912-C003"/>
    <n v="6"/>
    <s v="C003"/>
    <d v="2026-09-12T00:00:00"/>
    <s v="P002"/>
    <x v="0"/>
    <n v="7.8"/>
    <n v="7.8"/>
    <n v="0"/>
    <n v="2.7"/>
    <s v="正常交付"/>
    <s v="true"/>
    <x v="2"/>
    <s v="散装鲜菜"/>
    <s v="模拟_兴街快餐店"/>
    <n v="21.06"/>
    <n v="0"/>
    <n v="21.06"/>
    <s v=""/>
    <s v=""/>
    <s v=""/>
    <s v=""/>
    <s v="通过"/>
  </r>
  <r>
    <s v="SIM-20260912-C003"/>
    <n v="7"/>
    <s v="C003"/>
    <d v="2026-09-12T00:00:00"/>
    <s v="P016"/>
    <x v="0"/>
    <n v="6"/>
    <n v="6"/>
    <n v="0"/>
    <n v="10.4"/>
    <s v="正常交付"/>
    <s v="true"/>
    <x v="4"/>
    <s v="普通鲜鸡蛋按净重"/>
    <s v="模拟_兴街快餐店"/>
    <n v="62.4"/>
    <n v="0"/>
    <n v="62.4"/>
    <s v=""/>
    <s v=""/>
    <s v=""/>
    <s v=""/>
    <s v="通过"/>
  </r>
  <r>
    <s v="SIM-20260912-C003"/>
    <n v="8"/>
    <s v="C003"/>
    <d v="2026-09-12T00:00:00"/>
    <s v="P017"/>
    <x v="2"/>
    <n v="5"/>
    <n v="5"/>
    <n v="0"/>
    <n v="116"/>
    <s v="正常交付"/>
    <s v="true"/>
    <x v="13"/>
    <s v="25公斤/袋普通籼米"/>
    <s v="模拟_兴街快餐店"/>
    <n v="580"/>
    <n v="0"/>
    <n v="580"/>
    <s v=""/>
    <s v=""/>
    <s v=""/>
    <s v=""/>
    <s v="通过"/>
  </r>
  <r>
    <s v="SIM-20260912-C003"/>
    <n v="9"/>
    <s v="C003"/>
    <d v="2026-09-12T00:00:00"/>
    <s v="P020"/>
    <x v="1"/>
    <n v="2"/>
    <n v="2"/>
    <n v="0"/>
    <n v="59"/>
    <s v="正常交付"/>
    <s v="true"/>
    <x v="15"/>
    <s v="5升/桶普通大豆油"/>
    <s v="模拟_兴街快餐店"/>
    <n v="118"/>
    <n v="0"/>
    <n v="118"/>
    <s v=""/>
    <s v=""/>
    <s v=""/>
    <s v=""/>
    <s v="通过"/>
  </r>
  <r>
    <s v="SIM-20260912-C004"/>
    <n v="1"/>
    <s v="C004"/>
    <d v="2026-09-12T00:00:00"/>
    <s v="P011"/>
    <x v="0"/>
    <n v="7.2"/>
    <n v="7.2"/>
    <n v="0.3"/>
    <n v="4.3"/>
    <s v="正常交付；签收时挑出黄叶退回"/>
    <s v="true"/>
    <x v="8"/>
    <s v="散装鲜菜"/>
    <s v="模拟_田畔饭店"/>
    <n v="30.96"/>
    <n v="1.29"/>
    <n v="29.67"/>
    <s v=""/>
    <s v=""/>
    <s v=""/>
    <s v=""/>
    <s v="通过"/>
  </r>
  <r>
    <s v="SIM-20260912-C004"/>
    <n v="2"/>
    <s v="C004"/>
    <d v="2026-09-12T00:00:00"/>
    <s v="P005"/>
    <x v="0"/>
    <n v="7.2"/>
    <n v="6.9"/>
    <n v="0"/>
    <n v="2.7"/>
    <s v="到货不足；按实际交付计费"/>
    <s v="true"/>
    <x v="1"/>
    <s v="散装鲜菜"/>
    <s v="模拟_田畔饭店"/>
    <n v="18.63"/>
    <n v="0"/>
    <n v="18.63"/>
    <s v=""/>
    <s v=""/>
    <s v=""/>
    <s v=""/>
    <s v="通过"/>
  </r>
  <r>
    <s v="SIM-20260912-C004"/>
    <n v="3"/>
    <s v="C004"/>
    <d v="2026-09-12T00:00:00"/>
    <s v="P007"/>
    <x v="0"/>
    <n v="10.4"/>
    <n v="10.4"/>
    <n v="0"/>
    <n v="5.45"/>
    <s v="正常交付"/>
    <s v="true"/>
    <x v="18"/>
    <s v="散装鲜菜"/>
    <s v="模拟_田畔饭店"/>
    <n v="56.68"/>
    <n v="0"/>
    <n v="56.68"/>
    <s v=""/>
    <s v=""/>
    <s v=""/>
    <s v=""/>
    <s v="通过"/>
  </r>
  <r>
    <s v="SIM-20260912-C004"/>
    <n v="4"/>
    <s v="C004"/>
    <d v="2026-09-12T00:00:00"/>
    <s v="P008"/>
    <x v="0"/>
    <n v="6.5"/>
    <n v="6.3"/>
    <n v="0"/>
    <n v="4.4000000000000004"/>
    <s v="到货不足；按实际交付计费"/>
    <s v="true"/>
    <x v="14"/>
    <s v="散装鲜菜"/>
    <s v="模拟_田畔饭店"/>
    <n v="27.72"/>
    <n v="0"/>
    <n v="27.72"/>
    <s v=""/>
    <s v=""/>
    <s v=""/>
    <s v=""/>
    <s v="通过"/>
  </r>
  <r>
    <s v="SIM-20260912-C004"/>
    <n v="5"/>
    <s v="C004"/>
    <d v="2026-09-12T00:00:00"/>
    <s v="P006"/>
    <x v="0"/>
    <n v="9.1"/>
    <n v="9.1"/>
    <n v="0"/>
    <n v="4.8"/>
    <s v="正常交付"/>
    <s v="true"/>
    <x v="10"/>
    <s v="散装鲜菜"/>
    <s v="模拟_田畔饭店"/>
    <n v="43.68"/>
    <n v="0"/>
    <n v="43.68"/>
    <s v=""/>
    <s v=""/>
    <s v=""/>
    <s v=""/>
    <s v="通过"/>
  </r>
  <r>
    <s v="SIM-20260912-C004"/>
    <n v="6"/>
    <s v="C004"/>
    <d v="2026-09-12T00:00:00"/>
    <s v="P004"/>
    <x v="0"/>
    <n v="5.2"/>
    <n v="5.2"/>
    <n v="0"/>
    <n v="2.7"/>
    <s v="正常交付"/>
    <s v="true"/>
    <x v="3"/>
    <s v="散装鲜菜"/>
    <s v="模拟_田畔饭店"/>
    <n v="14.04"/>
    <n v="0"/>
    <n v="14.04"/>
    <s v=""/>
    <s v=""/>
    <s v=""/>
    <s v=""/>
    <s v="通过"/>
  </r>
  <r>
    <s v="SIM-20260912-C004"/>
    <n v="7"/>
    <s v="C004"/>
    <d v="2026-09-12T00:00:00"/>
    <s v="P017"/>
    <x v="2"/>
    <n v="3"/>
    <n v="3"/>
    <n v="0"/>
    <n v="116"/>
    <s v="正常交付"/>
    <s v="true"/>
    <x v="13"/>
    <s v="25公斤/袋普通籼米"/>
    <s v="模拟_田畔饭店"/>
    <n v="348"/>
    <n v="0"/>
    <n v="348"/>
    <s v=""/>
    <s v=""/>
    <s v=""/>
    <s v=""/>
    <s v="通过"/>
  </r>
  <r>
    <s v="SIM-20260912-C004"/>
    <n v="8"/>
    <s v="C004"/>
    <d v="2026-09-12T00:00:00"/>
    <s v="P019"/>
    <x v="1"/>
    <n v="1"/>
    <n v="1"/>
    <n v="0"/>
    <n v="66"/>
    <s v="正常交付"/>
    <s v="true"/>
    <x v="6"/>
    <s v="5升/桶普通菜籽油"/>
    <s v="模拟_田畔饭店"/>
    <n v="66"/>
    <n v="0"/>
    <n v="66"/>
    <s v=""/>
    <s v=""/>
    <s v=""/>
    <s v=""/>
    <s v="通过"/>
  </r>
  <r>
    <s v="SIM-20260912-C006"/>
    <n v="1"/>
    <s v="C006"/>
    <d v="2026-09-12T00:00:00"/>
    <s v="P011"/>
    <x v="0"/>
    <n v="5.4"/>
    <n v="5.4"/>
    <n v="0"/>
    <n v="4.3"/>
    <s v="正常交付"/>
    <s v="true"/>
    <x v="8"/>
    <s v="散装鲜菜"/>
    <s v="模拟_溪桥医院食堂"/>
    <n v="23.22"/>
    <n v="0"/>
    <n v="23.22"/>
    <s v=""/>
    <s v=""/>
    <s v=""/>
    <s v=""/>
    <s v="通过"/>
  </r>
  <r>
    <s v="SIM-20260912-C006"/>
    <n v="2"/>
    <s v="C006"/>
    <d v="2026-09-12T00:00:00"/>
    <s v="P005"/>
    <x v="0"/>
    <n v="8.8000000000000007"/>
    <n v="8.8000000000000007"/>
    <n v="0"/>
    <n v="2.7"/>
    <s v="正常交付"/>
    <s v="true"/>
    <x v="1"/>
    <s v="散装鲜菜"/>
    <s v="模拟_溪桥医院食堂"/>
    <n v="23.76"/>
    <n v="0"/>
    <n v="23.76"/>
    <s v=""/>
    <s v=""/>
    <s v=""/>
    <s v=""/>
    <s v="通过"/>
  </r>
  <r>
    <s v="SIM-20260912-C006"/>
    <n v="3"/>
    <s v="C006"/>
    <d v="2026-09-12T00:00:00"/>
    <s v="P013"/>
    <x v="0"/>
    <n v="8.8000000000000007"/>
    <n v="8.8000000000000007"/>
    <n v="0"/>
    <n v="6"/>
    <s v="正常交付"/>
    <s v="true"/>
    <x v="11"/>
    <s v="散装鲜菜"/>
    <s v="模拟_溪桥医院食堂"/>
    <n v="52.8"/>
    <n v="0"/>
    <n v="52.8"/>
    <s v=""/>
    <s v=""/>
    <s v=""/>
    <s v=""/>
    <s v="通过"/>
  </r>
  <r>
    <s v="SIM-20260912-C006"/>
    <n v="4"/>
    <s v="C006"/>
    <d v="2026-09-12T00:00:00"/>
    <s v="P006"/>
    <x v="0"/>
    <n v="8.8000000000000007"/>
    <n v="8.8000000000000007"/>
    <n v="0"/>
    <n v="4.8"/>
    <s v="正常交付"/>
    <s v="true"/>
    <x v="10"/>
    <s v="散装鲜菜"/>
    <s v="模拟_溪桥医院食堂"/>
    <n v="42.24"/>
    <n v="0"/>
    <n v="42.24"/>
    <s v=""/>
    <s v=""/>
    <s v=""/>
    <s v=""/>
    <s v="通过"/>
  </r>
  <r>
    <s v="SIM-20260912-C006"/>
    <n v="5"/>
    <s v="C006"/>
    <d v="2026-09-12T00:00:00"/>
    <s v="P014"/>
    <x v="0"/>
    <n v="4.7"/>
    <n v="4.7"/>
    <n v="0"/>
    <n v="5"/>
    <s v="正常交付"/>
    <s v="true"/>
    <x v="19"/>
    <s v="散装鲜菜"/>
    <s v="模拟_溪桥医院食堂"/>
    <n v="23.5"/>
    <n v="0"/>
    <n v="23.5"/>
    <s v=""/>
    <s v=""/>
    <s v=""/>
    <s v=""/>
    <s v="通过"/>
  </r>
  <r>
    <s v="SIM-20260912-C006"/>
    <n v="6"/>
    <s v="C006"/>
    <d v="2026-09-12T00:00:00"/>
    <s v="P008"/>
    <x v="0"/>
    <n v="6.8"/>
    <n v="6.8"/>
    <n v="0"/>
    <n v="4.4000000000000004"/>
    <s v="正常交付"/>
    <s v="true"/>
    <x v="14"/>
    <s v="散装鲜菜"/>
    <s v="模拟_溪桥医院食堂"/>
    <n v="29.92"/>
    <n v="0"/>
    <n v="29.92"/>
    <s v=""/>
    <s v=""/>
    <s v=""/>
    <s v=""/>
    <s v="通过"/>
  </r>
  <r>
    <s v="SIM-20260913-C002"/>
    <n v="1"/>
    <s v="C002"/>
    <d v="2026-09-13T00:00:00"/>
    <s v="P010"/>
    <x v="0"/>
    <n v="8"/>
    <n v="8"/>
    <n v="0"/>
    <n v="5"/>
    <s v="正常交付"/>
    <s v="true"/>
    <x v="16"/>
    <s v="散装鲜菜"/>
    <s v="模拟_桥头家常菜馆"/>
    <n v="40"/>
    <n v="0"/>
    <n v="40"/>
    <s v=""/>
    <s v=""/>
    <s v=""/>
    <s v=""/>
    <s v="通过"/>
  </r>
  <r>
    <s v="SIM-20260913-C002"/>
    <n v="2"/>
    <s v="C002"/>
    <d v="2026-09-13T00:00:00"/>
    <s v="P006"/>
    <x v="0"/>
    <n v="8.6"/>
    <n v="8.6"/>
    <n v="0"/>
    <n v="4.8"/>
    <s v="正常交付"/>
    <s v="true"/>
    <x v="10"/>
    <s v="散装鲜菜"/>
    <s v="模拟_桥头家常菜馆"/>
    <n v="41.28"/>
    <n v="0"/>
    <n v="41.28"/>
    <s v=""/>
    <s v=""/>
    <s v=""/>
    <s v=""/>
    <s v="通过"/>
  </r>
  <r>
    <s v="SIM-20260913-C002"/>
    <n v="3"/>
    <s v="C002"/>
    <d v="2026-09-13T00:00:00"/>
    <s v="P003"/>
    <x v="0"/>
    <n v="7.5"/>
    <n v="7.5"/>
    <n v="0"/>
    <n v="2.9"/>
    <s v="正常交付"/>
    <s v="true"/>
    <x v="12"/>
    <s v="散装鲜菜"/>
    <s v="模拟_桥头家常菜馆"/>
    <n v="21.75"/>
    <n v="0"/>
    <n v="21.75"/>
    <s v=""/>
    <s v=""/>
    <s v=""/>
    <s v=""/>
    <s v="通过"/>
  </r>
  <r>
    <s v="SIM-20260913-C002"/>
    <n v="4"/>
    <s v="C002"/>
    <d v="2026-09-13T00:00:00"/>
    <s v="P008"/>
    <x v="0"/>
    <n v="6.9"/>
    <n v="6.4"/>
    <n v="0"/>
    <n v="4.4000000000000004"/>
    <s v="到货不足；按实际交付计费"/>
    <s v="true"/>
    <x v="14"/>
    <s v="散装鲜菜"/>
    <s v="模拟_桥头家常菜馆"/>
    <n v="28.16"/>
    <n v="0"/>
    <n v="28.16"/>
    <s v=""/>
    <s v=""/>
    <s v=""/>
    <s v=""/>
    <s v="通过"/>
  </r>
  <r>
    <s v="SIM-20260913-C002"/>
    <n v="5"/>
    <s v="C002"/>
    <d v="2026-09-13T00:00:00"/>
    <s v="P007"/>
    <x v="0"/>
    <n v="5.7"/>
    <n v="5.4"/>
    <n v="0"/>
    <n v="5.45"/>
    <s v="到货不足；按实际交付计费"/>
    <s v="true"/>
    <x v="18"/>
    <s v="散装鲜菜"/>
    <s v="模拟_桥头家常菜馆"/>
    <n v="29.43"/>
    <n v="0"/>
    <n v="29.43"/>
    <s v=""/>
    <s v=""/>
    <s v=""/>
    <s v=""/>
    <s v="通过"/>
  </r>
  <r>
    <s v="SIM-20260913-C006"/>
    <n v="1"/>
    <s v="C006"/>
    <d v="2026-09-13T00:00:00"/>
    <s v="P012"/>
    <x v="0"/>
    <n v="9.3000000000000007"/>
    <n v="9.3000000000000007"/>
    <n v="0"/>
    <n v="5"/>
    <s v="正常交付"/>
    <s v="true"/>
    <x v="0"/>
    <s v="散装鲜菜"/>
    <s v="模拟_溪桥医院食堂"/>
    <n v="46.5"/>
    <n v="0"/>
    <n v="46.5"/>
    <s v=""/>
    <s v=""/>
    <s v=""/>
    <s v=""/>
    <s v="通过"/>
  </r>
  <r>
    <s v="SIM-20260913-C006"/>
    <n v="2"/>
    <s v="C006"/>
    <d v="2026-09-13T00:00:00"/>
    <s v="P006"/>
    <x v="0"/>
    <n v="5.6"/>
    <n v="5.6"/>
    <n v="0"/>
    <n v="4.8"/>
    <s v="正常交付"/>
    <s v="true"/>
    <x v="10"/>
    <s v="散装鲜菜"/>
    <s v="模拟_溪桥医院食堂"/>
    <n v="26.88"/>
    <n v="0"/>
    <n v="26.88"/>
    <s v=""/>
    <s v=""/>
    <s v=""/>
    <s v=""/>
    <s v="通过"/>
  </r>
  <r>
    <s v="SIM-20260913-C006"/>
    <n v="3"/>
    <s v="C006"/>
    <d v="2026-09-13T00:00:00"/>
    <s v="P014"/>
    <x v="0"/>
    <n v="7.4"/>
    <n v="7.4"/>
    <n v="0"/>
    <n v="5"/>
    <s v="正常交付"/>
    <s v="true"/>
    <x v="19"/>
    <s v="散装鲜菜"/>
    <s v="模拟_溪桥医院食堂"/>
    <n v="37"/>
    <n v="0"/>
    <n v="37"/>
    <s v=""/>
    <s v=""/>
    <s v=""/>
    <s v=""/>
    <s v="通过"/>
  </r>
  <r>
    <s v="SIM-20260913-C006"/>
    <n v="4"/>
    <s v="C006"/>
    <d v="2026-09-13T00:00:00"/>
    <s v="P002"/>
    <x v="0"/>
    <n v="9.9"/>
    <n v="9.9"/>
    <n v="0"/>
    <n v="2.7"/>
    <s v="正常交付"/>
    <s v="true"/>
    <x v="2"/>
    <s v="散装鲜菜"/>
    <s v="模拟_溪桥医院食堂"/>
    <n v="26.73"/>
    <n v="0"/>
    <n v="26.73"/>
    <s v=""/>
    <s v=""/>
    <s v=""/>
    <s v=""/>
    <s v="通过"/>
  </r>
  <r>
    <s v="SIM-20260913-C006"/>
    <n v="5"/>
    <s v="C006"/>
    <d v="2026-09-13T00:00:00"/>
    <s v="P008"/>
    <x v="0"/>
    <n v="7.4"/>
    <n v="7.1"/>
    <n v="0"/>
    <n v="4.4000000000000004"/>
    <s v="到货不足；按实际交付计费"/>
    <s v="true"/>
    <x v="14"/>
    <s v="散装鲜菜"/>
    <s v="模拟_溪桥医院食堂"/>
    <n v="31.24"/>
    <n v="0"/>
    <n v="31.24"/>
    <s v=""/>
    <s v=""/>
    <s v=""/>
    <s v=""/>
    <s v="通过"/>
  </r>
  <r>
    <s v="SIM-20260913-C006"/>
    <n v="6"/>
    <s v="C006"/>
    <d v="2026-09-13T00:00:00"/>
    <s v="P007"/>
    <x v="0"/>
    <n v="6.8"/>
    <n v="6.8"/>
    <n v="0"/>
    <n v="5.45"/>
    <s v="正常交付"/>
    <s v="true"/>
    <x v="18"/>
    <s v="散装鲜菜"/>
    <s v="模拟_溪桥医院食堂"/>
    <n v="37.06"/>
    <n v="0"/>
    <n v="37.06"/>
    <s v=""/>
    <s v=""/>
    <s v=""/>
    <s v=""/>
    <s v="通过"/>
  </r>
  <r>
    <s v="SIM-20260913-C006"/>
    <n v="7"/>
    <s v="C006"/>
    <d v="2026-09-13T00:00:00"/>
    <s v="P016"/>
    <x v="0"/>
    <n v="9"/>
    <n v="9"/>
    <n v="0"/>
    <n v="10.4"/>
    <s v="正常交付"/>
    <s v="true"/>
    <x v="4"/>
    <s v="普通鲜鸡蛋按净重"/>
    <s v="模拟_溪桥医院食堂"/>
    <n v="93.6"/>
    <n v="0"/>
    <n v="93.6"/>
    <s v=""/>
    <s v=""/>
    <s v=""/>
    <s v=""/>
    <s v="通过"/>
  </r>
  <r>
    <s v="SIM-20260913-C006"/>
    <n v="8"/>
    <s v="C006"/>
    <d v="2026-09-13T00:00:00"/>
    <s v="P015"/>
    <x v="0"/>
    <n v="1"/>
    <n v="1"/>
    <n v="0"/>
    <n v="7.2"/>
    <s v="正常交付"/>
    <s v="true"/>
    <x v="5"/>
    <s v="散装鲜菜"/>
    <s v="模拟_溪桥医院食堂"/>
    <n v="7.2"/>
    <n v="0"/>
    <n v="7.2"/>
    <s v=""/>
    <s v=""/>
    <s v=""/>
    <s v=""/>
    <s v="通过"/>
  </r>
  <r>
    <s v="SIM-20260914-C001"/>
    <n v="1"/>
    <s v="C001"/>
    <d v="2026-09-14T00:00:00"/>
    <s v="P010"/>
    <x v="0"/>
    <n v="2"/>
    <n v="2"/>
    <n v="0"/>
    <n v="5"/>
    <s v="正常交付"/>
    <s v="true"/>
    <x v="16"/>
    <s v="散装鲜菜"/>
    <s v="模拟_榕树下粉面店"/>
    <n v="10"/>
    <n v="0"/>
    <n v="10"/>
    <s v=""/>
    <s v=""/>
    <s v=""/>
    <s v=""/>
    <s v="通过"/>
  </r>
  <r>
    <s v="SIM-20260914-C001"/>
    <n v="2"/>
    <s v="C001"/>
    <d v="2026-09-14T00:00:00"/>
    <s v="P014"/>
    <x v="0"/>
    <n v="3.9"/>
    <n v="3.9"/>
    <n v="0"/>
    <n v="5"/>
    <s v="正常交付"/>
    <s v="true"/>
    <x v="19"/>
    <s v="散装鲜菜"/>
    <s v="模拟_榕树下粉面店"/>
    <n v="19.5"/>
    <n v="0"/>
    <n v="19.5"/>
    <s v=""/>
    <s v=""/>
    <s v=""/>
    <s v=""/>
    <s v="通过"/>
  </r>
  <r>
    <s v="SIM-20260914-C001"/>
    <n v="3"/>
    <s v="C001"/>
    <d v="2026-09-14T00:00:00"/>
    <s v="P003"/>
    <x v="0"/>
    <n v="3.7"/>
    <n v="3.2"/>
    <n v="0"/>
    <n v="2.9"/>
    <s v="到货不足；按实际交付计费"/>
    <s v="true"/>
    <x v="12"/>
    <s v="散装鲜菜"/>
    <s v="模拟_榕树下粉面店"/>
    <n v="9.2799999999999994"/>
    <n v="0"/>
    <n v="9.2799999999999994"/>
    <s v=""/>
    <s v=""/>
    <s v=""/>
    <s v=""/>
    <s v="通过"/>
  </r>
  <r>
    <s v="SIM-20260914-C001"/>
    <n v="4"/>
    <s v="C001"/>
    <d v="2026-09-14T00:00:00"/>
    <s v="P004"/>
    <x v="0"/>
    <n v="3.7"/>
    <n v="3.7"/>
    <n v="0"/>
    <n v="2.7"/>
    <s v="正常交付"/>
    <s v="true"/>
    <x v="3"/>
    <s v="散装鲜菜"/>
    <s v="模拟_榕树下粉面店"/>
    <n v="9.99"/>
    <n v="0"/>
    <n v="9.99"/>
    <s v=""/>
    <s v=""/>
    <s v=""/>
    <s v=""/>
    <s v="通过"/>
  </r>
  <r>
    <s v="SIM-20260914-C003"/>
    <n v="1"/>
    <s v="C003"/>
    <d v="2026-09-14T00:00:00"/>
    <s v="P012"/>
    <x v="0"/>
    <n v="6.5"/>
    <n v="6.5"/>
    <n v="0.2"/>
    <n v="5"/>
    <s v="正常交付；签收时挑出黄叶退回"/>
    <s v="true"/>
    <x v="0"/>
    <s v="散装鲜菜"/>
    <s v="模拟_兴街快餐店"/>
    <n v="32.5"/>
    <n v="1"/>
    <n v="31.5"/>
    <s v=""/>
    <s v=""/>
    <s v=""/>
    <s v=""/>
    <s v="通过"/>
  </r>
  <r>
    <s v="SIM-20260914-C003"/>
    <n v="2"/>
    <s v="C003"/>
    <d v="2026-09-14T00:00:00"/>
    <s v="P004"/>
    <x v="0"/>
    <n v="8"/>
    <n v="8"/>
    <n v="0"/>
    <n v="2.7"/>
    <s v="正常交付"/>
    <s v="true"/>
    <x v="3"/>
    <s v="散装鲜菜"/>
    <s v="模拟_兴街快餐店"/>
    <n v="21.6"/>
    <n v="0"/>
    <n v="21.6"/>
    <s v=""/>
    <s v=""/>
    <s v=""/>
    <s v=""/>
    <s v="通过"/>
  </r>
  <r>
    <s v="SIM-20260914-C003"/>
    <n v="3"/>
    <s v="C003"/>
    <d v="2026-09-14T00:00:00"/>
    <s v="P014"/>
    <x v="0"/>
    <n v="7"/>
    <n v="7"/>
    <n v="0"/>
    <n v="5"/>
    <s v="正常交付"/>
    <s v="true"/>
    <x v="19"/>
    <s v="散装鲜菜"/>
    <s v="模拟_兴街快餐店"/>
    <n v="35"/>
    <n v="0"/>
    <n v="35"/>
    <s v=""/>
    <s v=""/>
    <s v=""/>
    <s v=""/>
    <s v="通过"/>
  </r>
  <r>
    <s v="SIM-20260914-C003"/>
    <n v="4"/>
    <s v="C003"/>
    <d v="2026-09-14T00:00:00"/>
    <s v="P013"/>
    <x v="0"/>
    <n v="7.5"/>
    <n v="7.5"/>
    <n v="0"/>
    <n v="6"/>
    <s v="正常交付"/>
    <s v="true"/>
    <x v="11"/>
    <s v="散装鲜菜"/>
    <s v="模拟_兴街快餐店"/>
    <n v="45"/>
    <n v="0"/>
    <n v="45"/>
    <s v=""/>
    <s v=""/>
    <s v=""/>
    <s v=""/>
    <s v="通过"/>
  </r>
  <r>
    <s v="SIM-20260914-C003"/>
    <n v="5"/>
    <s v="C003"/>
    <d v="2026-09-14T00:00:00"/>
    <s v="P008"/>
    <x v="0"/>
    <n v="7.5"/>
    <n v="7.5"/>
    <n v="0"/>
    <n v="4.4000000000000004"/>
    <s v="正常交付"/>
    <s v="true"/>
    <x v="14"/>
    <s v="散装鲜菜"/>
    <s v="模拟_兴街快餐店"/>
    <n v="33"/>
    <n v="0"/>
    <n v="33"/>
    <s v=""/>
    <s v=""/>
    <s v=""/>
    <s v=""/>
    <s v="通过"/>
  </r>
  <r>
    <s v="SIM-20260914-C003"/>
    <n v="6"/>
    <s v="C003"/>
    <d v="2026-09-14T00:00:00"/>
    <s v="P005"/>
    <x v="0"/>
    <n v="6"/>
    <n v="6"/>
    <n v="0"/>
    <n v="2.7"/>
    <s v="正常交付"/>
    <s v="true"/>
    <x v="1"/>
    <s v="散装鲜菜"/>
    <s v="模拟_兴街快餐店"/>
    <n v="16.2"/>
    <n v="0"/>
    <n v="16.2"/>
    <s v=""/>
    <s v=""/>
    <s v=""/>
    <s v=""/>
    <s v="通过"/>
  </r>
  <r>
    <s v="SIM-20260914-C005"/>
    <n v="1"/>
    <s v="C005"/>
    <d v="2026-09-14T00:00:00"/>
    <s v="P010"/>
    <x v="0"/>
    <n v="9.6999999999999993"/>
    <n v="9.6999999999999993"/>
    <n v="0"/>
    <n v="5"/>
    <s v="正常交付"/>
    <s v="true"/>
    <x v="16"/>
    <s v="散装鲜菜"/>
    <s v="模拟_青禾小学食堂"/>
    <n v="48.5"/>
    <n v="0"/>
    <n v="48.5"/>
    <s v=""/>
    <s v=""/>
    <s v=""/>
    <s v=""/>
    <s v="通过"/>
  </r>
  <r>
    <s v="SIM-20260914-C005"/>
    <n v="2"/>
    <s v="C005"/>
    <d v="2026-09-14T00:00:00"/>
    <s v="P004"/>
    <x v="0"/>
    <n v="12.1"/>
    <n v="12.1"/>
    <n v="0"/>
    <n v="2.7"/>
    <s v="正常交付"/>
    <s v="true"/>
    <x v="3"/>
    <s v="散装鲜菜"/>
    <s v="模拟_青禾小学食堂"/>
    <n v="32.67"/>
    <n v="0"/>
    <n v="32.67"/>
    <s v=""/>
    <s v=""/>
    <s v=""/>
    <s v=""/>
    <s v="通过"/>
  </r>
  <r>
    <s v="SIM-20260914-C005"/>
    <n v="3"/>
    <s v="C005"/>
    <d v="2026-09-14T00:00:00"/>
    <s v="P001"/>
    <x v="0"/>
    <n v="7.3"/>
    <n v="7.3"/>
    <n v="0"/>
    <n v="3.3"/>
    <s v="正常交付"/>
    <s v="true"/>
    <x v="9"/>
    <s v="散装鲜菜"/>
    <s v="模拟_青禾小学食堂"/>
    <n v="24.09"/>
    <n v="0"/>
    <n v="24.09"/>
    <s v=""/>
    <s v=""/>
    <s v=""/>
    <s v=""/>
    <s v="通过"/>
  </r>
  <r>
    <s v="SIM-20260914-C005"/>
    <n v="4"/>
    <s v="C005"/>
    <d v="2026-09-14T00:00:00"/>
    <s v="P008"/>
    <x v="0"/>
    <n v="7.3"/>
    <n v="7.3"/>
    <n v="0"/>
    <n v="4.4000000000000004"/>
    <s v="正常交付"/>
    <s v="true"/>
    <x v="14"/>
    <s v="散装鲜菜"/>
    <s v="模拟_青禾小学食堂"/>
    <n v="32.119999999999997"/>
    <n v="0"/>
    <n v="32.119999999999997"/>
    <s v=""/>
    <s v=""/>
    <s v=""/>
    <s v=""/>
    <s v="通过"/>
  </r>
  <r>
    <s v="SIM-20260914-C005"/>
    <n v="5"/>
    <s v="C005"/>
    <d v="2026-09-14T00:00:00"/>
    <s v="P014"/>
    <x v="0"/>
    <n v="9.6999999999999993"/>
    <n v="9.6999999999999993"/>
    <n v="0"/>
    <n v="5"/>
    <s v="正常交付"/>
    <s v="true"/>
    <x v="19"/>
    <s v="散装鲜菜"/>
    <s v="模拟_青禾小学食堂"/>
    <n v="48.5"/>
    <n v="0"/>
    <n v="48.5"/>
    <s v=""/>
    <s v=""/>
    <s v=""/>
    <s v=""/>
    <s v="通过"/>
  </r>
  <r>
    <s v="SIM-20260914-C005"/>
    <n v="6"/>
    <s v="C005"/>
    <d v="2026-09-14T00:00:00"/>
    <s v="P003"/>
    <x v="0"/>
    <n v="10.5"/>
    <n v="10.5"/>
    <n v="0"/>
    <n v="2.9"/>
    <s v="正常交付"/>
    <s v="true"/>
    <x v="12"/>
    <s v="散装鲜菜"/>
    <s v="模拟_青禾小学食堂"/>
    <n v="30.45"/>
    <n v="0"/>
    <n v="30.45"/>
    <s v=""/>
    <s v=""/>
    <s v=""/>
    <s v=""/>
    <s v="通过"/>
  </r>
  <r>
    <s v="SIM-20260914-C005"/>
    <n v="7"/>
    <s v="C005"/>
    <d v="2026-09-14T00:00:00"/>
    <s v="P015"/>
    <x v="0"/>
    <n v="1"/>
    <n v="1"/>
    <n v="0"/>
    <n v="7.2"/>
    <s v="正常交付"/>
    <s v="true"/>
    <x v="5"/>
    <s v="散装鲜菜"/>
    <s v="模拟_青禾小学食堂"/>
    <n v="7.2"/>
    <n v="0"/>
    <n v="7.2"/>
    <s v=""/>
    <s v=""/>
    <s v=""/>
    <s v=""/>
    <s v="通过"/>
  </r>
  <r>
    <s v="SIM-20260914-C006"/>
    <n v="1"/>
    <s v="C006"/>
    <d v="2026-09-14T00:00:00"/>
    <s v="P010"/>
    <x v="0"/>
    <n v="6.5"/>
    <n v="6.5"/>
    <n v="0"/>
    <n v="5"/>
    <s v="正常交付"/>
    <s v="true"/>
    <x v="16"/>
    <s v="散装鲜菜"/>
    <s v="模拟_溪桥医院食堂"/>
    <n v="32.5"/>
    <n v="0"/>
    <n v="32.5"/>
    <s v=""/>
    <s v=""/>
    <s v=""/>
    <s v=""/>
    <s v="通过"/>
  </r>
  <r>
    <s v="SIM-20260914-C006"/>
    <n v="2"/>
    <s v="C006"/>
    <d v="2026-09-14T00:00:00"/>
    <s v="P008"/>
    <x v="0"/>
    <n v="9.5"/>
    <n v="9.5"/>
    <n v="0"/>
    <n v="4.4000000000000004"/>
    <s v="正常交付"/>
    <s v="true"/>
    <x v="14"/>
    <s v="散装鲜菜"/>
    <s v="模拟_溪桥医院食堂"/>
    <n v="41.8"/>
    <n v="0"/>
    <n v="41.8"/>
    <s v=""/>
    <s v=""/>
    <s v=""/>
    <s v=""/>
    <s v="通过"/>
  </r>
  <r>
    <s v="SIM-20260914-C006"/>
    <n v="3"/>
    <s v="C006"/>
    <d v="2026-09-14T00:00:00"/>
    <s v="P014"/>
    <x v="0"/>
    <n v="7.7"/>
    <n v="7.5"/>
    <n v="0"/>
    <n v="5"/>
    <s v="到货不足；按实际交付计费"/>
    <s v="true"/>
    <x v="19"/>
    <s v="散装鲜菜"/>
    <s v="模拟_溪桥医院食堂"/>
    <n v="37.5"/>
    <n v="0"/>
    <n v="37.5"/>
    <s v=""/>
    <s v=""/>
    <s v=""/>
    <s v=""/>
    <s v="通过"/>
  </r>
  <r>
    <s v="SIM-20260914-C006"/>
    <n v="4"/>
    <s v="C006"/>
    <d v="2026-09-14T00:00:00"/>
    <s v="P004"/>
    <x v="0"/>
    <n v="8.3000000000000007"/>
    <n v="8.3000000000000007"/>
    <n v="0"/>
    <n v="2.7"/>
    <s v="正常交付"/>
    <s v="true"/>
    <x v="3"/>
    <s v="散装鲜菜"/>
    <s v="模拟_溪桥医院食堂"/>
    <n v="22.41"/>
    <n v="0"/>
    <n v="22.41"/>
    <s v=""/>
    <s v=""/>
    <s v=""/>
    <s v=""/>
    <s v="通过"/>
  </r>
  <r>
    <s v="SIM-20260914-C006"/>
    <n v="5"/>
    <s v="C006"/>
    <d v="2026-09-14T00:00:00"/>
    <s v="P013"/>
    <x v="0"/>
    <n v="5.3"/>
    <n v="5.3"/>
    <n v="0"/>
    <n v="6"/>
    <s v="正常交付"/>
    <s v="true"/>
    <x v="11"/>
    <s v="散装鲜菜"/>
    <s v="模拟_溪桥医院食堂"/>
    <n v="31.8"/>
    <n v="0"/>
    <n v="31.8"/>
    <s v=""/>
    <s v=""/>
    <s v=""/>
    <s v=""/>
    <s v="通过"/>
  </r>
  <r>
    <s v="SIM-20260914-C006"/>
    <n v="6"/>
    <s v="C006"/>
    <d v="2026-09-14T00:00:00"/>
    <s v="P001"/>
    <x v="0"/>
    <n v="7.7"/>
    <n v="7.7"/>
    <n v="0"/>
    <n v="3.3"/>
    <s v="正常交付"/>
    <s v="true"/>
    <x v="9"/>
    <s v="散装鲜菜"/>
    <s v="模拟_溪桥医院食堂"/>
    <n v="25.41"/>
    <n v="0"/>
    <n v="25.41"/>
    <s v=""/>
    <s v=""/>
    <s v=""/>
    <s v=""/>
    <s v="通过"/>
  </r>
  <r>
    <s v="SIM-20260915-C001"/>
    <n v="1"/>
    <s v="C001"/>
    <d v="2026-09-15T00:00:00"/>
    <s v="P010"/>
    <x v="0"/>
    <n v="3.2"/>
    <n v="3.2"/>
    <n v="0"/>
    <n v="4.5"/>
    <s v="正常交付"/>
    <s v="true"/>
    <x v="16"/>
    <s v="散装鲜菜"/>
    <s v="模拟_榕树下粉面店"/>
    <n v="14.4"/>
    <n v="0"/>
    <n v="14.4"/>
    <s v=""/>
    <s v=""/>
    <s v=""/>
    <s v=""/>
    <s v="通过"/>
  </r>
  <r>
    <s v="SIM-20260915-C001"/>
    <n v="2"/>
    <s v="C001"/>
    <d v="2026-09-15T00:00:00"/>
    <s v="P001"/>
    <x v="0"/>
    <n v="2.1"/>
    <n v="2.1"/>
    <n v="0"/>
    <n v="3.4"/>
    <s v="正常交付"/>
    <s v="true"/>
    <x v="9"/>
    <s v="散装鲜菜"/>
    <s v="模拟_榕树下粉面店"/>
    <n v="7.14"/>
    <n v="0"/>
    <n v="7.14"/>
    <s v=""/>
    <s v=""/>
    <s v=""/>
    <s v=""/>
    <s v="通过"/>
  </r>
  <r>
    <s v="SIM-20260915-C001"/>
    <n v="3"/>
    <s v="C001"/>
    <d v="2026-09-15T00:00:00"/>
    <s v="P005"/>
    <x v="0"/>
    <n v="2.6"/>
    <n v="2.6"/>
    <n v="0"/>
    <n v="3.2"/>
    <s v="正常交付"/>
    <s v="true"/>
    <x v="1"/>
    <s v="散装鲜菜"/>
    <s v="模拟_榕树下粉面店"/>
    <n v="8.32"/>
    <n v="0"/>
    <n v="8.32"/>
    <s v=""/>
    <s v=""/>
    <s v=""/>
    <s v=""/>
    <s v="通过"/>
  </r>
  <r>
    <s v="SIM-20260915-C001"/>
    <n v="4"/>
    <s v="C001"/>
    <d v="2026-09-15T00:00:00"/>
    <s v="P006"/>
    <x v="0"/>
    <n v="2.6"/>
    <n v="2.6"/>
    <n v="0"/>
    <n v="4.8"/>
    <s v="正常交付"/>
    <s v="true"/>
    <x v="10"/>
    <s v="散装鲜菜"/>
    <s v="模拟_榕树下粉面店"/>
    <n v="12.48"/>
    <n v="0"/>
    <n v="12.48"/>
    <s v=""/>
    <s v=""/>
    <s v=""/>
    <s v=""/>
    <s v="通过"/>
  </r>
  <r>
    <s v="SIM-20260915-C001"/>
    <n v="5"/>
    <s v="C001"/>
    <d v="2026-09-15T00:00:00"/>
    <s v="P016"/>
    <x v="0"/>
    <n v="3"/>
    <n v="3"/>
    <n v="0"/>
    <n v="10.199999999999999"/>
    <s v="正常交付"/>
    <s v="true"/>
    <x v="4"/>
    <s v="普通鲜鸡蛋按净重"/>
    <s v="模拟_榕树下粉面店"/>
    <n v="30.6"/>
    <n v="0"/>
    <n v="30.6"/>
    <s v=""/>
    <s v=""/>
    <s v=""/>
    <s v=""/>
    <s v="通过"/>
  </r>
  <r>
    <s v="SIM-20260915-C001"/>
    <n v="6"/>
    <s v="C001"/>
    <d v="2026-09-15T00:00:00"/>
    <s v="P015"/>
    <x v="0"/>
    <n v="0.5"/>
    <n v="0.5"/>
    <n v="0"/>
    <n v="7.3"/>
    <s v="正常交付"/>
    <s v="true"/>
    <x v="5"/>
    <s v="散装鲜菜"/>
    <s v="模拟_榕树下粉面店"/>
    <n v="3.65"/>
    <n v="0"/>
    <n v="3.65"/>
    <s v=""/>
    <s v=""/>
    <s v=""/>
    <s v=""/>
    <s v="通过"/>
  </r>
  <r>
    <s v="SIM-20260915-C002"/>
    <n v="1"/>
    <s v="C002"/>
    <d v="2026-09-15T00:00:00"/>
    <s v="P012"/>
    <x v="0"/>
    <n v="5"/>
    <n v="5"/>
    <n v="0"/>
    <n v="5.2"/>
    <s v="正常交付"/>
    <s v="true"/>
    <x v="0"/>
    <s v="散装鲜菜"/>
    <s v="模拟_桥头家常菜馆"/>
    <n v="26"/>
    <n v="0"/>
    <n v="26"/>
    <s v=""/>
    <s v=""/>
    <s v=""/>
    <s v=""/>
    <s v="通过"/>
  </r>
  <r>
    <s v="SIM-20260915-C002"/>
    <n v="2"/>
    <s v="C002"/>
    <d v="2026-09-15T00:00:00"/>
    <s v="P009"/>
    <x v="0"/>
    <n v="7.2"/>
    <n v="7.2"/>
    <n v="0"/>
    <n v="4.8"/>
    <s v="正常交付"/>
    <s v="true"/>
    <x v="17"/>
    <s v="散装鲜菜"/>
    <s v="模拟_桥头家常菜馆"/>
    <n v="34.56"/>
    <n v="0"/>
    <n v="34.56"/>
    <s v=""/>
    <s v=""/>
    <s v=""/>
    <s v=""/>
    <s v="通过"/>
  </r>
  <r>
    <s v="SIM-20260915-C002"/>
    <n v="3"/>
    <s v="C002"/>
    <d v="2026-09-15T00:00:00"/>
    <s v="P013"/>
    <x v="0"/>
    <n v="3.9"/>
    <n v="3.9"/>
    <n v="0"/>
    <n v="6"/>
    <s v="正常交付"/>
    <s v="true"/>
    <x v="11"/>
    <s v="散装鲜菜"/>
    <s v="模拟_桥头家常菜馆"/>
    <n v="23.4"/>
    <n v="0"/>
    <n v="23.4"/>
    <s v=""/>
    <s v=""/>
    <s v=""/>
    <s v=""/>
    <s v="通过"/>
  </r>
  <r>
    <s v="SIM-20260915-C002"/>
    <n v="4"/>
    <s v="C002"/>
    <d v="2026-09-15T00:00:00"/>
    <s v="P007"/>
    <x v="0"/>
    <n v="8.9"/>
    <n v="8.9"/>
    <n v="0"/>
    <n v="5.25"/>
    <s v="正常交付"/>
    <s v="true"/>
    <x v="18"/>
    <s v="散装鲜菜"/>
    <s v="模拟_桥头家常菜馆"/>
    <n v="46.73"/>
    <n v="0"/>
    <n v="46.73"/>
    <s v=""/>
    <s v=""/>
    <s v=""/>
    <s v=""/>
    <s v="通过"/>
  </r>
  <r>
    <s v="SIM-20260915-C002"/>
    <n v="5"/>
    <s v="C002"/>
    <d v="2026-09-15T00:00:00"/>
    <s v="P003"/>
    <x v="0"/>
    <n v="5.5"/>
    <n v="5.5"/>
    <n v="0"/>
    <n v="3.5"/>
    <s v="正常交付"/>
    <s v="true"/>
    <x v="12"/>
    <s v="散装鲜菜"/>
    <s v="模拟_桥头家常菜馆"/>
    <n v="19.25"/>
    <n v="0"/>
    <n v="19.25"/>
    <s v=""/>
    <s v=""/>
    <s v=""/>
    <s v=""/>
    <s v="通过"/>
  </r>
  <r>
    <s v="SIM-20260915-C002"/>
    <n v="6"/>
    <s v="C002"/>
    <d v="2026-09-15T00:00:00"/>
    <s v="P016"/>
    <x v="0"/>
    <n v="4"/>
    <n v="4"/>
    <n v="0"/>
    <n v="10.199999999999999"/>
    <s v="正常交付"/>
    <s v="true"/>
    <x v="4"/>
    <s v="普通鲜鸡蛋按净重"/>
    <s v="模拟_桥头家常菜馆"/>
    <n v="40.799999999999997"/>
    <n v="0"/>
    <n v="40.799999999999997"/>
    <s v=""/>
    <s v=""/>
    <s v=""/>
    <s v=""/>
    <s v="通过"/>
  </r>
  <r>
    <s v="SIM-20260915-C002"/>
    <n v="7"/>
    <s v="C002"/>
    <d v="2026-09-15T00:00:00"/>
    <s v="P015"/>
    <x v="0"/>
    <n v="1"/>
    <n v="1"/>
    <n v="0"/>
    <n v="7.3"/>
    <s v="正常交付"/>
    <s v="true"/>
    <x v="5"/>
    <s v="散装鲜菜"/>
    <s v="模拟_桥头家常菜馆"/>
    <n v="7.3"/>
    <n v="0"/>
    <n v="7.3"/>
    <s v=""/>
    <s v=""/>
    <s v=""/>
    <s v=""/>
    <s v="通过"/>
  </r>
  <r>
    <s v="SIM-20260915-C003"/>
    <n v="1"/>
    <s v="C003"/>
    <d v="2026-09-15T00:00:00"/>
    <s v="P012"/>
    <x v="0"/>
    <n v="4.9000000000000004"/>
    <n v="4.9000000000000004"/>
    <n v="0"/>
    <n v="5.2"/>
    <s v="正常交付"/>
    <s v="true"/>
    <x v="0"/>
    <s v="散装鲜菜"/>
    <s v="模拟_兴街快餐店"/>
    <n v="25.48"/>
    <n v="0"/>
    <n v="25.48"/>
    <s v=""/>
    <s v=""/>
    <s v=""/>
    <s v=""/>
    <s v="通过"/>
  </r>
  <r>
    <s v="SIM-20260915-C003"/>
    <n v="2"/>
    <s v="C003"/>
    <d v="2026-09-15T00:00:00"/>
    <s v="P001"/>
    <x v="0"/>
    <n v="6.7"/>
    <n v="6.7"/>
    <n v="0"/>
    <n v="3.4"/>
    <s v="正常交付"/>
    <s v="true"/>
    <x v="9"/>
    <s v="散装鲜菜"/>
    <s v="模拟_兴街快餐店"/>
    <n v="22.78"/>
    <n v="0"/>
    <n v="22.78"/>
    <s v=""/>
    <s v=""/>
    <s v=""/>
    <s v=""/>
    <s v="通过"/>
  </r>
  <r>
    <s v="SIM-20260915-C003"/>
    <n v="3"/>
    <s v="C003"/>
    <d v="2026-09-15T00:00:00"/>
    <s v="P013"/>
    <x v="0"/>
    <n v="7.3"/>
    <n v="7.3"/>
    <n v="0"/>
    <n v="6"/>
    <s v="正常交付"/>
    <s v="true"/>
    <x v="11"/>
    <s v="散装鲜菜"/>
    <s v="模拟_兴街快餐店"/>
    <n v="43.8"/>
    <n v="0"/>
    <n v="43.8"/>
    <s v=""/>
    <s v=""/>
    <s v=""/>
    <s v=""/>
    <s v="通过"/>
  </r>
  <r>
    <s v="SIM-20260915-C003"/>
    <n v="4"/>
    <s v="C003"/>
    <d v="2026-09-15T00:00:00"/>
    <s v="P008"/>
    <x v="0"/>
    <n v="7.3"/>
    <n v="7.3"/>
    <n v="0"/>
    <n v="4.4000000000000004"/>
    <s v="正常交付"/>
    <s v="true"/>
    <x v="14"/>
    <s v="散装鲜菜"/>
    <s v="模拟_兴街快餐店"/>
    <n v="32.119999999999997"/>
    <n v="0"/>
    <n v="32.119999999999997"/>
    <s v=""/>
    <s v=""/>
    <s v=""/>
    <s v=""/>
    <s v="通过"/>
  </r>
  <r>
    <s v="SIM-20260915-C003"/>
    <n v="5"/>
    <s v="C003"/>
    <d v="2026-09-15T00:00:00"/>
    <s v="P004"/>
    <x v="0"/>
    <n v="9.6999999999999993"/>
    <n v="9.6999999999999993"/>
    <n v="0"/>
    <n v="2.6"/>
    <s v="正常交付"/>
    <s v="true"/>
    <x v="3"/>
    <s v="散装鲜菜"/>
    <s v="模拟_兴街快餐店"/>
    <n v="25.22"/>
    <n v="0"/>
    <n v="25.22"/>
    <s v=""/>
    <s v=""/>
    <s v=""/>
    <s v=""/>
    <s v="通过"/>
  </r>
  <r>
    <s v="SIM-20260915-C003"/>
    <n v="6"/>
    <s v="C003"/>
    <d v="2026-09-15T00:00:00"/>
    <s v="P003"/>
    <x v="0"/>
    <n v="7.3"/>
    <n v="7.3"/>
    <n v="0"/>
    <n v="3.5"/>
    <s v="正常交付"/>
    <s v="true"/>
    <x v="12"/>
    <s v="散装鲜菜"/>
    <s v="模拟_兴街快餐店"/>
    <n v="25.55"/>
    <n v="0"/>
    <n v="25.55"/>
    <s v=""/>
    <s v=""/>
    <s v=""/>
    <s v=""/>
    <s v="通过"/>
  </r>
  <r>
    <s v="SIM-20260915-C003"/>
    <n v="7"/>
    <s v="C003"/>
    <d v="2026-09-15T00:00:00"/>
    <s v="P016"/>
    <x v="0"/>
    <n v="6"/>
    <n v="6"/>
    <n v="0"/>
    <n v="10.199999999999999"/>
    <s v="正常交付"/>
    <s v="true"/>
    <x v="4"/>
    <s v="普通鲜鸡蛋按净重"/>
    <s v="模拟_兴街快餐店"/>
    <n v="61.2"/>
    <n v="0"/>
    <n v="61.2"/>
    <s v=""/>
    <s v=""/>
    <s v=""/>
    <s v=""/>
    <s v="通过"/>
  </r>
  <r>
    <s v="SIM-20260915-C003"/>
    <n v="8"/>
    <s v="C003"/>
    <d v="2026-09-15T00:00:00"/>
    <s v="P015"/>
    <x v="0"/>
    <n v="1"/>
    <n v="1"/>
    <n v="0"/>
    <n v="7.3"/>
    <s v="正常交付"/>
    <s v="true"/>
    <x v="5"/>
    <s v="散装鲜菜"/>
    <s v="模拟_兴街快餐店"/>
    <n v="7.3"/>
    <n v="0"/>
    <n v="7.3"/>
    <s v=""/>
    <s v=""/>
    <s v=""/>
    <s v=""/>
    <s v="通过"/>
  </r>
  <r>
    <s v="SIM-20260915-C004"/>
    <n v="1"/>
    <s v="C004"/>
    <d v="2026-09-15T00:00:00"/>
    <s v="P011"/>
    <x v="0"/>
    <n v="4.5"/>
    <n v="4.5"/>
    <n v="0"/>
    <n v="4.3"/>
    <s v="正常交付"/>
    <s v="true"/>
    <x v="8"/>
    <s v="散装鲜菜"/>
    <s v="模拟_田畔饭店"/>
    <n v="19.350000000000001"/>
    <n v="0"/>
    <n v="19.350000000000001"/>
    <s v=""/>
    <s v=""/>
    <s v=""/>
    <s v=""/>
    <s v="通过"/>
  </r>
  <r>
    <s v="SIM-20260915-C004"/>
    <n v="2"/>
    <s v="C004"/>
    <d v="2026-09-15T00:00:00"/>
    <s v="P007"/>
    <x v="0"/>
    <n v="7.8"/>
    <n v="7.8"/>
    <n v="0"/>
    <n v="5.25"/>
    <s v="正常交付"/>
    <s v="true"/>
    <x v="18"/>
    <s v="散装鲜菜"/>
    <s v="模拟_田畔饭店"/>
    <n v="40.950000000000003"/>
    <n v="0"/>
    <n v="40.950000000000003"/>
    <s v=""/>
    <s v=""/>
    <s v=""/>
    <s v=""/>
    <s v="通过"/>
  </r>
  <r>
    <s v="SIM-20260915-C004"/>
    <n v="3"/>
    <s v="C004"/>
    <d v="2026-09-15T00:00:00"/>
    <s v="P001"/>
    <x v="0"/>
    <n v="9"/>
    <n v="9"/>
    <n v="0"/>
    <n v="3.4"/>
    <s v="正常交付"/>
    <s v="true"/>
    <x v="9"/>
    <s v="散装鲜菜"/>
    <s v="模拟_田畔饭店"/>
    <n v="30.6"/>
    <n v="0"/>
    <n v="30.6"/>
    <s v=""/>
    <s v=""/>
    <s v=""/>
    <s v=""/>
    <s v="通过"/>
  </r>
  <r>
    <s v="SIM-20260915-C004"/>
    <n v="4"/>
    <s v="C004"/>
    <d v="2026-09-15T00:00:00"/>
    <s v="P014"/>
    <x v="0"/>
    <n v="5.6"/>
    <n v="5.6"/>
    <n v="0"/>
    <n v="5"/>
    <s v="正常交付"/>
    <s v="true"/>
    <x v="19"/>
    <s v="散装鲜菜"/>
    <s v="模拟_田畔饭店"/>
    <n v="28"/>
    <n v="0"/>
    <n v="28"/>
    <s v=""/>
    <s v=""/>
    <s v=""/>
    <s v=""/>
    <s v="通过"/>
  </r>
  <r>
    <s v="SIM-20260915-C004"/>
    <n v="5"/>
    <s v="C004"/>
    <d v="2026-09-15T00:00:00"/>
    <s v="P006"/>
    <x v="0"/>
    <n v="7.3"/>
    <n v="7.3"/>
    <n v="0"/>
    <n v="4.8"/>
    <s v="正常交付"/>
    <s v="true"/>
    <x v="10"/>
    <s v="散装鲜菜"/>
    <s v="模拟_田畔饭店"/>
    <n v="35.04"/>
    <n v="0"/>
    <n v="35.04"/>
    <s v=""/>
    <s v=""/>
    <s v=""/>
    <s v=""/>
    <s v="通过"/>
  </r>
  <r>
    <s v="SIM-20260915-C004"/>
    <n v="6"/>
    <s v="C004"/>
    <d v="2026-09-15T00:00:00"/>
    <s v="P003"/>
    <x v="0"/>
    <n v="8.4"/>
    <n v="8.4"/>
    <n v="0"/>
    <n v="3.5"/>
    <s v="正常交付"/>
    <s v="true"/>
    <x v="12"/>
    <s v="散装鲜菜"/>
    <s v="模拟_田畔饭店"/>
    <n v="29.4"/>
    <n v="0"/>
    <n v="29.4"/>
    <s v=""/>
    <s v=""/>
    <s v=""/>
    <s v=""/>
    <s v="通过"/>
  </r>
  <r>
    <s v="SIM-20260915-C004"/>
    <n v="7"/>
    <s v="C004"/>
    <d v="2026-09-15T00:00:00"/>
    <s v="P016"/>
    <x v="0"/>
    <n v="5"/>
    <n v="5"/>
    <n v="0"/>
    <n v="10.199999999999999"/>
    <s v="正常交付"/>
    <s v="true"/>
    <x v="4"/>
    <s v="普通鲜鸡蛋按净重"/>
    <s v="模拟_田畔饭店"/>
    <n v="51"/>
    <n v="0"/>
    <n v="51"/>
    <s v=""/>
    <s v=""/>
    <s v=""/>
    <s v=""/>
    <s v="通过"/>
  </r>
  <r>
    <s v="SIM-20260915-C004"/>
    <n v="8"/>
    <s v="C004"/>
    <d v="2026-09-15T00:00:00"/>
    <s v="P015"/>
    <x v="0"/>
    <n v="1"/>
    <n v="1"/>
    <n v="0"/>
    <n v="7.3"/>
    <s v="正常交付"/>
    <s v="true"/>
    <x v="5"/>
    <s v="散装鲜菜"/>
    <s v="模拟_田畔饭店"/>
    <n v="7.3"/>
    <n v="0"/>
    <n v="7.3"/>
    <s v=""/>
    <s v=""/>
    <s v=""/>
    <s v=""/>
    <s v="通过"/>
  </r>
  <r>
    <s v="SIM-20260915-C005"/>
    <n v="1"/>
    <s v="C005"/>
    <d v="2026-09-15T00:00:00"/>
    <s v="P012"/>
    <x v="0"/>
    <n v="8.4"/>
    <n v="8.4"/>
    <n v="0"/>
    <n v="5.2"/>
    <s v="正常交付"/>
    <s v="true"/>
    <x v="0"/>
    <s v="散装鲜菜"/>
    <s v="模拟_青禾小学食堂"/>
    <n v="43.68"/>
    <n v="0"/>
    <n v="43.68"/>
    <s v=""/>
    <s v=""/>
    <s v=""/>
    <s v=""/>
    <s v="通过"/>
  </r>
  <r>
    <s v="SIM-20260915-C005"/>
    <n v="2"/>
    <s v="C005"/>
    <d v="2026-09-15T00:00:00"/>
    <s v="P014"/>
    <x v="0"/>
    <n v="8.4"/>
    <n v="8.4"/>
    <n v="0"/>
    <n v="5"/>
    <s v="正常交付"/>
    <s v="true"/>
    <x v="19"/>
    <s v="散装鲜菜"/>
    <s v="模拟_青禾小学食堂"/>
    <n v="42"/>
    <n v="0"/>
    <n v="42"/>
    <s v=""/>
    <s v=""/>
    <s v=""/>
    <s v=""/>
    <s v="通过"/>
  </r>
  <r>
    <s v="SIM-20260915-C005"/>
    <n v="3"/>
    <s v="C005"/>
    <d v="2026-09-15T00:00:00"/>
    <s v="P006"/>
    <x v="0"/>
    <n v="15.8"/>
    <n v="15.8"/>
    <n v="0"/>
    <n v="4.8"/>
    <s v="正常交付"/>
    <s v="true"/>
    <x v="10"/>
    <s v="散装鲜菜"/>
    <s v="模拟_青禾小学食堂"/>
    <n v="75.84"/>
    <n v="0"/>
    <n v="75.84"/>
    <s v=""/>
    <s v=""/>
    <s v=""/>
    <s v=""/>
    <s v="通过"/>
  </r>
  <r>
    <s v="SIM-20260915-C005"/>
    <n v="4"/>
    <s v="C005"/>
    <d v="2026-09-15T00:00:00"/>
    <s v="P001"/>
    <x v="0"/>
    <n v="7.4"/>
    <n v="7.4"/>
    <n v="0"/>
    <n v="3.4"/>
    <s v="正常交付"/>
    <s v="true"/>
    <x v="9"/>
    <s v="散装鲜菜"/>
    <s v="模拟_青禾小学食堂"/>
    <n v="25.16"/>
    <n v="0"/>
    <n v="25.16"/>
    <s v=""/>
    <s v=""/>
    <s v=""/>
    <s v=""/>
    <s v="通过"/>
  </r>
  <r>
    <s v="SIM-20260915-C005"/>
    <n v="5"/>
    <s v="C005"/>
    <d v="2026-09-15T00:00:00"/>
    <s v="P004"/>
    <x v="0"/>
    <n v="11.6"/>
    <n v="11.6"/>
    <n v="0"/>
    <n v="2.6"/>
    <s v="正常交付"/>
    <s v="true"/>
    <x v="3"/>
    <s v="散装鲜菜"/>
    <s v="模拟_青禾小学食堂"/>
    <n v="30.16"/>
    <n v="0"/>
    <n v="30.16"/>
    <s v=""/>
    <s v=""/>
    <s v=""/>
    <s v=""/>
    <s v="通过"/>
  </r>
  <r>
    <s v="SIM-20260915-C005"/>
    <n v="6"/>
    <s v="C005"/>
    <d v="2026-09-15T00:00:00"/>
    <s v="P002"/>
    <x v="0"/>
    <n v="13.7"/>
    <n v="13.7"/>
    <n v="0"/>
    <n v="2.7"/>
    <s v="正常交付"/>
    <s v="true"/>
    <x v="2"/>
    <s v="散装鲜菜"/>
    <s v="模拟_青禾小学食堂"/>
    <n v="36.99"/>
    <n v="0"/>
    <n v="36.99"/>
    <s v=""/>
    <s v=""/>
    <s v=""/>
    <s v=""/>
    <s v="通过"/>
  </r>
  <r>
    <s v="SIM-20260915-C005"/>
    <n v="7"/>
    <s v="C005"/>
    <d v="2026-09-15T00:00:00"/>
    <s v="P016"/>
    <x v="0"/>
    <n v="12"/>
    <n v="12"/>
    <n v="0"/>
    <n v="10.199999999999999"/>
    <s v="正常交付"/>
    <s v="true"/>
    <x v="4"/>
    <s v="普通鲜鸡蛋按净重"/>
    <s v="模拟_青禾小学食堂"/>
    <n v="122.4"/>
    <n v="0"/>
    <n v="122.4"/>
    <s v=""/>
    <s v=""/>
    <s v=""/>
    <s v=""/>
    <s v="通过"/>
  </r>
  <r>
    <s v="SIM-20260915-C005"/>
    <n v="8"/>
    <s v="C005"/>
    <d v="2026-09-15T00:00:00"/>
    <s v="P017"/>
    <x v="2"/>
    <n v="6"/>
    <n v="6"/>
    <n v="0"/>
    <n v="119"/>
    <s v="正常交付"/>
    <s v="true"/>
    <x v="13"/>
    <s v="25公斤/袋普通籼米"/>
    <s v="模拟_青禾小学食堂"/>
    <n v="714"/>
    <n v="0"/>
    <n v="714"/>
    <s v=""/>
    <s v=""/>
    <s v=""/>
    <s v=""/>
    <s v="通过"/>
  </r>
  <r>
    <s v="SIM-20260915-C005"/>
    <n v="9"/>
    <s v="C005"/>
    <d v="2026-09-15T00:00:00"/>
    <s v="P020"/>
    <x v="1"/>
    <n v="2"/>
    <n v="2"/>
    <n v="0"/>
    <n v="55"/>
    <s v="正常交付"/>
    <s v="true"/>
    <x v="15"/>
    <s v="5升/桶普通大豆油"/>
    <s v="模拟_青禾小学食堂"/>
    <n v="110"/>
    <n v="0"/>
    <n v="110"/>
    <s v=""/>
    <s v=""/>
    <s v=""/>
    <s v=""/>
    <s v="通过"/>
  </r>
  <r>
    <s v="SIM-20260915-C006"/>
    <n v="1"/>
    <s v="C006"/>
    <d v="2026-09-15T00:00:00"/>
    <s v="P011"/>
    <x v="0"/>
    <n v="9.5"/>
    <n v="9.5"/>
    <n v="0"/>
    <n v="4.3"/>
    <s v="正常交付"/>
    <s v="true"/>
    <x v="8"/>
    <s v="散装鲜菜"/>
    <s v="模拟_溪桥医院食堂"/>
    <n v="40.85"/>
    <n v="0"/>
    <n v="40.85"/>
    <s v=""/>
    <s v=""/>
    <s v=""/>
    <s v=""/>
    <s v="通过"/>
  </r>
  <r>
    <s v="SIM-20260915-C006"/>
    <n v="2"/>
    <s v="C006"/>
    <d v="2026-09-15T00:00:00"/>
    <s v="P005"/>
    <x v="0"/>
    <n v="5.8"/>
    <n v="5.8"/>
    <n v="0"/>
    <n v="3.2"/>
    <s v="正常交付"/>
    <s v="true"/>
    <x v="1"/>
    <s v="散装鲜菜"/>
    <s v="模拟_溪桥医院食堂"/>
    <n v="18.559999999999999"/>
    <n v="0"/>
    <n v="18.559999999999999"/>
    <s v=""/>
    <s v=""/>
    <s v=""/>
    <s v=""/>
    <s v="通过"/>
  </r>
  <r>
    <s v="SIM-20260915-C006"/>
    <n v="3"/>
    <s v="C006"/>
    <d v="2026-09-15T00:00:00"/>
    <s v="P014"/>
    <x v="0"/>
    <n v="8.8000000000000007"/>
    <n v="8.8000000000000007"/>
    <n v="0"/>
    <n v="5"/>
    <s v="正常交付"/>
    <s v="true"/>
    <x v="19"/>
    <s v="散装鲜菜"/>
    <s v="模拟_溪桥医院食堂"/>
    <n v="44"/>
    <n v="0"/>
    <n v="44"/>
    <s v=""/>
    <s v=""/>
    <s v=""/>
    <s v=""/>
    <s v="通过"/>
  </r>
  <r>
    <s v="SIM-20260915-C006"/>
    <n v="4"/>
    <s v="C006"/>
    <d v="2026-09-15T00:00:00"/>
    <s v="P013"/>
    <x v="0"/>
    <n v="5.8"/>
    <n v="5.8"/>
    <n v="0"/>
    <n v="6"/>
    <s v="正常交付"/>
    <s v="true"/>
    <x v="11"/>
    <s v="散装鲜菜"/>
    <s v="模拟_溪桥医院食堂"/>
    <n v="34.799999999999997"/>
    <n v="0"/>
    <n v="34.799999999999997"/>
    <s v=""/>
    <s v=""/>
    <s v=""/>
    <s v=""/>
    <s v="通过"/>
  </r>
  <r>
    <s v="SIM-20260915-C006"/>
    <n v="5"/>
    <s v="C006"/>
    <d v="2026-09-15T00:00:00"/>
    <s v="P001"/>
    <x v="0"/>
    <n v="11.7"/>
    <n v="11.7"/>
    <n v="0"/>
    <n v="3.4"/>
    <s v="正常交付"/>
    <s v="true"/>
    <x v="9"/>
    <s v="散装鲜菜"/>
    <s v="模拟_溪桥医院食堂"/>
    <n v="39.78"/>
    <n v="0"/>
    <n v="39.78"/>
    <s v=""/>
    <s v=""/>
    <s v=""/>
    <s v=""/>
    <s v="通过"/>
  </r>
  <r>
    <s v="SIM-20260915-C006"/>
    <n v="6"/>
    <s v="C006"/>
    <d v="2026-09-15T00:00:00"/>
    <s v="P004"/>
    <x v="0"/>
    <n v="7.3"/>
    <n v="7.3"/>
    <n v="0"/>
    <n v="2.6"/>
    <s v="正常交付"/>
    <s v="true"/>
    <x v="3"/>
    <s v="散装鲜菜"/>
    <s v="模拟_溪桥医院食堂"/>
    <n v="18.98"/>
    <n v="0"/>
    <n v="18.98"/>
    <s v=""/>
    <s v=""/>
    <s v=""/>
    <s v=""/>
    <s v="通过"/>
  </r>
  <r>
    <s v="SIM-20260915-C006"/>
    <n v="7"/>
    <s v="C006"/>
    <d v="2026-09-15T00:00:00"/>
    <s v="P016"/>
    <x v="0"/>
    <n v="9"/>
    <n v="9"/>
    <n v="0"/>
    <n v="10.199999999999999"/>
    <s v="正常交付"/>
    <s v="true"/>
    <x v="4"/>
    <s v="普通鲜鸡蛋按净重"/>
    <s v="模拟_溪桥医院食堂"/>
    <n v="91.8"/>
    <n v="0"/>
    <n v="91.8"/>
    <s v=""/>
    <s v=""/>
    <s v=""/>
    <s v=""/>
    <s v="通过"/>
  </r>
  <r>
    <s v="SIM-20260916-C001"/>
    <n v="1"/>
    <s v="C001"/>
    <d v="2026-09-16T00:00:00"/>
    <s v="P012"/>
    <x v="0"/>
    <n v="2.2999999999999998"/>
    <n v="2.2999999999999998"/>
    <n v="0"/>
    <n v="5.2"/>
    <s v="正常交付"/>
    <s v="true"/>
    <x v="0"/>
    <s v="散装鲜菜"/>
    <s v="模拟_榕树下粉面店"/>
    <n v="11.96"/>
    <n v="0"/>
    <n v="11.96"/>
    <s v=""/>
    <s v=""/>
    <s v=""/>
    <s v=""/>
    <s v="通过"/>
  </r>
  <r>
    <s v="SIM-20260916-C001"/>
    <n v="2"/>
    <s v="C001"/>
    <d v="2026-09-16T00:00:00"/>
    <s v="P002"/>
    <x v="0"/>
    <n v="3.9"/>
    <n v="3.9"/>
    <n v="0"/>
    <n v="2.7"/>
    <s v="正常交付"/>
    <s v="true"/>
    <x v="2"/>
    <s v="散装鲜菜"/>
    <s v="模拟_榕树下粉面店"/>
    <n v="10.53"/>
    <n v="0"/>
    <n v="10.53"/>
    <s v=""/>
    <s v=""/>
    <s v=""/>
    <s v=""/>
    <s v="通过"/>
  </r>
  <r>
    <s v="SIM-20260916-C001"/>
    <n v="3"/>
    <s v="C001"/>
    <d v="2026-09-16T00:00:00"/>
    <s v="P003"/>
    <x v="0"/>
    <n v="4.2"/>
    <n v="4.2"/>
    <n v="0"/>
    <n v="3.5"/>
    <s v="正常交付"/>
    <s v="true"/>
    <x v="12"/>
    <s v="散装鲜菜"/>
    <s v="模拟_榕树下粉面店"/>
    <n v="14.7"/>
    <n v="0"/>
    <n v="14.7"/>
    <s v=""/>
    <s v=""/>
    <s v=""/>
    <s v=""/>
    <s v="通过"/>
  </r>
  <r>
    <s v="SIM-20260916-C001"/>
    <n v="4"/>
    <s v="C001"/>
    <d v="2026-09-16T00:00:00"/>
    <s v="P006"/>
    <x v="0"/>
    <n v="2.9"/>
    <n v="2.9"/>
    <n v="0"/>
    <n v="4.8"/>
    <s v="正常交付"/>
    <s v="true"/>
    <x v="10"/>
    <s v="散装鲜菜"/>
    <s v="模拟_榕树下粉面店"/>
    <n v="13.92"/>
    <n v="0"/>
    <n v="13.92"/>
    <s v=""/>
    <s v=""/>
    <s v=""/>
    <s v=""/>
    <s v="通过"/>
  </r>
  <r>
    <s v="SIM-20260916-C002"/>
    <n v="1"/>
    <s v="C002"/>
    <d v="2026-09-16T00:00:00"/>
    <s v="P011"/>
    <x v="0"/>
    <n v="7.9"/>
    <n v="7.9"/>
    <n v="0"/>
    <n v="4.3"/>
    <s v="正常交付"/>
    <s v="true"/>
    <x v="8"/>
    <s v="散装鲜菜"/>
    <s v="模拟_桥头家常菜馆"/>
    <n v="33.97"/>
    <n v="0"/>
    <n v="33.97"/>
    <s v=""/>
    <s v=""/>
    <s v=""/>
    <s v=""/>
    <s v="通过"/>
  </r>
  <r>
    <s v="SIM-20260916-C002"/>
    <n v="2"/>
    <s v="C002"/>
    <d v="2026-09-16T00:00:00"/>
    <s v="P005"/>
    <x v="0"/>
    <n v="5.5"/>
    <n v="5.5"/>
    <n v="0"/>
    <n v="3.2"/>
    <s v="正常交付"/>
    <s v="true"/>
    <x v="1"/>
    <s v="散装鲜菜"/>
    <s v="模拟_桥头家常菜馆"/>
    <n v="17.600000000000001"/>
    <n v="0"/>
    <n v="17.600000000000001"/>
    <s v=""/>
    <s v=""/>
    <s v=""/>
    <s v=""/>
    <s v="通过"/>
  </r>
  <r>
    <s v="SIM-20260916-C002"/>
    <n v="3"/>
    <s v="C002"/>
    <d v="2026-09-16T00:00:00"/>
    <s v="P002"/>
    <x v="0"/>
    <n v="6.9"/>
    <n v="6.9"/>
    <n v="0"/>
    <n v="2.7"/>
    <s v="正常交付"/>
    <s v="true"/>
    <x v="2"/>
    <s v="散装鲜菜"/>
    <s v="模拟_桥头家常菜馆"/>
    <n v="18.63"/>
    <n v="0"/>
    <n v="18.63"/>
    <s v=""/>
    <s v=""/>
    <s v=""/>
    <s v=""/>
    <s v="通过"/>
  </r>
  <r>
    <s v="SIM-20260916-C002"/>
    <n v="4"/>
    <s v="C002"/>
    <d v="2026-09-16T00:00:00"/>
    <s v="P004"/>
    <x v="0"/>
    <n v="5.5"/>
    <n v="5.5"/>
    <n v="0"/>
    <n v="2.6"/>
    <s v="正常交付"/>
    <s v="true"/>
    <x v="3"/>
    <s v="散装鲜菜"/>
    <s v="模拟_桥头家常菜馆"/>
    <n v="14.3"/>
    <n v="0"/>
    <n v="14.3"/>
    <s v=""/>
    <s v=""/>
    <s v=""/>
    <s v=""/>
    <s v="通过"/>
  </r>
  <r>
    <s v="SIM-20260916-C002"/>
    <n v="5"/>
    <s v="C002"/>
    <d v="2026-09-16T00:00:00"/>
    <s v="P013"/>
    <x v="0"/>
    <n v="4.5"/>
    <n v="4.5"/>
    <n v="0"/>
    <n v="6"/>
    <s v="正常交付"/>
    <s v="true"/>
    <x v="11"/>
    <s v="散装鲜菜"/>
    <s v="模拟_桥头家常菜馆"/>
    <n v="27"/>
    <n v="0"/>
    <n v="27"/>
    <s v=""/>
    <s v=""/>
    <s v=""/>
    <s v=""/>
    <s v="通过"/>
  </r>
  <r>
    <s v="SIM-20260916-C003"/>
    <n v="1"/>
    <s v="C003"/>
    <d v="2026-09-16T00:00:00"/>
    <s v="P010"/>
    <x v="0"/>
    <n v="4.9000000000000004"/>
    <n v="4.9000000000000004"/>
    <n v="0"/>
    <n v="4.5"/>
    <s v="正常交付"/>
    <s v="true"/>
    <x v="16"/>
    <s v="散装鲜菜"/>
    <s v="模拟_兴街快餐店"/>
    <n v="22.05"/>
    <n v="0"/>
    <n v="22.05"/>
    <s v=""/>
    <s v=""/>
    <s v=""/>
    <s v=""/>
    <s v="通过"/>
  </r>
  <r>
    <s v="SIM-20260916-C003"/>
    <n v="2"/>
    <s v="C003"/>
    <d v="2026-09-16T00:00:00"/>
    <s v="P008"/>
    <x v="0"/>
    <n v="5.8"/>
    <n v="5.8"/>
    <n v="0"/>
    <n v="4.4000000000000004"/>
    <s v="正常交付"/>
    <s v="true"/>
    <x v="14"/>
    <s v="散装鲜菜"/>
    <s v="模拟_兴街快餐店"/>
    <n v="25.52"/>
    <n v="0"/>
    <n v="25.52"/>
    <s v=""/>
    <s v=""/>
    <s v=""/>
    <s v=""/>
    <s v="通过"/>
  </r>
  <r>
    <s v="SIM-20260916-C003"/>
    <n v="3"/>
    <s v="C003"/>
    <d v="2026-09-16T00:00:00"/>
    <s v="P001"/>
    <x v="0"/>
    <n v="7.3"/>
    <n v="7.3"/>
    <n v="0"/>
    <n v="3.4"/>
    <s v="正常交付"/>
    <s v="true"/>
    <x v="9"/>
    <s v="散装鲜菜"/>
    <s v="模拟_兴街快餐店"/>
    <n v="24.82"/>
    <n v="0"/>
    <n v="24.82"/>
    <s v=""/>
    <s v=""/>
    <s v=""/>
    <s v=""/>
    <s v="通过"/>
  </r>
  <r>
    <s v="SIM-20260916-C003"/>
    <n v="4"/>
    <s v="C003"/>
    <d v="2026-09-16T00:00:00"/>
    <s v="P009"/>
    <x v="0"/>
    <n v="6.8"/>
    <n v="6.8"/>
    <n v="0"/>
    <n v="4.8"/>
    <s v="正常交付"/>
    <s v="true"/>
    <x v="17"/>
    <s v="散装鲜菜"/>
    <s v="模拟_兴街快餐店"/>
    <n v="32.64"/>
    <n v="0"/>
    <n v="32.64"/>
    <s v=""/>
    <s v=""/>
    <s v=""/>
    <s v=""/>
    <s v="通过"/>
  </r>
  <r>
    <s v="SIM-20260916-C003"/>
    <n v="5"/>
    <s v="C003"/>
    <d v="2026-09-16T00:00:00"/>
    <s v="P006"/>
    <x v="0"/>
    <n v="6.3"/>
    <n v="6.3"/>
    <n v="0"/>
    <n v="4.8"/>
    <s v="正常交付"/>
    <s v="true"/>
    <x v="10"/>
    <s v="散装鲜菜"/>
    <s v="模拟_兴街快餐店"/>
    <n v="30.24"/>
    <n v="0"/>
    <n v="30.24"/>
    <s v=""/>
    <s v=""/>
    <s v=""/>
    <s v=""/>
    <s v="通过"/>
  </r>
  <r>
    <s v="SIM-20260916-C003"/>
    <n v="6"/>
    <s v="C003"/>
    <d v="2026-09-16T00:00:00"/>
    <s v="P004"/>
    <x v="0"/>
    <n v="6.3"/>
    <n v="6.3"/>
    <n v="0"/>
    <n v="2.6"/>
    <s v="正常交付"/>
    <s v="true"/>
    <x v="3"/>
    <s v="散装鲜菜"/>
    <s v="模拟_兴街快餐店"/>
    <n v="16.38"/>
    <n v="0"/>
    <n v="16.38"/>
    <s v=""/>
    <s v=""/>
    <s v=""/>
    <s v=""/>
    <s v="通过"/>
  </r>
  <r>
    <s v="SIM-20260916-C005"/>
    <n v="1"/>
    <s v="C005"/>
    <d v="2026-09-16T00:00:00"/>
    <s v="P011"/>
    <x v="0"/>
    <n v="9.1"/>
    <n v="9.1"/>
    <n v="0"/>
    <n v="4.3"/>
    <s v="正常交付"/>
    <s v="true"/>
    <x v="8"/>
    <s v="散装鲜菜"/>
    <s v="模拟_青禾小学食堂"/>
    <n v="39.130000000000003"/>
    <n v="0"/>
    <n v="39.130000000000003"/>
    <s v=""/>
    <s v=""/>
    <s v=""/>
    <s v=""/>
    <s v="通过"/>
  </r>
  <r>
    <s v="SIM-20260916-C005"/>
    <n v="2"/>
    <s v="C005"/>
    <d v="2026-09-16T00:00:00"/>
    <s v="P008"/>
    <x v="0"/>
    <n v="9.1"/>
    <n v="9.1"/>
    <n v="0"/>
    <n v="4.4000000000000004"/>
    <s v="正常交付"/>
    <s v="true"/>
    <x v="14"/>
    <s v="散装鲜菜"/>
    <s v="模拟_青禾小学食堂"/>
    <n v="40.04"/>
    <n v="0"/>
    <n v="40.04"/>
    <s v=""/>
    <s v=""/>
    <s v=""/>
    <s v=""/>
    <s v="通过"/>
  </r>
  <r>
    <s v="SIM-20260916-C005"/>
    <n v="3"/>
    <s v="C005"/>
    <d v="2026-09-16T00:00:00"/>
    <s v="P001"/>
    <x v="0"/>
    <n v="11.1"/>
    <n v="11.1"/>
    <n v="0"/>
    <n v="3.4"/>
    <s v="正常交付"/>
    <s v="true"/>
    <x v="9"/>
    <s v="散装鲜菜"/>
    <s v="模拟_青禾小学食堂"/>
    <n v="37.74"/>
    <n v="0"/>
    <n v="37.74"/>
    <s v=""/>
    <s v=""/>
    <s v=""/>
    <s v=""/>
    <s v="通过"/>
  </r>
  <r>
    <s v="SIM-20260916-C005"/>
    <n v="4"/>
    <s v="C005"/>
    <d v="2026-09-16T00:00:00"/>
    <s v="P003"/>
    <x v="0"/>
    <n v="9.1"/>
    <n v="9.1"/>
    <n v="0"/>
    <n v="3.5"/>
    <s v="正常交付"/>
    <s v="true"/>
    <x v="12"/>
    <s v="散装鲜菜"/>
    <s v="模拟_青禾小学食堂"/>
    <n v="31.85"/>
    <n v="0"/>
    <n v="31.85"/>
    <s v=""/>
    <s v=""/>
    <s v=""/>
    <s v=""/>
    <s v="通过"/>
  </r>
  <r>
    <s v="SIM-20260916-C005"/>
    <n v="5"/>
    <s v="C005"/>
    <d v="2026-09-16T00:00:00"/>
    <s v="P009"/>
    <x v="0"/>
    <n v="9.1"/>
    <n v="9.1"/>
    <n v="0"/>
    <n v="4.8"/>
    <s v="正常交付"/>
    <s v="true"/>
    <x v="17"/>
    <s v="散装鲜菜"/>
    <s v="模拟_青禾小学食堂"/>
    <n v="43.68"/>
    <n v="0"/>
    <n v="43.68"/>
    <s v=""/>
    <s v=""/>
    <s v=""/>
    <s v=""/>
    <s v="通过"/>
  </r>
  <r>
    <s v="SIM-20260916-C005"/>
    <n v="6"/>
    <s v="C005"/>
    <d v="2026-09-16T00:00:00"/>
    <s v="P004"/>
    <x v="0"/>
    <n v="7.1"/>
    <n v="7.1"/>
    <n v="0"/>
    <n v="2.6"/>
    <s v="正常交付"/>
    <s v="true"/>
    <x v="3"/>
    <s v="散装鲜菜"/>
    <s v="模拟_青禾小学食堂"/>
    <n v="18.46"/>
    <n v="0"/>
    <n v="18.46"/>
    <s v=""/>
    <s v=""/>
    <s v=""/>
    <s v=""/>
    <s v="通过"/>
  </r>
  <r>
    <s v="SIM-20260916-C006"/>
    <n v="1"/>
    <s v="C006"/>
    <d v="2026-09-16T00:00:00"/>
    <s v="P011"/>
    <x v="0"/>
    <n v="9.9"/>
    <n v="9.9"/>
    <n v="0"/>
    <n v="4.3"/>
    <s v="正常交付"/>
    <s v="true"/>
    <x v="8"/>
    <s v="散装鲜菜"/>
    <s v="模拟_溪桥医院食堂"/>
    <n v="42.57"/>
    <n v="0"/>
    <n v="42.57"/>
    <s v=""/>
    <s v=""/>
    <s v=""/>
    <s v=""/>
    <s v="通过"/>
  </r>
  <r>
    <s v="SIM-20260916-C006"/>
    <n v="2"/>
    <s v="C006"/>
    <d v="2026-09-16T00:00:00"/>
    <s v="P008"/>
    <x v="0"/>
    <n v="8.1"/>
    <n v="8.1"/>
    <n v="0"/>
    <n v="4.4000000000000004"/>
    <s v="正常交付"/>
    <s v="true"/>
    <x v="14"/>
    <s v="散装鲜菜"/>
    <s v="模拟_溪桥医院食堂"/>
    <n v="35.64"/>
    <n v="0"/>
    <n v="35.64"/>
    <s v=""/>
    <s v=""/>
    <s v=""/>
    <s v=""/>
    <s v="通过"/>
  </r>
  <r>
    <s v="SIM-20260916-C006"/>
    <n v="3"/>
    <s v="C006"/>
    <d v="2026-09-16T00:00:00"/>
    <s v="P009"/>
    <x v="0"/>
    <n v="9.9"/>
    <n v="9.9"/>
    <n v="0"/>
    <n v="4.8"/>
    <s v="正常交付"/>
    <s v="true"/>
    <x v="17"/>
    <s v="散装鲜菜"/>
    <s v="模拟_溪桥医院食堂"/>
    <n v="47.52"/>
    <n v="0"/>
    <n v="47.52"/>
    <s v=""/>
    <s v=""/>
    <s v=""/>
    <s v=""/>
    <s v="通过"/>
  </r>
  <r>
    <s v="SIM-20260916-C006"/>
    <n v="4"/>
    <s v="C006"/>
    <d v="2026-09-16T00:00:00"/>
    <s v="P005"/>
    <x v="0"/>
    <n v="8.6999999999999993"/>
    <n v="8.6999999999999993"/>
    <n v="0"/>
    <n v="3.2"/>
    <s v="正常交付"/>
    <s v="true"/>
    <x v="1"/>
    <s v="散装鲜菜"/>
    <s v="模拟_溪桥医院食堂"/>
    <n v="27.84"/>
    <n v="0"/>
    <n v="27.84"/>
    <s v=""/>
    <s v=""/>
    <s v=""/>
    <s v=""/>
    <s v="通过"/>
  </r>
  <r>
    <s v="SIM-20260916-C006"/>
    <n v="5"/>
    <s v="C006"/>
    <d v="2026-09-16T00:00:00"/>
    <s v="P004"/>
    <x v="0"/>
    <n v="9.9"/>
    <n v="9.9"/>
    <n v="0"/>
    <n v="2.6"/>
    <s v="正常交付"/>
    <s v="true"/>
    <x v="3"/>
    <s v="散装鲜菜"/>
    <s v="模拟_溪桥医院食堂"/>
    <n v="25.74"/>
    <n v="0"/>
    <n v="25.74"/>
    <s v=""/>
    <s v=""/>
    <s v=""/>
    <s v=""/>
    <s v="通过"/>
  </r>
  <r>
    <s v="SIM-20260916-C006"/>
    <n v="6"/>
    <s v="C006"/>
    <d v="2026-09-16T00:00:00"/>
    <s v="P001"/>
    <x v="0"/>
    <n v="6.2"/>
    <n v="6.2"/>
    <n v="0"/>
    <n v="3.4"/>
    <s v="正常交付"/>
    <s v="true"/>
    <x v="9"/>
    <s v="散装鲜菜"/>
    <s v="模拟_溪桥医院食堂"/>
    <n v="21.08"/>
    <n v="0"/>
    <n v="21.08"/>
    <s v=""/>
    <s v=""/>
    <s v=""/>
    <s v=""/>
    <s v="通过"/>
  </r>
  <r>
    <s v="SIM-20260916-C006"/>
    <n v="7"/>
    <s v="C006"/>
    <d v="2026-09-16T00:00:00"/>
    <s v="P015"/>
    <x v="0"/>
    <n v="1"/>
    <n v="1"/>
    <n v="0"/>
    <n v="7.3"/>
    <s v="正常交付"/>
    <s v="true"/>
    <x v="5"/>
    <s v="散装鲜菜"/>
    <s v="模拟_溪桥医院食堂"/>
    <n v="7.3"/>
    <n v="0"/>
    <n v="7.3"/>
    <s v=""/>
    <s v=""/>
    <s v=""/>
    <s v=""/>
    <s v="通过"/>
  </r>
  <r>
    <s v="SIM-20260916-C006"/>
    <n v="8"/>
    <s v="C006"/>
    <d v="2026-09-16T00:00:00"/>
    <s v="P017"/>
    <x v="2"/>
    <n v="4"/>
    <n v="4"/>
    <n v="0"/>
    <n v="119"/>
    <s v="正常交付"/>
    <s v="true"/>
    <x v="13"/>
    <s v="25公斤/袋普通籼米"/>
    <s v="模拟_溪桥医院食堂"/>
    <n v="476"/>
    <n v="0"/>
    <n v="476"/>
    <s v=""/>
    <s v=""/>
    <s v=""/>
    <s v=""/>
    <s v="通过"/>
  </r>
  <r>
    <s v="SIM-20260916-C006"/>
    <n v="9"/>
    <s v="C006"/>
    <d v="2026-09-16T00:00:00"/>
    <s v="P020"/>
    <x v="1"/>
    <n v="2"/>
    <n v="2"/>
    <n v="0"/>
    <n v="55"/>
    <s v="正常交付"/>
    <s v="true"/>
    <x v="15"/>
    <s v="5升/桶普通大豆油"/>
    <s v="模拟_溪桥医院食堂"/>
    <n v="110"/>
    <n v="0"/>
    <n v="110"/>
    <s v=""/>
    <s v=""/>
    <s v=""/>
    <s v=""/>
    <s v="通过"/>
  </r>
  <r>
    <s v="SIM-20260917-C001"/>
    <n v="1"/>
    <s v="C001"/>
    <d v="2026-09-17T00:00:00"/>
    <s v="P011"/>
    <x v="0"/>
    <n v="2"/>
    <n v="2"/>
    <n v="0"/>
    <n v="4.3"/>
    <s v="正常交付"/>
    <s v="true"/>
    <x v="8"/>
    <s v="散装鲜菜"/>
    <s v="模拟_榕树下粉面店"/>
    <n v="8.6"/>
    <n v="0"/>
    <n v="8.6"/>
    <s v=""/>
    <s v=""/>
    <s v=""/>
    <s v=""/>
    <s v="通过"/>
  </r>
  <r>
    <s v="SIM-20260917-C001"/>
    <n v="2"/>
    <s v="C001"/>
    <d v="2026-09-17T00:00:00"/>
    <s v="P005"/>
    <x v="0"/>
    <n v="4.5"/>
    <n v="4.5"/>
    <n v="0"/>
    <n v="3.2"/>
    <s v="正常交付"/>
    <s v="true"/>
    <x v="1"/>
    <s v="散装鲜菜"/>
    <s v="模拟_榕树下粉面店"/>
    <n v="14.4"/>
    <n v="0"/>
    <n v="14.4"/>
    <s v=""/>
    <s v=""/>
    <s v=""/>
    <s v=""/>
    <s v="通过"/>
  </r>
  <r>
    <s v="SIM-20260917-C001"/>
    <n v="3"/>
    <s v="C001"/>
    <d v="2026-09-17T00:00:00"/>
    <s v="P006"/>
    <x v="0"/>
    <n v="3.9"/>
    <n v="3.6"/>
    <n v="0"/>
    <n v="4.8"/>
    <s v="到货不足；按实际交付计费"/>
    <s v="true"/>
    <x v="10"/>
    <s v="散装鲜菜"/>
    <s v="模拟_榕树下粉面店"/>
    <n v="17.28"/>
    <n v="0"/>
    <n v="17.28"/>
    <s v=""/>
    <s v=""/>
    <s v=""/>
    <s v=""/>
    <s v="通过"/>
  </r>
  <r>
    <s v="SIM-20260917-C001"/>
    <n v="4"/>
    <s v="C001"/>
    <d v="2026-09-17T00:00:00"/>
    <s v="P014"/>
    <x v="0"/>
    <n v="2.8"/>
    <n v="2.8"/>
    <n v="0"/>
    <n v="5"/>
    <s v="正常交付"/>
    <s v="true"/>
    <x v="19"/>
    <s v="散装鲜菜"/>
    <s v="模拟_榕树下粉面店"/>
    <n v="14"/>
    <n v="0"/>
    <n v="14"/>
    <s v=""/>
    <s v=""/>
    <s v=""/>
    <s v=""/>
    <s v="通过"/>
  </r>
  <r>
    <s v="SIM-20260917-C001"/>
    <n v="5"/>
    <s v="C001"/>
    <d v="2026-09-17T00:00:00"/>
    <s v="P016"/>
    <x v="0"/>
    <n v="3"/>
    <n v="3"/>
    <n v="0"/>
    <n v="10.199999999999999"/>
    <s v="正常交付"/>
    <s v="true"/>
    <x v="4"/>
    <s v="普通鲜鸡蛋按净重"/>
    <s v="模拟_榕树下粉面店"/>
    <n v="30.6"/>
    <n v="0"/>
    <n v="30.6"/>
    <s v=""/>
    <s v=""/>
    <s v=""/>
    <s v=""/>
    <s v="通过"/>
  </r>
  <r>
    <s v="SIM-20260917-C002"/>
    <n v="1"/>
    <s v="C002"/>
    <d v="2026-09-17T00:00:00"/>
    <s v="P012"/>
    <x v="0"/>
    <n v="4.5"/>
    <n v="4.2"/>
    <n v="0"/>
    <n v="5.2"/>
    <s v="到货不足；按实际交付计费"/>
    <s v="true"/>
    <x v="0"/>
    <s v="散装鲜菜"/>
    <s v="模拟_桥头家常菜馆"/>
    <n v="21.84"/>
    <n v="0"/>
    <n v="21.84"/>
    <s v=""/>
    <s v=""/>
    <s v=""/>
    <s v=""/>
    <s v="通过"/>
  </r>
  <r>
    <s v="SIM-20260917-C002"/>
    <n v="2"/>
    <s v="C002"/>
    <d v="2026-09-17T00:00:00"/>
    <s v="P003"/>
    <x v="0"/>
    <n v="6"/>
    <n v="6"/>
    <n v="0"/>
    <n v="3.5"/>
    <s v="正常交付"/>
    <s v="true"/>
    <x v="12"/>
    <s v="散装鲜菜"/>
    <s v="模拟_桥头家常菜馆"/>
    <n v="21"/>
    <n v="0"/>
    <n v="21"/>
    <s v=""/>
    <s v=""/>
    <s v=""/>
    <s v=""/>
    <s v="通过"/>
  </r>
  <r>
    <s v="SIM-20260917-C002"/>
    <n v="3"/>
    <s v="C002"/>
    <d v="2026-09-17T00:00:00"/>
    <s v="P004"/>
    <x v="0"/>
    <n v="5.5"/>
    <n v="5.5"/>
    <n v="0"/>
    <n v="2.6"/>
    <s v="正常交付"/>
    <s v="true"/>
    <x v="3"/>
    <s v="散装鲜菜"/>
    <s v="模拟_桥头家常菜馆"/>
    <n v="14.3"/>
    <n v="0"/>
    <n v="14.3"/>
    <s v=""/>
    <s v=""/>
    <s v=""/>
    <s v=""/>
    <s v="通过"/>
  </r>
  <r>
    <s v="SIM-20260917-C002"/>
    <n v="4"/>
    <s v="C002"/>
    <d v="2026-09-17T00:00:00"/>
    <s v="P009"/>
    <x v="0"/>
    <n v="7"/>
    <n v="7"/>
    <n v="0"/>
    <n v="4.8"/>
    <s v="正常交付"/>
    <s v="true"/>
    <x v="17"/>
    <s v="散装鲜菜"/>
    <s v="模拟_桥头家常菜馆"/>
    <n v="33.6"/>
    <n v="0"/>
    <n v="33.6"/>
    <s v=""/>
    <s v=""/>
    <s v=""/>
    <s v=""/>
    <s v="通过"/>
  </r>
  <r>
    <s v="SIM-20260917-C002"/>
    <n v="5"/>
    <s v="C002"/>
    <d v="2026-09-17T00:00:00"/>
    <s v="P008"/>
    <x v="0"/>
    <n v="6"/>
    <n v="6"/>
    <n v="0"/>
    <n v="4.4000000000000004"/>
    <s v="正常交付"/>
    <s v="true"/>
    <x v="14"/>
    <s v="散装鲜菜"/>
    <s v="模拟_桥头家常菜馆"/>
    <n v="26.4"/>
    <n v="0"/>
    <n v="26.4"/>
    <s v=""/>
    <s v=""/>
    <s v=""/>
    <s v=""/>
    <s v="通过"/>
  </r>
  <r>
    <s v="SIM-20260917-C002"/>
    <n v="6"/>
    <s v="C002"/>
    <d v="2026-09-17T00:00:00"/>
    <s v="P016"/>
    <x v="0"/>
    <n v="4"/>
    <n v="4"/>
    <n v="0"/>
    <n v="10.199999999999999"/>
    <s v="正常交付"/>
    <s v="true"/>
    <x v="4"/>
    <s v="普通鲜鸡蛋按净重"/>
    <s v="模拟_桥头家常菜馆"/>
    <n v="40.799999999999997"/>
    <n v="0"/>
    <n v="40.799999999999997"/>
    <s v=""/>
    <s v=""/>
    <s v=""/>
    <s v=""/>
    <s v="通过"/>
  </r>
  <r>
    <s v="SIM-20260917-C003"/>
    <n v="1"/>
    <s v="C003"/>
    <d v="2026-09-17T00:00:00"/>
    <s v="P012"/>
    <x v="0"/>
    <n v="4.7"/>
    <n v="4.7"/>
    <n v="0.2"/>
    <n v="5.2"/>
    <s v="正常交付；签收时挑出黄叶退回"/>
    <s v="true"/>
    <x v="0"/>
    <s v="散装鲜菜"/>
    <s v="模拟_兴街快餐店"/>
    <n v="24.44"/>
    <n v="1.04"/>
    <n v="23.400000000000002"/>
    <s v=""/>
    <s v=""/>
    <s v=""/>
    <s v=""/>
    <s v="通过"/>
  </r>
  <r>
    <s v="SIM-20260917-C003"/>
    <n v="2"/>
    <s v="C003"/>
    <d v="2026-09-17T00:00:00"/>
    <s v="P001"/>
    <x v="0"/>
    <n v="10.1"/>
    <n v="9.6"/>
    <n v="0"/>
    <n v="3.4"/>
    <s v="到货不足；按实际交付计费"/>
    <s v="true"/>
    <x v="9"/>
    <s v="散装鲜菜"/>
    <s v="模拟_兴街快餐店"/>
    <n v="32.64"/>
    <n v="0"/>
    <n v="32.64"/>
    <s v=""/>
    <s v=""/>
    <s v=""/>
    <s v=""/>
    <s v="通过"/>
  </r>
  <r>
    <s v="SIM-20260917-C003"/>
    <n v="3"/>
    <s v="C003"/>
    <d v="2026-09-17T00:00:00"/>
    <s v="P005"/>
    <x v="0"/>
    <n v="10.1"/>
    <n v="10.1"/>
    <n v="0"/>
    <n v="3.2"/>
    <s v="正常交付"/>
    <s v="true"/>
    <x v="1"/>
    <s v="散装鲜菜"/>
    <s v="模拟_兴街快餐店"/>
    <n v="32.32"/>
    <n v="0"/>
    <n v="32.32"/>
    <s v=""/>
    <s v=""/>
    <s v=""/>
    <s v=""/>
    <s v="通过"/>
  </r>
  <r>
    <s v="SIM-20260917-C003"/>
    <n v="4"/>
    <s v="C003"/>
    <d v="2026-09-17T00:00:00"/>
    <s v="P007"/>
    <x v="0"/>
    <n v="6"/>
    <n v="6"/>
    <n v="0"/>
    <n v="5.25"/>
    <s v="正常交付"/>
    <s v="true"/>
    <x v="18"/>
    <s v="散装鲜菜"/>
    <s v="模拟_兴街快餐店"/>
    <n v="31.5"/>
    <n v="0"/>
    <n v="31.5"/>
    <s v=""/>
    <s v=""/>
    <s v=""/>
    <s v=""/>
    <s v="通过"/>
  </r>
  <r>
    <s v="SIM-20260917-C003"/>
    <n v="5"/>
    <s v="C003"/>
    <d v="2026-09-17T00:00:00"/>
    <s v="P009"/>
    <x v="0"/>
    <n v="4.7"/>
    <n v="4.7"/>
    <n v="0"/>
    <n v="4.8"/>
    <s v="正常交付"/>
    <s v="true"/>
    <x v="17"/>
    <s v="散装鲜菜"/>
    <s v="模拟_兴街快餐店"/>
    <n v="22.56"/>
    <n v="0"/>
    <n v="22.56"/>
    <s v=""/>
    <s v=""/>
    <s v=""/>
    <s v=""/>
    <s v="通过"/>
  </r>
  <r>
    <s v="SIM-20260917-C003"/>
    <n v="6"/>
    <s v="C003"/>
    <d v="2026-09-17T00:00:00"/>
    <s v="P013"/>
    <x v="0"/>
    <n v="8.1"/>
    <n v="8.1"/>
    <n v="0"/>
    <n v="6"/>
    <s v="正常交付"/>
    <s v="true"/>
    <x v="11"/>
    <s v="散装鲜菜"/>
    <s v="模拟_兴街快餐店"/>
    <n v="48.6"/>
    <n v="0"/>
    <n v="48.6"/>
    <s v=""/>
    <s v=""/>
    <s v=""/>
    <s v=""/>
    <s v="通过"/>
  </r>
  <r>
    <s v="SIM-20260917-C003"/>
    <n v="7"/>
    <s v="C003"/>
    <d v="2026-09-17T00:00:00"/>
    <s v="P016"/>
    <x v="0"/>
    <n v="6"/>
    <n v="6"/>
    <n v="0"/>
    <n v="10.199999999999999"/>
    <s v="正常交付"/>
    <s v="true"/>
    <x v="4"/>
    <s v="普通鲜鸡蛋按净重"/>
    <s v="模拟_兴街快餐店"/>
    <n v="61.2"/>
    <n v="0"/>
    <n v="61.2"/>
    <s v=""/>
    <s v=""/>
    <s v=""/>
    <s v=""/>
    <s v="通过"/>
  </r>
  <r>
    <s v="SIM-20260917-C004"/>
    <n v="1"/>
    <s v="C004"/>
    <d v="2026-09-17T00:00:00"/>
    <s v="P012"/>
    <x v="0"/>
    <n v="8.6"/>
    <n v="8.6"/>
    <n v="0"/>
    <n v="5.2"/>
    <s v="正常交付"/>
    <s v="true"/>
    <x v="0"/>
    <s v="散装鲜菜"/>
    <s v="模拟_田畔饭店"/>
    <n v="44.72"/>
    <n v="0"/>
    <n v="44.72"/>
    <s v=""/>
    <s v=""/>
    <s v=""/>
    <s v=""/>
    <s v="通过"/>
  </r>
  <r>
    <s v="SIM-20260917-C004"/>
    <n v="2"/>
    <s v="C004"/>
    <d v="2026-09-17T00:00:00"/>
    <s v="P008"/>
    <x v="0"/>
    <n v="7"/>
    <n v="7"/>
    <n v="0"/>
    <n v="4.4000000000000004"/>
    <s v="正常交付"/>
    <s v="true"/>
    <x v="14"/>
    <s v="散装鲜菜"/>
    <s v="模拟_田畔饭店"/>
    <n v="30.8"/>
    <n v="0"/>
    <n v="30.8"/>
    <s v=""/>
    <s v=""/>
    <s v=""/>
    <s v=""/>
    <s v="通过"/>
  </r>
  <r>
    <s v="SIM-20260917-C004"/>
    <n v="3"/>
    <s v="C004"/>
    <d v="2026-09-17T00:00:00"/>
    <s v="P001"/>
    <x v="0"/>
    <n v="3.8"/>
    <n v="3.8"/>
    <n v="0"/>
    <n v="3.4"/>
    <s v="正常交付"/>
    <s v="true"/>
    <x v="9"/>
    <s v="散装鲜菜"/>
    <s v="模拟_田畔饭店"/>
    <n v="12.92"/>
    <n v="0"/>
    <n v="12.92"/>
    <s v=""/>
    <s v=""/>
    <s v=""/>
    <s v=""/>
    <s v="通过"/>
  </r>
  <r>
    <s v="SIM-20260917-C004"/>
    <n v="4"/>
    <s v="C004"/>
    <d v="2026-09-17T00:00:00"/>
    <s v="P014"/>
    <x v="0"/>
    <n v="7"/>
    <n v="7"/>
    <n v="0"/>
    <n v="5"/>
    <s v="正常交付"/>
    <s v="true"/>
    <x v="19"/>
    <s v="散装鲜菜"/>
    <s v="模拟_田畔饭店"/>
    <n v="35"/>
    <n v="0"/>
    <n v="35"/>
    <s v=""/>
    <s v=""/>
    <s v=""/>
    <s v=""/>
    <s v="通过"/>
  </r>
  <r>
    <s v="SIM-20260917-C004"/>
    <n v="5"/>
    <s v="C004"/>
    <d v="2026-09-17T00:00:00"/>
    <s v="P002"/>
    <x v="0"/>
    <n v="7.5"/>
    <n v="7.5"/>
    <n v="0"/>
    <n v="2.7"/>
    <s v="正常交付"/>
    <s v="true"/>
    <x v="2"/>
    <s v="散装鲜菜"/>
    <s v="模拟_田畔饭店"/>
    <n v="20.25"/>
    <n v="0"/>
    <n v="20.25"/>
    <s v=""/>
    <s v=""/>
    <s v=""/>
    <s v=""/>
    <s v="通过"/>
  </r>
  <r>
    <s v="SIM-20260917-C004"/>
    <n v="6"/>
    <s v="C004"/>
    <d v="2026-09-17T00:00:00"/>
    <s v="P009"/>
    <x v="0"/>
    <n v="6.4"/>
    <n v="6.4"/>
    <n v="0"/>
    <n v="4.8"/>
    <s v="正常交付"/>
    <s v="true"/>
    <x v="17"/>
    <s v="散装鲜菜"/>
    <s v="模拟_田畔饭店"/>
    <n v="30.72"/>
    <n v="0"/>
    <n v="30.72"/>
    <s v=""/>
    <s v=""/>
    <s v=""/>
    <s v=""/>
    <s v="通过"/>
  </r>
  <r>
    <s v="SIM-20260917-C005"/>
    <n v="1"/>
    <s v="C005"/>
    <d v="2026-09-17T00:00:00"/>
    <s v="P011"/>
    <x v="0"/>
    <n v="11.4"/>
    <n v="11.4"/>
    <n v="0.2"/>
    <n v="4.3"/>
    <s v="正常交付；签收时挑出黄叶退回"/>
    <s v="true"/>
    <x v="8"/>
    <s v="散装鲜菜"/>
    <s v="模拟_青禾小学食堂"/>
    <n v="49.02"/>
    <n v="0.86"/>
    <n v="48.160000000000004"/>
    <s v=""/>
    <s v=""/>
    <s v=""/>
    <s v=""/>
    <s v="通过"/>
  </r>
  <r>
    <s v="SIM-20260917-C005"/>
    <n v="2"/>
    <s v="C005"/>
    <d v="2026-09-17T00:00:00"/>
    <s v="P006"/>
    <x v="0"/>
    <n v="8.3000000000000007"/>
    <n v="8.3000000000000007"/>
    <n v="0"/>
    <n v="4.8"/>
    <s v="正常交付"/>
    <s v="true"/>
    <x v="10"/>
    <s v="散装鲜菜"/>
    <s v="模拟_青禾小学食堂"/>
    <n v="39.840000000000003"/>
    <n v="0"/>
    <n v="39.840000000000003"/>
    <s v=""/>
    <s v=""/>
    <s v=""/>
    <s v=""/>
    <s v="通过"/>
  </r>
  <r>
    <s v="SIM-20260917-C005"/>
    <n v="3"/>
    <s v="C005"/>
    <d v="2026-09-17T00:00:00"/>
    <s v="P008"/>
    <x v="0"/>
    <n v="11.4"/>
    <n v="11.4"/>
    <n v="0"/>
    <n v="4.4000000000000004"/>
    <s v="正常交付"/>
    <s v="true"/>
    <x v="14"/>
    <s v="散装鲜菜"/>
    <s v="模拟_青禾小学食堂"/>
    <n v="50.16"/>
    <n v="0"/>
    <n v="50.16"/>
    <s v=""/>
    <s v=""/>
    <s v=""/>
    <s v=""/>
    <s v="通过"/>
  </r>
  <r>
    <s v="SIM-20260917-C005"/>
    <n v="4"/>
    <s v="C005"/>
    <d v="2026-09-17T00:00:00"/>
    <s v="P014"/>
    <x v="0"/>
    <n v="16.5"/>
    <n v="16.5"/>
    <n v="0"/>
    <n v="5"/>
    <s v="正常交付"/>
    <s v="true"/>
    <x v="19"/>
    <s v="散装鲜菜"/>
    <s v="模拟_青禾小学食堂"/>
    <n v="82.5"/>
    <n v="0"/>
    <n v="82.5"/>
    <s v=""/>
    <s v=""/>
    <s v=""/>
    <s v=""/>
    <s v="通过"/>
  </r>
  <r>
    <s v="SIM-20260917-C005"/>
    <n v="5"/>
    <s v="C005"/>
    <d v="2026-09-17T00:00:00"/>
    <s v="P001"/>
    <x v="0"/>
    <n v="9.3000000000000007"/>
    <n v="9.3000000000000007"/>
    <n v="0"/>
    <n v="3.4"/>
    <s v="正常交付"/>
    <s v="true"/>
    <x v="9"/>
    <s v="散装鲜菜"/>
    <s v="模拟_青禾小学食堂"/>
    <n v="31.62"/>
    <n v="0"/>
    <n v="31.62"/>
    <s v=""/>
    <s v=""/>
    <s v=""/>
    <s v=""/>
    <s v="通过"/>
  </r>
  <r>
    <s v="SIM-20260917-C005"/>
    <n v="6"/>
    <s v="C005"/>
    <d v="2026-09-17T00:00:00"/>
    <s v="P013"/>
    <x v="0"/>
    <n v="11.4"/>
    <n v="11.4"/>
    <n v="0"/>
    <n v="6"/>
    <s v="正常交付"/>
    <s v="true"/>
    <x v="11"/>
    <s v="散装鲜菜"/>
    <s v="模拟_青禾小学食堂"/>
    <n v="68.400000000000006"/>
    <n v="0"/>
    <n v="68.400000000000006"/>
    <s v=""/>
    <s v=""/>
    <s v=""/>
    <s v=""/>
    <s v="通过"/>
  </r>
  <r>
    <s v="SIM-20260917-C005"/>
    <n v="7"/>
    <s v="C005"/>
    <d v="2026-09-17T00:00:00"/>
    <s v="P016"/>
    <x v="0"/>
    <n v="12"/>
    <n v="12"/>
    <n v="0"/>
    <n v="10.199999999999999"/>
    <s v="正常交付"/>
    <s v="true"/>
    <x v="4"/>
    <s v="普通鲜鸡蛋按净重"/>
    <s v="模拟_青禾小学食堂"/>
    <n v="122.4"/>
    <n v="0"/>
    <n v="122.4"/>
    <s v=""/>
    <s v=""/>
    <s v=""/>
    <s v=""/>
    <s v="通过"/>
  </r>
  <r>
    <s v="SIM-20260917-C005"/>
    <n v="8"/>
    <s v="C005"/>
    <d v="2026-09-17T00:00:00"/>
    <s v="P015"/>
    <x v="0"/>
    <n v="1"/>
    <n v="1"/>
    <n v="0"/>
    <n v="7.3"/>
    <s v="正常交付"/>
    <s v="true"/>
    <x v="5"/>
    <s v="散装鲜菜"/>
    <s v="模拟_青禾小学食堂"/>
    <n v="7.3"/>
    <n v="0"/>
    <n v="7.3"/>
    <s v=""/>
    <s v=""/>
    <s v=""/>
    <s v=""/>
    <s v="通过"/>
  </r>
  <r>
    <s v="SIM-20260917-C006"/>
    <n v="1"/>
    <s v="C006"/>
    <d v="2026-09-17T00:00:00"/>
    <s v="P012"/>
    <x v="0"/>
    <n v="8.8000000000000007"/>
    <n v="8.8000000000000007"/>
    <n v="0"/>
    <n v="5.2"/>
    <s v="正常交付"/>
    <s v="true"/>
    <x v="0"/>
    <s v="散装鲜菜"/>
    <s v="模拟_溪桥医院食堂"/>
    <n v="45.76"/>
    <n v="0"/>
    <n v="45.76"/>
    <s v=""/>
    <s v=""/>
    <s v=""/>
    <s v=""/>
    <s v="通过"/>
  </r>
  <r>
    <s v="SIM-20260917-C006"/>
    <n v="2"/>
    <s v="C006"/>
    <d v="2026-09-17T00:00:00"/>
    <s v="P014"/>
    <x v="0"/>
    <n v="6.5"/>
    <n v="6.5"/>
    <n v="0"/>
    <n v="5"/>
    <s v="正常交付"/>
    <s v="true"/>
    <x v="19"/>
    <s v="散装鲜菜"/>
    <s v="模拟_溪桥医院食堂"/>
    <n v="32.5"/>
    <n v="0"/>
    <n v="32.5"/>
    <s v=""/>
    <s v=""/>
    <s v=""/>
    <s v=""/>
    <s v="通过"/>
  </r>
  <r>
    <s v="SIM-20260917-C006"/>
    <n v="3"/>
    <s v="C006"/>
    <d v="2026-09-17T00:00:00"/>
    <s v="P005"/>
    <x v="0"/>
    <n v="4.7"/>
    <n v="4.7"/>
    <n v="0"/>
    <n v="3.2"/>
    <s v="正常交付"/>
    <s v="true"/>
    <x v="1"/>
    <s v="散装鲜菜"/>
    <s v="模拟_溪桥医院食堂"/>
    <n v="15.04"/>
    <n v="0"/>
    <n v="15.04"/>
    <s v=""/>
    <s v=""/>
    <s v=""/>
    <s v=""/>
    <s v="通过"/>
  </r>
  <r>
    <s v="SIM-20260917-C006"/>
    <n v="4"/>
    <s v="C006"/>
    <d v="2026-09-17T00:00:00"/>
    <s v="P004"/>
    <x v="0"/>
    <n v="8.8000000000000007"/>
    <n v="8.8000000000000007"/>
    <n v="0"/>
    <n v="2.6"/>
    <s v="正常交付"/>
    <s v="true"/>
    <x v="3"/>
    <s v="散装鲜菜"/>
    <s v="模拟_溪桥医院食堂"/>
    <n v="22.88"/>
    <n v="0"/>
    <n v="22.88"/>
    <s v=""/>
    <s v=""/>
    <s v=""/>
    <s v=""/>
    <s v="通过"/>
  </r>
  <r>
    <s v="SIM-20260917-C006"/>
    <n v="5"/>
    <s v="C006"/>
    <d v="2026-09-17T00:00:00"/>
    <s v="P006"/>
    <x v="0"/>
    <n v="9.4"/>
    <n v="9.1999999999999993"/>
    <n v="0"/>
    <n v="4.8"/>
    <s v="到货不足；按实际交付计费"/>
    <s v="true"/>
    <x v="10"/>
    <s v="散装鲜菜"/>
    <s v="模拟_溪桥医院食堂"/>
    <n v="44.16"/>
    <n v="0"/>
    <n v="44.16"/>
    <s v=""/>
    <s v=""/>
    <s v=""/>
    <s v=""/>
    <s v="通过"/>
  </r>
  <r>
    <s v="SIM-20260917-C006"/>
    <n v="6"/>
    <s v="C006"/>
    <d v="2026-09-17T00:00:00"/>
    <s v="P003"/>
    <x v="0"/>
    <n v="5.9"/>
    <n v="5.4"/>
    <n v="0"/>
    <n v="3.5"/>
    <s v="到货不足；按实际交付计费"/>
    <s v="true"/>
    <x v="12"/>
    <s v="散装鲜菜"/>
    <s v="模拟_溪桥医院食堂"/>
    <n v="18.899999999999999"/>
    <n v="0"/>
    <n v="18.899999999999999"/>
    <s v=""/>
    <s v=""/>
    <s v=""/>
    <s v=""/>
    <s v="通过"/>
  </r>
  <r>
    <s v="SIM-20260917-C006"/>
    <n v="7"/>
    <s v="C006"/>
    <d v="2026-09-17T00:00:00"/>
    <s v="P016"/>
    <x v="0"/>
    <n v="9"/>
    <n v="9"/>
    <n v="0"/>
    <n v="10.199999999999999"/>
    <s v="正常交付"/>
    <s v="true"/>
    <x v="4"/>
    <s v="普通鲜鸡蛋按净重"/>
    <s v="模拟_溪桥医院食堂"/>
    <n v="91.8"/>
    <n v="0"/>
    <n v="91.8"/>
    <s v=""/>
    <s v=""/>
    <s v=""/>
    <s v=""/>
    <s v="通过"/>
  </r>
  <r>
    <s v="SIM-20260918-C001"/>
    <n v="1"/>
    <s v="C001"/>
    <d v="2026-09-18T00:00:00"/>
    <s v="P011"/>
    <x v="0"/>
    <n v="3.6"/>
    <n v="3.6"/>
    <n v="0.3"/>
    <n v="4.3"/>
    <s v="正常交付；签收时挑出黄叶退回"/>
    <s v="true"/>
    <x v="8"/>
    <s v="散装鲜菜"/>
    <s v="模拟_榕树下粉面店"/>
    <n v="15.48"/>
    <n v="1.29"/>
    <n v="14.190000000000001"/>
    <s v=""/>
    <s v=""/>
    <s v=""/>
    <s v=""/>
    <s v="通过"/>
  </r>
  <r>
    <s v="SIM-20260918-C001"/>
    <n v="2"/>
    <s v="C001"/>
    <d v="2026-09-18T00:00:00"/>
    <s v="P001"/>
    <x v="0"/>
    <n v="2.2999999999999998"/>
    <n v="2.2999999999999998"/>
    <n v="0"/>
    <n v="3.4"/>
    <s v="正常交付"/>
    <s v="true"/>
    <x v="9"/>
    <s v="散装鲜菜"/>
    <s v="模拟_榕树下粉面店"/>
    <n v="7.82"/>
    <n v="0"/>
    <n v="7.82"/>
    <s v=""/>
    <s v=""/>
    <s v=""/>
    <s v=""/>
    <s v="通过"/>
  </r>
  <r>
    <s v="SIM-20260918-C001"/>
    <n v="3"/>
    <s v="C001"/>
    <d v="2026-09-18T00:00:00"/>
    <s v="P005"/>
    <x v="0"/>
    <n v="2.2999999999999998"/>
    <n v="2.2999999999999998"/>
    <n v="0"/>
    <n v="3.2"/>
    <s v="正常交付"/>
    <s v="true"/>
    <x v="1"/>
    <s v="散装鲜菜"/>
    <s v="模拟_榕树下粉面店"/>
    <n v="7.36"/>
    <n v="0"/>
    <n v="7.36"/>
    <s v=""/>
    <s v=""/>
    <s v=""/>
    <s v=""/>
    <s v="通过"/>
  </r>
  <r>
    <s v="SIM-20260918-C001"/>
    <n v="4"/>
    <s v="C001"/>
    <d v="2026-09-18T00:00:00"/>
    <s v="P004"/>
    <x v="0"/>
    <n v="4.5999999999999996"/>
    <n v="4.5999999999999996"/>
    <n v="0"/>
    <n v="2.6"/>
    <s v="正常交付"/>
    <s v="true"/>
    <x v="3"/>
    <s v="散装鲜菜"/>
    <s v="模拟_榕树下粉面店"/>
    <n v="11.96"/>
    <n v="0"/>
    <n v="11.96"/>
    <s v=""/>
    <s v=""/>
    <s v=""/>
    <s v=""/>
    <s v="通过"/>
  </r>
  <r>
    <s v="SIM-20260918-C001"/>
    <n v="5"/>
    <s v="C001"/>
    <d v="2026-09-18T00:00:00"/>
    <s v="P015"/>
    <x v="0"/>
    <n v="0.5"/>
    <n v="0.5"/>
    <n v="0"/>
    <n v="7.3"/>
    <s v="正常交付"/>
    <s v="true"/>
    <x v="5"/>
    <s v="散装鲜菜"/>
    <s v="模拟_榕树下粉面店"/>
    <n v="3.65"/>
    <n v="0"/>
    <n v="3.65"/>
    <s v=""/>
    <s v=""/>
    <s v=""/>
    <s v=""/>
    <s v="通过"/>
  </r>
  <r>
    <s v="SIM-20260918-C001"/>
    <n v="6"/>
    <s v="C001"/>
    <d v="2026-09-18T00:00:00"/>
    <s v="P019"/>
    <x v="1"/>
    <n v="1"/>
    <n v="1"/>
    <n v="0"/>
    <n v="71"/>
    <s v="正常交付"/>
    <s v="true"/>
    <x v="6"/>
    <s v="5升/桶普通菜籽油"/>
    <s v="模拟_榕树下粉面店"/>
    <n v="71"/>
    <n v="0"/>
    <n v="71"/>
    <s v=""/>
    <s v=""/>
    <s v=""/>
    <s v=""/>
    <s v="通过"/>
  </r>
  <r>
    <s v="SIM-20260918-C001"/>
    <n v="7"/>
    <s v="C001"/>
    <d v="2026-09-18T00:00:00"/>
    <s v="P018"/>
    <x v="2"/>
    <n v="1"/>
    <n v="1"/>
    <n v="0"/>
    <n v="113"/>
    <s v="正常交付"/>
    <s v="true"/>
    <x v="7"/>
    <s v="25公斤/袋普通小麦粉"/>
    <s v="模拟_榕树下粉面店"/>
    <n v="113"/>
    <n v="0"/>
    <n v="113"/>
    <s v=""/>
    <s v=""/>
    <s v=""/>
    <s v=""/>
    <s v="通过"/>
  </r>
  <r>
    <s v="SIM-20260918-C002"/>
    <n v="1"/>
    <s v="C002"/>
    <d v="2026-09-18T00:00:00"/>
    <s v="P010"/>
    <x v="0"/>
    <n v="6.8"/>
    <n v="6.8"/>
    <n v="0"/>
    <n v="4.5"/>
    <s v="正常交付"/>
    <s v="true"/>
    <x v="16"/>
    <s v="散装鲜菜"/>
    <s v="模拟_桥头家常菜馆"/>
    <n v="30.6"/>
    <n v="0"/>
    <n v="30.6"/>
    <s v=""/>
    <s v=""/>
    <s v=""/>
    <s v=""/>
    <s v="通过"/>
  </r>
  <r>
    <s v="SIM-20260918-C002"/>
    <n v="2"/>
    <s v="C002"/>
    <d v="2026-09-18T00:00:00"/>
    <s v="P002"/>
    <x v="0"/>
    <n v="5.3"/>
    <n v="5.3"/>
    <n v="0"/>
    <n v="2.7"/>
    <s v="正常交付"/>
    <s v="true"/>
    <x v="2"/>
    <s v="散装鲜菜"/>
    <s v="模拟_桥头家常菜馆"/>
    <n v="14.31"/>
    <n v="0"/>
    <n v="14.31"/>
    <s v=""/>
    <s v=""/>
    <s v=""/>
    <s v=""/>
    <s v="通过"/>
  </r>
  <r>
    <s v="SIM-20260918-C002"/>
    <n v="3"/>
    <s v="C002"/>
    <d v="2026-09-18T00:00:00"/>
    <s v="P013"/>
    <x v="0"/>
    <n v="7.6"/>
    <n v="7.6"/>
    <n v="0"/>
    <n v="6"/>
    <s v="正常交付"/>
    <s v="true"/>
    <x v="11"/>
    <s v="散装鲜菜"/>
    <s v="模拟_桥头家常菜馆"/>
    <n v="45.6"/>
    <n v="0"/>
    <n v="45.6"/>
    <s v=""/>
    <s v=""/>
    <s v=""/>
    <s v=""/>
    <s v="通过"/>
  </r>
  <r>
    <s v="SIM-20260918-C002"/>
    <n v="4"/>
    <s v="C002"/>
    <d v="2026-09-18T00:00:00"/>
    <s v="P014"/>
    <x v="0"/>
    <n v="8.4"/>
    <n v="8.4"/>
    <n v="0"/>
    <n v="5"/>
    <s v="正常交付"/>
    <s v="true"/>
    <x v="19"/>
    <s v="散装鲜菜"/>
    <s v="模拟_桥头家常菜馆"/>
    <n v="42"/>
    <n v="0"/>
    <n v="42"/>
    <s v=""/>
    <s v=""/>
    <s v=""/>
    <s v=""/>
    <s v="通过"/>
  </r>
  <r>
    <s v="SIM-20260918-C002"/>
    <n v="5"/>
    <s v="C002"/>
    <d v="2026-09-18T00:00:00"/>
    <s v="P009"/>
    <x v="0"/>
    <n v="6.8"/>
    <n v="6.3"/>
    <n v="0"/>
    <n v="4.8"/>
    <s v="到货不足；按实际交付计费"/>
    <s v="true"/>
    <x v="17"/>
    <s v="散装鲜菜"/>
    <s v="模拟_桥头家常菜馆"/>
    <n v="30.24"/>
    <n v="0"/>
    <n v="30.24"/>
    <s v=""/>
    <s v=""/>
    <s v=""/>
    <s v=""/>
    <s v="通过"/>
  </r>
  <r>
    <s v="SIM-20260918-C002"/>
    <n v="6"/>
    <s v="C002"/>
    <d v="2026-09-18T00:00:00"/>
    <s v="P015"/>
    <x v="0"/>
    <n v="1"/>
    <n v="1"/>
    <n v="0"/>
    <n v="7.3"/>
    <s v="正常交付"/>
    <s v="true"/>
    <x v="5"/>
    <s v="散装鲜菜"/>
    <s v="模拟_桥头家常菜馆"/>
    <n v="7.3"/>
    <n v="0"/>
    <n v="7.3"/>
    <s v=""/>
    <s v=""/>
    <s v=""/>
    <s v=""/>
    <s v="通过"/>
  </r>
  <r>
    <s v="SIM-20260918-C002"/>
    <n v="7"/>
    <s v="C002"/>
    <d v="2026-09-18T00:00:00"/>
    <s v="P017"/>
    <x v="2"/>
    <n v="3"/>
    <n v="3"/>
    <n v="0"/>
    <n v="119"/>
    <s v="正常交付"/>
    <s v="true"/>
    <x v="13"/>
    <s v="25公斤/袋普通籼米"/>
    <s v="模拟_桥头家常菜馆"/>
    <n v="357"/>
    <n v="0"/>
    <n v="357"/>
    <s v=""/>
    <s v=""/>
    <s v=""/>
    <s v=""/>
    <s v="通过"/>
  </r>
  <r>
    <s v="SIM-20260918-C002"/>
    <n v="8"/>
    <s v="C002"/>
    <d v="2026-09-18T00:00:00"/>
    <s v="P019"/>
    <x v="1"/>
    <n v="1"/>
    <n v="1"/>
    <n v="0"/>
    <n v="71"/>
    <s v="正常交付"/>
    <s v="true"/>
    <x v="6"/>
    <s v="5升/桶普通菜籽油"/>
    <s v="模拟_桥头家常菜馆"/>
    <n v="71"/>
    <n v="0"/>
    <n v="71"/>
    <s v=""/>
    <s v=""/>
    <s v=""/>
    <s v=""/>
    <s v="通过"/>
  </r>
  <r>
    <s v="SIM-20260918-C003"/>
    <n v="1"/>
    <s v="C003"/>
    <d v="2026-09-18T00:00:00"/>
    <s v="P012"/>
    <x v="0"/>
    <n v="5.5"/>
    <n v="5.5"/>
    <n v="0.3"/>
    <n v="5.2"/>
    <s v="正常交付；签收时挑出黄叶退回"/>
    <s v="true"/>
    <x v="0"/>
    <s v="散装鲜菜"/>
    <s v="模拟_兴街快餐店"/>
    <n v="28.6"/>
    <n v="1.56"/>
    <n v="27.040000000000003"/>
    <s v=""/>
    <s v=""/>
    <s v=""/>
    <s v=""/>
    <s v="通过"/>
  </r>
  <r>
    <s v="SIM-20260918-C003"/>
    <n v="2"/>
    <s v="C003"/>
    <d v="2026-09-18T00:00:00"/>
    <s v="P002"/>
    <x v="0"/>
    <n v="6.3"/>
    <n v="6.3"/>
    <n v="0"/>
    <n v="2.7"/>
    <s v="正常交付"/>
    <s v="true"/>
    <x v="2"/>
    <s v="散装鲜菜"/>
    <s v="模拟_兴街快餐店"/>
    <n v="17.010000000000002"/>
    <n v="0"/>
    <n v="17.010000000000002"/>
    <s v=""/>
    <s v=""/>
    <s v=""/>
    <s v=""/>
    <s v="通过"/>
  </r>
  <r>
    <s v="SIM-20260918-C003"/>
    <n v="3"/>
    <s v="C003"/>
    <d v="2026-09-18T00:00:00"/>
    <s v="P003"/>
    <x v="0"/>
    <n v="9.4"/>
    <n v="9.4"/>
    <n v="0"/>
    <n v="3.5"/>
    <s v="正常交付"/>
    <s v="true"/>
    <x v="12"/>
    <s v="散装鲜菜"/>
    <s v="模拟_兴街快餐店"/>
    <n v="32.9"/>
    <n v="0"/>
    <n v="32.9"/>
    <s v=""/>
    <s v=""/>
    <s v=""/>
    <s v=""/>
    <s v="通过"/>
  </r>
  <r>
    <s v="SIM-20260918-C003"/>
    <n v="4"/>
    <s v="C003"/>
    <d v="2026-09-18T00:00:00"/>
    <s v="P004"/>
    <x v="0"/>
    <n v="7.8"/>
    <n v="7.8"/>
    <n v="0"/>
    <n v="2.6"/>
    <s v="正常交付"/>
    <s v="true"/>
    <x v="3"/>
    <s v="散装鲜菜"/>
    <s v="模拟_兴街快餐店"/>
    <n v="20.28"/>
    <n v="0"/>
    <n v="20.28"/>
    <s v=""/>
    <s v=""/>
    <s v=""/>
    <s v=""/>
    <s v="通过"/>
  </r>
  <r>
    <s v="SIM-20260918-C003"/>
    <n v="5"/>
    <s v="C003"/>
    <d v="2026-09-18T00:00:00"/>
    <s v="P007"/>
    <x v="0"/>
    <n v="12.5"/>
    <n v="12.5"/>
    <n v="0"/>
    <n v="5.25"/>
    <s v="正常交付"/>
    <s v="true"/>
    <x v="18"/>
    <s v="散装鲜菜"/>
    <s v="模拟_兴街快餐店"/>
    <n v="65.63"/>
    <n v="0"/>
    <n v="65.63"/>
    <s v=""/>
    <s v=""/>
    <s v=""/>
    <s v=""/>
    <s v="通过"/>
  </r>
  <r>
    <s v="SIM-20260918-C003"/>
    <n v="6"/>
    <s v="C003"/>
    <d v="2026-09-18T00:00:00"/>
    <s v="P008"/>
    <x v="0"/>
    <n v="5.5"/>
    <n v="5.5"/>
    <n v="0"/>
    <n v="4.4000000000000004"/>
    <s v="正常交付"/>
    <s v="true"/>
    <x v="14"/>
    <s v="散装鲜菜"/>
    <s v="模拟_兴街快餐店"/>
    <n v="24.2"/>
    <n v="0"/>
    <n v="24.2"/>
    <s v=""/>
    <s v=""/>
    <s v=""/>
    <s v=""/>
    <s v="通过"/>
  </r>
  <r>
    <s v="SIM-20260918-C003"/>
    <n v="7"/>
    <s v="C003"/>
    <d v="2026-09-18T00:00:00"/>
    <s v="P015"/>
    <x v="0"/>
    <n v="1"/>
    <n v="1"/>
    <n v="0"/>
    <n v="7.3"/>
    <s v="正常交付"/>
    <s v="true"/>
    <x v="5"/>
    <s v="散装鲜菜"/>
    <s v="模拟_兴街快餐店"/>
    <n v="7.3"/>
    <n v="0"/>
    <n v="7.3"/>
    <s v=""/>
    <s v=""/>
    <s v=""/>
    <s v=""/>
    <s v="通过"/>
  </r>
  <r>
    <s v="SIM-20260918-C003"/>
    <n v="8"/>
    <s v="C003"/>
    <d v="2026-09-18T00:00:00"/>
    <s v="P017"/>
    <x v="2"/>
    <n v="5"/>
    <n v="5"/>
    <n v="0"/>
    <n v="119"/>
    <s v="正常交付"/>
    <s v="true"/>
    <x v="13"/>
    <s v="25公斤/袋普通籼米"/>
    <s v="模拟_兴街快餐店"/>
    <n v="595"/>
    <n v="0"/>
    <n v="595"/>
    <s v=""/>
    <s v=""/>
    <s v=""/>
    <s v=""/>
    <s v="通过"/>
  </r>
  <r>
    <s v="SIM-20260918-C003"/>
    <n v="9"/>
    <s v="C003"/>
    <d v="2026-09-18T00:00:00"/>
    <s v="P020"/>
    <x v="1"/>
    <n v="2"/>
    <n v="2"/>
    <n v="0"/>
    <n v="55"/>
    <s v="正常交付"/>
    <s v="true"/>
    <x v="15"/>
    <s v="5升/桶普通大豆油"/>
    <s v="模拟_兴街快餐店"/>
    <n v="110"/>
    <n v="0"/>
    <n v="110"/>
    <s v=""/>
    <s v=""/>
    <s v=""/>
    <s v=""/>
    <s v="通过"/>
  </r>
  <r>
    <s v="SIM-20260918-C005"/>
    <n v="1"/>
    <s v="C005"/>
    <d v="2026-09-18T00:00:00"/>
    <s v="P012"/>
    <x v="0"/>
    <n v="10.4"/>
    <n v="10.4"/>
    <n v="0"/>
    <n v="5.2"/>
    <s v="正常交付"/>
    <s v="true"/>
    <x v="0"/>
    <s v="散装鲜菜"/>
    <s v="模拟_青禾小学食堂"/>
    <n v="54.08"/>
    <n v="0"/>
    <n v="54.08"/>
    <s v=""/>
    <s v=""/>
    <s v=""/>
    <s v=""/>
    <s v="通过"/>
  </r>
  <r>
    <s v="SIM-20260918-C005"/>
    <n v="2"/>
    <s v="C005"/>
    <d v="2026-09-18T00:00:00"/>
    <s v="P006"/>
    <x v="0"/>
    <n v="10.4"/>
    <n v="10.4"/>
    <n v="0"/>
    <n v="4.8"/>
    <s v="正常交付"/>
    <s v="true"/>
    <x v="10"/>
    <s v="散装鲜菜"/>
    <s v="模拟_青禾小学食堂"/>
    <n v="49.92"/>
    <n v="0"/>
    <n v="49.92"/>
    <s v=""/>
    <s v=""/>
    <s v=""/>
    <s v=""/>
    <s v="通过"/>
  </r>
  <r>
    <s v="SIM-20260918-C005"/>
    <n v="3"/>
    <s v="C005"/>
    <d v="2026-09-18T00:00:00"/>
    <s v="P013"/>
    <x v="0"/>
    <n v="11.9"/>
    <n v="11.9"/>
    <n v="0"/>
    <n v="6"/>
    <s v="正常交付"/>
    <s v="true"/>
    <x v="11"/>
    <s v="散装鲜菜"/>
    <s v="模拟_青禾小学食堂"/>
    <n v="71.400000000000006"/>
    <n v="0"/>
    <n v="71.400000000000006"/>
    <s v=""/>
    <s v=""/>
    <s v=""/>
    <s v=""/>
    <s v="通过"/>
  </r>
  <r>
    <s v="SIM-20260918-C005"/>
    <n v="4"/>
    <s v="C005"/>
    <d v="2026-09-18T00:00:00"/>
    <s v="P005"/>
    <x v="0"/>
    <n v="11.1"/>
    <n v="11.1"/>
    <n v="0"/>
    <n v="3.2"/>
    <s v="正常交付"/>
    <s v="true"/>
    <x v="1"/>
    <s v="散装鲜菜"/>
    <s v="模拟_青禾小学食堂"/>
    <n v="35.520000000000003"/>
    <n v="0"/>
    <n v="35.520000000000003"/>
    <s v=""/>
    <s v=""/>
    <s v=""/>
    <s v=""/>
    <s v="通过"/>
  </r>
  <r>
    <s v="SIM-20260918-C005"/>
    <n v="5"/>
    <s v="C005"/>
    <d v="2026-09-18T00:00:00"/>
    <s v="P002"/>
    <x v="0"/>
    <n v="8.1"/>
    <n v="8.1"/>
    <n v="0"/>
    <n v="2.7"/>
    <s v="正常交付"/>
    <s v="true"/>
    <x v="2"/>
    <s v="散装鲜菜"/>
    <s v="模拟_青禾小学食堂"/>
    <n v="21.87"/>
    <n v="0"/>
    <n v="21.87"/>
    <s v=""/>
    <s v=""/>
    <s v=""/>
    <s v=""/>
    <s v="通过"/>
  </r>
  <r>
    <s v="SIM-20260918-C005"/>
    <n v="6"/>
    <s v="C005"/>
    <d v="2026-09-18T00:00:00"/>
    <s v="P008"/>
    <x v="0"/>
    <n v="5.2"/>
    <n v="4.9000000000000004"/>
    <n v="0"/>
    <n v="4.4000000000000004"/>
    <s v="到货不足；按实际交付计费"/>
    <s v="true"/>
    <x v="14"/>
    <s v="散装鲜菜"/>
    <s v="模拟_青禾小学食堂"/>
    <n v="21.56"/>
    <n v="0"/>
    <n v="21.56"/>
    <s v=""/>
    <s v=""/>
    <s v=""/>
    <s v=""/>
    <s v="通过"/>
  </r>
  <r>
    <s v="SIM-20260918-C006"/>
    <n v="1"/>
    <s v="C006"/>
    <d v="2026-09-18T00:00:00"/>
    <s v="P012"/>
    <x v="0"/>
    <n v="9.9"/>
    <n v="9.9"/>
    <n v="0"/>
    <n v="5.2"/>
    <s v="正常交付"/>
    <s v="true"/>
    <x v="0"/>
    <s v="散装鲜菜"/>
    <s v="模拟_溪桥医院食堂"/>
    <n v="51.48"/>
    <n v="0"/>
    <n v="51.48"/>
    <s v=""/>
    <s v=""/>
    <s v=""/>
    <s v=""/>
    <s v="通过"/>
  </r>
  <r>
    <s v="SIM-20260918-C006"/>
    <n v="2"/>
    <s v="C006"/>
    <d v="2026-09-18T00:00:00"/>
    <s v="P001"/>
    <x v="0"/>
    <n v="7.4"/>
    <n v="7.4"/>
    <n v="0"/>
    <n v="3.4"/>
    <s v="正常交付"/>
    <s v="true"/>
    <x v="9"/>
    <s v="散装鲜菜"/>
    <s v="模拟_溪桥医院食堂"/>
    <n v="25.16"/>
    <n v="0"/>
    <n v="25.16"/>
    <s v=""/>
    <s v=""/>
    <s v=""/>
    <s v=""/>
    <s v="通过"/>
  </r>
  <r>
    <s v="SIM-20260918-C006"/>
    <n v="3"/>
    <s v="C006"/>
    <d v="2026-09-18T00:00:00"/>
    <s v="P006"/>
    <x v="0"/>
    <n v="8.6999999999999993"/>
    <n v="8.6999999999999993"/>
    <n v="0"/>
    <n v="4.8"/>
    <s v="正常交付"/>
    <s v="true"/>
    <x v="10"/>
    <s v="散装鲜菜"/>
    <s v="模拟_溪桥医院食堂"/>
    <n v="41.76"/>
    <n v="0"/>
    <n v="41.76"/>
    <s v=""/>
    <s v=""/>
    <s v=""/>
    <s v=""/>
    <s v="通过"/>
  </r>
  <r>
    <s v="SIM-20260918-C006"/>
    <n v="4"/>
    <s v="C006"/>
    <d v="2026-09-18T00:00:00"/>
    <s v="P009"/>
    <x v="0"/>
    <n v="8.1"/>
    <n v="8.1"/>
    <n v="0"/>
    <n v="4.8"/>
    <s v="正常交付"/>
    <s v="true"/>
    <x v="17"/>
    <s v="散装鲜菜"/>
    <s v="模拟_溪桥医院食堂"/>
    <n v="38.880000000000003"/>
    <n v="0"/>
    <n v="38.880000000000003"/>
    <s v=""/>
    <s v=""/>
    <s v=""/>
    <s v=""/>
    <s v="通过"/>
  </r>
  <r>
    <s v="SIM-20260918-C006"/>
    <n v="5"/>
    <s v="C006"/>
    <d v="2026-09-18T00:00:00"/>
    <s v="P003"/>
    <x v="0"/>
    <n v="7.4"/>
    <n v="7.4"/>
    <n v="0"/>
    <n v="3.5"/>
    <s v="正常交付"/>
    <s v="true"/>
    <x v="12"/>
    <s v="散装鲜菜"/>
    <s v="模拟_溪桥医院食堂"/>
    <n v="25.9"/>
    <n v="0"/>
    <n v="25.9"/>
    <s v=""/>
    <s v=""/>
    <s v=""/>
    <s v=""/>
    <s v="通过"/>
  </r>
  <r>
    <s v="SIM-20260918-C006"/>
    <n v="6"/>
    <s v="C006"/>
    <d v="2026-09-18T00:00:00"/>
    <s v="P005"/>
    <x v="0"/>
    <n v="7.4"/>
    <n v="7.4"/>
    <n v="0"/>
    <n v="3.2"/>
    <s v="正常交付"/>
    <s v="true"/>
    <x v="1"/>
    <s v="散装鲜菜"/>
    <s v="模拟_溪桥医院食堂"/>
    <n v="23.68"/>
    <n v="0"/>
    <n v="23.68"/>
    <s v=""/>
    <s v=""/>
    <s v=""/>
    <s v=""/>
    <s v="通过"/>
  </r>
  <r>
    <s v="SIM-20260919-C001"/>
    <n v="1"/>
    <s v="C001"/>
    <d v="2026-09-19T00:00:00"/>
    <s v="P012"/>
    <x v="0"/>
    <n v="3.1"/>
    <n v="3.1"/>
    <n v="0"/>
    <n v="5.2"/>
    <s v="正常交付"/>
    <s v="true"/>
    <x v="0"/>
    <s v="散装鲜菜"/>
    <s v="模拟_榕树下粉面店"/>
    <n v="16.12"/>
    <n v="0"/>
    <n v="16.12"/>
    <s v=""/>
    <s v=""/>
    <s v=""/>
    <s v=""/>
    <s v="通过"/>
  </r>
  <r>
    <s v="SIM-20260919-C001"/>
    <n v="2"/>
    <s v="C001"/>
    <d v="2026-09-19T00:00:00"/>
    <s v="P009"/>
    <x v="0"/>
    <n v="3.3"/>
    <n v="3.3"/>
    <n v="0"/>
    <n v="4.8"/>
    <s v="正常交付"/>
    <s v="true"/>
    <x v="17"/>
    <s v="散装鲜菜"/>
    <s v="模拟_榕树下粉面店"/>
    <n v="15.84"/>
    <n v="0"/>
    <n v="15.84"/>
    <s v=""/>
    <s v=""/>
    <s v=""/>
    <s v=""/>
    <s v="通过"/>
  </r>
  <r>
    <s v="SIM-20260919-C001"/>
    <n v="3"/>
    <s v="C001"/>
    <d v="2026-09-19T00:00:00"/>
    <s v="P007"/>
    <x v="0"/>
    <n v="2.6"/>
    <n v="2.6"/>
    <n v="0"/>
    <n v="5.25"/>
    <s v="正常交付"/>
    <s v="true"/>
    <x v="18"/>
    <s v="散装鲜菜"/>
    <s v="模拟_榕树下粉面店"/>
    <n v="13.65"/>
    <n v="0"/>
    <n v="13.65"/>
    <s v=""/>
    <s v=""/>
    <s v=""/>
    <s v=""/>
    <s v="通过"/>
  </r>
  <r>
    <s v="SIM-20260919-C001"/>
    <n v="4"/>
    <s v="C001"/>
    <d v="2026-09-19T00:00:00"/>
    <s v="P014"/>
    <x v="0"/>
    <n v="2.4"/>
    <n v="2.4"/>
    <n v="0"/>
    <n v="5"/>
    <s v="正常交付"/>
    <s v="true"/>
    <x v="19"/>
    <s v="散装鲜菜"/>
    <s v="模拟_榕树下粉面店"/>
    <n v="12"/>
    <n v="0"/>
    <n v="12"/>
    <s v=""/>
    <s v=""/>
    <s v=""/>
    <s v=""/>
    <s v="通过"/>
  </r>
  <r>
    <s v="SIM-20260919-C001"/>
    <n v="5"/>
    <s v="C001"/>
    <d v="2026-09-19T00:00:00"/>
    <s v="P016"/>
    <x v="0"/>
    <n v="3"/>
    <n v="3"/>
    <n v="0"/>
    <n v="10.199999999999999"/>
    <s v="正常交付"/>
    <s v="true"/>
    <x v="4"/>
    <s v="普通鲜鸡蛋按净重"/>
    <s v="模拟_榕树下粉面店"/>
    <n v="30.6"/>
    <n v="0"/>
    <n v="30.6"/>
    <s v=""/>
    <s v=""/>
    <s v=""/>
    <s v=""/>
    <s v="通过"/>
  </r>
  <r>
    <s v="SIM-20260919-C002"/>
    <n v="1"/>
    <s v="C002"/>
    <d v="2026-09-19T00:00:00"/>
    <s v="P010"/>
    <x v="0"/>
    <n v="6.2"/>
    <n v="6.2"/>
    <n v="0"/>
    <n v="4.5"/>
    <s v="正常交付"/>
    <s v="true"/>
    <x v="16"/>
    <s v="散装鲜菜"/>
    <s v="模拟_桥头家常菜馆"/>
    <n v="27.9"/>
    <n v="0"/>
    <n v="27.9"/>
    <s v=""/>
    <s v=""/>
    <s v=""/>
    <s v=""/>
    <s v="通过"/>
  </r>
  <r>
    <s v="SIM-20260919-C002"/>
    <n v="2"/>
    <s v="C002"/>
    <d v="2026-09-19T00:00:00"/>
    <s v="P008"/>
    <x v="0"/>
    <n v="7.1"/>
    <n v="7.1"/>
    <n v="0"/>
    <n v="4.4000000000000004"/>
    <s v="正常交付"/>
    <s v="true"/>
    <x v="14"/>
    <s v="散装鲜菜"/>
    <s v="模拟_桥头家常菜馆"/>
    <n v="31.24"/>
    <n v="0"/>
    <n v="31.24"/>
    <s v=""/>
    <s v=""/>
    <s v=""/>
    <s v=""/>
    <s v="通过"/>
  </r>
  <r>
    <s v="SIM-20260919-C002"/>
    <n v="3"/>
    <s v="C002"/>
    <d v="2026-09-19T00:00:00"/>
    <s v="P007"/>
    <x v="0"/>
    <n v="12.4"/>
    <n v="12.4"/>
    <n v="0"/>
    <n v="5.25"/>
    <s v="正常交付"/>
    <s v="true"/>
    <x v="18"/>
    <s v="散装鲜菜"/>
    <s v="模拟_桥头家常菜馆"/>
    <n v="65.099999999999994"/>
    <n v="0"/>
    <n v="65.099999999999994"/>
    <s v=""/>
    <s v=""/>
    <s v=""/>
    <s v=""/>
    <s v="通过"/>
  </r>
  <r>
    <s v="SIM-20260919-C002"/>
    <n v="4"/>
    <s v="C002"/>
    <d v="2026-09-19T00:00:00"/>
    <s v="P002"/>
    <x v="0"/>
    <n v="7.1"/>
    <n v="7.1"/>
    <n v="0"/>
    <n v="2.7"/>
    <s v="正常交付"/>
    <s v="true"/>
    <x v="2"/>
    <s v="散装鲜菜"/>
    <s v="模拟_桥头家常菜馆"/>
    <n v="19.170000000000002"/>
    <n v="0"/>
    <n v="19.170000000000002"/>
    <s v=""/>
    <s v=""/>
    <s v=""/>
    <s v=""/>
    <s v="通过"/>
  </r>
  <r>
    <s v="SIM-20260919-C002"/>
    <n v="5"/>
    <s v="C002"/>
    <d v="2026-09-19T00:00:00"/>
    <s v="P006"/>
    <x v="0"/>
    <n v="6.2"/>
    <n v="6.2"/>
    <n v="0"/>
    <n v="4.8"/>
    <s v="正常交付"/>
    <s v="true"/>
    <x v="10"/>
    <s v="散装鲜菜"/>
    <s v="模拟_桥头家常菜馆"/>
    <n v="29.76"/>
    <n v="0"/>
    <n v="29.76"/>
    <s v=""/>
    <s v=""/>
    <s v=""/>
    <s v=""/>
    <s v="通过"/>
  </r>
  <r>
    <s v="SIM-20260919-C002"/>
    <n v="6"/>
    <s v="C002"/>
    <d v="2026-09-19T00:00:00"/>
    <s v="P016"/>
    <x v="0"/>
    <n v="4"/>
    <n v="4"/>
    <n v="0"/>
    <n v="10.199999999999999"/>
    <s v="正常交付"/>
    <s v="true"/>
    <x v="4"/>
    <s v="普通鲜鸡蛋按净重"/>
    <s v="模拟_桥头家常菜馆"/>
    <n v="40.799999999999997"/>
    <n v="0"/>
    <n v="40.799999999999997"/>
    <s v=""/>
    <s v=""/>
    <s v=""/>
    <s v=""/>
    <s v="通过"/>
  </r>
  <r>
    <s v="SIM-20260919-C003"/>
    <n v="1"/>
    <s v="C003"/>
    <d v="2026-09-19T00:00:00"/>
    <s v="P012"/>
    <x v="0"/>
    <n v="6.3"/>
    <n v="6.3"/>
    <n v="0"/>
    <n v="5.2"/>
    <s v="正常交付"/>
    <s v="true"/>
    <x v="0"/>
    <s v="散装鲜菜"/>
    <s v="模拟_兴街快餐店"/>
    <n v="32.76"/>
    <n v="0"/>
    <n v="32.76"/>
    <s v=""/>
    <s v=""/>
    <s v=""/>
    <s v=""/>
    <s v="通过"/>
  </r>
  <r>
    <s v="SIM-20260919-C003"/>
    <n v="2"/>
    <s v="C003"/>
    <d v="2026-09-19T00:00:00"/>
    <s v="P005"/>
    <x v="0"/>
    <n v="5.0999999999999996"/>
    <n v="5.0999999999999996"/>
    <n v="0"/>
    <n v="3.2"/>
    <s v="正常交付"/>
    <s v="true"/>
    <x v="1"/>
    <s v="散装鲜菜"/>
    <s v="模拟_兴街快餐店"/>
    <n v="16.32"/>
    <n v="0"/>
    <n v="16.32"/>
    <s v=""/>
    <s v=""/>
    <s v=""/>
    <s v=""/>
    <s v="通过"/>
  </r>
  <r>
    <s v="SIM-20260919-C003"/>
    <n v="3"/>
    <s v="C003"/>
    <d v="2026-09-19T00:00:00"/>
    <s v="P004"/>
    <x v="0"/>
    <n v="8.6"/>
    <n v="8.6"/>
    <n v="0"/>
    <n v="2.6"/>
    <s v="正常交付"/>
    <s v="true"/>
    <x v="3"/>
    <s v="散装鲜菜"/>
    <s v="模拟_兴街快餐店"/>
    <n v="22.36"/>
    <n v="0"/>
    <n v="22.36"/>
    <s v=""/>
    <s v=""/>
    <s v=""/>
    <s v=""/>
    <s v="通过"/>
  </r>
  <r>
    <s v="SIM-20260919-C003"/>
    <n v="4"/>
    <s v="C003"/>
    <d v="2026-09-19T00:00:00"/>
    <s v="P001"/>
    <x v="0"/>
    <n v="4.5999999999999996"/>
    <n v="4.5999999999999996"/>
    <n v="0"/>
    <n v="3.4"/>
    <s v="正常交付"/>
    <s v="true"/>
    <x v="9"/>
    <s v="散装鲜菜"/>
    <s v="模拟_兴街快餐店"/>
    <n v="15.64"/>
    <n v="0"/>
    <n v="15.64"/>
    <s v=""/>
    <s v=""/>
    <s v=""/>
    <s v=""/>
    <s v="通过"/>
  </r>
  <r>
    <s v="SIM-20260919-C003"/>
    <n v="5"/>
    <s v="C003"/>
    <d v="2026-09-19T00:00:00"/>
    <s v="P014"/>
    <x v="0"/>
    <n v="9.1"/>
    <n v="9.1"/>
    <n v="0"/>
    <n v="5"/>
    <s v="正常交付"/>
    <s v="true"/>
    <x v="19"/>
    <s v="散装鲜菜"/>
    <s v="模拟_兴街快餐店"/>
    <n v="45.5"/>
    <n v="0"/>
    <n v="45.5"/>
    <s v=""/>
    <s v=""/>
    <s v=""/>
    <s v=""/>
    <s v="通过"/>
  </r>
  <r>
    <s v="SIM-20260919-C003"/>
    <n v="6"/>
    <s v="C003"/>
    <d v="2026-09-19T00:00:00"/>
    <s v="P008"/>
    <x v="0"/>
    <n v="9.1"/>
    <n v="9.1"/>
    <n v="0"/>
    <n v="4.4000000000000004"/>
    <s v="正常交付"/>
    <s v="true"/>
    <x v="14"/>
    <s v="散装鲜菜"/>
    <s v="模拟_兴街快餐店"/>
    <n v="40.04"/>
    <n v="0"/>
    <n v="40.04"/>
    <s v=""/>
    <s v=""/>
    <s v=""/>
    <s v=""/>
    <s v="通过"/>
  </r>
  <r>
    <s v="SIM-20260919-C003"/>
    <n v="7"/>
    <s v="C003"/>
    <d v="2026-09-19T00:00:00"/>
    <s v="P016"/>
    <x v="0"/>
    <n v="6"/>
    <n v="6"/>
    <n v="0"/>
    <n v="10.199999999999999"/>
    <s v="正常交付"/>
    <s v="true"/>
    <x v="4"/>
    <s v="普通鲜鸡蛋按净重"/>
    <s v="模拟_兴街快餐店"/>
    <n v="61.2"/>
    <n v="0"/>
    <n v="61.2"/>
    <s v=""/>
    <s v=""/>
    <s v=""/>
    <s v=""/>
    <s v="通过"/>
  </r>
  <r>
    <s v="SIM-20260919-C004"/>
    <n v="1"/>
    <s v="C004"/>
    <d v="2026-09-19T00:00:00"/>
    <s v="P010"/>
    <x v="0"/>
    <n v="6.7"/>
    <n v="6.7"/>
    <n v="0"/>
    <n v="4.5"/>
    <s v="正常交付"/>
    <s v="true"/>
    <x v="16"/>
    <s v="散装鲜菜"/>
    <s v="模拟_田畔饭店"/>
    <n v="30.15"/>
    <n v="0"/>
    <n v="30.15"/>
    <s v=""/>
    <s v=""/>
    <s v=""/>
    <s v=""/>
    <s v="通过"/>
  </r>
  <r>
    <s v="SIM-20260919-C004"/>
    <n v="2"/>
    <s v="C004"/>
    <d v="2026-09-19T00:00:00"/>
    <s v="P007"/>
    <x v="0"/>
    <n v="8.1999999999999993"/>
    <n v="8.1999999999999993"/>
    <n v="0"/>
    <n v="5.25"/>
    <s v="正常交付"/>
    <s v="true"/>
    <x v="18"/>
    <s v="散装鲜菜"/>
    <s v="模拟_田畔饭店"/>
    <n v="43.05"/>
    <n v="0"/>
    <n v="43.05"/>
    <s v=""/>
    <s v=""/>
    <s v=""/>
    <s v=""/>
    <s v="通过"/>
  </r>
  <r>
    <s v="SIM-20260919-C004"/>
    <n v="3"/>
    <s v="C004"/>
    <d v="2026-09-19T00:00:00"/>
    <s v="P004"/>
    <x v="0"/>
    <n v="11.1"/>
    <n v="11.1"/>
    <n v="0"/>
    <n v="2.6"/>
    <s v="正常交付"/>
    <s v="true"/>
    <x v="3"/>
    <s v="散装鲜菜"/>
    <s v="模拟_田畔饭店"/>
    <n v="28.86"/>
    <n v="0"/>
    <n v="28.86"/>
    <s v=""/>
    <s v=""/>
    <s v=""/>
    <s v=""/>
    <s v="通过"/>
  </r>
  <r>
    <s v="SIM-20260919-C004"/>
    <n v="4"/>
    <s v="C004"/>
    <d v="2026-09-19T00:00:00"/>
    <s v="P002"/>
    <x v="0"/>
    <n v="8.1999999999999993"/>
    <n v="8.1999999999999993"/>
    <n v="0"/>
    <n v="2.7"/>
    <s v="正常交付"/>
    <s v="true"/>
    <x v="2"/>
    <s v="散装鲜菜"/>
    <s v="模拟_田畔饭店"/>
    <n v="22.14"/>
    <n v="0"/>
    <n v="22.14"/>
    <s v=""/>
    <s v=""/>
    <s v=""/>
    <s v=""/>
    <s v="通过"/>
  </r>
  <r>
    <s v="SIM-20260919-C004"/>
    <n v="5"/>
    <s v="C004"/>
    <d v="2026-09-19T00:00:00"/>
    <s v="P009"/>
    <x v="0"/>
    <n v="6.7"/>
    <n v="6.7"/>
    <n v="0"/>
    <n v="4.8"/>
    <s v="正常交付"/>
    <s v="true"/>
    <x v="17"/>
    <s v="散装鲜菜"/>
    <s v="模拟_田畔饭店"/>
    <n v="32.159999999999997"/>
    <n v="0"/>
    <n v="32.159999999999997"/>
    <s v=""/>
    <s v=""/>
    <s v=""/>
    <s v=""/>
    <s v="通过"/>
  </r>
  <r>
    <s v="SIM-20260919-C004"/>
    <n v="6"/>
    <s v="C004"/>
    <d v="2026-09-19T00:00:00"/>
    <s v="P003"/>
    <x v="0"/>
    <n v="5.2"/>
    <n v="5.2"/>
    <n v="0"/>
    <n v="3.5"/>
    <s v="正常交付"/>
    <s v="true"/>
    <x v="12"/>
    <s v="散装鲜菜"/>
    <s v="模拟_田畔饭店"/>
    <n v="18.2"/>
    <n v="0"/>
    <n v="18.2"/>
    <s v=""/>
    <s v=""/>
    <s v=""/>
    <s v=""/>
    <s v="通过"/>
  </r>
  <r>
    <s v="SIM-20260919-C004"/>
    <n v="7"/>
    <s v="C004"/>
    <d v="2026-09-19T00:00:00"/>
    <s v="P016"/>
    <x v="0"/>
    <n v="5"/>
    <n v="5"/>
    <n v="0"/>
    <n v="10.199999999999999"/>
    <s v="正常交付"/>
    <s v="true"/>
    <x v="4"/>
    <s v="普通鲜鸡蛋按净重"/>
    <s v="模拟_田畔饭店"/>
    <n v="51"/>
    <n v="0"/>
    <n v="51"/>
    <s v=""/>
    <s v=""/>
    <s v=""/>
    <s v=""/>
    <s v="通过"/>
  </r>
  <r>
    <s v="SIM-20260919-C006"/>
    <n v="1"/>
    <s v="C006"/>
    <d v="2026-09-19T00:00:00"/>
    <s v="P012"/>
    <x v="0"/>
    <n v="9.9"/>
    <n v="9.9"/>
    <n v="0"/>
    <n v="5.2"/>
    <s v="正常交付"/>
    <s v="true"/>
    <x v="0"/>
    <s v="散装鲜菜"/>
    <s v="模拟_溪桥医院食堂"/>
    <n v="51.48"/>
    <n v="0"/>
    <n v="51.48"/>
    <s v=""/>
    <s v=""/>
    <s v=""/>
    <s v=""/>
    <s v="通过"/>
  </r>
  <r>
    <s v="SIM-20260919-C006"/>
    <n v="2"/>
    <s v="C006"/>
    <d v="2026-09-19T00:00:00"/>
    <s v="P006"/>
    <x v="0"/>
    <n v="8.1"/>
    <n v="7.6"/>
    <n v="0"/>
    <n v="4.8"/>
    <s v="到货不足；按实际交付计费"/>
    <s v="true"/>
    <x v="10"/>
    <s v="散装鲜菜"/>
    <s v="模拟_溪桥医院食堂"/>
    <n v="36.479999999999997"/>
    <n v="0"/>
    <n v="36.479999999999997"/>
    <s v=""/>
    <s v=""/>
    <s v=""/>
    <s v=""/>
    <s v="通过"/>
  </r>
  <r>
    <s v="SIM-20260919-C006"/>
    <n v="3"/>
    <s v="C006"/>
    <d v="2026-09-19T00:00:00"/>
    <s v="P008"/>
    <x v="0"/>
    <n v="11.7"/>
    <n v="11.7"/>
    <n v="0"/>
    <n v="4.4000000000000004"/>
    <s v="正常交付"/>
    <s v="true"/>
    <x v="14"/>
    <s v="散装鲜菜"/>
    <s v="模拟_溪桥医院食堂"/>
    <n v="51.48"/>
    <n v="0"/>
    <n v="51.48"/>
    <s v=""/>
    <s v=""/>
    <s v=""/>
    <s v=""/>
    <s v="通过"/>
  </r>
  <r>
    <s v="SIM-20260919-C006"/>
    <n v="4"/>
    <s v="C006"/>
    <d v="2026-09-19T00:00:00"/>
    <s v="P002"/>
    <x v="0"/>
    <n v="6.3"/>
    <n v="6.3"/>
    <n v="0"/>
    <n v="2.7"/>
    <s v="正常交付"/>
    <s v="true"/>
    <x v="2"/>
    <s v="散装鲜菜"/>
    <s v="模拟_溪桥医院食堂"/>
    <n v="17.010000000000002"/>
    <n v="0"/>
    <n v="17.010000000000002"/>
    <s v=""/>
    <s v=""/>
    <s v=""/>
    <s v=""/>
    <s v="通过"/>
  </r>
  <r>
    <s v="SIM-20260919-C006"/>
    <n v="5"/>
    <s v="C006"/>
    <d v="2026-09-19T00:00:00"/>
    <s v="P003"/>
    <x v="0"/>
    <n v="6.3"/>
    <n v="6.3"/>
    <n v="0"/>
    <n v="3.5"/>
    <s v="正常交付"/>
    <s v="true"/>
    <x v="12"/>
    <s v="散装鲜菜"/>
    <s v="模拟_溪桥医院食堂"/>
    <n v="22.05"/>
    <n v="0"/>
    <n v="22.05"/>
    <s v=""/>
    <s v=""/>
    <s v=""/>
    <s v=""/>
    <s v="通过"/>
  </r>
  <r>
    <s v="SIM-20260919-C006"/>
    <n v="6"/>
    <s v="C006"/>
    <d v="2026-09-19T00:00:00"/>
    <s v="P005"/>
    <x v="0"/>
    <n v="9.9"/>
    <n v="9.9"/>
    <n v="0"/>
    <n v="3.2"/>
    <s v="正常交付"/>
    <s v="true"/>
    <x v="1"/>
    <s v="散装鲜菜"/>
    <s v="模拟_溪桥医院食堂"/>
    <n v="31.68"/>
    <n v="0"/>
    <n v="31.68"/>
    <s v=""/>
    <s v=""/>
    <s v=""/>
    <s v=""/>
    <s v="通过"/>
  </r>
  <r>
    <s v="SIM-20260919-C006"/>
    <n v="7"/>
    <s v="C006"/>
    <d v="2026-09-19T00:00:00"/>
    <s v="P016"/>
    <x v="0"/>
    <n v="9"/>
    <n v="9"/>
    <n v="0"/>
    <n v="10.199999999999999"/>
    <s v="正常交付"/>
    <s v="true"/>
    <x v="4"/>
    <s v="普通鲜鸡蛋按净重"/>
    <s v="模拟_溪桥医院食堂"/>
    <n v="91.8"/>
    <n v="0"/>
    <n v="91.8"/>
    <s v=""/>
    <s v=""/>
    <s v=""/>
    <s v=""/>
    <s v="通过"/>
  </r>
  <r>
    <s v="SIM-20260919-C006"/>
    <n v="8"/>
    <s v="C006"/>
    <d v="2026-09-19T00:00:00"/>
    <s v="P015"/>
    <x v="0"/>
    <n v="1"/>
    <n v="0.5"/>
    <n v="0"/>
    <n v="7.3"/>
    <s v="到货不足；按实际交付计费"/>
    <s v="true"/>
    <x v="5"/>
    <s v="散装鲜菜"/>
    <s v="模拟_溪桥医院食堂"/>
    <n v="3.65"/>
    <n v="0"/>
    <n v="3.65"/>
    <s v=""/>
    <s v=""/>
    <s v=""/>
    <s v=""/>
    <s v="通过"/>
  </r>
  <r>
    <s v="SIM-20260920-C002"/>
    <n v="1"/>
    <s v="C002"/>
    <d v="2026-09-20T00:00:00"/>
    <s v="P012"/>
    <x v="0"/>
    <n v="7.7"/>
    <n v="7.7"/>
    <n v="0"/>
    <n v="5.2"/>
    <s v="正常交付"/>
    <s v="true"/>
    <x v="0"/>
    <s v="散装鲜菜"/>
    <s v="模拟_桥头家常菜馆"/>
    <n v="40.04"/>
    <n v="0"/>
    <n v="40.04"/>
    <s v=""/>
    <s v=""/>
    <s v=""/>
    <s v=""/>
    <s v="通过"/>
  </r>
  <r>
    <s v="SIM-20260920-C002"/>
    <n v="2"/>
    <s v="C002"/>
    <d v="2026-09-20T00:00:00"/>
    <s v="P014"/>
    <x v="0"/>
    <n v="7.7"/>
    <n v="7.7"/>
    <n v="0"/>
    <n v="5"/>
    <s v="正常交付"/>
    <s v="true"/>
    <x v="19"/>
    <s v="散装鲜菜"/>
    <s v="模拟_桥头家常菜馆"/>
    <n v="38.5"/>
    <n v="0"/>
    <n v="38.5"/>
    <s v=""/>
    <s v=""/>
    <s v=""/>
    <s v=""/>
    <s v="通过"/>
  </r>
  <r>
    <s v="SIM-20260920-C002"/>
    <n v="3"/>
    <s v="C002"/>
    <d v="2026-09-20T00:00:00"/>
    <s v="P005"/>
    <x v="0"/>
    <n v="8.3000000000000007"/>
    <n v="8"/>
    <n v="0"/>
    <n v="3.2"/>
    <s v="到货不足；按实际交付计费"/>
    <s v="true"/>
    <x v="1"/>
    <s v="散装鲜菜"/>
    <s v="模拟_桥头家常菜馆"/>
    <n v="25.6"/>
    <n v="0"/>
    <n v="25.6"/>
    <s v=""/>
    <s v=""/>
    <s v=""/>
    <s v=""/>
    <s v="通过"/>
  </r>
  <r>
    <s v="SIM-20260920-C002"/>
    <n v="4"/>
    <s v="C002"/>
    <d v="2026-09-20T00:00:00"/>
    <s v="P004"/>
    <x v="0"/>
    <n v="8.3000000000000007"/>
    <n v="8.3000000000000007"/>
    <n v="0"/>
    <n v="2.6"/>
    <s v="正常交付"/>
    <s v="true"/>
    <x v="3"/>
    <s v="散装鲜菜"/>
    <s v="模拟_桥头家常菜馆"/>
    <n v="21.58"/>
    <n v="0"/>
    <n v="21.58"/>
    <s v=""/>
    <s v=""/>
    <s v=""/>
    <s v=""/>
    <s v="通过"/>
  </r>
  <r>
    <s v="SIM-20260920-C002"/>
    <n v="5"/>
    <s v="C002"/>
    <d v="2026-09-20T00:00:00"/>
    <s v="P003"/>
    <x v="0"/>
    <n v="6.1"/>
    <n v="6.1"/>
    <n v="0"/>
    <n v="3.5"/>
    <s v="正常交付"/>
    <s v="true"/>
    <x v="12"/>
    <s v="散装鲜菜"/>
    <s v="模拟_桥头家常菜馆"/>
    <n v="21.35"/>
    <n v="0"/>
    <n v="21.35"/>
    <s v=""/>
    <s v=""/>
    <s v=""/>
    <s v=""/>
    <s v="通过"/>
  </r>
  <r>
    <s v="SIM-20260920-C005"/>
    <n v="1"/>
    <s v="C005"/>
    <d v="2026-09-20T00:00:00"/>
    <s v="P011"/>
    <x v="0"/>
    <n v="14.7"/>
    <n v="14.7"/>
    <n v="0"/>
    <n v="4.3"/>
    <s v="正常交付"/>
    <s v="true"/>
    <x v="8"/>
    <s v="散装鲜菜"/>
    <s v="模拟_青禾小学食堂"/>
    <n v="63.21"/>
    <n v="0"/>
    <n v="63.21"/>
    <s v=""/>
    <s v=""/>
    <s v=""/>
    <s v=""/>
    <s v="通过"/>
  </r>
  <r>
    <s v="SIM-20260920-C005"/>
    <n v="2"/>
    <s v="C005"/>
    <d v="2026-09-20T00:00:00"/>
    <s v="P008"/>
    <x v="0"/>
    <n v="13.8"/>
    <n v="13.8"/>
    <n v="0"/>
    <n v="4.4000000000000004"/>
    <s v="正常交付"/>
    <s v="true"/>
    <x v="14"/>
    <s v="散装鲜菜"/>
    <s v="模拟_青禾小学食堂"/>
    <n v="60.72"/>
    <n v="0"/>
    <n v="60.72"/>
    <s v=""/>
    <s v=""/>
    <s v=""/>
    <s v=""/>
    <s v="通过"/>
  </r>
  <r>
    <s v="SIM-20260920-C005"/>
    <n v="3"/>
    <s v="C005"/>
    <d v="2026-09-20T00:00:00"/>
    <s v="P013"/>
    <x v="0"/>
    <n v="6.9"/>
    <n v="6.9"/>
    <n v="0"/>
    <n v="6"/>
    <s v="正常交付"/>
    <s v="true"/>
    <x v="11"/>
    <s v="散装鲜菜"/>
    <s v="模拟_青禾小学食堂"/>
    <n v="41.4"/>
    <n v="0"/>
    <n v="41.4"/>
    <s v=""/>
    <s v=""/>
    <s v=""/>
    <s v=""/>
    <s v="通过"/>
  </r>
  <r>
    <s v="SIM-20260920-C005"/>
    <n v="4"/>
    <s v="C005"/>
    <d v="2026-09-20T00:00:00"/>
    <s v="P007"/>
    <x v="0"/>
    <n v="15.7"/>
    <n v="15.7"/>
    <n v="0"/>
    <n v="5.25"/>
    <s v="正常交付"/>
    <s v="true"/>
    <x v="18"/>
    <s v="散装鲜菜"/>
    <s v="模拟_青禾小学食堂"/>
    <n v="82.43"/>
    <n v="0"/>
    <n v="82.43"/>
    <s v=""/>
    <s v=""/>
    <s v=""/>
    <s v=""/>
    <s v="通过"/>
  </r>
  <r>
    <s v="SIM-20260920-C005"/>
    <n v="5"/>
    <s v="C005"/>
    <d v="2026-09-20T00:00:00"/>
    <s v="P009"/>
    <x v="0"/>
    <n v="10.8"/>
    <n v="10.8"/>
    <n v="0"/>
    <n v="4.8"/>
    <s v="正常交付"/>
    <s v="true"/>
    <x v="17"/>
    <s v="散装鲜菜"/>
    <s v="模拟_青禾小学食堂"/>
    <n v="51.84"/>
    <n v="0"/>
    <n v="51.84"/>
    <s v=""/>
    <s v=""/>
    <s v=""/>
    <s v=""/>
    <s v="通过"/>
  </r>
  <r>
    <s v="SIM-20260920-C005"/>
    <n v="6"/>
    <s v="C005"/>
    <d v="2026-09-20T00:00:00"/>
    <s v="P014"/>
    <x v="0"/>
    <n v="6.9"/>
    <n v="6.9"/>
    <n v="0"/>
    <n v="5"/>
    <s v="正常交付"/>
    <s v="true"/>
    <x v="19"/>
    <s v="散装鲜菜"/>
    <s v="模拟_青禾小学食堂"/>
    <n v="34.5"/>
    <n v="0"/>
    <n v="34.5"/>
    <s v=""/>
    <s v=""/>
    <s v=""/>
    <s v=""/>
    <s v="通过"/>
  </r>
  <r>
    <s v="SIM-20260920-C005"/>
    <n v="7"/>
    <s v="C005"/>
    <d v="2026-09-20T00:00:00"/>
    <s v="P016"/>
    <x v="0"/>
    <n v="12"/>
    <n v="12"/>
    <n v="0"/>
    <n v="10.199999999999999"/>
    <s v="正常交付"/>
    <s v="true"/>
    <x v="4"/>
    <s v="普通鲜鸡蛋按净重"/>
    <s v="模拟_青禾小学食堂"/>
    <n v="122.4"/>
    <n v="0"/>
    <n v="122.4"/>
    <s v=""/>
    <s v=""/>
    <s v=""/>
    <s v=""/>
    <s v="通过"/>
  </r>
  <r>
    <s v="SIM-20260920-C006"/>
    <n v="1"/>
    <s v="C006"/>
    <d v="2026-09-20T00:00:00"/>
    <s v="P012"/>
    <x v="0"/>
    <n v="10.9"/>
    <n v="10.9"/>
    <n v="0.2"/>
    <n v="5.2"/>
    <s v="正常交付；签收时挑出黄叶退回"/>
    <s v="true"/>
    <x v="0"/>
    <s v="散装鲜菜"/>
    <s v="模拟_溪桥医院食堂"/>
    <n v="56.68"/>
    <n v="1.04"/>
    <n v="55.64"/>
    <s v=""/>
    <s v=""/>
    <s v=""/>
    <s v=""/>
    <s v="通过"/>
  </r>
  <r>
    <s v="SIM-20260920-C006"/>
    <n v="2"/>
    <s v="C006"/>
    <d v="2026-09-20T00:00:00"/>
    <s v="P005"/>
    <x v="0"/>
    <n v="9.5"/>
    <n v="9.5"/>
    <n v="0"/>
    <n v="3.2"/>
    <s v="正常交付"/>
    <s v="true"/>
    <x v="1"/>
    <s v="散装鲜菜"/>
    <s v="模拟_溪桥医院食堂"/>
    <n v="30.4"/>
    <n v="0"/>
    <n v="30.4"/>
    <s v=""/>
    <s v=""/>
    <s v=""/>
    <s v=""/>
    <s v="通过"/>
  </r>
  <r>
    <s v="SIM-20260920-C006"/>
    <n v="3"/>
    <s v="C006"/>
    <d v="2026-09-20T00:00:00"/>
    <s v="P001"/>
    <x v="0"/>
    <n v="8.1999999999999993"/>
    <n v="8.1999999999999993"/>
    <n v="0"/>
    <n v="3.4"/>
    <s v="正常交付"/>
    <s v="true"/>
    <x v="9"/>
    <s v="散装鲜菜"/>
    <s v="模拟_溪桥医院食堂"/>
    <n v="27.88"/>
    <n v="0"/>
    <n v="27.88"/>
    <s v=""/>
    <s v=""/>
    <s v=""/>
    <s v=""/>
    <s v="通过"/>
  </r>
  <r>
    <s v="SIM-20260920-C006"/>
    <n v="4"/>
    <s v="C006"/>
    <d v="2026-09-20T00:00:00"/>
    <s v="P009"/>
    <x v="0"/>
    <n v="8.1999999999999993"/>
    <n v="8.1999999999999993"/>
    <n v="0"/>
    <n v="4.8"/>
    <s v="正常交付"/>
    <s v="true"/>
    <x v="17"/>
    <s v="散装鲜菜"/>
    <s v="模拟_溪桥医院食堂"/>
    <n v="39.36"/>
    <n v="0"/>
    <n v="39.36"/>
    <s v=""/>
    <s v=""/>
    <s v=""/>
    <s v=""/>
    <s v="通过"/>
  </r>
  <r>
    <s v="SIM-20260920-C006"/>
    <n v="5"/>
    <s v="C006"/>
    <d v="2026-09-20T00:00:00"/>
    <s v="P006"/>
    <x v="0"/>
    <n v="8.1999999999999993"/>
    <n v="8.1999999999999993"/>
    <n v="0"/>
    <n v="4.8"/>
    <s v="正常交付"/>
    <s v="true"/>
    <x v="10"/>
    <s v="散装鲜菜"/>
    <s v="模拟_溪桥医院食堂"/>
    <n v="39.36"/>
    <n v="0"/>
    <n v="39.36"/>
    <s v=""/>
    <s v=""/>
    <s v=""/>
    <s v=""/>
    <s v="通过"/>
  </r>
  <r>
    <s v="SIM-20260920-C006"/>
    <n v="6"/>
    <s v="C006"/>
    <d v="2026-09-20T00:00:00"/>
    <s v="P008"/>
    <x v="0"/>
    <n v="7.5"/>
    <n v="7.5"/>
    <n v="0"/>
    <n v="4.4000000000000004"/>
    <s v="正常交付"/>
    <s v="true"/>
    <x v="14"/>
    <s v="散装鲜菜"/>
    <s v="模拟_溪桥医院食堂"/>
    <n v="33"/>
    <n v="0"/>
    <n v="33"/>
    <s v=""/>
    <s v=""/>
    <s v=""/>
    <s v=""/>
    <s v="通过"/>
  </r>
  <r>
    <s v="SIM-20260921-C001"/>
    <n v="1"/>
    <s v="C001"/>
    <d v="2026-09-21T00:00:00"/>
    <s v="P010"/>
    <x v="0"/>
    <n v="2.2000000000000002"/>
    <n v="1.7"/>
    <n v="0.2"/>
    <n v="4.5"/>
    <s v="到货不足；按实际交付计费；签收时挑出黄叶退回"/>
    <s v="true"/>
    <x v="16"/>
    <s v="散装鲜菜"/>
    <s v="模拟_榕树下粉面店"/>
    <n v="7.65"/>
    <n v="0.9"/>
    <n v="6.75"/>
    <s v=""/>
    <s v=""/>
    <s v=""/>
    <s v=""/>
    <s v="通过"/>
  </r>
  <r>
    <s v="SIM-20260921-C001"/>
    <n v="2"/>
    <s v="C001"/>
    <d v="2026-09-21T00:00:00"/>
    <s v="P004"/>
    <x v="0"/>
    <n v="3.2"/>
    <n v="3.2"/>
    <n v="0"/>
    <n v="2.6"/>
    <s v="正常交付"/>
    <s v="true"/>
    <x v="3"/>
    <s v="散装鲜菜"/>
    <s v="模拟_榕树下粉面店"/>
    <n v="8.32"/>
    <n v="0"/>
    <n v="8.32"/>
    <s v=""/>
    <s v=""/>
    <s v=""/>
    <s v=""/>
    <s v="通过"/>
  </r>
  <r>
    <s v="SIM-20260921-C001"/>
    <n v="3"/>
    <s v="C001"/>
    <d v="2026-09-21T00:00:00"/>
    <s v="P008"/>
    <x v="0"/>
    <n v="3.5"/>
    <n v="3.5"/>
    <n v="0"/>
    <n v="4.4000000000000004"/>
    <s v="正常交付"/>
    <s v="true"/>
    <x v="14"/>
    <s v="散装鲜菜"/>
    <s v="模拟_榕树下粉面店"/>
    <n v="15.4"/>
    <n v="0"/>
    <n v="15.4"/>
    <s v=""/>
    <s v=""/>
    <s v=""/>
    <s v=""/>
    <s v="通过"/>
  </r>
  <r>
    <s v="SIM-20260921-C001"/>
    <n v="4"/>
    <s v="C001"/>
    <d v="2026-09-21T00:00:00"/>
    <s v="P009"/>
    <x v="0"/>
    <n v="2.9"/>
    <n v="2.9"/>
    <n v="0"/>
    <n v="4.8"/>
    <s v="正常交付"/>
    <s v="true"/>
    <x v="17"/>
    <s v="散装鲜菜"/>
    <s v="模拟_榕树下粉面店"/>
    <n v="13.92"/>
    <n v="0"/>
    <n v="13.92"/>
    <s v=""/>
    <s v=""/>
    <s v=""/>
    <s v=""/>
    <s v="通过"/>
  </r>
  <r>
    <s v="SIM-20260921-C003"/>
    <n v="1"/>
    <s v="C003"/>
    <d v="2026-09-21T00:00:00"/>
    <s v="P011"/>
    <x v="0"/>
    <n v="6.5"/>
    <n v="6.5"/>
    <n v="0"/>
    <n v="4.3"/>
    <s v="正常交付"/>
    <s v="true"/>
    <x v="8"/>
    <s v="散装鲜菜"/>
    <s v="模拟_兴街快餐店"/>
    <n v="27.95"/>
    <n v="0"/>
    <n v="27.95"/>
    <s v=""/>
    <s v=""/>
    <s v=""/>
    <s v=""/>
    <s v="通过"/>
  </r>
  <r>
    <s v="SIM-20260921-C003"/>
    <n v="2"/>
    <s v="C003"/>
    <d v="2026-09-21T00:00:00"/>
    <s v="P003"/>
    <x v="0"/>
    <n v="4.5999999999999996"/>
    <n v="4.5999999999999996"/>
    <n v="0"/>
    <n v="3.5"/>
    <s v="正常交付"/>
    <s v="true"/>
    <x v="12"/>
    <s v="散装鲜菜"/>
    <s v="模拟_兴街快餐店"/>
    <n v="16.100000000000001"/>
    <n v="0"/>
    <n v="16.100000000000001"/>
    <s v=""/>
    <s v=""/>
    <s v=""/>
    <s v=""/>
    <s v="通过"/>
  </r>
  <r>
    <s v="SIM-20260921-C003"/>
    <n v="3"/>
    <s v="C003"/>
    <d v="2026-09-21T00:00:00"/>
    <s v="P002"/>
    <x v="0"/>
    <n v="4.5999999999999996"/>
    <n v="4.0999999999999996"/>
    <n v="0"/>
    <n v="2.7"/>
    <s v="到货不足；按实际交付计费"/>
    <s v="true"/>
    <x v="2"/>
    <s v="散装鲜菜"/>
    <s v="模拟_兴街快餐店"/>
    <n v="11.07"/>
    <n v="0"/>
    <n v="11.07"/>
    <s v=""/>
    <s v=""/>
    <s v=""/>
    <s v=""/>
    <s v="通过"/>
  </r>
  <r>
    <s v="SIM-20260921-C003"/>
    <n v="4"/>
    <s v="C003"/>
    <d v="2026-09-21T00:00:00"/>
    <s v="P001"/>
    <x v="0"/>
    <n v="8.5"/>
    <n v="8.3000000000000007"/>
    <n v="0"/>
    <n v="3.4"/>
    <s v="到货不足；按实际交付计费"/>
    <s v="true"/>
    <x v="9"/>
    <s v="散装鲜菜"/>
    <s v="模拟_兴街快餐店"/>
    <n v="28.22"/>
    <n v="0"/>
    <n v="28.22"/>
    <s v=""/>
    <s v=""/>
    <s v=""/>
    <s v=""/>
    <s v="通过"/>
  </r>
  <r>
    <s v="SIM-20260921-C003"/>
    <n v="5"/>
    <s v="C003"/>
    <d v="2026-09-21T00:00:00"/>
    <s v="P004"/>
    <x v="0"/>
    <n v="5.2"/>
    <n v="5.2"/>
    <n v="0"/>
    <n v="2.6"/>
    <s v="正常交付"/>
    <s v="true"/>
    <x v="3"/>
    <s v="散装鲜菜"/>
    <s v="模拟_兴街快餐店"/>
    <n v="13.52"/>
    <n v="0"/>
    <n v="13.52"/>
    <s v=""/>
    <s v=""/>
    <s v=""/>
    <s v=""/>
    <s v="通过"/>
  </r>
  <r>
    <s v="SIM-20260921-C003"/>
    <n v="6"/>
    <s v="C003"/>
    <d v="2026-09-21T00:00:00"/>
    <s v="P008"/>
    <x v="0"/>
    <n v="8.5"/>
    <n v="8.5"/>
    <n v="0"/>
    <n v="4.4000000000000004"/>
    <s v="正常交付"/>
    <s v="true"/>
    <x v="14"/>
    <s v="散装鲜菜"/>
    <s v="模拟_兴街快餐店"/>
    <n v="37.4"/>
    <n v="0"/>
    <n v="37.4"/>
    <s v=""/>
    <s v=""/>
    <s v=""/>
    <s v=""/>
    <s v="通过"/>
  </r>
  <r>
    <s v="SIM-20260921-C005"/>
    <n v="1"/>
    <s v="C005"/>
    <d v="2026-09-21T00:00:00"/>
    <s v="P010"/>
    <x v="0"/>
    <n v="15.2"/>
    <n v="15.2"/>
    <n v="0"/>
    <n v="4.5"/>
    <s v="正常交付"/>
    <s v="true"/>
    <x v="16"/>
    <s v="散装鲜菜"/>
    <s v="模拟_青禾小学食堂"/>
    <n v="68.400000000000006"/>
    <n v="0"/>
    <n v="68.400000000000006"/>
    <s v=""/>
    <s v=""/>
    <s v=""/>
    <s v=""/>
    <s v="通过"/>
  </r>
  <r>
    <s v="SIM-20260921-C005"/>
    <n v="2"/>
    <s v="C005"/>
    <d v="2026-09-21T00:00:00"/>
    <s v="P004"/>
    <x v="0"/>
    <n v="15.2"/>
    <n v="15.2"/>
    <n v="0"/>
    <n v="2.6"/>
    <s v="正常交付"/>
    <s v="true"/>
    <x v="3"/>
    <s v="散装鲜菜"/>
    <s v="模拟_青禾小学食堂"/>
    <n v="39.520000000000003"/>
    <n v="0"/>
    <n v="39.520000000000003"/>
    <s v=""/>
    <s v=""/>
    <s v=""/>
    <s v=""/>
    <s v="通过"/>
  </r>
  <r>
    <s v="SIM-20260921-C005"/>
    <n v="3"/>
    <s v="C005"/>
    <d v="2026-09-21T00:00:00"/>
    <s v="P014"/>
    <x v="0"/>
    <n v="12.3"/>
    <n v="12.3"/>
    <n v="0"/>
    <n v="5"/>
    <s v="正常交付"/>
    <s v="true"/>
    <x v="19"/>
    <s v="散装鲜菜"/>
    <s v="模拟_青禾小学食堂"/>
    <n v="61.5"/>
    <n v="0"/>
    <n v="61.5"/>
    <s v=""/>
    <s v=""/>
    <s v=""/>
    <s v=""/>
    <s v="通过"/>
  </r>
  <r>
    <s v="SIM-20260921-C005"/>
    <n v="4"/>
    <s v="C005"/>
    <d v="2026-09-21T00:00:00"/>
    <s v="P005"/>
    <x v="0"/>
    <n v="6.6"/>
    <n v="6.6"/>
    <n v="0"/>
    <n v="3.2"/>
    <s v="正常交付"/>
    <s v="true"/>
    <x v="1"/>
    <s v="散装鲜菜"/>
    <s v="模拟_青禾小学食堂"/>
    <n v="21.12"/>
    <n v="0"/>
    <n v="21.12"/>
    <s v=""/>
    <s v=""/>
    <s v=""/>
    <s v=""/>
    <s v="通过"/>
  </r>
  <r>
    <s v="SIM-20260921-C005"/>
    <n v="5"/>
    <s v="C005"/>
    <d v="2026-09-21T00:00:00"/>
    <s v="P009"/>
    <x v="0"/>
    <n v="8.5"/>
    <n v="8.5"/>
    <n v="0"/>
    <n v="4.8"/>
    <s v="正常交付"/>
    <s v="true"/>
    <x v="17"/>
    <s v="散装鲜菜"/>
    <s v="模拟_青禾小学食堂"/>
    <n v="40.799999999999997"/>
    <n v="0"/>
    <n v="40.799999999999997"/>
    <s v=""/>
    <s v=""/>
    <s v=""/>
    <s v=""/>
    <s v="通过"/>
  </r>
  <r>
    <s v="SIM-20260921-C005"/>
    <n v="6"/>
    <s v="C005"/>
    <d v="2026-09-21T00:00:00"/>
    <s v="P001"/>
    <x v="0"/>
    <n v="8.5"/>
    <n v="8.5"/>
    <n v="0"/>
    <n v="3.4"/>
    <s v="正常交付"/>
    <s v="true"/>
    <x v="9"/>
    <s v="散装鲜菜"/>
    <s v="模拟_青禾小学食堂"/>
    <n v="28.9"/>
    <n v="0"/>
    <n v="28.9"/>
    <s v=""/>
    <s v=""/>
    <s v=""/>
    <s v=""/>
    <s v="通过"/>
  </r>
  <r>
    <s v="SIM-20260921-C005"/>
    <n v="7"/>
    <s v="C005"/>
    <d v="2026-09-21T00:00:00"/>
    <s v="P015"/>
    <x v="0"/>
    <n v="1"/>
    <n v="1"/>
    <n v="0"/>
    <n v="7.3"/>
    <s v="正常交付"/>
    <s v="true"/>
    <x v="5"/>
    <s v="散装鲜菜"/>
    <s v="模拟_青禾小学食堂"/>
    <n v="7.3"/>
    <n v="0"/>
    <n v="7.3"/>
    <s v=""/>
    <s v=""/>
    <s v=""/>
    <s v=""/>
    <s v="通过"/>
  </r>
  <r>
    <s v="SIM-20260921-C005"/>
    <n v="8"/>
    <s v="C005"/>
    <d v="2026-09-21T00:00:00"/>
    <s v="P017"/>
    <x v="2"/>
    <n v="6"/>
    <n v="6"/>
    <n v="0"/>
    <n v="119"/>
    <s v="正常交付"/>
    <s v="true"/>
    <x v="13"/>
    <s v="25公斤/袋普通籼米"/>
    <s v="模拟_青禾小学食堂"/>
    <n v="714"/>
    <n v="0"/>
    <n v="714"/>
    <s v=""/>
    <s v=""/>
    <s v=""/>
    <s v=""/>
    <s v="通过"/>
  </r>
  <r>
    <s v="SIM-20260921-C005"/>
    <n v="9"/>
    <s v="C005"/>
    <d v="2026-09-21T00:00:00"/>
    <s v="P020"/>
    <x v="1"/>
    <n v="2"/>
    <n v="2"/>
    <n v="0"/>
    <n v="55"/>
    <s v="正常交付"/>
    <s v="true"/>
    <x v="15"/>
    <s v="5升/桶普通大豆油"/>
    <s v="模拟_青禾小学食堂"/>
    <n v="110"/>
    <n v="0"/>
    <n v="110"/>
    <s v=""/>
    <s v=""/>
    <s v=""/>
    <s v=""/>
    <s v="通过"/>
  </r>
  <r>
    <s v="SIM-20260921-C006"/>
    <n v="1"/>
    <s v="C006"/>
    <d v="2026-09-21T00:00:00"/>
    <s v="P011"/>
    <x v="0"/>
    <n v="12.1"/>
    <n v="12.1"/>
    <n v="0"/>
    <n v="4.3"/>
    <s v="正常交付"/>
    <s v="true"/>
    <x v="8"/>
    <s v="散装鲜菜"/>
    <s v="模拟_溪桥医院食堂"/>
    <n v="52.03"/>
    <n v="0"/>
    <n v="52.03"/>
    <s v=""/>
    <s v=""/>
    <s v=""/>
    <s v=""/>
    <s v="通过"/>
  </r>
  <r>
    <s v="SIM-20260921-C006"/>
    <n v="2"/>
    <s v="C006"/>
    <d v="2026-09-21T00:00:00"/>
    <s v="P001"/>
    <x v="0"/>
    <n v="11.3"/>
    <n v="11.3"/>
    <n v="0"/>
    <n v="3.4"/>
    <s v="正常交付"/>
    <s v="true"/>
    <x v="9"/>
    <s v="散装鲜菜"/>
    <s v="模拟_溪桥医院食堂"/>
    <n v="38.42"/>
    <n v="0"/>
    <n v="38.42"/>
    <s v=""/>
    <s v=""/>
    <s v=""/>
    <s v=""/>
    <s v="通过"/>
  </r>
  <r>
    <s v="SIM-20260921-C006"/>
    <n v="3"/>
    <s v="C006"/>
    <d v="2026-09-21T00:00:00"/>
    <s v="P009"/>
    <x v="0"/>
    <n v="5.6"/>
    <n v="5.6"/>
    <n v="0"/>
    <n v="4.8"/>
    <s v="正常交付"/>
    <s v="true"/>
    <x v="17"/>
    <s v="散装鲜菜"/>
    <s v="模拟_溪桥医院食堂"/>
    <n v="26.88"/>
    <n v="0"/>
    <n v="26.88"/>
    <s v=""/>
    <s v=""/>
    <s v=""/>
    <s v=""/>
    <s v="通过"/>
  </r>
  <r>
    <s v="SIM-20260921-C006"/>
    <n v="4"/>
    <s v="C006"/>
    <d v="2026-09-21T00:00:00"/>
    <s v="P013"/>
    <x v="0"/>
    <n v="5.6"/>
    <n v="5.6"/>
    <n v="0"/>
    <n v="6"/>
    <s v="正常交付"/>
    <s v="true"/>
    <x v="11"/>
    <s v="散装鲜菜"/>
    <s v="模拟_溪桥医院食堂"/>
    <n v="33.6"/>
    <n v="0"/>
    <n v="33.6"/>
    <s v=""/>
    <s v=""/>
    <s v=""/>
    <s v=""/>
    <s v="通过"/>
  </r>
  <r>
    <s v="SIM-20260921-C006"/>
    <n v="5"/>
    <s v="C006"/>
    <d v="2026-09-21T00:00:00"/>
    <s v="P007"/>
    <x v="0"/>
    <n v="7.2"/>
    <n v="7.2"/>
    <n v="0"/>
    <n v="5.25"/>
    <s v="正常交付"/>
    <s v="true"/>
    <x v="18"/>
    <s v="散装鲜菜"/>
    <s v="模拟_溪桥医院食堂"/>
    <n v="37.799999999999997"/>
    <n v="0"/>
    <n v="37.799999999999997"/>
    <s v=""/>
    <s v=""/>
    <s v=""/>
    <s v=""/>
    <s v="通过"/>
  </r>
  <r>
    <s v="SIM-20260921-C006"/>
    <n v="6"/>
    <s v="C006"/>
    <d v="2026-09-21T00:00:00"/>
    <s v="P002"/>
    <x v="0"/>
    <n v="5.6"/>
    <n v="5.6"/>
    <n v="0"/>
    <n v="2.7"/>
    <s v="正常交付"/>
    <s v="true"/>
    <x v="2"/>
    <s v="散装鲜菜"/>
    <s v="模拟_溪桥医院食堂"/>
    <n v="15.12"/>
    <n v="0"/>
    <n v="15.12"/>
    <s v=""/>
    <s v=""/>
    <s v=""/>
    <s v=""/>
    <s v="通过"/>
  </r>
  <r>
    <s v="SIM-20260921-C006"/>
    <n v="7"/>
    <s v="C006"/>
    <d v="2026-09-21T00:00:00"/>
    <s v="P016"/>
    <x v="0"/>
    <n v="9"/>
    <n v="9"/>
    <n v="0.1"/>
    <n v="10.199999999999999"/>
    <s v="正常交付；签收时破损退回"/>
    <s v="true"/>
    <x v="4"/>
    <s v="普通鲜鸡蛋按净重"/>
    <s v="模拟_溪桥医院食堂"/>
    <n v="91.8"/>
    <n v="1.02"/>
    <n v="90.78"/>
    <s v=""/>
    <s v=""/>
    <s v=""/>
    <s v=""/>
    <s v="通过"/>
  </r>
  <r>
    <s v="SIM-20260921-C006"/>
    <n v="8"/>
    <s v="C006"/>
    <d v="2026-09-21T00:00:00"/>
    <s v="P017"/>
    <x v="2"/>
    <n v="4"/>
    <n v="4"/>
    <n v="0"/>
    <n v="119"/>
    <s v="正常交付"/>
    <s v="true"/>
    <x v="13"/>
    <s v="25公斤/袋普通籼米"/>
    <s v="模拟_溪桥医院食堂"/>
    <n v="476"/>
    <n v="0"/>
    <n v="476"/>
    <s v=""/>
    <s v=""/>
    <s v=""/>
    <s v=""/>
    <s v="通过"/>
  </r>
  <r>
    <s v="SIM-20260921-C006"/>
    <n v="9"/>
    <s v="C006"/>
    <d v="2026-09-21T00:00:00"/>
    <s v="P020"/>
    <x v="1"/>
    <n v="2"/>
    <n v="2"/>
    <n v="0"/>
    <n v="55"/>
    <s v="正常交付"/>
    <s v="true"/>
    <x v="15"/>
    <s v="5升/桶普通大豆油"/>
    <s v="模拟_溪桥医院食堂"/>
    <n v="110"/>
    <n v="0"/>
    <n v="110"/>
    <s v=""/>
    <s v=""/>
    <s v=""/>
    <s v=""/>
    <s v="通过"/>
  </r>
  <r>
    <s v="SIM-20260922-C001"/>
    <n v="1"/>
    <s v="C001"/>
    <d v="2026-09-22T00:00:00"/>
    <s v="P011"/>
    <x v="0"/>
    <n v="2.9"/>
    <n v="2.9"/>
    <n v="0"/>
    <n v="4.8"/>
    <s v="正常交付"/>
    <s v="true"/>
    <x v="8"/>
    <s v="散装鲜菜"/>
    <s v="模拟_榕树下粉面店"/>
    <n v="13.92"/>
    <n v="0"/>
    <n v="13.92"/>
    <s v=""/>
    <s v=""/>
    <s v=""/>
    <s v=""/>
    <s v="通过"/>
  </r>
  <r>
    <s v="SIM-20260922-C001"/>
    <n v="2"/>
    <s v="C001"/>
    <d v="2026-09-22T00:00:00"/>
    <s v="P002"/>
    <x v="0"/>
    <n v="2.9"/>
    <n v="2.9"/>
    <n v="0"/>
    <n v="2.5"/>
    <s v="正常交付"/>
    <s v="true"/>
    <x v="2"/>
    <s v="散装鲜菜"/>
    <s v="模拟_榕树下粉面店"/>
    <n v="7.25"/>
    <n v="0"/>
    <n v="7.25"/>
    <s v=""/>
    <s v=""/>
    <s v=""/>
    <s v=""/>
    <s v="通过"/>
  </r>
  <r>
    <s v="SIM-20260922-C001"/>
    <n v="3"/>
    <s v="C001"/>
    <d v="2026-09-22T00:00:00"/>
    <s v="P014"/>
    <x v="0"/>
    <n v="4.2"/>
    <n v="4.2"/>
    <n v="0"/>
    <n v="4.9000000000000004"/>
    <s v="正常交付"/>
    <s v="true"/>
    <x v="19"/>
    <s v="散装鲜菜"/>
    <s v="模拟_榕树下粉面店"/>
    <n v="20.58"/>
    <n v="0"/>
    <n v="20.58"/>
    <s v=""/>
    <s v=""/>
    <s v=""/>
    <s v=""/>
    <s v="通过"/>
  </r>
  <r>
    <s v="SIM-20260922-C001"/>
    <n v="4"/>
    <s v="C001"/>
    <d v="2026-09-22T00:00:00"/>
    <s v="P005"/>
    <x v="0"/>
    <n v="3.2"/>
    <n v="3.2"/>
    <n v="0"/>
    <n v="2.7"/>
    <s v="正常交付"/>
    <s v="true"/>
    <x v="1"/>
    <s v="散装鲜菜"/>
    <s v="模拟_榕树下粉面店"/>
    <n v="8.64"/>
    <n v="0"/>
    <n v="8.64"/>
    <s v=""/>
    <s v=""/>
    <s v=""/>
    <s v=""/>
    <s v="通过"/>
  </r>
  <r>
    <s v="SIM-20260922-C001"/>
    <n v="5"/>
    <s v="C001"/>
    <d v="2026-09-22T00:00:00"/>
    <s v="P016"/>
    <x v="0"/>
    <n v="3"/>
    <n v="3"/>
    <n v="0"/>
    <n v="10.4"/>
    <s v="正常交付"/>
    <s v="true"/>
    <x v="4"/>
    <s v="普通鲜鸡蛋按净重"/>
    <s v="模拟_榕树下粉面店"/>
    <n v="31.2"/>
    <n v="0"/>
    <n v="31.2"/>
    <s v=""/>
    <s v=""/>
    <s v=""/>
    <s v=""/>
    <s v="通过"/>
  </r>
  <r>
    <s v="SIM-20260922-C001"/>
    <n v="6"/>
    <s v="C001"/>
    <d v="2026-09-22T00:00:00"/>
    <s v="P015"/>
    <x v="0"/>
    <n v="0.5"/>
    <n v="0.5"/>
    <n v="0"/>
    <n v="7.8"/>
    <s v="正常交付"/>
    <s v="true"/>
    <x v="5"/>
    <s v="散装鲜菜"/>
    <s v="模拟_榕树下粉面店"/>
    <n v="3.9"/>
    <n v="0"/>
    <n v="3.9"/>
    <s v=""/>
    <s v=""/>
    <s v=""/>
    <s v=""/>
    <s v="通过"/>
  </r>
  <r>
    <s v="SIM-20260922-C002"/>
    <n v="1"/>
    <s v="C002"/>
    <d v="2026-09-22T00:00:00"/>
    <s v="P011"/>
    <x v="0"/>
    <n v="4.5999999999999996"/>
    <n v="4.5999999999999996"/>
    <n v="0.3"/>
    <n v="4.8"/>
    <s v="正常交付；签收时挑出黄叶退回"/>
    <s v="true"/>
    <x v="8"/>
    <s v="散装鲜菜"/>
    <s v="模拟_桥头家常菜馆"/>
    <n v="22.08"/>
    <n v="1.44"/>
    <n v="20.639999999999997"/>
    <s v=""/>
    <s v=""/>
    <s v=""/>
    <s v=""/>
    <s v="通过"/>
  </r>
  <r>
    <s v="SIM-20260922-C002"/>
    <n v="2"/>
    <s v="C002"/>
    <d v="2026-09-22T00:00:00"/>
    <s v="P008"/>
    <x v="0"/>
    <n v="7.2"/>
    <n v="7.2"/>
    <n v="0"/>
    <n v="3.9"/>
    <s v="正常交付"/>
    <s v="true"/>
    <x v="14"/>
    <s v="散装鲜菜"/>
    <s v="模拟_桥头家常菜馆"/>
    <n v="28.08"/>
    <n v="0"/>
    <n v="28.08"/>
    <s v=""/>
    <s v=""/>
    <s v=""/>
    <s v=""/>
    <s v="通过"/>
  </r>
  <r>
    <s v="SIM-20260922-C002"/>
    <n v="3"/>
    <s v="C002"/>
    <d v="2026-09-22T00:00:00"/>
    <s v="P014"/>
    <x v="0"/>
    <n v="8.1999999999999993"/>
    <n v="8.1999999999999993"/>
    <n v="0"/>
    <n v="4.9000000000000004"/>
    <s v="正常交付"/>
    <s v="true"/>
    <x v="19"/>
    <s v="散装鲜菜"/>
    <s v="模拟_桥头家常菜馆"/>
    <n v="40.18"/>
    <n v="0"/>
    <n v="40.18"/>
    <s v=""/>
    <s v=""/>
    <s v=""/>
    <s v=""/>
    <s v="通过"/>
  </r>
  <r>
    <s v="SIM-20260922-C002"/>
    <n v="4"/>
    <s v="C002"/>
    <d v="2026-09-22T00:00:00"/>
    <s v="P005"/>
    <x v="0"/>
    <n v="4.0999999999999996"/>
    <n v="4.0999999999999996"/>
    <n v="0"/>
    <n v="2.7"/>
    <s v="正常交付"/>
    <s v="true"/>
    <x v="1"/>
    <s v="散装鲜菜"/>
    <s v="模拟_桥头家常菜馆"/>
    <n v="11.07"/>
    <n v="0"/>
    <n v="11.07"/>
    <s v=""/>
    <s v=""/>
    <s v=""/>
    <s v=""/>
    <s v="通过"/>
  </r>
  <r>
    <s v="SIM-20260922-C002"/>
    <n v="5"/>
    <s v="C002"/>
    <d v="2026-09-22T00:00:00"/>
    <s v="P001"/>
    <x v="0"/>
    <n v="3.6"/>
    <n v="3.6"/>
    <n v="0"/>
    <n v="3.5"/>
    <s v="正常交付"/>
    <s v="true"/>
    <x v="9"/>
    <s v="散装鲜菜"/>
    <s v="模拟_桥头家常菜馆"/>
    <n v="12.6"/>
    <n v="0"/>
    <n v="12.6"/>
    <s v=""/>
    <s v=""/>
    <s v=""/>
    <s v=""/>
    <s v="通过"/>
  </r>
  <r>
    <s v="SIM-20260922-C002"/>
    <n v="6"/>
    <s v="C002"/>
    <d v="2026-09-22T00:00:00"/>
    <s v="P016"/>
    <x v="0"/>
    <n v="4"/>
    <n v="4"/>
    <n v="0"/>
    <n v="10.4"/>
    <s v="正常交付"/>
    <s v="true"/>
    <x v="4"/>
    <s v="普通鲜鸡蛋按净重"/>
    <s v="模拟_桥头家常菜馆"/>
    <n v="41.6"/>
    <n v="0"/>
    <n v="41.6"/>
    <s v=""/>
    <s v=""/>
    <s v=""/>
    <s v=""/>
    <s v="通过"/>
  </r>
  <r>
    <s v="SIM-20260922-C002"/>
    <n v="7"/>
    <s v="C002"/>
    <d v="2026-09-22T00:00:00"/>
    <s v="P015"/>
    <x v="0"/>
    <n v="1"/>
    <n v="1"/>
    <n v="0"/>
    <n v="7.8"/>
    <s v="正常交付"/>
    <s v="true"/>
    <x v="5"/>
    <s v="散装鲜菜"/>
    <s v="模拟_桥头家常菜馆"/>
    <n v="7.8"/>
    <n v="0"/>
    <n v="7.8"/>
    <s v=""/>
    <s v=""/>
    <s v=""/>
    <s v=""/>
    <s v="通过"/>
  </r>
  <r>
    <s v="SIM-20260922-C003"/>
    <n v="1"/>
    <s v="C003"/>
    <d v="2026-09-22T00:00:00"/>
    <s v="P012"/>
    <x v="0"/>
    <n v="9.9"/>
    <n v="9.9"/>
    <n v="0"/>
    <n v="5"/>
    <s v="正常交付"/>
    <s v="true"/>
    <x v="0"/>
    <s v="散装鲜菜"/>
    <s v="模拟_兴街快餐店"/>
    <n v="49.5"/>
    <n v="0"/>
    <n v="49.5"/>
    <s v=""/>
    <s v=""/>
    <s v=""/>
    <s v=""/>
    <s v="通过"/>
  </r>
  <r>
    <s v="SIM-20260922-C003"/>
    <n v="2"/>
    <s v="C003"/>
    <d v="2026-09-22T00:00:00"/>
    <s v="P014"/>
    <x v="0"/>
    <n v="6"/>
    <n v="6"/>
    <n v="0"/>
    <n v="4.9000000000000004"/>
    <s v="正常交付"/>
    <s v="true"/>
    <x v="19"/>
    <s v="散装鲜菜"/>
    <s v="模拟_兴街快餐店"/>
    <n v="29.4"/>
    <n v="0"/>
    <n v="29.4"/>
    <s v=""/>
    <s v=""/>
    <s v=""/>
    <s v=""/>
    <s v="通过"/>
  </r>
  <r>
    <s v="SIM-20260922-C003"/>
    <n v="3"/>
    <s v="C003"/>
    <d v="2026-09-22T00:00:00"/>
    <s v="P009"/>
    <x v="0"/>
    <n v="8.6"/>
    <n v="8.6"/>
    <n v="0"/>
    <n v="4.9000000000000004"/>
    <s v="正常交付"/>
    <s v="true"/>
    <x v="17"/>
    <s v="散装鲜菜"/>
    <s v="模拟_兴街快餐店"/>
    <n v="42.14"/>
    <n v="0"/>
    <n v="42.14"/>
    <s v=""/>
    <s v=""/>
    <s v=""/>
    <s v=""/>
    <s v="通过"/>
  </r>
  <r>
    <s v="SIM-20260922-C003"/>
    <n v="4"/>
    <s v="C003"/>
    <d v="2026-09-22T00:00:00"/>
    <s v="P005"/>
    <x v="0"/>
    <n v="8.6"/>
    <n v="8.6"/>
    <n v="0"/>
    <n v="2.7"/>
    <s v="正常交付"/>
    <s v="true"/>
    <x v="1"/>
    <s v="散装鲜菜"/>
    <s v="模拟_兴街快餐店"/>
    <n v="23.22"/>
    <n v="0"/>
    <n v="23.22"/>
    <s v=""/>
    <s v=""/>
    <s v=""/>
    <s v=""/>
    <s v="通过"/>
  </r>
  <r>
    <s v="SIM-20260922-C003"/>
    <n v="5"/>
    <s v="C003"/>
    <d v="2026-09-22T00:00:00"/>
    <s v="P002"/>
    <x v="0"/>
    <n v="6.6"/>
    <n v="6.3"/>
    <n v="0"/>
    <n v="2.5"/>
    <s v="到货不足；按实际交付计费"/>
    <s v="true"/>
    <x v="2"/>
    <s v="散装鲜菜"/>
    <s v="模拟_兴街快餐店"/>
    <n v="15.75"/>
    <n v="0"/>
    <n v="15.75"/>
    <s v=""/>
    <s v=""/>
    <s v=""/>
    <s v=""/>
    <s v="通过"/>
  </r>
  <r>
    <s v="SIM-20260922-C003"/>
    <n v="6"/>
    <s v="C003"/>
    <d v="2026-09-22T00:00:00"/>
    <s v="P006"/>
    <x v="0"/>
    <n v="7.3"/>
    <n v="7.3"/>
    <n v="0"/>
    <n v="4.5999999999999996"/>
    <s v="正常交付"/>
    <s v="true"/>
    <x v="10"/>
    <s v="散装鲜菜"/>
    <s v="模拟_兴街快餐店"/>
    <n v="33.58"/>
    <n v="0"/>
    <n v="33.58"/>
    <s v=""/>
    <s v=""/>
    <s v=""/>
    <s v=""/>
    <s v="通过"/>
  </r>
  <r>
    <s v="SIM-20260922-C003"/>
    <n v="7"/>
    <s v="C003"/>
    <d v="2026-09-22T00:00:00"/>
    <s v="P016"/>
    <x v="0"/>
    <n v="6"/>
    <n v="6"/>
    <n v="0"/>
    <n v="10.4"/>
    <s v="正常交付"/>
    <s v="true"/>
    <x v="4"/>
    <s v="普通鲜鸡蛋按净重"/>
    <s v="模拟_兴街快餐店"/>
    <n v="62.4"/>
    <n v="0"/>
    <n v="62.4"/>
    <s v=""/>
    <s v=""/>
    <s v=""/>
    <s v=""/>
    <s v="通过"/>
  </r>
  <r>
    <s v="SIM-20260922-C003"/>
    <n v="8"/>
    <s v="C003"/>
    <d v="2026-09-22T00:00:00"/>
    <s v="P015"/>
    <x v="0"/>
    <n v="1"/>
    <n v="1"/>
    <n v="0"/>
    <n v="7.8"/>
    <s v="正常交付"/>
    <s v="true"/>
    <x v="5"/>
    <s v="散装鲜菜"/>
    <s v="模拟_兴街快餐店"/>
    <n v="7.8"/>
    <n v="0"/>
    <n v="7.8"/>
    <s v=""/>
    <s v=""/>
    <s v=""/>
    <s v=""/>
    <s v="通过"/>
  </r>
  <r>
    <s v="SIM-20260922-C004"/>
    <n v="1"/>
    <s v="C004"/>
    <d v="2026-09-22T00:00:00"/>
    <s v="P012"/>
    <x v="0"/>
    <n v="9"/>
    <n v="9"/>
    <n v="0"/>
    <n v="5"/>
    <s v="正常交付"/>
    <s v="true"/>
    <x v="0"/>
    <s v="散装鲜菜"/>
    <s v="模拟_田畔饭店"/>
    <n v="45"/>
    <n v="0"/>
    <n v="45"/>
    <s v=""/>
    <s v=""/>
    <s v=""/>
    <s v=""/>
    <s v="通过"/>
  </r>
  <r>
    <s v="SIM-20260922-C004"/>
    <n v="2"/>
    <s v="C004"/>
    <d v="2026-09-22T00:00:00"/>
    <s v="P014"/>
    <x v="0"/>
    <n v="7.3"/>
    <n v="7.3"/>
    <n v="0"/>
    <n v="4.9000000000000004"/>
    <s v="正常交付"/>
    <s v="true"/>
    <x v="19"/>
    <s v="散装鲜菜"/>
    <s v="模拟_田畔饭店"/>
    <n v="35.770000000000003"/>
    <n v="0"/>
    <n v="35.770000000000003"/>
    <s v=""/>
    <s v=""/>
    <s v=""/>
    <s v=""/>
    <s v="通过"/>
  </r>
  <r>
    <s v="SIM-20260922-C004"/>
    <n v="3"/>
    <s v="C004"/>
    <d v="2026-09-22T00:00:00"/>
    <s v="P006"/>
    <x v="0"/>
    <n v="5.0999999999999996"/>
    <n v="5.0999999999999996"/>
    <n v="0"/>
    <n v="4.5999999999999996"/>
    <s v="正常交付"/>
    <s v="true"/>
    <x v="10"/>
    <s v="散装鲜菜"/>
    <s v="模拟_田畔饭店"/>
    <n v="23.46"/>
    <n v="0"/>
    <n v="23.46"/>
    <s v=""/>
    <s v=""/>
    <s v=""/>
    <s v=""/>
    <s v="通过"/>
  </r>
  <r>
    <s v="SIM-20260922-C004"/>
    <n v="4"/>
    <s v="C004"/>
    <d v="2026-09-22T00:00:00"/>
    <s v="P004"/>
    <x v="0"/>
    <n v="6.2"/>
    <n v="6.2"/>
    <n v="0"/>
    <n v="2.2999999999999998"/>
    <s v="正常交付"/>
    <s v="true"/>
    <x v="3"/>
    <s v="散装鲜菜"/>
    <s v="模拟_田畔饭店"/>
    <n v="14.26"/>
    <n v="0"/>
    <n v="14.26"/>
    <s v=""/>
    <s v=""/>
    <s v=""/>
    <s v=""/>
    <s v="通过"/>
  </r>
  <r>
    <s v="SIM-20260922-C004"/>
    <n v="5"/>
    <s v="C004"/>
    <d v="2026-09-22T00:00:00"/>
    <s v="P005"/>
    <x v="0"/>
    <n v="4"/>
    <n v="4"/>
    <n v="0"/>
    <n v="2.7"/>
    <s v="正常交付"/>
    <s v="true"/>
    <x v="1"/>
    <s v="散装鲜菜"/>
    <s v="模拟_田畔饭店"/>
    <n v="10.8"/>
    <n v="0"/>
    <n v="10.8"/>
    <s v=""/>
    <s v=""/>
    <s v=""/>
    <s v=""/>
    <s v="通过"/>
  </r>
  <r>
    <s v="SIM-20260922-C004"/>
    <n v="6"/>
    <s v="C004"/>
    <d v="2026-09-22T00:00:00"/>
    <s v="P009"/>
    <x v="0"/>
    <n v="6.8"/>
    <n v="6.8"/>
    <n v="0"/>
    <n v="4.9000000000000004"/>
    <s v="正常交付"/>
    <s v="true"/>
    <x v="17"/>
    <s v="散装鲜菜"/>
    <s v="模拟_田畔饭店"/>
    <n v="33.32"/>
    <n v="0"/>
    <n v="33.32"/>
    <s v=""/>
    <s v=""/>
    <s v=""/>
    <s v=""/>
    <s v="通过"/>
  </r>
  <r>
    <s v="SIM-20260922-C004"/>
    <n v="7"/>
    <s v="C004"/>
    <d v="2026-09-22T00:00:00"/>
    <s v="P015"/>
    <x v="0"/>
    <n v="1"/>
    <n v="1"/>
    <n v="0"/>
    <n v="7.8"/>
    <s v="正常交付"/>
    <s v="true"/>
    <x v="5"/>
    <s v="散装鲜菜"/>
    <s v="模拟_田畔饭店"/>
    <n v="7.8"/>
    <n v="0"/>
    <n v="7.8"/>
    <s v=""/>
    <s v=""/>
    <s v=""/>
    <s v=""/>
    <s v="通过"/>
  </r>
  <r>
    <s v="SIM-20260922-C005"/>
    <n v="1"/>
    <s v="C005"/>
    <d v="2026-09-22T00:00:00"/>
    <s v="P012"/>
    <x v="0"/>
    <n v="12.1"/>
    <n v="12.1"/>
    <n v="0"/>
    <n v="5"/>
    <s v="正常交付"/>
    <s v="true"/>
    <x v="0"/>
    <s v="散装鲜菜"/>
    <s v="模拟_青禾小学食堂"/>
    <n v="60.5"/>
    <n v="0"/>
    <n v="60.5"/>
    <s v=""/>
    <s v=""/>
    <s v=""/>
    <s v=""/>
    <s v="通过"/>
  </r>
  <r>
    <s v="SIM-20260922-C005"/>
    <n v="2"/>
    <s v="C005"/>
    <d v="2026-09-22T00:00:00"/>
    <s v="P003"/>
    <x v="0"/>
    <n v="10.6"/>
    <n v="10.6"/>
    <n v="0"/>
    <n v="2.9"/>
    <s v="正常交付"/>
    <s v="true"/>
    <x v="12"/>
    <s v="散装鲜菜"/>
    <s v="模拟_青禾小学食堂"/>
    <n v="30.74"/>
    <n v="0"/>
    <n v="30.74"/>
    <s v=""/>
    <s v=""/>
    <s v=""/>
    <s v=""/>
    <s v="通过"/>
  </r>
  <r>
    <s v="SIM-20260922-C005"/>
    <n v="3"/>
    <s v="C005"/>
    <d v="2026-09-22T00:00:00"/>
    <s v="P014"/>
    <x v="0"/>
    <n v="11.3"/>
    <n v="11.3"/>
    <n v="0"/>
    <n v="4.9000000000000004"/>
    <s v="正常交付"/>
    <s v="true"/>
    <x v="19"/>
    <s v="散装鲜菜"/>
    <s v="模拟_青禾小学食堂"/>
    <n v="55.37"/>
    <n v="0"/>
    <n v="55.37"/>
    <s v=""/>
    <s v=""/>
    <s v=""/>
    <s v=""/>
    <s v="通过"/>
  </r>
  <r>
    <s v="SIM-20260922-C005"/>
    <n v="4"/>
    <s v="C005"/>
    <d v="2026-09-22T00:00:00"/>
    <s v="P006"/>
    <x v="0"/>
    <n v="5.3"/>
    <n v="5.3"/>
    <n v="0"/>
    <n v="4.5999999999999996"/>
    <s v="正常交付"/>
    <s v="true"/>
    <x v="10"/>
    <s v="散装鲜菜"/>
    <s v="模拟_青禾小学食堂"/>
    <n v="24.38"/>
    <n v="0"/>
    <n v="24.38"/>
    <s v=""/>
    <s v=""/>
    <s v=""/>
    <s v=""/>
    <s v="通过"/>
  </r>
  <r>
    <s v="SIM-20260922-C005"/>
    <n v="5"/>
    <s v="C005"/>
    <d v="2026-09-22T00:00:00"/>
    <s v="P001"/>
    <x v="0"/>
    <n v="7.6"/>
    <n v="7.6"/>
    <n v="0"/>
    <n v="3.5"/>
    <s v="正常交付"/>
    <s v="true"/>
    <x v="9"/>
    <s v="散装鲜菜"/>
    <s v="模拟_青禾小学食堂"/>
    <n v="26.6"/>
    <n v="0"/>
    <n v="26.6"/>
    <s v=""/>
    <s v=""/>
    <s v=""/>
    <s v=""/>
    <s v="通过"/>
  </r>
  <r>
    <s v="SIM-20260922-C005"/>
    <n v="6"/>
    <s v="C005"/>
    <d v="2026-09-22T00:00:00"/>
    <s v="P009"/>
    <x v="0"/>
    <n v="12.1"/>
    <n v="11.9"/>
    <n v="0"/>
    <n v="4.9000000000000004"/>
    <s v="到货不足；按实际交付计费"/>
    <s v="true"/>
    <x v="17"/>
    <s v="散装鲜菜"/>
    <s v="模拟_青禾小学食堂"/>
    <n v="58.31"/>
    <n v="0"/>
    <n v="58.31"/>
    <s v=""/>
    <s v=""/>
    <s v=""/>
    <s v=""/>
    <s v="通过"/>
  </r>
  <r>
    <s v="SIM-20260922-C005"/>
    <n v="7"/>
    <s v="C005"/>
    <d v="2026-09-22T00:00:00"/>
    <s v="P016"/>
    <x v="0"/>
    <n v="12"/>
    <n v="12"/>
    <n v="0"/>
    <n v="10.4"/>
    <s v="正常交付"/>
    <s v="true"/>
    <x v="4"/>
    <s v="普通鲜鸡蛋按净重"/>
    <s v="模拟_青禾小学食堂"/>
    <n v="124.8"/>
    <n v="0"/>
    <n v="124.8"/>
    <s v=""/>
    <s v=""/>
    <s v=""/>
    <s v=""/>
    <s v="通过"/>
  </r>
  <r>
    <s v="SIM-20260922-C006"/>
    <n v="1"/>
    <s v="C006"/>
    <d v="2026-09-22T00:00:00"/>
    <s v="P010"/>
    <x v="0"/>
    <n v="10.5"/>
    <n v="10.5"/>
    <n v="0"/>
    <n v="4.9000000000000004"/>
    <s v="正常交付"/>
    <s v="true"/>
    <x v="16"/>
    <s v="散装鲜菜"/>
    <s v="模拟_溪桥医院食堂"/>
    <n v="51.45"/>
    <n v="0"/>
    <n v="51.45"/>
    <s v=""/>
    <s v=""/>
    <s v=""/>
    <s v=""/>
    <s v="通过"/>
  </r>
  <r>
    <s v="SIM-20260922-C006"/>
    <n v="2"/>
    <s v="C006"/>
    <d v="2026-09-22T00:00:00"/>
    <s v="P004"/>
    <x v="0"/>
    <n v="9.1999999999999993"/>
    <n v="9.1999999999999993"/>
    <n v="0"/>
    <n v="2.2999999999999998"/>
    <s v="正常交付"/>
    <s v="true"/>
    <x v="3"/>
    <s v="散装鲜菜"/>
    <s v="模拟_溪桥医院食堂"/>
    <n v="21.16"/>
    <n v="0"/>
    <n v="21.16"/>
    <s v=""/>
    <s v=""/>
    <s v=""/>
    <s v=""/>
    <s v="通过"/>
  </r>
  <r>
    <s v="SIM-20260922-C006"/>
    <n v="3"/>
    <s v="C006"/>
    <d v="2026-09-22T00:00:00"/>
    <s v="P013"/>
    <x v="0"/>
    <n v="6.6"/>
    <n v="6.6"/>
    <n v="0"/>
    <n v="6.1"/>
    <s v="正常交付"/>
    <s v="true"/>
    <x v="11"/>
    <s v="散装鲜菜"/>
    <s v="模拟_溪桥医院食堂"/>
    <n v="40.26"/>
    <n v="0"/>
    <n v="40.26"/>
    <s v=""/>
    <s v=""/>
    <s v=""/>
    <s v=""/>
    <s v="通过"/>
  </r>
  <r>
    <s v="SIM-20260922-C006"/>
    <n v="4"/>
    <s v="C006"/>
    <d v="2026-09-22T00:00:00"/>
    <s v="P001"/>
    <x v="0"/>
    <n v="7.9"/>
    <n v="7.9"/>
    <n v="0"/>
    <n v="3.5"/>
    <s v="正常交付"/>
    <s v="true"/>
    <x v="9"/>
    <s v="散装鲜菜"/>
    <s v="模拟_溪桥医院食堂"/>
    <n v="27.65"/>
    <n v="0"/>
    <n v="27.65"/>
    <s v=""/>
    <s v=""/>
    <s v=""/>
    <s v=""/>
    <s v="通过"/>
  </r>
  <r>
    <s v="SIM-20260922-C006"/>
    <n v="5"/>
    <s v="C006"/>
    <d v="2026-09-22T00:00:00"/>
    <s v="P014"/>
    <x v="0"/>
    <n v="9.8000000000000007"/>
    <n v="9.8000000000000007"/>
    <n v="0"/>
    <n v="4.9000000000000004"/>
    <s v="正常交付"/>
    <s v="true"/>
    <x v="19"/>
    <s v="散装鲜菜"/>
    <s v="模拟_溪桥医院食堂"/>
    <n v="48.02"/>
    <n v="0"/>
    <n v="48.02"/>
    <s v=""/>
    <s v=""/>
    <s v=""/>
    <s v=""/>
    <s v="通过"/>
  </r>
  <r>
    <s v="SIM-20260922-C006"/>
    <n v="6"/>
    <s v="C006"/>
    <d v="2026-09-22T00:00:00"/>
    <s v="P008"/>
    <x v="0"/>
    <n v="4.5999999999999996"/>
    <n v="4.5999999999999996"/>
    <n v="0"/>
    <n v="3.9"/>
    <s v="正常交付"/>
    <s v="true"/>
    <x v="14"/>
    <s v="散装鲜菜"/>
    <s v="模拟_溪桥医院食堂"/>
    <n v="17.940000000000001"/>
    <n v="0"/>
    <n v="17.940000000000001"/>
    <s v=""/>
    <s v=""/>
    <s v=""/>
    <s v=""/>
    <s v="通过"/>
  </r>
  <r>
    <s v="SIM-20260922-C006"/>
    <n v="7"/>
    <s v="C006"/>
    <d v="2026-09-22T00:00:00"/>
    <s v="P015"/>
    <x v="0"/>
    <n v="1"/>
    <n v="1"/>
    <n v="0"/>
    <n v="7.8"/>
    <s v="正常交付"/>
    <s v="true"/>
    <x v="5"/>
    <s v="散装鲜菜"/>
    <s v="模拟_溪桥医院食堂"/>
    <n v="7.8"/>
    <n v="0"/>
    <n v="7.8"/>
    <s v=""/>
    <s v=""/>
    <s v=""/>
    <s v=""/>
    <s v="通过"/>
  </r>
  <r>
    <s v="SIM-20260923-C001"/>
    <n v="1"/>
    <s v="C001"/>
    <d v="2026-09-23T00:00:00"/>
    <s v="P011"/>
    <x v="0"/>
    <n v="3.3"/>
    <n v="3.3"/>
    <n v="0.3"/>
    <n v="4.8"/>
    <s v="正常交付；签收时挑出黄叶退回"/>
    <s v="true"/>
    <x v="8"/>
    <s v="散装鲜菜"/>
    <s v="模拟_榕树下粉面店"/>
    <n v="15.84"/>
    <n v="1.44"/>
    <n v="14.4"/>
    <s v=""/>
    <s v=""/>
    <s v=""/>
    <s v=""/>
    <s v="通过"/>
  </r>
  <r>
    <s v="SIM-20260923-C001"/>
    <n v="2"/>
    <s v="C001"/>
    <d v="2026-09-23T00:00:00"/>
    <s v="P008"/>
    <x v="0"/>
    <n v="2.5"/>
    <n v="2.5"/>
    <n v="0"/>
    <n v="3.9"/>
    <s v="正常交付"/>
    <s v="true"/>
    <x v="14"/>
    <s v="散装鲜菜"/>
    <s v="模拟_榕树下粉面店"/>
    <n v="9.75"/>
    <n v="0"/>
    <n v="9.75"/>
    <s v=""/>
    <s v=""/>
    <s v=""/>
    <s v=""/>
    <s v="通过"/>
  </r>
  <r>
    <s v="SIM-20260923-C001"/>
    <n v="3"/>
    <s v="C001"/>
    <d v="2026-09-23T00:00:00"/>
    <s v="P006"/>
    <x v="0"/>
    <n v="3.3"/>
    <n v="3"/>
    <n v="0"/>
    <n v="4.5999999999999996"/>
    <s v="到货不足；按实际交付计费"/>
    <s v="true"/>
    <x v="10"/>
    <s v="散装鲜菜"/>
    <s v="模拟_榕树下粉面店"/>
    <n v="13.8"/>
    <n v="0"/>
    <n v="13.8"/>
    <s v=""/>
    <s v=""/>
    <s v=""/>
    <s v=""/>
    <s v="通过"/>
  </r>
  <r>
    <s v="SIM-20260923-C001"/>
    <n v="4"/>
    <s v="C001"/>
    <d v="2026-09-23T00:00:00"/>
    <s v="P005"/>
    <x v="0"/>
    <n v="2.8"/>
    <n v="2.8"/>
    <n v="0"/>
    <n v="2.7"/>
    <s v="正常交付"/>
    <s v="true"/>
    <x v="1"/>
    <s v="散装鲜菜"/>
    <s v="模拟_榕树下粉面店"/>
    <n v="7.56"/>
    <n v="0"/>
    <n v="7.56"/>
    <s v=""/>
    <s v=""/>
    <s v=""/>
    <s v=""/>
    <s v="通过"/>
  </r>
  <r>
    <s v="SIM-20260923-C002"/>
    <n v="1"/>
    <s v="C002"/>
    <d v="2026-09-23T00:00:00"/>
    <s v="P011"/>
    <x v="0"/>
    <n v="7.5"/>
    <n v="7.5"/>
    <n v="0.2"/>
    <n v="4.8"/>
    <s v="正常交付；签收时挑出黄叶退回"/>
    <s v="true"/>
    <x v="8"/>
    <s v="散装鲜菜"/>
    <s v="模拟_桥头家常菜馆"/>
    <n v="36"/>
    <n v="0.96"/>
    <n v="35.04"/>
    <s v=""/>
    <s v=""/>
    <s v=""/>
    <s v=""/>
    <s v="通过"/>
  </r>
  <r>
    <s v="SIM-20260923-C002"/>
    <n v="2"/>
    <s v="C002"/>
    <d v="2026-09-23T00:00:00"/>
    <s v="P008"/>
    <x v="0"/>
    <n v="3.8"/>
    <n v="3.8"/>
    <n v="0"/>
    <n v="3.9"/>
    <s v="正常交付"/>
    <s v="true"/>
    <x v="14"/>
    <s v="散装鲜菜"/>
    <s v="模拟_桥头家常菜馆"/>
    <n v="14.82"/>
    <n v="0"/>
    <n v="14.82"/>
    <s v=""/>
    <s v=""/>
    <s v=""/>
    <s v=""/>
    <s v="通过"/>
  </r>
  <r>
    <s v="SIM-20260923-C002"/>
    <n v="3"/>
    <s v="C002"/>
    <d v="2026-09-23T00:00:00"/>
    <s v="P009"/>
    <x v="0"/>
    <n v="7.5"/>
    <n v="7.5"/>
    <n v="0"/>
    <n v="4.9000000000000004"/>
    <s v="正常交付"/>
    <s v="true"/>
    <x v="17"/>
    <s v="散装鲜菜"/>
    <s v="模拟_桥头家常菜馆"/>
    <n v="36.75"/>
    <n v="0"/>
    <n v="36.75"/>
    <s v=""/>
    <s v=""/>
    <s v=""/>
    <s v=""/>
    <s v="通过"/>
  </r>
  <r>
    <s v="SIM-20260923-C002"/>
    <n v="4"/>
    <s v="C002"/>
    <d v="2026-09-23T00:00:00"/>
    <s v="P004"/>
    <x v="0"/>
    <n v="7"/>
    <n v="7"/>
    <n v="0"/>
    <n v="2.2999999999999998"/>
    <s v="正常交付"/>
    <s v="true"/>
    <x v="3"/>
    <s v="散装鲜菜"/>
    <s v="模拟_桥头家常菜馆"/>
    <n v="16.100000000000001"/>
    <n v="0"/>
    <n v="16.100000000000001"/>
    <s v=""/>
    <s v=""/>
    <s v=""/>
    <s v=""/>
    <s v="通过"/>
  </r>
  <r>
    <s v="SIM-20260923-C002"/>
    <n v="5"/>
    <s v="C002"/>
    <d v="2026-09-23T00:00:00"/>
    <s v="P006"/>
    <x v="0"/>
    <n v="3.3"/>
    <n v="3.3"/>
    <n v="0"/>
    <n v="4.5999999999999996"/>
    <s v="正常交付"/>
    <s v="true"/>
    <x v="10"/>
    <s v="散装鲜菜"/>
    <s v="模拟_桥头家常菜馆"/>
    <n v="15.18"/>
    <n v="0"/>
    <n v="15.18"/>
    <s v=""/>
    <s v=""/>
    <s v=""/>
    <s v=""/>
    <s v="通过"/>
  </r>
  <r>
    <s v="SIM-20260923-C003"/>
    <n v="1"/>
    <s v="C003"/>
    <d v="2026-09-23T00:00:00"/>
    <s v="P011"/>
    <x v="0"/>
    <n v="7.3"/>
    <n v="7.3"/>
    <n v="0"/>
    <n v="4.8"/>
    <s v="正常交付"/>
    <s v="true"/>
    <x v="8"/>
    <s v="散装鲜菜"/>
    <s v="模拟_兴街快餐店"/>
    <n v="35.04"/>
    <n v="0"/>
    <n v="35.04"/>
    <s v=""/>
    <s v=""/>
    <s v=""/>
    <s v=""/>
    <s v="通过"/>
  </r>
  <r>
    <s v="SIM-20260923-C003"/>
    <n v="2"/>
    <s v="C003"/>
    <d v="2026-09-23T00:00:00"/>
    <s v="P003"/>
    <x v="0"/>
    <n v="6.6"/>
    <n v="6.6"/>
    <n v="0"/>
    <n v="2.9"/>
    <s v="正常交付"/>
    <s v="true"/>
    <x v="12"/>
    <s v="散装鲜菜"/>
    <s v="模拟_兴街快餐店"/>
    <n v="19.14"/>
    <n v="0"/>
    <n v="19.14"/>
    <s v=""/>
    <s v=""/>
    <s v=""/>
    <s v=""/>
    <s v="通过"/>
  </r>
  <r>
    <s v="SIM-20260923-C003"/>
    <n v="3"/>
    <s v="C003"/>
    <d v="2026-09-23T00:00:00"/>
    <s v="P007"/>
    <x v="0"/>
    <n v="7.3"/>
    <n v="7.3"/>
    <n v="0"/>
    <n v="4.95"/>
    <s v="正常交付"/>
    <s v="true"/>
    <x v="18"/>
    <s v="散装鲜菜"/>
    <s v="模拟_兴街快餐店"/>
    <n v="36.14"/>
    <n v="0"/>
    <n v="36.14"/>
    <s v=""/>
    <s v=""/>
    <s v=""/>
    <s v=""/>
    <s v="通过"/>
  </r>
  <r>
    <s v="SIM-20260923-C003"/>
    <n v="4"/>
    <s v="C003"/>
    <d v="2026-09-23T00:00:00"/>
    <s v="P009"/>
    <x v="0"/>
    <n v="5.3"/>
    <n v="5.3"/>
    <n v="0"/>
    <n v="4.9000000000000004"/>
    <s v="正常交付"/>
    <s v="true"/>
    <x v="17"/>
    <s v="散装鲜菜"/>
    <s v="模拟_兴街快餐店"/>
    <n v="25.97"/>
    <n v="0"/>
    <n v="25.97"/>
    <s v=""/>
    <s v=""/>
    <s v=""/>
    <s v=""/>
    <s v="通过"/>
  </r>
  <r>
    <s v="SIM-20260923-C003"/>
    <n v="5"/>
    <s v="C003"/>
    <d v="2026-09-23T00:00:00"/>
    <s v="P006"/>
    <x v="0"/>
    <n v="8"/>
    <n v="8"/>
    <n v="0"/>
    <n v="4.5999999999999996"/>
    <s v="正常交付"/>
    <s v="true"/>
    <x v="10"/>
    <s v="散装鲜菜"/>
    <s v="模拟_兴街快餐店"/>
    <n v="36.799999999999997"/>
    <n v="0"/>
    <n v="36.799999999999997"/>
    <s v=""/>
    <s v=""/>
    <s v=""/>
    <s v=""/>
    <s v="通过"/>
  </r>
  <r>
    <s v="SIM-20260923-C003"/>
    <n v="6"/>
    <s v="C003"/>
    <d v="2026-09-23T00:00:00"/>
    <s v="P002"/>
    <x v="0"/>
    <n v="8"/>
    <n v="8"/>
    <n v="0"/>
    <n v="2.5"/>
    <s v="正常交付"/>
    <s v="true"/>
    <x v="2"/>
    <s v="散装鲜菜"/>
    <s v="模拟_兴街快餐店"/>
    <n v="20"/>
    <n v="0"/>
    <n v="20"/>
    <s v=""/>
    <s v=""/>
    <s v=""/>
    <s v=""/>
    <s v="通过"/>
  </r>
  <r>
    <s v="SIM-20260923-C005"/>
    <n v="1"/>
    <s v="C005"/>
    <d v="2026-09-23T00:00:00"/>
    <s v="P012"/>
    <x v="0"/>
    <n v="6.4"/>
    <n v="6.4"/>
    <n v="0"/>
    <n v="5"/>
    <s v="正常交付"/>
    <s v="true"/>
    <x v="0"/>
    <s v="散装鲜菜"/>
    <s v="模拟_青禾小学食堂"/>
    <n v="32"/>
    <n v="0"/>
    <n v="32"/>
    <s v=""/>
    <s v=""/>
    <s v=""/>
    <s v=""/>
    <s v="通过"/>
  </r>
  <r>
    <s v="SIM-20260923-C005"/>
    <n v="2"/>
    <s v="C005"/>
    <d v="2026-09-23T00:00:00"/>
    <s v="P014"/>
    <x v="0"/>
    <n v="8"/>
    <n v="8"/>
    <n v="0"/>
    <n v="4.9000000000000004"/>
    <s v="正常交付"/>
    <s v="true"/>
    <x v="19"/>
    <s v="散装鲜菜"/>
    <s v="模拟_青禾小学食堂"/>
    <n v="39.200000000000003"/>
    <n v="0"/>
    <n v="39.200000000000003"/>
    <s v=""/>
    <s v=""/>
    <s v=""/>
    <s v=""/>
    <s v="通过"/>
  </r>
  <r>
    <s v="SIM-20260923-C005"/>
    <n v="3"/>
    <s v="C005"/>
    <d v="2026-09-23T00:00:00"/>
    <s v="P013"/>
    <x v="0"/>
    <n v="11.2"/>
    <n v="11.2"/>
    <n v="0"/>
    <n v="6.1"/>
    <s v="正常交付"/>
    <s v="true"/>
    <x v="11"/>
    <s v="散装鲜菜"/>
    <s v="模拟_青禾小学食堂"/>
    <n v="68.319999999999993"/>
    <n v="0"/>
    <n v="68.319999999999993"/>
    <s v=""/>
    <s v=""/>
    <s v=""/>
    <s v=""/>
    <s v="通过"/>
  </r>
  <r>
    <s v="SIM-20260923-C005"/>
    <n v="4"/>
    <s v="C005"/>
    <d v="2026-09-23T00:00:00"/>
    <s v="P007"/>
    <x v="0"/>
    <n v="8.8000000000000007"/>
    <n v="8.8000000000000007"/>
    <n v="0"/>
    <n v="4.95"/>
    <s v="正常交付"/>
    <s v="true"/>
    <x v="18"/>
    <s v="散装鲜菜"/>
    <s v="模拟_青禾小学食堂"/>
    <n v="43.56"/>
    <n v="0"/>
    <n v="43.56"/>
    <s v=""/>
    <s v=""/>
    <s v=""/>
    <s v=""/>
    <s v="通过"/>
  </r>
  <r>
    <s v="SIM-20260923-C005"/>
    <n v="5"/>
    <s v="C005"/>
    <d v="2026-09-23T00:00:00"/>
    <s v="P008"/>
    <x v="0"/>
    <n v="12"/>
    <n v="12"/>
    <n v="0"/>
    <n v="3.9"/>
    <s v="正常交付"/>
    <s v="true"/>
    <x v="14"/>
    <s v="散装鲜菜"/>
    <s v="模拟_青禾小学食堂"/>
    <n v="46.8"/>
    <n v="0"/>
    <n v="46.8"/>
    <s v=""/>
    <s v=""/>
    <s v=""/>
    <s v=""/>
    <s v="通过"/>
  </r>
  <r>
    <s v="SIM-20260923-C005"/>
    <n v="6"/>
    <s v="C005"/>
    <d v="2026-09-23T00:00:00"/>
    <s v="P003"/>
    <x v="0"/>
    <n v="8"/>
    <n v="8"/>
    <n v="0"/>
    <n v="2.9"/>
    <s v="正常交付"/>
    <s v="true"/>
    <x v="12"/>
    <s v="散装鲜菜"/>
    <s v="模拟_青禾小学食堂"/>
    <n v="23.2"/>
    <n v="0"/>
    <n v="23.2"/>
    <s v=""/>
    <s v=""/>
    <s v=""/>
    <s v=""/>
    <s v="通过"/>
  </r>
  <r>
    <s v="SIM-20260923-C006"/>
    <n v="1"/>
    <s v="C006"/>
    <d v="2026-09-23T00:00:00"/>
    <s v="P010"/>
    <x v="0"/>
    <n v="6.2"/>
    <n v="6.2"/>
    <n v="0"/>
    <n v="4.9000000000000004"/>
    <s v="正常交付"/>
    <s v="true"/>
    <x v="16"/>
    <s v="散装鲜菜"/>
    <s v="模拟_溪桥医院食堂"/>
    <n v="30.38"/>
    <n v="0"/>
    <n v="30.38"/>
    <s v=""/>
    <s v=""/>
    <s v=""/>
    <s v=""/>
    <s v="通过"/>
  </r>
  <r>
    <s v="SIM-20260923-C006"/>
    <n v="2"/>
    <s v="C006"/>
    <d v="2026-09-23T00:00:00"/>
    <s v="P007"/>
    <x v="0"/>
    <n v="10.4"/>
    <n v="10.4"/>
    <n v="0"/>
    <n v="4.95"/>
    <s v="正常交付"/>
    <s v="true"/>
    <x v="18"/>
    <s v="散装鲜菜"/>
    <s v="模拟_溪桥医院食堂"/>
    <n v="51.48"/>
    <n v="0"/>
    <n v="51.48"/>
    <s v=""/>
    <s v=""/>
    <s v=""/>
    <s v=""/>
    <s v="通过"/>
  </r>
  <r>
    <s v="SIM-20260923-C006"/>
    <n v="3"/>
    <s v="C006"/>
    <d v="2026-09-23T00:00:00"/>
    <s v="P006"/>
    <x v="0"/>
    <n v="8.3000000000000007"/>
    <n v="8.3000000000000007"/>
    <n v="0"/>
    <n v="4.5999999999999996"/>
    <s v="正常交付"/>
    <s v="true"/>
    <x v="10"/>
    <s v="散装鲜菜"/>
    <s v="模拟_溪桥医院食堂"/>
    <n v="38.18"/>
    <n v="0"/>
    <n v="38.18"/>
    <s v=""/>
    <s v=""/>
    <s v=""/>
    <s v=""/>
    <s v="通过"/>
  </r>
  <r>
    <s v="SIM-20260923-C006"/>
    <n v="4"/>
    <s v="C006"/>
    <d v="2026-09-23T00:00:00"/>
    <s v="P013"/>
    <x v="0"/>
    <n v="4.9000000000000004"/>
    <n v="4.9000000000000004"/>
    <n v="0"/>
    <n v="6.1"/>
    <s v="正常交付"/>
    <s v="true"/>
    <x v="11"/>
    <s v="散装鲜菜"/>
    <s v="模拟_溪桥医院食堂"/>
    <n v="29.89"/>
    <n v="0"/>
    <n v="29.89"/>
    <s v=""/>
    <s v=""/>
    <s v=""/>
    <s v=""/>
    <s v="通过"/>
  </r>
  <r>
    <s v="SIM-20260923-C006"/>
    <n v="5"/>
    <s v="C006"/>
    <d v="2026-09-23T00:00:00"/>
    <s v="P005"/>
    <x v="0"/>
    <n v="5.5"/>
    <n v="5.5"/>
    <n v="0"/>
    <n v="2.7"/>
    <s v="正常交付"/>
    <s v="true"/>
    <x v="1"/>
    <s v="散装鲜菜"/>
    <s v="模拟_溪桥医院食堂"/>
    <n v="14.85"/>
    <n v="0"/>
    <n v="14.85"/>
    <s v=""/>
    <s v=""/>
    <s v=""/>
    <s v=""/>
    <s v="通过"/>
  </r>
  <r>
    <s v="SIM-20260923-C006"/>
    <n v="6"/>
    <s v="C006"/>
    <d v="2026-09-23T00:00:00"/>
    <s v="P009"/>
    <x v="0"/>
    <n v="8.3000000000000007"/>
    <n v="8.3000000000000007"/>
    <n v="0"/>
    <n v="4.9000000000000004"/>
    <s v="正常交付"/>
    <s v="true"/>
    <x v="17"/>
    <s v="散装鲜菜"/>
    <s v="模拟_溪桥医院食堂"/>
    <n v="40.67"/>
    <n v="0"/>
    <n v="40.67"/>
    <s v=""/>
    <s v=""/>
    <s v=""/>
    <s v=""/>
    <s v="通过"/>
  </r>
  <r>
    <s v="SIM-20260923-C006"/>
    <n v="7"/>
    <s v="C006"/>
    <d v="2026-09-23T00:00:00"/>
    <s v="P016"/>
    <x v="0"/>
    <n v="9"/>
    <n v="9"/>
    <n v="0"/>
    <n v="10.4"/>
    <s v="正常交付"/>
    <s v="true"/>
    <x v="4"/>
    <s v="普通鲜鸡蛋按净重"/>
    <s v="模拟_溪桥医院食堂"/>
    <n v="93.6"/>
    <n v="0"/>
    <n v="93.6"/>
    <s v=""/>
    <s v=""/>
    <s v=""/>
    <s v=""/>
    <s v="通过"/>
  </r>
  <r>
    <s v="SIM-20260924-C001"/>
    <n v="1"/>
    <s v="C001"/>
    <d v="2026-09-24T00:00:00"/>
    <s v="P010"/>
    <x v="0"/>
    <n v="2.8"/>
    <n v="2.8"/>
    <n v="0"/>
    <n v="4.9000000000000004"/>
    <s v="正常交付"/>
    <s v="true"/>
    <x v="16"/>
    <s v="散装鲜菜"/>
    <s v="模拟_榕树下粉面店"/>
    <n v="13.72"/>
    <n v="0"/>
    <n v="13.72"/>
    <s v=""/>
    <s v=""/>
    <s v=""/>
    <s v=""/>
    <s v="通过"/>
  </r>
  <r>
    <s v="SIM-20260924-C001"/>
    <n v="2"/>
    <s v="C001"/>
    <d v="2026-09-24T00:00:00"/>
    <s v="P001"/>
    <x v="0"/>
    <n v="2.8"/>
    <n v="2.8"/>
    <n v="0"/>
    <n v="3.5"/>
    <s v="正常交付"/>
    <s v="true"/>
    <x v="9"/>
    <s v="散装鲜菜"/>
    <s v="模拟_榕树下粉面店"/>
    <n v="9.8000000000000007"/>
    <n v="0"/>
    <n v="9.8000000000000007"/>
    <s v=""/>
    <s v=""/>
    <s v=""/>
    <s v=""/>
    <s v="通过"/>
  </r>
  <r>
    <s v="SIM-20260924-C001"/>
    <n v="3"/>
    <s v="C001"/>
    <d v="2026-09-24T00:00:00"/>
    <s v="P007"/>
    <x v="0"/>
    <n v="2.6"/>
    <n v="2.6"/>
    <n v="0"/>
    <n v="4.95"/>
    <s v="正常交付"/>
    <s v="true"/>
    <x v="18"/>
    <s v="散装鲜菜"/>
    <s v="模拟_榕树下粉面店"/>
    <n v="12.87"/>
    <n v="0"/>
    <n v="12.87"/>
    <s v=""/>
    <s v=""/>
    <s v=""/>
    <s v=""/>
    <s v="通过"/>
  </r>
  <r>
    <s v="SIM-20260924-C001"/>
    <n v="4"/>
    <s v="C001"/>
    <d v="2026-09-24T00:00:00"/>
    <s v="P009"/>
    <x v="0"/>
    <n v="2.6"/>
    <n v="2.6"/>
    <n v="0"/>
    <n v="4.9000000000000004"/>
    <s v="正常交付"/>
    <s v="true"/>
    <x v="17"/>
    <s v="散装鲜菜"/>
    <s v="模拟_榕树下粉面店"/>
    <n v="12.74"/>
    <n v="0"/>
    <n v="12.74"/>
    <s v=""/>
    <s v=""/>
    <s v=""/>
    <s v=""/>
    <s v="通过"/>
  </r>
  <r>
    <s v="SIM-20260924-C001"/>
    <n v="5"/>
    <s v="C001"/>
    <d v="2026-09-24T00:00:00"/>
    <s v="P016"/>
    <x v="0"/>
    <n v="3"/>
    <n v="3"/>
    <n v="0"/>
    <n v="10.4"/>
    <s v="正常交付"/>
    <s v="true"/>
    <x v="4"/>
    <s v="普通鲜鸡蛋按净重"/>
    <s v="模拟_榕树下粉面店"/>
    <n v="31.2"/>
    <n v="0"/>
    <n v="31.2"/>
    <s v=""/>
    <s v=""/>
    <s v=""/>
    <s v=""/>
    <s v="通过"/>
  </r>
  <r>
    <s v="SIM-20260924-C001"/>
    <n v="6"/>
    <s v="C001"/>
    <d v="2026-09-24T00:00:00"/>
    <s v="P019"/>
    <x v="1"/>
    <n v="1"/>
    <n v="1"/>
    <n v="0"/>
    <n v="67"/>
    <s v="正常交付"/>
    <s v="true"/>
    <x v="6"/>
    <s v="5升/桶普通菜籽油"/>
    <s v="模拟_榕树下粉面店"/>
    <n v="67"/>
    <n v="0"/>
    <n v="67"/>
    <s v=""/>
    <s v=""/>
    <s v=""/>
    <s v=""/>
    <s v="通过"/>
  </r>
  <r>
    <s v="SIM-20260924-C001"/>
    <n v="7"/>
    <s v="C001"/>
    <d v="2026-09-24T00:00:00"/>
    <s v="P018"/>
    <x v="2"/>
    <n v="1"/>
    <n v="1"/>
    <n v="0"/>
    <n v="112"/>
    <s v="正常交付"/>
    <s v="true"/>
    <x v="7"/>
    <s v="25公斤/袋普通小麦粉"/>
    <s v="模拟_榕树下粉面店"/>
    <n v="112"/>
    <n v="0"/>
    <n v="112"/>
    <s v=""/>
    <s v=""/>
    <s v=""/>
    <s v=""/>
    <s v="通过"/>
  </r>
  <r>
    <s v="SIM-20260924-C002"/>
    <n v="1"/>
    <s v="C002"/>
    <d v="2026-09-24T00:00:00"/>
    <s v="P011"/>
    <x v="0"/>
    <n v="4.5"/>
    <n v="4.5"/>
    <n v="0"/>
    <n v="4.8"/>
    <s v="正常交付"/>
    <s v="true"/>
    <x v="8"/>
    <s v="散装鲜菜"/>
    <s v="模拟_桥头家常菜馆"/>
    <n v="21.6"/>
    <n v="0"/>
    <n v="21.6"/>
    <s v=""/>
    <s v=""/>
    <s v=""/>
    <s v=""/>
    <s v="通过"/>
  </r>
  <r>
    <s v="SIM-20260924-C002"/>
    <n v="2"/>
    <s v="C002"/>
    <d v="2026-09-24T00:00:00"/>
    <s v="P007"/>
    <x v="0"/>
    <n v="7.9"/>
    <n v="7.7"/>
    <n v="0"/>
    <n v="4.95"/>
    <s v="到货不足；按实际交付计费"/>
    <s v="true"/>
    <x v="18"/>
    <s v="散装鲜菜"/>
    <s v="模拟_桥头家常菜馆"/>
    <n v="38.119999999999997"/>
    <n v="0"/>
    <n v="38.119999999999997"/>
    <s v=""/>
    <s v=""/>
    <s v=""/>
    <s v=""/>
    <s v="通过"/>
  </r>
  <r>
    <s v="SIM-20260924-C002"/>
    <n v="3"/>
    <s v="C002"/>
    <d v="2026-09-24T00:00:00"/>
    <s v="P008"/>
    <x v="0"/>
    <n v="6.4"/>
    <n v="6.4"/>
    <n v="0"/>
    <n v="3.9"/>
    <s v="正常交付"/>
    <s v="true"/>
    <x v="14"/>
    <s v="散装鲜菜"/>
    <s v="模拟_桥头家常菜馆"/>
    <n v="24.96"/>
    <n v="0"/>
    <n v="24.96"/>
    <s v=""/>
    <s v=""/>
    <s v=""/>
    <s v=""/>
    <s v="通过"/>
  </r>
  <r>
    <s v="SIM-20260924-C002"/>
    <n v="4"/>
    <s v="C002"/>
    <d v="2026-09-24T00:00:00"/>
    <s v="P001"/>
    <x v="0"/>
    <n v="5.5"/>
    <n v="5.5"/>
    <n v="0"/>
    <n v="3.5"/>
    <s v="正常交付"/>
    <s v="true"/>
    <x v="9"/>
    <s v="散装鲜菜"/>
    <s v="模拟_桥头家常菜馆"/>
    <n v="19.25"/>
    <n v="0"/>
    <n v="19.25"/>
    <s v=""/>
    <s v=""/>
    <s v=""/>
    <s v=""/>
    <s v="通过"/>
  </r>
  <r>
    <s v="SIM-20260924-C002"/>
    <n v="5"/>
    <s v="C002"/>
    <d v="2026-09-24T00:00:00"/>
    <s v="P003"/>
    <x v="0"/>
    <n v="4"/>
    <n v="4"/>
    <n v="0"/>
    <n v="2.9"/>
    <s v="正常交付"/>
    <s v="true"/>
    <x v="12"/>
    <s v="散装鲜菜"/>
    <s v="模拟_桥头家常菜馆"/>
    <n v="11.6"/>
    <n v="0"/>
    <n v="11.6"/>
    <s v=""/>
    <s v=""/>
    <s v=""/>
    <s v=""/>
    <s v="通过"/>
  </r>
  <r>
    <s v="SIM-20260924-C002"/>
    <n v="6"/>
    <s v="C002"/>
    <d v="2026-09-24T00:00:00"/>
    <s v="P016"/>
    <x v="0"/>
    <n v="4"/>
    <n v="4"/>
    <n v="0"/>
    <n v="10.4"/>
    <s v="正常交付"/>
    <s v="true"/>
    <x v="4"/>
    <s v="普通鲜鸡蛋按净重"/>
    <s v="模拟_桥头家常菜馆"/>
    <n v="41.6"/>
    <n v="0"/>
    <n v="41.6"/>
    <s v=""/>
    <s v=""/>
    <s v=""/>
    <s v=""/>
    <s v="通过"/>
  </r>
  <r>
    <s v="SIM-20260924-C002"/>
    <n v="7"/>
    <s v="C002"/>
    <d v="2026-09-24T00:00:00"/>
    <s v="P017"/>
    <x v="2"/>
    <n v="3"/>
    <n v="3"/>
    <n v="0"/>
    <n v="117"/>
    <s v="正常交付"/>
    <s v="true"/>
    <x v="13"/>
    <s v="25公斤/袋普通籼米"/>
    <s v="模拟_桥头家常菜馆"/>
    <n v="351"/>
    <n v="0"/>
    <n v="351"/>
    <s v=""/>
    <s v=""/>
    <s v=""/>
    <s v=""/>
    <s v="通过"/>
  </r>
  <r>
    <s v="SIM-20260924-C002"/>
    <n v="8"/>
    <s v="C002"/>
    <d v="2026-09-24T00:00:00"/>
    <s v="P019"/>
    <x v="1"/>
    <n v="1"/>
    <n v="1"/>
    <n v="0"/>
    <n v="67"/>
    <s v="正常交付"/>
    <s v="true"/>
    <x v="6"/>
    <s v="5升/桶普通菜籽油"/>
    <s v="模拟_桥头家常菜馆"/>
    <n v="67"/>
    <n v="0"/>
    <n v="67"/>
    <s v=""/>
    <s v=""/>
    <s v=""/>
    <s v=""/>
    <s v="通过"/>
  </r>
  <r>
    <s v="SIM-20260924-C003"/>
    <n v="1"/>
    <s v="C003"/>
    <d v="2026-09-24T00:00:00"/>
    <s v="P010"/>
    <x v="0"/>
    <n v="8.4"/>
    <n v="8.4"/>
    <n v="0"/>
    <n v="4.9000000000000004"/>
    <s v="正常交付"/>
    <s v="true"/>
    <x v="16"/>
    <s v="散装鲜菜"/>
    <s v="模拟_兴街快餐店"/>
    <n v="41.16"/>
    <n v="0"/>
    <n v="41.16"/>
    <s v=""/>
    <s v=""/>
    <s v=""/>
    <s v=""/>
    <s v="通过"/>
  </r>
  <r>
    <s v="SIM-20260924-C003"/>
    <n v="2"/>
    <s v="C003"/>
    <d v="2026-09-24T00:00:00"/>
    <s v="P013"/>
    <x v="0"/>
    <n v="7.1"/>
    <n v="7.1"/>
    <n v="0"/>
    <n v="6.1"/>
    <s v="正常交付"/>
    <s v="true"/>
    <x v="11"/>
    <s v="散装鲜菜"/>
    <s v="模拟_兴街快餐店"/>
    <n v="43.31"/>
    <n v="0"/>
    <n v="43.31"/>
    <s v=""/>
    <s v=""/>
    <s v=""/>
    <s v=""/>
    <s v="通过"/>
  </r>
  <r>
    <s v="SIM-20260924-C003"/>
    <n v="3"/>
    <s v="C003"/>
    <d v="2026-09-24T00:00:00"/>
    <s v="P004"/>
    <x v="0"/>
    <n v="5.0999999999999996"/>
    <n v="5.0999999999999996"/>
    <n v="0"/>
    <n v="2.2999999999999998"/>
    <s v="正常交付"/>
    <s v="true"/>
    <x v="3"/>
    <s v="散装鲜菜"/>
    <s v="模拟_兴街快餐店"/>
    <n v="11.73"/>
    <n v="0"/>
    <n v="11.73"/>
    <s v=""/>
    <s v=""/>
    <s v=""/>
    <s v=""/>
    <s v="通过"/>
  </r>
  <r>
    <s v="SIM-20260924-C003"/>
    <n v="4"/>
    <s v="C003"/>
    <d v="2026-09-24T00:00:00"/>
    <s v="P002"/>
    <x v="0"/>
    <n v="5.8"/>
    <n v="5.8"/>
    <n v="0"/>
    <n v="2.5"/>
    <s v="正常交付"/>
    <s v="true"/>
    <x v="2"/>
    <s v="散装鲜菜"/>
    <s v="模拟_兴街快餐店"/>
    <n v="14.5"/>
    <n v="0"/>
    <n v="14.5"/>
    <s v=""/>
    <s v=""/>
    <s v=""/>
    <s v=""/>
    <s v="通过"/>
  </r>
  <r>
    <s v="SIM-20260924-C003"/>
    <n v="5"/>
    <s v="C003"/>
    <d v="2026-09-24T00:00:00"/>
    <s v="P014"/>
    <x v="0"/>
    <n v="9"/>
    <n v="9"/>
    <n v="0"/>
    <n v="4.9000000000000004"/>
    <s v="正常交付"/>
    <s v="true"/>
    <x v="19"/>
    <s v="散装鲜菜"/>
    <s v="模拟_兴街快餐店"/>
    <n v="44.1"/>
    <n v="0"/>
    <n v="44.1"/>
    <s v=""/>
    <s v=""/>
    <s v=""/>
    <s v=""/>
    <s v="通过"/>
  </r>
  <r>
    <s v="SIM-20260924-C003"/>
    <n v="6"/>
    <s v="C003"/>
    <d v="2026-09-24T00:00:00"/>
    <s v="P006"/>
    <x v="0"/>
    <n v="5.8"/>
    <n v="5.8"/>
    <n v="0"/>
    <n v="4.5999999999999996"/>
    <s v="正常交付"/>
    <s v="true"/>
    <x v="10"/>
    <s v="散装鲜菜"/>
    <s v="模拟_兴街快餐店"/>
    <n v="26.68"/>
    <n v="0"/>
    <n v="26.68"/>
    <s v=""/>
    <s v=""/>
    <s v=""/>
    <s v=""/>
    <s v="通过"/>
  </r>
  <r>
    <s v="SIM-20260924-C003"/>
    <n v="7"/>
    <s v="C003"/>
    <d v="2026-09-24T00:00:00"/>
    <s v="P016"/>
    <x v="0"/>
    <n v="6"/>
    <n v="6"/>
    <n v="0"/>
    <n v="10.4"/>
    <s v="正常交付"/>
    <s v="true"/>
    <x v="4"/>
    <s v="普通鲜鸡蛋按净重"/>
    <s v="模拟_兴街快餐店"/>
    <n v="62.4"/>
    <n v="0"/>
    <n v="62.4"/>
    <s v=""/>
    <s v=""/>
    <s v=""/>
    <s v=""/>
    <s v="通过"/>
  </r>
  <r>
    <s v="SIM-20260924-C003"/>
    <n v="8"/>
    <s v="C003"/>
    <d v="2026-09-24T00:00:00"/>
    <s v="P017"/>
    <x v="2"/>
    <n v="5"/>
    <n v="5"/>
    <n v="0"/>
    <n v="117"/>
    <s v="正常交付"/>
    <s v="true"/>
    <x v="13"/>
    <s v="25公斤/袋普通籼米"/>
    <s v="模拟_兴街快餐店"/>
    <n v="585"/>
    <n v="0"/>
    <n v="585"/>
    <s v=""/>
    <s v=""/>
    <s v=""/>
    <s v=""/>
    <s v="通过"/>
  </r>
  <r>
    <s v="SIM-20260924-C003"/>
    <n v="9"/>
    <s v="C003"/>
    <d v="2026-09-24T00:00:00"/>
    <s v="P020"/>
    <x v="1"/>
    <n v="2"/>
    <n v="2"/>
    <n v="0"/>
    <n v="60"/>
    <s v="正常交付"/>
    <s v="true"/>
    <x v="15"/>
    <s v="5升/桶普通大豆油"/>
    <s v="模拟_兴街快餐店"/>
    <n v="120"/>
    <n v="0"/>
    <n v="120"/>
    <s v=""/>
    <s v=""/>
    <s v=""/>
    <s v=""/>
    <s v="通过"/>
  </r>
  <r>
    <s v="SIM-20260924-C004"/>
    <n v="1"/>
    <s v="C004"/>
    <d v="2026-09-24T00:00:00"/>
    <s v="P011"/>
    <x v="0"/>
    <n v="6.2"/>
    <n v="6.2"/>
    <n v="0"/>
    <n v="4.8"/>
    <s v="正常交付"/>
    <s v="true"/>
    <x v="8"/>
    <s v="散装鲜菜"/>
    <s v="模拟_田畔饭店"/>
    <n v="29.76"/>
    <n v="0"/>
    <n v="29.76"/>
    <s v=""/>
    <s v=""/>
    <s v=""/>
    <s v=""/>
    <s v="通过"/>
  </r>
  <r>
    <s v="SIM-20260924-C004"/>
    <n v="2"/>
    <s v="C004"/>
    <d v="2026-09-24T00:00:00"/>
    <s v="P004"/>
    <x v="0"/>
    <n v="6.8"/>
    <n v="6.8"/>
    <n v="0"/>
    <n v="2.2999999999999998"/>
    <s v="正常交付"/>
    <s v="true"/>
    <x v="3"/>
    <s v="散装鲜菜"/>
    <s v="模拟_田畔饭店"/>
    <n v="15.64"/>
    <n v="0"/>
    <n v="15.64"/>
    <s v=""/>
    <s v=""/>
    <s v=""/>
    <s v=""/>
    <s v="通过"/>
  </r>
  <r>
    <s v="SIM-20260924-C004"/>
    <n v="3"/>
    <s v="C004"/>
    <d v="2026-09-24T00:00:00"/>
    <s v="P009"/>
    <x v="0"/>
    <n v="10.9"/>
    <n v="10.9"/>
    <n v="0"/>
    <n v="4.9000000000000004"/>
    <s v="正常交付"/>
    <s v="true"/>
    <x v="17"/>
    <s v="散装鲜菜"/>
    <s v="模拟_田畔饭店"/>
    <n v="53.41"/>
    <n v="0"/>
    <n v="53.41"/>
    <s v=""/>
    <s v=""/>
    <s v=""/>
    <s v=""/>
    <s v="通过"/>
  </r>
  <r>
    <s v="SIM-20260924-C004"/>
    <n v="4"/>
    <s v="C004"/>
    <d v="2026-09-24T00:00:00"/>
    <s v="P001"/>
    <x v="0"/>
    <n v="5.5"/>
    <n v="5.5"/>
    <n v="0"/>
    <n v="3.5"/>
    <s v="正常交付"/>
    <s v="true"/>
    <x v="9"/>
    <s v="散装鲜菜"/>
    <s v="模拟_田畔饭店"/>
    <n v="19.25"/>
    <n v="0"/>
    <n v="19.25"/>
    <s v=""/>
    <s v=""/>
    <s v=""/>
    <s v=""/>
    <s v="通过"/>
  </r>
  <r>
    <s v="SIM-20260924-C004"/>
    <n v="5"/>
    <s v="C004"/>
    <d v="2026-09-24T00:00:00"/>
    <s v="P008"/>
    <x v="0"/>
    <n v="6.8"/>
    <n v="6.8"/>
    <n v="0"/>
    <n v="3.9"/>
    <s v="正常交付"/>
    <s v="true"/>
    <x v="14"/>
    <s v="散装鲜菜"/>
    <s v="模拟_田畔饭店"/>
    <n v="26.52"/>
    <n v="0"/>
    <n v="26.52"/>
    <s v=""/>
    <s v=""/>
    <s v=""/>
    <s v=""/>
    <s v="通过"/>
  </r>
  <r>
    <s v="SIM-20260924-C004"/>
    <n v="6"/>
    <s v="C004"/>
    <d v="2026-09-24T00:00:00"/>
    <s v="P014"/>
    <x v="0"/>
    <n v="4.8"/>
    <n v="4.8"/>
    <n v="0"/>
    <n v="4.9000000000000004"/>
    <s v="正常交付"/>
    <s v="true"/>
    <x v="19"/>
    <s v="散装鲜菜"/>
    <s v="模拟_田畔饭店"/>
    <n v="23.52"/>
    <n v="0"/>
    <n v="23.52"/>
    <s v=""/>
    <s v=""/>
    <s v=""/>
    <s v=""/>
    <s v="通过"/>
  </r>
  <r>
    <s v="SIM-20260924-C004"/>
    <n v="7"/>
    <s v="C004"/>
    <d v="2026-09-24T00:00:00"/>
    <s v="P016"/>
    <x v="0"/>
    <n v="5"/>
    <n v="5"/>
    <n v="0"/>
    <n v="10.4"/>
    <s v="正常交付"/>
    <s v="true"/>
    <x v="4"/>
    <s v="普通鲜鸡蛋按净重"/>
    <s v="模拟_田畔饭店"/>
    <n v="52"/>
    <n v="0"/>
    <n v="52"/>
    <s v=""/>
    <s v=""/>
    <s v=""/>
    <s v=""/>
    <s v="通过"/>
  </r>
  <r>
    <s v="SIM-20260924-C004"/>
    <n v="8"/>
    <s v="C004"/>
    <d v="2026-09-24T00:00:00"/>
    <s v="P017"/>
    <x v="2"/>
    <n v="3"/>
    <n v="3"/>
    <n v="0"/>
    <n v="117"/>
    <s v="正常交付"/>
    <s v="true"/>
    <x v="13"/>
    <s v="25公斤/袋普通籼米"/>
    <s v="模拟_田畔饭店"/>
    <n v="351"/>
    <n v="0"/>
    <n v="351"/>
    <s v=""/>
    <s v=""/>
    <s v=""/>
    <s v=""/>
    <s v="通过"/>
  </r>
  <r>
    <s v="SIM-20260924-C004"/>
    <n v="9"/>
    <s v="C004"/>
    <d v="2026-09-24T00:00:00"/>
    <s v="P019"/>
    <x v="1"/>
    <n v="1"/>
    <n v="1"/>
    <n v="0"/>
    <n v="67"/>
    <s v="正常交付"/>
    <s v="true"/>
    <x v="6"/>
    <s v="5升/桶普通菜籽油"/>
    <s v="模拟_田畔饭店"/>
    <n v="67"/>
    <n v="0"/>
    <n v="67"/>
    <s v=""/>
    <s v=""/>
    <s v=""/>
    <s v=""/>
    <s v="通过"/>
  </r>
  <r>
    <s v="SIM-20260924-C005"/>
    <n v="1"/>
    <s v="C005"/>
    <d v="2026-09-24T00:00:00"/>
    <s v="P012"/>
    <x v="0"/>
    <n v="11.7"/>
    <n v="11.7"/>
    <n v="0"/>
    <n v="5"/>
    <s v="正常交付"/>
    <s v="true"/>
    <x v="0"/>
    <s v="散装鲜菜"/>
    <s v="模拟_青禾小学食堂"/>
    <n v="58.5"/>
    <n v="0"/>
    <n v="58.5"/>
    <s v=""/>
    <s v=""/>
    <s v=""/>
    <s v=""/>
    <s v="通过"/>
  </r>
  <r>
    <s v="SIM-20260924-C005"/>
    <n v="2"/>
    <s v="C005"/>
    <d v="2026-09-24T00:00:00"/>
    <s v="P013"/>
    <x v="0"/>
    <n v="10"/>
    <n v="10"/>
    <n v="0"/>
    <n v="6.1"/>
    <s v="正常交付"/>
    <s v="true"/>
    <x v="11"/>
    <s v="散装鲜菜"/>
    <s v="模拟_青禾小学食堂"/>
    <n v="61"/>
    <n v="0"/>
    <n v="61"/>
    <s v=""/>
    <s v=""/>
    <s v=""/>
    <s v=""/>
    <s v="通过"/>
  </r>
  <r>
    <s v="SIM-20260924-C005"/>
    <n v="3"/>
    <s v="C005"/>
    <d v="2026-09-24T00:00:00"/>
    <s v="P014"/>
    <x v="0"/>
    <n v="13.4"/>
    <n v="13.4"/>
    <n v="0"/>
    <n v="4.9000000000000004"/>
    <s v="正常交付"/>
    <s v="true"/>
    <x v="19"/>
    <s v="散装鲜菜"/>
    <s v="模拟_青禾小学食堂"/>
    <n v="65.66"/>
    <n v="0"/>
    <n v="65.66"/>
    <s v=""/>
    <s v=""/>
    <s v=""/>
    <s v=""/>
    <s v="通过"/>
  </r>
  <r>
    <s v="SIM-20260924-C005"/>
    <n v="4"/>
    <s v="C005"/>
    <d v="2026-09-24T00:00:00"/>
    <s v="P003"/>
    <x v="0"/>
    <n v="10.9"/>
    <n v="10.9"/>
    <n v="0"/>
    <n v="2.9"/>
    <s v="正常交付"/>
    <s v="true"/>
    <x v="12"/>
    <s v="散装鲜菜"/>
    <s v="模拟_青禾小学食堂"/>
    <n v="31.61"/>
    <n v="0"/>
    <n v="31.61"/>
    <s v=""/>
    <s v=""/>
    <s v=""/>
    <s v=""/>
    <s v="通过"/>
  </r>
  <r>
    <s v="SIM-20260924-C005"/>
    <n v="5"/>
    <s v="C005"/>
    <d v="2026-09-24T00:00:00"/>
    <s v="P004"/>
    <x v="0"/>
    <n v="10"/>
    <n v="10"/>
    <n v="0"/>
    <n v="2.2999999999999998"/>
    <s v="正常交付"/>
    <s v="true"/>
    <x v="3"/>
    <s v="散装鲜菜"/>
    <s v="模拟_青禾小学食堂"/>
    <n v="23"/>
    <n v="0"/>
    <n v="23"/>
    <s v=""/>
    <s v=""/>
    <s v=""/>
    <s v=""/>
    <s v="通过"/>
  </r>
  <r>
    <s v="SIM-20260924-C005"/>
    <n v="6"/>
    <s v="C005"/>
    <d v="2026-09-24T00:00:00"/>
    <s v="P008"/>
    <x v="0"/>
    <n v="13.4"/>
    <n v="13.4"/>
    <n v="0"/>
    <n v="3.9"/>
    <s v="正常交付"/>
    <s v="true"/>
    <x v="14"/>
    <s v="散装鲜菜"/>
    <s v="模拟_青禾小学食堂"/>
    <n v="52.26"/>
    <n v="0"/>
    <n v="52.26"/>
    <s v=""/>
    <s v=""/>
    <s v=""/>
    <s v=""/>
    <s v="通过"/>
  </r>
  <r>
    <s v="SIM-20260924-C005"/>
    <n v="7"/>
    <s v="C005"/>
    <d v="2026-09-24T00:00:00"/>
    <s v="P016"/>
    <x v="0"/>
    <n v="12"/>
    <n v="12"/>
    <n v="0"/>
    <n v="10.4"/>
    <s v="正常交付"/>
    <s v="true"/>
    <x v="4"/>
    <s v="普通鲜鸡蛋按净重"/>
    <s v="模拟_青禾小学食堂"/>
    <n v="124.8"/>
    <n v="0"/>
    <n v="124.8"/>
    <s v=""/>
    <s v=""/>
    <s v=""/>
    <s v=""/>
    <s v="通过"/>
  </r>
  <r>
    <s v="SIM-20260924-C005"/>
    <n v="8"/>
    <s v="C005"/>
    <d v="2026-09-24T00:00:00"/>
    <s v="P015"/>
    <x v="0"/>
    <n v="1"/>
    <n v="1"/>
    <n v="0"/>
    <n v="7.8"/>
    <s v="正常交付"/>
    <s v="true"/>
    <x v="5"/>
    <s v="散装鲜菜"/>
    <s v="模拟_青禾小学食堂"/>
    <n v="7.8"/>
    <n v="0"/>
    <n v="7.8"/>
    <s v=""/>
    <s v=""/>
    <s v=""/>
    <s v=""/>
    <s v="通过"/>
  </r>
  <r>
    <s v="SIM-20260924-C006"/>
    <n v="1"/>
    <s v="C006"/>
    <d v="2026-09-24T00:00:00"/>
    <s v="P010"/>
    <x v="0"/>
    <n v="10.9"/>
    <n v="10.9"/>
    <n v="0"/>
    <n v="4.9000000000000004"/>
    <s v="正常交付"/>
    <s v="true"/>
    <x v="16"/>
    <s v="散装鲜菜"/>
    <s v="模拟_溪桥医院食堂"/>
    <n v="53.41"/>
    <n v="0"/>
    <n v="53.41"/>
    <s v=""/>
    <s v=""/>
    <s v=""/>
    <s v=""/>
    <s v="通过"/>
  </r>
  <r>
    <s v="SIM-20260924-C006"/>
    <n v="2"/>
    <s v="C006"/>
    <d v="2026-09-24T00:00:00"/>
    <s v="P008"/>
    <x v="0"/>
    <n v="6.2"/>
    <n v="6.2"/>
    <n v="0"/>
    <n v="3.9"/>
    <s v="正常交付"/>
    <s v="true"/>
    <x v="14"/>
    <s v="散装鲜菜"/>
    <s v="模拟_溪桥医院食堂"/>
    <n v="24.18"/>
    <n v="0"/>
    <n v="24.18"/>
    <s v=""/>
    <s v=""/>
    <s v=""/>
    <s v=""/>
    <s v="通过"/>
  </r>
  <r>
    <s v="SIM-20260924-C006"/>
    <n v="3"/>
    <s v="C006"/>
    <d v="2026-09-24T00:00:00"/>
    <s v="P001"/>
    <x v="0"/>
    <n v="10.199999999999999"/>
    <n v="10.199999999999999"/>
    <n v="0"/>
    <n v="3.5"/>
    <s v="正常交付"/>
    <s v="true"/>
    <x v="9"/>
    <s v="散装鲜菜"/>
    <s v="模拟_溪桥医院食堂"/>
    <n v="35.700000000000003"/>
    <n v="0"/>
    <n v="35.700000000000003"/>
    <s v=""/>
    <s v=""/>
    <s v=""/>
    <s v=""/>
    <s v="通过"/>
  </r>
  <r>
    <s v="SIM-20260924-C006"/>
    <n v="4"/>
    <s v="C006"/>
    <d v="2026-09-24T00:00:00"/>
    <s v="P006"/>
    <x v="0"/>
    <n v="7.8"/>
    <n v="7.8"/>
    <n v="0"/>
    <n v="4.5999999999999996"/>
    <s v="正常交付"/>
    <s v="true"/>
    <x v="10"/>
    <s v="散装鲜菜"/>
    <s v="模拟_溪桥医院食堂"/>
    <n v="35.880000000000003"/>
    <n v="0"/>
    <n v="35.880000000000003"/>
    <s v=""/>
    <s v=""/>
    <s v=""/>
    <s v=""/>
    <s v="通过"/>
  </r>
  <r>
    <s v="SIM-20260924-C006"/>
    <n v="5"/>
    <s v="C006"/>
    <d v="2026-09-24T00:00:00"/>
    <s v="P007"/>
    <x v="0"/>
    <n v="5.5"/>
    <n v="5.5"/>
    <n v="0"/>
    <n v="4.95"/>
    <s v="正常交付"/>
    <s v="true"/>
    <x v="18"/>
    <s v="散装鲜菜"/>
    <s v="模拟_溪桥医院食堂"/>
    <n v="27.23"/>
    <n v="0"/>
    <n v="27.23"/>
    <s v=""/>
    <s v=""/>
    <s v=""/>
    <s v=""/>
    <s v="通过"/>
  </r>
  <r>
    <s v="SIM-20260924-C006"/>
    <n v="6"/>
    <s v="C006"/>
    <d v="2026-09-24T00:00:00"/>
    <s v="P009"/>
    <x v="0"/>
    <n v="5.5"/>
    <n v="5.5"/>
    <n v="0"/>
    <n v="4.9000000000000004"/>
    <s v="正常交付"/>
    <s v="true"/>
    <x v="17"/>
    <s v="散装鲜菜"/>
    <s v="模拟_溪桥医院食堂"/>
    <n v="26.95"/>
    <n v="0"/>
    <n v="26.95"/>
    <s v=""/>
    <s v=""/>
    <s v=""/>
    <s v=""/>
    <s v="通过"/>
  </r>
  <r>
    <s v="SIM-20260925-C001"/>
    <n v="1"/>
    <s v="C001"/>
    <d v="2026-09-25T00:00:00"/>
    <s v="P011"/>
    <x v="0"/>
    <n v="3.1"/>
    <n v="3.1"/>
    <n v="0"/>
    <n v="4.8"/>
    <s v="正常交付"/>
    <s v="true"/>
    <x v="8"/>
    <s v="散装鲜菜"/>
    <s v="模拟_榕树下粉面店"/>
    <n v="14.88"/>
    <n v="0"/>
    <n v="14.88"/>
    <s v=""/>
    <s v=""/>
    <s v=""/>
    <s v=""/>
    <s v="通过"/>
  </r>
  <r>
    <s v="SIM-20260925-C001"/>
    <n v="2"/>
    <s v="C001"/>
    <d v="2026-09-25T00:00:00"/>
    <s v="P002"/>
    <x v="0"/>
    <n v="2"/>
    <n v="2"/>
    <n v="0"/>
    <n v="2.5"/>
    <s v="正常交付"/>
    <s v="true"/>
    <x v="2"/>
    <s v="散装鲜菜"/>
    <s v="模拟_榕树下粉面店"/>
    <n v="5"/>
    <n v="0"/>
    <n v="5"/>
    <s v=""/>
    <s v=""/>
    <s v=""/>
    <s v=""/>
    <s v="通过"/>
  </r>
  <r>
    <s v="SIM-20260925-C001"/>
    <n v="3"/>
    <s v="C001"/>
    <d v="2026-09-25T00:00:00"/>
    <s v="P004"/>
    <x v="0"/>
    <n v="3.1"/>
    <n v="3.1"/>
    <n v="0"/>
    <n v="2.2999999999999998"/>
    <s v="正常交付"/>
    <s v="true"/>
    <x v="3"/>
    <s v="散装鲜菜"/>
    <s v="模拟_榕树下粉面店"/>
    <n v="7.13"/>
    <n v="0"/>
    <n v="7.13"/>
    <s v=""/>
    <s v=""/>
    <s v=""/>
    <s v=""/>
    <s v="通过"/>
  </r>
  <r>
    <s v="SIM-20260925-C001"/>
    <n v="4"/>
    <s v="C001"/>
    <d v="2026-09-25T00:00:00"/>
    <s v="P005"/>
    <x v="0"/>
    <n v="3.6"/>
    <n v="3.6"/>
    <n v="0"/>
    <n v="2.7"/>
    <s v="正常交付"/>
    <s v="true"/>
    <x v="1"/>
    <s v="散装鲜菜"/>
    <s v="模拟_榕树下粉面店"/>
    <n v="9.7200000000000006"/>
    <n v="0"/>
    <n v="9.7200000000000006"/>
    <s v=""/>
    <s v=""/>
    <s v=""/>
    <s v=""/>
    <s v="通过"/>
  </r>
  <r>
    <s v="SIM-20260925-C001"/>
    <n v="5"/>
    <s v="C001"/>
    <d v="2026-09-25T00:00:00"/>
    <s v="P015"/>
    <x v="0"/>
    <n v="0.5"/>
    <n v="0.3"/>
    <n v="0"/>
    <n v="7.8"/>
    <s v="到货不足；按实际交付计费"/>
    <s v="true"/>
    <x v="5"/>
    <s v="散装鲜菜"/>
    <s v="模拟_榕树下粉面店"/>
    <n v="2.34"/>
    <n v="0"/>
    <n v="2.34"/>
    <s v=""/>
    <s v=""/>
    <s v=""/>
    <s v=""/>
    <s v="通过"/>
  </r>
  <r>
    <s v="SIM-20260925-C002"/>
    <n v="1"/>
    <s v="C002"/>
    <d v="2026-09-25T00:00:00"/>
    <s v="P012"/>
    <x v="0"/>
    <n v="4.2"/>
    <n v="4.2"/>
    <n v="0"/>
    <n v="5"/>
    <s v="正常交付"/>
    <s v="true"/>
    <x v="0"/>
    <s v="散装鲜菜"/>
    <s v="模拟_桥头家常菜馆"/>
    <n v="21"/>
    <n v="0"/>
    <n v="21"/>
    <s v=""/>
    <s v=""/>
    <s v=""/>
    <s v=""/>
    <s v="通过"/>
  </r>
  <r>
    <s v="SIM-20260925-C002"/>
    <n v="2"/>
    <s v="C002"/>
    <d v="2026-09-25T00:00:00"/>
    <s v="P002"/>
    <x v="0"/>
    <n v="6.1"/>
    <n v="6.1"/>
    <n v="0"/>
    <n v="2.5"/>
    <s v="正常交付"/>
    <s v="true"/>
    <x v="2"/>
    <s v="散装鲜菜"/>
    <s v="模拟_桥头家常菜馆"/>
    <n v="15.25"/>
    <n v="0"/>
    <n v="15.25"/>
    <s v=""/>
    <s v=""/>
    <s v=""/>
    <s v=""/>
    <s v="通过"/>
  </r>
  <r>
    <s v="SIM-20260925-C002"/>
    <n v="3"/>
    <s v="C002"/>
    <d v="2026-09-25T00:00:00"/>
    <s v="P009"/>
    <x v="0"/>
    <n v="6.1"/>
    <n v="6.1"/>
    <n v="0"/>
    <n v="4.9000000000000004"/>
    <s v="正常交付"/>
    <s v="true"/>
    <x v="17"/>
    <s v="散装鲜菜"/>
    <s v="模拟_桥头家常菜馆"/>
    <n v="29.89"/>
    <n v="0"/>
    <n v="29.89"/>
    <s v=""/>
    <s v=""/>
    <s v=""/>
    <s v=""/>
    <s v="通过"/>
  </r>
  <r>
    <s v="SIM-20260925-C002"/>
    <n v="4"/>
    <s v="C002"/>
    <d v="2026-09-25T00:00:00"/>
    <s v="P013"/>
    <x v="0"/>
    <n v="9.6999999999999993"/>
    <n v="9.6999999999999993"/>
    <n v="0"/>
    <n v="6.1"/>
    <s v="正常交付"/>
    <s v="true"/>
    <x v="11"/>
    <s v="散装鲜菜"/>
    <s v="模拟_桥头家常菜馆"/>
    <n v="59.17"/>
    <n v="0"/>
    <n v="59.17"/>
    <s v=""/>
    <s v=""/>
    <s v=""/>
    <s v=""/>
    <s v="通过"/>
  </r>
  <r>
    <s v="SIM-20260925-C002"/>
    <n v="5"/>
    <s v="C002"/>
    <d v="2026-09-25T00:00:00"/>
    <s v="P001"/>
    <x v="0"/>
    <n v="5.5"/>
    <n v="5.5"/>
    <n v="0"/>
    <n v="3.5"/>
    <s v="正常交付"/>
    <s v="true"/>
    <x v="9"/>
    <s v="散装鲜菜"/>
    <s v="模拟_桥头家常菜馆"/>
    <n v="19.25"/>
    <n v="0"/>
    <n v="19.25"/>
    <s v=""/>
    <s v=""/>
    <s v=""/>
    <s v=""/>
    <s v="通过"/>
  </r>
  <r>
    <s v="SIM-20260925-C002"/>
    <n v="6"/>
    <s v="C002"/>
    <d v="2026-09-25T00:00:00"/>
    <s v="P015"/>
    <x v="0"/>
    <n v="1"/>
    <n v="1"/>
    <n v="0"/>
    <n v="7.8"/>
    <s v="正常交付"/>
    <s v="true"/>
    <x v="5"/>
    <s v="散装鲜菜"/>
    <s v="模拟_桥头家常菜馆"/>
    <n v="7.8"/>
    <n v="0"/>
    <n v="7.8"/>
    <s v=""/>
    <s v=""/>
    <s v=""/>
    <s v=""/>
    <s v="通过"/>
  </r>
  <r>
    <s v="SIM-20260925-C003"/>
    <n v="1"/>
    <s v="C003"/>
    <d v="2026-09-25T00:00:00"/>
    <s v="P010"/>
    <x v="0"/>
    <n v="4.5999999999999996"/>
    <n v="4.5999999999999996"/>
    <n v="0"/>
    <n v="4.9000000000000004"/>
    <s v="正常交付"/>
    <s v="true"/>
    <x v="16"/>
    <s v="散装鲜菜"/>
    <s v="模拟_兴街快餐店"/>
    <n v="22.54"/>
    <n v="0"/>
    <n v="22.54"/>
    <s v=""/>
    <s v=""/>
    <s v=""/>
    <s v=""/>
    <s v="通过"/>
  </r>
  <r>
    <s v="SIM-20260925-C003"/>
    <n v="2"/>
    <s v="C003"/>
    <d v="2026-09-25T00:00:00"/>
    <s v="P005"/>
    <x v="0"/>
    <n v="8.6"/>
    <n v="8.6"/>
    <n v="0"/>
    <n v="2.7"/>
    <s v="正常交付"/>
    <s v="true"/>
    <x v="1"/>
    <s v="散装鲜菜"/>
    <s v="模拟_兴街快餐店"/>
    <n v="23.22"/>
    <n v="0"/>
    <n v="23.22"/>
    <s v=""/>
    <s v=""/>
    <s v=""/>
    <s v=""/>
    <s v="通过"/>
  </r>
  <r>
    <s v="SIM-20260925-C003"/>
    <n v="3"/>
    <s v="C003"/>
    <d v="2026-09-25T00:00:00"/>
    <s v="P003"/>
    <x v="0"/>
    <n v="9.9"/>
    <n v="9.9"/>
    <n v="0"/>
    <n v="2.9"/>
    <s v="正常交付"/>
    <s v="true"/>
    <x v="12"/>
    <s v="散装鲜菜"/>
    <s v="模拟_兴街快餐店"/>
    <n v="28.71"/>
    <n v="0"/>
    <n v="28.71"/>
    <s v=""/>
    <s v=""/>
    <s v=""/>
    <s v=""/>
    <s v="通过"/>
  </r>
  <r>
    <s v="SIM-20260925-C003"/>
    <n v="4"/>
    <s v="C003"/>
    <d v="2026-09-25T00:00:00"/>
    <s v="P013"/>
    <x v="0"/>
    <n v="6.6"/>
    <n v="6.6"/>
    <n v="0"/>
    <n v="6.1"/>
    <s v="正常交付"/>
    <s v="true"/>
    <x v="11"/>
    <s v="散装鲜菜"/>
    <s v="模拟_兴街快餐店"/>
    <n v="40.26"/>
    <n v="0"/>
    <n v="40.26"/>
    <s v=""/>
    <s v=""/>
    <s v=""/>
    <s v=""/>
    <s v="通过"/>
  </r>
  <r>
    <s v="SIM-20260925-C003"/>
    <n v="5"/>
    <s v="C003"/>
    <d v="2026-09-25T00:00:00"/>
    <s v="P006"/>
    <x v="0"/>
    <n v="9.1999999999999993"/>
    <n v="9.1999999999999993"/>
    <n v="0"/>
    <n v="4.5999999999999996"/>
    <s v="正常交付"/>
    <s v="true"/>
    <x v="10"/>
    <s v="散装鲜菜"/>
    <s v="模拟_兴街快餐店"/>
    <n v="42.32"/>
    <n v="0"/>
    <n v="42.32"/>
    <s v=""/>
    <s v=""/>
    <s v=""/>
    <s v=""/>
    <s v="通过"/>
  </r>
  <r>
    <s v="SIM-20260925-C003"/>
    <n v="6"/>
    <s v="C003"/>
    <d v="2026-09-25T00:00:00"/>
    <s v="P014"/>
    <x v="0"/>
    <n v="7.3"/>
    <n v="7.3"/>
    <n v="0"/>
    <n v="4.9000000000000004"/>
    <s v="正常交付"/>
    <s v="true"/>
    <x v="19"/>
    <s v="散装鲜菜"/>
    <s v="模拟_兴街快餐店"/>
    <n v="35.770000000000003"/>
    <n v="0"/>
    <n v="35.770000000000003"/>
    <s v=""/>
    <s v=""/>
    <s v=""/>
    <s v=""/>
    <s v="通过"/>
  </r>
  <r>
    <s v="SIM-20260925-C003"/>
    <n v="7"/>
    <s v="C003"/>
    <d v="2026-09-25T00:00:00"/>
    <s v="P015"/>
    <x v="0"/>
    <n v="1"/>
    <n v="1"/>
    <n v="0"/>
    <n v="7.8"/>
    <s v="正常交付"/>
    <s v="true"/>
    <x v="5"/>
    <s v="散装鲜菜"/>
    <s v="模拟_兴街快餐店"/>
    <n v="7.8"/>
    <n v="0"/>
    <n v="7.8"/>
    <s v=""/>
    <s v=""/>
    <s v=""/>
    <s v=""/>
    <s v="通过"/>
  </r>
  <r>
    <s v="SIM-20260925-C006"/>
    <n v="1"/>
    <s v="C006"/>
    <d v="2026-09-25T00:00:00"/>
    <s v="P012"/>
    <x v="0"/>
    <n v="9.1"/>
    <n v="9.1"/>
    <n v="0"/>
    <n v="5"/>
    <s v="正常交付"/>
    <s v="true"/>
    <x v="0"/>
    <s v="散装鲜菜"/>
    <s v="模拟_溪桥医院食堂"/>
    <n v="45.5"/>
    <n v="0"/>
    <n v="45.5"/>
    <s v=""/>
    <s v=""/>
    <s v=""/>
    <s v=""/>
    <s v="通过"/>
  </r>
  <r>
    <s v="SIM-20260925-C006"/>
    <n v="2"/>
    <s v="C006"/>
    <d v="2026-09-25T00:00:00"/>
    <s v="P009"/>
    <x v="0"/>
    <n v="5.9"/>
    <n v="5.9"/>
    <n v="0"/>
    <n v="4.9000000000000004"/>
    <s v="正常交付"/>
    <s v="true"/>
    <x v="17"/>
    <s v="散装鲜菜"/>
    <s v="模拟_溪桥医院食堂"/>
    <n v="28.91"/>
    <n v="0"/>
    <n v="28.91"/>
    <s v=""/>
    <s v=""/>
    <s v=""/>
    <s v=""/>
    <s v="通过"/>
  </r>
  <r>
    <s v="SIM-20260925-C006"/>
    <n v="3"/>
    <s v="C006"/>
    <d v="2026-09-25T00:00:00"/>
    <s v="P008"/>
    <x v="0"/>
    <n v="10.4"/>
    <n v="10.4"/>
    <n v="0"/>
    <n v="3.9"/>
    <s v="正常交付"/>
    <s v="true"/>
    <x v="14"/>
    <s v="散装鲜菜"/>
    <s v="模拟_溪桥医院食堂"/>
    <n v="40.56"/>
    <n v="0"/>
    <n v="40.56"/>
    <s v=""/>
    <s v=""/>
    <s v=""/>
    <s v=""/>
    <s v="通过"/>
  </r>
  <r>
    <s v="SIM-20260925-C006"/>
    <n v="4"/>
    <s v="C006"/>
    <d v="2026-09-25T00:00:00"/>
    <s v="P006"/>
    <x v="0"/>
    <n v="9.1"/>
    <n v="9.1"/>
    <n v="0"/>
    <n v="4.5999999999999996"/>
    <s v="正常交付"/>
    <s v="true"/>
    <x v="10"/>
    <s v="散装鲜菜"/>
    <s v="模拟_溪桥医院食堂"/>
    <n v="41.86"/>
    <n v="0"/>
    <n v="41.86"/>
    <s v=""/>
    <s v=""/>
    <s v=""/>
    <s v=""/>
    <s v="通过"/>
  </r>
  <r>
    <s v="SIM-20260925-C006"/>
    <n v="5"/>
    <s v="C006"/>
    <d v="2026-09-25T00:00:00"/>
    <s v="P007"/>
    <x v="0"/>
    <n v="7.8"/>
    <n v="7.8"/>
    <n v="0"/>
    <n v="4.95"/>
    <s v="正常交付"/>
    <s v="true"/>
    <x v="18"/>
    <s v="散装鲜菜"/>
    <s v="模拟_溪桥医院食堂"/>
    <n v="38.61"/>
    <n v="0"/>
    <n v="38.61"/>
    <s v=""/>
    <s v=""/>
    <s v=""/>
    <s v=""/>
    <s v="通过"/>
  </r>
  <r>
    <s v="SIM-20260925-C006"/>
    <n v="6"/>
    <s v="C006"/>
    <d v="2026-09-25T00:00:00"/>
    <s v="P005"/>
    <x v="0"/>
    <n v="5.2"/>
    <n v="5.2"/>
    <n v="0"/>
    <n v="2.7"/>
    <s v="正常交付"/>
    <s v="true"/>
    <x v="1"/>
    <s v="散装鲜菜"/>
    <s v="模拟_溪桥医院食堂"/>
    <n v="14.04"/>
    <n v="0"/>
    <n v="14.04"/>
    <s v=""/>
    <s v=""/>
    <s v=""/>
    <s v=""/>
    <s v="通过"/>
  </r>
  <r>
    <s v="SIM-20260925-C006"/>
    <n v="7"/>
    <s v="C006"/>
    <d v="2026-09-25T00:00:00"/>
    <s v="P016"/>
    <x v="0"/>
    <n v="9"/>
    <n v="9"/>
    <n v="0"/>
    <n v="10.4"/>
    <s v="正常交付"/>
    <s v="true"/>
    <x v="4"/>
    <s v="普通鲜鸡蛋按净重"/>
    <s v="模拟_溪桥医院食堂"/>
    <n v="93.6"/>
    <n v="0"/>
    <n v="93.6"/>
    <s v=""/>
    <s v=""/>
    <s v=""/>
    <s v=""/>
    <s v="通过"/>
  </r>
  <r>
    <s v="SIM-20260925-C006"/>
    <n v="8"/>
    <s v="C006"/>
    <d v="2026-09-25T00:00:00"/>
    <s v="P015"/>
    <x v="0"/>
    <n v="1"/>
    <n v="1"/>
    <n v="0"/>
    <n v="7.8"/>
    <s v="正常交付"/>
    <s v="true"/>
    <x v="5"/>
    <s v="散装鲜菜"/>
    <s v="模拟_溪桥医院食堂"/>
    <n v="7.8"/>
    <n v="0"/>
    <n v="7.8"/>
    <s v=""/>
    <s v=""/>
    <s v=""/>
    <s v=""/>
    <s v="通过"/>
  </r>
  <r>
    <s v="SIM-20260926-C001"/>
    <n v="1"/>
    <s v="C001"/>
    <d v="2026-09-26T00:00:00"/>
    <s v="P011"/>
    <x v="0"/>
    <n v="2.5"/>
    <n v="2.5"/>
    <n v="0"/>
    <n v="4.8"/>
    <s v="正常交付"/>
    <s v="true"/>
    <x v="8"/>
    <s v="散装鲜菜"/>
    <s v="模拟_榕树下粉面店"/>
    <n v="12"/>
    <n v="0"/>
    <n v="12"/>
    <s v=""/>
    <s v=""/>
    <s v=""/>
    <s v=""/>
    <s v="通过"/>
  </r>
  <r>
    <s v="SIM-20260926-C001"/>
    <n v="2"/>
    <s v="C001"/>
    <d v="2026-09-26T00:00:00"/>
    <s v="P009"/>
    <x v="0"/>
    <n v="4"/>
    <n v="4"/>
    <n v="0"/>
    <n v="4.9000000000000004"/>
    <s v="正常交付"/>
    <s v="true"/>
    <x v="17"/>
    <s v="散装鲜菜"/>
    <s v="模拟_榕树下粉面店"/>
    <n v="19.600000000000001"/>
    <n v="0"/>
    <n v="19.600000000000001"/>
    <s v=""/>
    <s v=""/>
    <s v=""/>
    <s v=""/>
    <s v="通过"/>
  </r>
  <r>
    <s v="SIM-20260926-C001"/>
    <n v="3"/>
    <s v="C001"/>
    <d v="2026-09-26T00:00:00"/>
    <s v="P005"/>
    <x v="0"/>
    <n v="3"/>
    <n v="3"/>
    <n v="0"/>
    <n v="2.7"/>
    <s v="正常交付"/>
    <s v="true"/>
    <x v="1"/>
    <s v="散装鲜菜"/>
    <s v="模拟_榕树下粉面店"/>
    <n v="8.1"/>
    <n v="0"/>
    <n v="8.1"/>
    <s v=""/>
    <s v=""/>
    <s v=""/>
    <s v=""/>
    <s v="通过"/>
  </r>
  <r>
    <s v="SIM-20260926-C001"/>
    <n v="4"/>
    <s v="C001"/>
    <d v="2026-09-26T00:00:00"/>
    <s v="P006"/>
    <x v="0"/>
    <n v="2"/>
    <n v="2"/>
    <n v="0"/>
    <n v="4.5999999999999996"/>
    <s v="正常交付"/>
    <s v="true"/>
    <x v="10"/>
    <s v="散装鲜菜"/>
    <s v="模拟_榕树下粉面店"/>
    <n v="9.1999999999999993"/>
    <n v="0"/>
    <n v="9.1999999999999993"/>
    <s v=""/>
    <s v=""/>
    <s v=""/>
    <s v=""/>
    <s v="通过"/>
  </r>
  <r>
    <s v="SIM-20260926-C001"/>
    <n v="5"/>
    <s v="C001"/>
    <d v="2026-09-26T00:00:00"/>
    <s v="P016"/>
    <x v="0"/>
    <n v="3"/>
    <n v="3"/>
    <n v="0.1"/>
    <n v="10.4"/>
    <s v="正常交付；签收时破损退回"/>
    <s v="true"/>
    <x v="4"/>
    <s v="普通鲜鸡蛋按净重"/>
    <s v="模拟_榕树下粉面店"/>
    <n v="31.2"/>
    <n v="1.04"/>
    <n v="30.16"/>
    <s v=""/>
    <s v=""/>
    <s v=""/>
    <s v=""/>
    <s v="通过"/>
  </r>
  <r>
    <s v="SIM-20260926-C002"/>
    <n v="1"/>
    <s v="C002"/>
    <d v="2026-09-26T00:00:00"/>
    <s v="P011"/>
    <x v="0"/>
    <n v="6.4"/>
    <n v="6.4"/>
    <n v="0"/>
    <n v="4.8"/>
    <s v="正常交付"/>
    <s v="true"/>
    <x v="8"/>
    <s v="散装鲜菜"/>
    <s v="模拟_桥头家常菜馆"/>
    <n v="30.72"/>
    <n v="0"/>
    <n v="30.72"/>
    <s v=""/>
    <s v=""/>
    <s v=""/>
    <s v=""/>
    <s v="通过"/>
  </r>
  <r>
    <s v="SIM-20260926-C002"/>
    <n v="2"/>
    <s v="C002"/>
    <d v="2026-09-26T00:00:00"/>
    <s v="P001"/>
    <x v="0"/>
    <n v="6.4"/>
    <n v="6.4"/>
    <n v="0"/>
    <n v="3.5"/>
    <s v="正常交付"/>
    <s v="true"/>
    <x v="9"/>
    <s v="散装鲜菜"/>
    <s v="模拟_桥头家常菜馆"/>
    <n v="22.4"/>
    <n v="0"/>
    <n v="22.4"/>
    <s v=""/>
    <s v=""/>
    <s v=""/>
    <s v=""/>
    <s v="通过"/>
  </r>
  <r>
    <s v="SIM-20260926-C002"/>
    <n v="3"/>
    <s v="C002"/>
    <d v="2026-09-26T00:00:00"/>
    <s v="P002"/>
    <x v="0"/>
    <n v="5.7"/>
    <n v="5.7"/>
    <n v="0"/>
    <n v="2.5"/>
    <s v="正常交付"/>
    <s v="true"/>
    <x v="2"/>
    <s v="散装鲜菜"/>
    <s v="模拟_桥头家常菜馆"/>
    <n v="14.25"/>
    <n v="0"/>
    <n v="14.25"/>
    <s v=""/>
    <s v=""/>
    <s v=""/>
    <s v=""/>
    <s v="通过"/>
  </r>
  <r>
    <s v="SIM-20260926-C002"/>
    <n v="4"/>
    <s v="C002"/>
    <d v="2026-09-26T00:00:00"/>
    <s v="P006"/>
    <x v="0"/>
    <n v="7.8"/>
    <n v="7.8"/>
    <n v="0"/>
    <n v="4.5999999999999996"/>
    <s v="正常交付"/>
    <s v="true"/>
    <x v="10"/>
    <s v="散装鲜菜"/>
    <s v="模拟_桥头家常菜馆"/>
    <n v="35.880000000000003"/>
    <n v="0"/>
    <n v="35.880000000000003"/>
    <s v=""/>
    <s v=""/>
    <s v=""/>
    <s v=""/>
    <s v="通过"/>
  </r>
  <r>
    <s v="SIM-20260926-C002"/>
    <n v="5"/>
    <s v="C002"/>
    <d v="2026-09-26T00:00:00"/>
    <s v="P007"/>
    <x v="0"/>
    <n v="10.7"/>
    <n v="10.7"/>
    <n v="0"/>
    <n v="4.95"/>
    <s v="正常交付"/>
    <s v="true"/>
    <x v="18"/>
    <s v="散装鲜菜"/>
    <s v="模拟_桥头家常菜馆"/>
    <n v="52.97"/>
    <n v="0"/>
    <n v="52.97"/>
    <s v=""/>
    <s v=""/>
    <s v=""/>
    <s v=""/>
    <s v="通过"/>
  </r>
  <r>
    <s v="SIM-20260926-C002"/>
    <n v="6"/>
    <s v="C002"/>
    <d v="2026-09-26T00:00:00"/>
    <s v="P016"/>
    <x v="0"/>
    <n v="4"/>
    <n v="4"/>
    <n v="0"/>
    <n v="10.4"/>
    <s v="正常交付"/>
    <s v="true"/>
    <x v="4"/>
    <s v="普通鲜鸡蛋按净重"/>
    <s v="模拟_桥头家常菜馆"/>
    <n v="41.6"/>
    <n v="0"/>
    <n v="41.6"/>
    <s v=""/>
    <s v=""/>
    <s v=""/>
    <s v=""/>
    <s v="通过"/>
  </r>
  <r>
    <s v="SIM-20260926-C003"/>
    <n v="1"/>
    <s v="C003"/>
    <d v="2026-09-26T00:00:00"/>
    <s v="P011"/>
    <x v="0"/>
    <n v="9.6"/>
    <n v="9.6"/>
    <n v="0"/>
    <n v="4.8"/>
    <s v="正常交付"/>
    <s v="true"/>
    <x v="8"/>
    <s v="散装鲜菜"/>
    <s v="模拟_兴街快餐店"/>
    <n v="46.08"/>
    <n v="0"/>
    <n v="46.08"/>
    <s v=""/>
    <s v=""/>
    <s v=""/>
    <s v=""/>
    <s v="通过"/>
  </r>
  <r>
    <s v="SIM-20260926-C003"/>
    <n v="2"/>
    <s v="C003"/>
    <d v="2026-09-26T00:00:00"/>
    <s v="P006"/>
    <x v="0"/>
    <n v="7.7"/>
    <n v="7.7"/>
    <n v="0"/>
    <n v="4.5999999999999996"/>
    <s v="正常交付"/>
    <s v="true"/>
    <x v="10"/>
    <s v="散装鲜菜"/>
    <s v="模拟_兴街快餐店"/>
    <n v="35.42"/>
    <n v="0"/>
    <n v="35.42"/>
    <s v=""/>
    <s v=""/>
    <s v=""/>
    <s v=""/>
    <s v="通过"/>
  </r>
  <r>
    <s v="SIM-20260926-C003"/>
    <n v="3"/>
    <s v="C003"/>
    <d v="2026-09-26T00:00:00"/>
    <s v="P007"/>
    <x v="0"/>
    <n v="7"/>
    <n v="7"/>
    <n v="0"/>
    <n v="4.95"/>
    <s v="正常交付"/>
    <s v="true"/>
    <x v="18"/>
    <s v="散装鲜菜"/>
    <s v="模拟_兴街快餐店"/>
    <n v="34.65"/>
    <n v="0"/>
    <n v="34.65"/>
    <s v=""/>
    <s v=""/>
    <s v=""/>
    <s v=""/>
    <s v="通过"/>
  </r>
  <r>
    <s v="SIM-20260926-C003"/>
    <n v="4"/>
    <s v="C003"/>
    <d v="2026-09-26T00:00:00"/>
    <s v="P013"/>
    <x v="0"/>
    <n v="7"/>
    <n v="7"/>
    <n v="0"/>
    <n v="6.1"/>
    <s v="正常交付"/>
    <s v="true"/>
    <x v="11"/>
    <s v="散装鲜菜"/>
    <s v="模拟_兴街快餐店"/>
    <n v="42.7"/>
    <n v="0"/>
    <n v="42.7"/>
    <s v=""/>
    <s v=""/>
    <s v=""/>
    <s v=""/>
    <s v="通过"/>
  </r>
  <r>
    <s v="SIM-20260926-C003"/>
    <n v="5"/>
    <s v="C003"/>
    <d v="2026-09-26T00:00:00"/>
    <s v="P004"/>
    <x v="0"/>
    <n v="6.4"/>
    <n v="6.4"/>
    <n v="0"/>
    <n v="2.2999999999999998"/>
    <s v="正常交付"/>
    <s v="true"/>
    <x v="3"/>
    <s v="散装鲜菜"/>
    <s v="模拟_兴街快餐店"/>
    <n v="14.72"/>
    <n v="0"/>
    <n v="14.72"/>
    <s v=""/>
    <s v=""/>
    <s v=""/>
    <s v=""/>
    <s v="通过"/>
  </r>
  <r>
    <s v="SIM-20260926-C003"/>
    <n v="6"/>
    <s v="C003"/>
    <d v="2026-09-26T00:00:00"/>
    <s v="P001"/>
    <x v="0"/>
    <n v="6.4"/>
    <n v="6.4"/>
    <n v="0"/>
    <n v="3.5"/>
    <s v="正常交付"/>
    <s v="true"/>
    <x v="9"/>
    <s v="散装鲜菜"/>
    <s v="模拟_兴街快餐店"/>
    <n v="22.4"/>
    <n v="0"/>
    <n v="22.4"/>
    <s v=""/>
    <s v=""/>
    <s v=""/>
    <s v=""/>
    <s v="通过"/>
  </r>
  <r>
    <s v="SIM-20260926-C003"/>
    <n v="7"/>
    <s v="C003"/>
    <d v="2026-09-26T00:00:00"/>
    <s v="P016"/>
    <x v="0"/>
    <n v="6"/>
    <n v="5.7"/>
    <n v="0"/>
    <n v="10.4"/>
    <s v="到货不足；按实际交付计费"/>
    <s v="true"/>
    <x v="4"/>
    <s v="普通鲜鸡蛋按净重"/>
    <s v="模拟_兴街快餐店"/>
    <n v="59.28"/>
    <n v="0"/>
    <n v="59.28"/>
    <s v=""/>
    <s v=""/>
    <s v=""/>
    <s v=""/>
    <s v="通过"/>
  </r>
  <r>
    <s v="SIM-20260926-C004"/>
    <n v="1"/>
    <s v="C004"/>
    <d v="2026-09-26T00:00:00"/>
    <s v="P010"/>
    <x v="0"/>
    <n v="9.1"/>
    <n v="9.1"/>
    <n v="0"/>
    <n v="4.9000000000000004"/>
    <s v="正常交付"/>
    <s v="true"/>
    <x v="16"/>
    <s v="散装鲜菜"/>
    <s v="模拟_田畔饭店"/>
    <n v="44.59"/>
    <n v="0"/>
    <n v="44.59"/>
    <s v=""/>
    <s v=""/>
    <s v=""/>
    <s v=""/>
    <s v="通过"/>
  </r>
  <r>
    <s v="SIM-20260926-C004"/>
    <n v="2"/>
    <s v="C004"/>
    <d v="2026-09-26T00:00:00"/>
    <s v="P008"/>
    <x v="0"/>
    <n v="9.1"/>
    <n v="9.1"/>
    <n v="0"/>
    <n v="3.9"/>
    <s v="正常交付"/>
    <s v="true"/>
    <x v="14"/>
    <s v="散装鲜菜"/>
    <s v="模拟_田畔饭店"/>
    <n v="35.49"/>
    <n v="0"/>
    <n v="35.49"/>
    <s v=""/>
    <s v=""/>
    <s v=""/>
    <s v=""/>
    <s v="通过"/>
  </r>
  <r>
    <s v="SIM-20260926-C004"/>
    <n v="3"/>
    <s v="C004"/>
    <d v="2026-09-26T00:00:00"/>
    <s v="P003"/>
    <x v="0"/>
    <n v="9.1"/>
    <n v="9.1"/>
    <n v="0"/>
    <n v="2.9"/>
    <s v="正常交付"/>
    <s v="true"/>
    <x v="12"/>
    <s v="散装鲜菜"/>
    <s v="模拟_田畔饭店"/>
    <n v="26.39"/>
    <n v="0"/>
    <n v="26.39"/>
    <s v=""/>
    <s v=""/>
    <s v=""/>
    <s v=""/>
    <s v="通过"/>
  </r>
  <r>
    <s v="SIM-20260926-C004"/>
    <n v="4"/>
    <s v="C004"/>
    <d v="2026-09-26T00:00:00"/>
    <s v="P007"/>
    <x v="0"/>
    <n v="6.6"/>
    <n v="6.6"/>
    <n v="0"/>
    <n v="4.95"/>
    <s v="正常交付"/>
    <s v="true"/>
    <x v="18"/>
    <s v="散装鲜菜"/>
    <s v="模拟_田畔饭店"/>
    <n v="32.67"/>
    <n v="0"/>
    <n v="32.67"/>
    <s v=""/>
    <s v=""/>
    <s v=""/>
    <s v=""/>
    <s v="通过"/>
  </r>
  <r>
    <s v="SIM-20260926-C004"/>
    <n v="5"/>
    <s v="C004"/>
    <d v="2026-09-26T00:00:00"/>
    <s v="P002"/>
    <x v="0"/>
    <n v="12.4"/>
    <n v="12.4"/>
    <n v="0"/>
    <n v="2.5"/>
    <s v="正常交付"/>
    <s v="true"/>
    <x v="2"/>
    <s v="散装鲜菜"/>
    <s v="模拟_田畔饭店"/>
    <n v="31"/>
    <n v="0"/>
    <n v="31"/>
    <s v=""/>
    <s v=""/>
    <s v=""/>
    <s v=""/>
    <s v="通过"/>
  </r>
  <r>
    <s v="SIM-20260926-C004"/>
    <n v="6"/>
    <s v="C004"/>
    <d v="2026-09-26T00:00:00"/>
    <s v="P001"/>
    <x v="0"/>
    <n v="5.8"/>
    <n v="5.8"/>
    <n v="0"/>
    <n v="3.5"/>
    <s v="正常交付"/>
    <s v="true"/>
    <x v="9"/>
    <s v="散装鲜菜"/>
    <s v="模拟_田畔饭店"/>
    <n v="20.3"/>
    <n v="0"/>
    <n v="20.3"/>
    <s v=""/>
    <s v=""/>
    <s v=""/>
    <s v=""/>
    <s v="通过"/>
  </r>
  <r>
    <s v="SIM-20260926-C006"/>
    <n v="1"/>
    <s v="C006"/>
    <d v="2026-09-26T00:00:00"/>
    <s v="P010"/>
    <x v="0"/>
    <n v="8.9"/>
    <n v="8.9"/>
    <n v="0"/>
    <n v="4.9000000000000004"/>
    <s v="正常交付"/>
    <s v="true"/>
    <x v="16"/>
    <s v="散装鲜菜"/>
    <s v="模拟_溪桥医院食堂"/>
    <n v="43.61"/>
    <n v="0"/>
    <n v="43.61"/>
    <s v=""/>
    <s v=""/>
    <s v=""/>
    <s v=""/>
    <s v="通过"/>
  </r>
  <r>
    <s v="SIM-20260926-C006"/>
    <n v="2"/>
    <s v="C006"/>
    <d v="2026-09-26T00:00:00"/>
    <s v="P008"/>
    <x v="0"/>
    <n v="10.199999999999999"/>
    <n v="10.199999999999999"/>
    <n v="0"/>
    <n v="3.9"/>
    <s v="正常交付"/>
    <s v="true"/>
    <x v="14"/>
    <s v="散装鲜菜"/>
    <s v="模拟_溪桥医院食堂"/>
    <n v="39.78"/>
    <n v="0"/>
    <n v="39.78"/>
    <s v=""/>
    <s v=""/>
    <s v=""/>
    <s v=""/>
    <s v="通过"/>
  </r>
  <r>
    <s v="SIM-20260926-C006"/>
    <n v="3"/>
    <s v="C006"/>
    <d v="2026-09-26T00:00:00"/>
    <s v="P003"/>
    <x v="0"/>
    <n v="9.5"/>
    <n v="9.5"/>
    <n v="0"/>
    <n v="2.9"/>
    <s v="正常交付"/>
    <s v="true"/>
    <x v="12"/>
    <s v="散装鲜菜"/>
    <s v="模拟_溪桥医院食堂"/>
    <n v="27.55"/>
    <n v="0"/>
    <n v="27.55"/>
    <s v=""/>
    <s v=""/>
    <s v=""/>
    <s v=""/>
    <s v="通过"/>
  </r>
  <r>
    <s v="SIM-20260926-C006"/>
    <n v="4"/>
    <s v="C006"/>
    <d v="2026-09-26T00:00:00"/>
    <s v="P007"/>
    <x v="0"/>
    <n v="4.4000000000000004"/>
    <n v="4.4000000000000004"/>
    <n v="0"/>
    <n v="4.95"/>
    <s v="正常交付"/>
    <s v="true"/>
    <x v="18"/>
    <s v="散装鲜菜"/>
    <s v="模拟_溪桥医院食堂"/>
    <n v="21.78"/>
    <n v="0"/>
    <n v="21.78"/>
    <s v=""/>
    <s v=""/>
    <s v=""/>
    <s v=""/>
    <s v="通过"/>
  </r>
  <r>
    <s v="SIM-20260926-C006"/>
    <n v="5"/>
    <s v="C006"/>
    <d v="2026-09-26T00:00:00"/>
    <s v="P004"/>
    <x v="0"/>
    <n v="4.4000000000000004"/>
    <n v="4.4000000000000004"/>
    <n v="0"/>
    <n v="2.2999999999999998"/>
    <s v="正常交付"/>
    <s v="true"/>
    <x v="3"/>
    <s v="散装鲜菜"/>
    <s v="模拟_溪桥医院食堂"/>
    <n v="10.119999999999999"/>
    <n v="0"/>
    <n v="10.119999999999999"/>
    <s v=""/>
    <s v=""/>
    <s v=""/>
    <s v=""/>
    <s v="通过"/>
  </r>
  <r>
    <s v="SIM-20260926-C006"/>
    <n v="6"/>
    <s v="C006"/>
    <d v="2026-09-26T00:00:00"/>
    <s v="P001"/>
    <x v="0"/>
    <n v="5.7"/>
    <n v="5.7"/>
    <n v="0"/>
    <n v="3.5"/>
    <s v="正常交付"/>
    <s v="true"/>
    <x v="9"/>
    <s v="散装鲜菜"/>
    <s v="模拟_溪桥医院食堂"/>
    <n v="19.95"/>
    <n v="0"/>
    <n v="19.95"/>
    <s v=""/>
    <s v=""/>
    <s v=""/>
    <s v=""/>
    <s v="通过"/>
  </r>
  <r>
    <s v="SIM-20260926-C006"/>
    <n v="7"/>
    <s v="C006"/>
    <d v="2026-09-26T00:00:00"/>
    <s v="P017"/>
    <x v="2"/>
    <n v="4"/>
    <n v="4"/>
    <n v="0"/>
    <n v="117"/>
    <s v="正常交付"/>
    <s v="true"/>
    <x v="13"/>
    <s v="25公斤/袋普通籼米"/>
    <s v="模拟_溪桥医院食堂"/>
    <n v="468"/>
    <n v="0"/>
    <n v="468"/>
    <s v=""/>
    <s v=""/>
    <s v=""/>
    <s v=""/>
    <s v="通过"/>
  </r>
  <r>
    <s v="SIM-20260926-C006"/>
    <n v="8"/>
    <s v="C006"/>
    <d v="2026-09-26T00:00:00"/>
    <s v="P020"/>
    <x v="1"/>
    <n v="2"/>
    <n v="2"/>
    <n v="0"/>
    <n v="60"/>
    <s v="正常交付"/>
    <s v="true"/>
    <x v="15"/>
    <s v="5升/桶普通大豆油"/>
    <s v="模拟_溪桥医院食堂"/>
    <n v="120"/>
    <n v="0"/>
    <n v="120"/>
    <s v=""/>
    <s v=""/>
    <s v=""/>
    <s v=""/>
    <s v="通过"/>
  </r>
  <r>
    <s v="SIM-20260927-C002"/>
    <n v="1"/>
    <s v="C002"/>
    <d v="2026-09-27T00:00:00"/>
    <s v="P011"/>
    <x v="0"/>
    <n v="6.4"/>
    <n v="6.4"/>
    <n v="0"/>
    <n v="4.8"/>
    <s v="正常交付"/>
    <s v="true"/>
    <x v="8"/>
    <s v="散装鲜菜"/>
    <s v="模拟_桥头家常菜馆"/>
    <n v="30.72"/>
    <n v="0"/>
    <n v="30.72"/>
    <s v=""/>
    <s v=""/>
    <s v=""/>
    <s v=""/>
    <s v="通过"/>
  </r>
  <r>
    <s v="SIM-20260927-C002"/>
    <n v="2"/>
    <s v="C002"/>
    <d v="2026-09-27T00:00:00"/>
    <s v="P013"/>
    <x v="0"/>
    <n v="6.4"/>
    <n v="6.4"/>
    <n v="0"/>
    <n v="6.1"/>
    <s v="正常交付"/>
    <s v="true"/>
    <x v="11"/>
    <s v="散装鲜菜"/>
    <s v="模拟_桥头家常菜馆"/>
    <n v="39.04"/>
    <n v="0"/>
    <n v="39.04"/>
    <s v=""/>
    <s v=""/>
    <s v=""/>
    <s v=""/>
    <s v="通过"/>
  </r>
  <r>
    <s v="SIM-20260927-C002"/>
    <n v="3"/>
    <s v="C002"/>
    <d v="2026-09-27T00:00:00"/>
    <s v="P006"/>
    <x v="0"/>
    <n v="9.1999999999999993"/>
    <n v="9.1999999999999993"/>
    <n v="0"/>
    <n v="4.5999999999999996"/>
    <s v="正常交付"/>
    <s v="true"/>
    <x v="10"/>
    <s v="散装鲜菜"/>
    <s v="模拟_桥头家常菜馆"/>
    <n v="42.32"/>
    <n v="0"/>
    <n v="42.32"/>
    <s v=""/>
    <s v=""/>
    <s v=""/>
    <s v=""/>
    <s v="通过"/>
  </r>
  <r>
    <s v="SIM-20260927-C002"/>
    <n v="4"/>
    <s v="C002"/>
    <d v="2026-09-27T00:00:00"/>
    <s v="P005"/>
    <x v="0"/>
    <n v="8.5"/>
    <n v="8.5"/>
    <n v="0"/>
    <n v="2.7"/>
    <s v="正常交付"/>
    <s v="true"/>
    <x v="1"/>
    <s v="散装鲜菜"/>
    <s v="模拟_桥头家常菜馆"/>
    <n v="22.95"/>
    <n v="0"/>
    <n v="22.95"/>
    <s v=""/>
    <s v=""/>
    <s v=""/>
    <s v=""/>
    <s v="通过"/>
  </r>
  <r>
    <s v="SIM-20260927-C002"/>
    <n v="5"/>
    <s v="C002"/>
    <d v="2026-09-27T00:00:00"/>
    <s v="P009"/>
    <x v="0"/>
    <n v="7.8"/>
    <n v="7.8"/>
    <n v="0"/>
    <n v="4.9000000000000004"/>
    <s v="正常交付"/>
    <s v="true"/>
    <x v="17"/>
    <s v="散装鲜菜"/>
    <s v="模拟_桥头家常菜馆"/>
    <n v="38.22"/>
    <n v="0"/>
    <n v="38.22"/>
    <s v=""/>
    <s v=""/>
    <s v=""/>
    <s v=""/>
    <s v="通过"/>
  </r>
  <r>
    <s v="SIM-20260927-C006"/>
    <n v="1"/>
    <s v="C006"/>
    <d v="2026-09-27T00:00:00"/>
    <s v="P010"/>
    <x v="0"/>
    <n v="6.3"/>
    <n v="6.3"/>
    <n v="0"/>
    <n v="4.9000000000000004"/>
    <s v="正常交付"/>
    <s v="true"/>
    <x v="16"/>
    <s v="散装鲜菜"/>
    <s v="模拟_溪桥医院食堂"/>
    <n v="30.87"/>
    <n v="0"/>
    <n v="30.87"/>
    <s v=""/>
    <s v=""/>
    <s v=""/>
    <s v=""/>
    <s v="通过"/>
  </r>
  <r>
    <s v="SIM-20260927-C006"/>
    <n v="2"/>
    <s v="C006"/>
    <d v="2026-09-27T00:00:00"/>
    <s v="P002"/>
    <x v="0"/>
    <n v="9.4"/>
    <n v="9.4"/>
    <n v="0"/>
    <n v="2.5"/>
    <s v="正常交付"/>
    <s v="true"/>
    <x v="2"/>
    <s v="散装鲜菜"/>
    <s v="模拟_溪桥医院食堂"/>
    <n v="23.5"/>
    <n v="0"/>
    <n v="23.5"/>
    <s v=""/>
    <s v=""/>
    <s v=""/>
    <s v=""/>
    <s v="通过"/>
  </r>
  <r>
    <s v="SIM-20260927-C006"/>
    <n v="3"/>
    <s v="C006"/>
    <d v="2026-09-27T00:00:00"/>
    <s v="P013"/>
    <x v="0"/>
    <n v="8.8000000000000007"/>
    <n v="8.8000000000000007"/>
    <n v="0"/>
    <n v="6.1"/>
    <s v="正常交付"/>
    <s v="true"/>
    <x v="11"/>
    <s v="散装鲜菜"/>
    <s v="模拟_溪桥医院食堂"/>
    <n v="53.68"/>
    <n v="0"/>
    <n v="53.68"/>
    <s v=""/>
    <s v=""/>
    <s v=""/>
    <s v=""/>
    <s v="通过"/>
  </r>
  <r>
    <s v="SIM-20260927-C006"/>
    <n v="4"/>
    <s v="C006"/>
    <d v="2026-09-27T00:00:00"/>
    <s v="P007"/>
    <x v="0"/>
    <n v="6.3"/>
    <n v="6.3"/>
    <n v="0"/>
    <n v="4.95"/>
    <s v="正常交付"/>
    <s v="true"/>
    <x v="18"/>
    <s v="散装鲜菜"/>
    <s v="模拟_溪桥医院食堂"/>
    <n v="31.19"/>
    <n v="0"/>
    <n v="31.19"/>
    <s v=""/>
    <s v=""/>
    <s v=""/>
    <s v=""/>
    <s v="通过"/>
  </r>
  <r>
    <s v="SIM-20260927-C006"/>
    <n v="5"/>
    <s v="C006"/>
    <d v="2026-09-27T00:00:00"/>
    <s v="P004"/>
    <x v="0"/>
    <n v="8.1999999999999993"/>
    <n v="8.1999999999999993"/>
    <n v="0"/>
    <n v="2.2999999999999998"/>
    <s v="正常交付"/>
    <s v="true"/>
    <x v="3"/>
    <s v="散装鲜菜"/>
    <s v="模拟_溪桥医院食堂"/>
    <n v="18.86"/>
    <n v="0"/>
    <n v="18.86"/>
    <s v=""/>
    <s v=""/>
    <s v=""/>
    <s v=""/>
    <s v="通过"/>
  </r>
  <r>
    <s v="SIM-20260927-C006"/>
    <n v="6"/>
    <s v="C006"/>
    <d v="2026-09-27T00:00:00"/>
    <s v="P005"/>
    <x v="0"/>
    <n v="7.6"/>
    <n v="7.6"/>
    <n v="0"/>
    <n v="2.7"/>
    <s v="正常交付"/>
    <s v="true"/>
    <x v="1"/>
    <s v="散装鲜菜"/>
    <s v="模拟_溪桥医院食堂"/>
    <n v="20.52"/>
    <n v="0"/>
    <n v="20.52"/>
    <s v=""/>
    <s v=""/>
    <s v=""/>
    <s v=""/>
    <s v="通过"/>
  </r>
  <r>
    <s v="SIM-20260927-C006"/>
    <n v="7"/>
    <s v="C006"/>
    <d v="2026-09-27T00:00:00"/>
    <s v="P016"/>
    <x v="0"/>
    <n v="9"/>
    <n v="9"/>
    <n v="0"/>
    <n v="10.4"/>
    <s v="正常交付"/>
    <s v="true"/>
    <x v="4"/>
    <s v="普通鲜鸡蛋按净重"/>
    <s v="模拟_溪桥医院食堂"/>
    <n v="93.6"/>
    <n v="0"/>
    <n v="93.6"/>
    <s v=""/>
    <s v=""/>
    <s v=""/>
    <s v=""/>
    <s v="通过"/>
  </r>
  <r>
    <s v="SIM-20260928-C001"/>
    <n v="1"/>
    <s v="C001"/>
    <d v="2026-09-28T00:00:00"/>
    <s v="P012"/>
    <x v="0"/>
    <n v="1.8"/>
    <n v="1.8"/>
    <n v="0"/>
    <n v="5"/>
    <s v="正常交付"/>
    <s v="true"/>
    <x v="0"/>
    <s v="散装鲜菜"/>
    <s v="模拟_榕树下粉面店"/>
    <n v="9"/>
    <n v="0"/>
    <n v="9"/>
    <s v=""/>
    <s v=""/>
    <s v=""/>
    <s v=""/>
    <s v="通过"/>
  </r>
  <r>
    <s v="SIM-20260928-C001"/>
    <n v="2"/>
    <s v="C001"/>
    <d v="2026-09-28T00:00:00"/>
    <s v="P013"/>
    <x v="0"/>
    <n v="2.2999999999999998"/>
    <n v="2.2999999999999998"/>
    <n v="0"/>
    <n v="6.1"/>
    <s v="正常交付"/>
    <s v="true"/>
    <x v="11"/>
    <s v="散装鲜菜"/>
    <s v="模拟_榕树下粉面店"/>
    <n v="14.03"/>
    <n v="0"/>
    <n v="14.03"/>
    <s v=""/>
    <s v=""/>
    <s v=""/>
    <s v=""/>
    <s v="通过"/>
  </r>
  <r>
    <s v="SIM-20260928-C001"/>
    <n v="3"/>
    <s v="C001"/>
    <d v="2026-09-28T00:00:00"/>
    <s v="P002"/>
    <x v="0"/>
    <n v="3.4"/>
    <n v="3.4"/>
    <n v="0"/>
    <n v="2.5"/>
    <s v="正常交付"/>
    <s v="true"/>
    <x v="2"/>
    <s v="散装鲜菜"/>
    <s v="模拟_榕树下粉面店"/>
    <n v="8.5"/>
    <n v="0"/>
    <n v="8.5"/>
    <s v=""/>
    <s v=""/>
    <s v=""/>
    <s v=""/>
    <s v="通过"/>
  </r>
  <r>
    <s v="SIM-20260928-C001"/>
    <n v="4"/>
    <s v="C001"/>
    <d v="2026-09-28T00:00:00"/>
    <s v="P007"/>
    <x v="0"/>
    <n v="3.6"/>
    <n v="3.6"/>
    <n v="0"/>
    <n v="4.95"/>
    <s v="正常交付"/>
    <s v="true"/>
    <x v="18"/>
    <s v="散装鲜菜"/>
    <s v="模拟_榕树下粉面店"/>
    <n v="17.82"/>
    <n v="0"/>
    <n v="17.82"/>
    <s v=""/>
    <s v=""/>
    <s v=""/>
    <s v=""/>
    <s v="通过"/>
  </r>
  <r>
    <s v="SIM-20260928-C003"/>
    <n v="1"/>
    <s v="C003"/>
    <d v="2026-09-28T00:00:00"/>
    <s v="P012"/>
    <x v="0"/>
    <n v="8.1"/>
    <n v="8.1"/>
    <n v="0"/>
    <n v="5"/>
    <s v="正常交付"/>
    <s v="true"/>
    <x v="0"/>
    <s v="散装鲜菜"/>
    <s v="模拟_兴街快餐店"/>
    <n v="40.5"/>
    <n v="0"/>
    <n v="40.5"/>
    <s v=""/>
    <s v=""/>
    <s v=""/>
    <s v=""/>
    <s v="通过"/>
  </r>
  <r>
    <s v="SIM-20260928-C003"/>
    <n v="2"/>
    <s v="C003"/>
    <d v="2026-09-28T00:00:00"/>
    <s v="P005"/>
    <x v="0"/>
    <n v="8.1"/>
    <n v="8.1"/>
    <n v="0"/>
    <n v="2.7"/>
    <s v="正常交付"/>
    <s v="true"/>
    <x v="1"/>
    <s v="散装鲜菜"/>
    <s v="模拟_兴街快餐店"/>
    <n v="21.87"/>
    <n v="0"/>
    <n v="21.87"/>
    <s v=""/>
    <s v=""/>
    <s v=""/>
    <s v=""/>
    <s v="通过"/>
  </r>
  <r>
    <s v="SIM-20260928-C003"/>
    <n v="3"/>
    <s v="C003"/>
    <d v="2026-09-28T00:00:00"/>
    <s v="P009"/>
    <x v="0"/>
    <n v="4.4000000000000004"/>
    <n v="3.9"/>
    <n v="0"/>
    <n v="4.9000000000000004"/>
    <s v="到货不足；按实际交付计费"/>
    <s v="true"/>
    <x v="17"/>
    <s v="散装鲜菜"/>
    <s v="模拟_兴街快餐店"/>
    <n v="19.11"/>
    <n v="0"/>
    <n v="19.11"/>
    <s v=""/>
    <s v=""/>
    <s v=""/>
    <s v=""/>
    <s v="通过"/>
  </r>
  <r>
    <s v="SIM-20260928-C003"/>
    <n v="4"/>
    <s v="C003"/>
    <d v="2026-09-28T00:00:00"/>
    <s v="P001"/>
    <x v="0"/>
    <n v="5"/>
    <n v="5"/>
    <n v="0"/>
    <n v="3.5"/>
    <s v="正常交付"/>
    <s v="true"/>
    <x v="9"/>
    <s v="散装鲜菜"/>
    <s v="模拟_兴街快餐店"/>
    <n v="17.5"/>
    <n v="0"/>
    <n v="17.5"/>
    <s v=""/>
    <s v=""/>
    <s v=""/>
    <s v=""/>
    <s v="通过"/>
  </r>
  <r>
    <s v="SIM-20260928-C003"/>
    <n v="5"/>
    <s v="C003"/>
    <d v="2026-09-28T00:00:00"/>
    <s v="P007"/>
    <x v="0"/>
    <n v="7.5"/>
    <n v="7.5"/>
    <n v="0"/>
    <n v="4.95"/>
    <s v="正常交付"/>
    <s v="true"/>
    <x v="18"/>
    <s v="散装鲜菜"/>
    <s v="模拟_兴街快餐店"/>
    <n v="37.130000000000003"/>
    <n v="0"/>
    <n v="37.130000000000003"/>
    <s v=""/>
    <s v=""/>
    <s v=""/>
    <s v=""/>
    <s v="通过"/>
  </r>
  <r>
    <s v="SIM-20260928-C003"/>
    <n v="6"/>
    <s v="C003"/>
    <d v="2026-09-28T00:00:00"/>
    <s v="P008"/>
    <x v="0"/>
    <n v="7.5"/>
    <n v="7.5"/>
    <n v="0"/>
    <n v="3.9"/>
    <s v="正常交付"/>
    <s v="true"/>
    <x v="14"/>
    <s v="散装鲜菜"/>
    <s v="模拟_兴街快餐店"/>
    <n v="29.25"/>
    <n v="0"/>
    <n v="29.25"/>
    <s v=""/>
    <s v=""/>
    <s v=""/>
    <s v=""/>
    <s v="通过"/>
  </r>
  <r>
    <s v="SIM-20260928-C005"/>
    <n v="1"/>
    <s v="C005"/>
    <d v="2026-09-28T00:00:00"/>
    <s v="P012"/>
    <x v="0"/>
    <n v="11.6"/>
    <n v="11.6"/>
    <n v="0"/>
    <n v="5"/>
    <s v="正常交付"/>
    <s v="true"/>
    <x v="0"/>
    <s v="散装鲜菜"/>
    <s v="模拟_青禾小学食堂"/>
    <n v="58"/>
    <n v="0"/>
    <n v="58"/>
    <s v=""/>
    <s v=""/>
    <s v=""/>
    <s v=""/>
    <s v="通过"/>
  </r>
  <r>
    <s v="SIM-20260928-C005"/>
    <n v="2"/>
    <s v="C005"/>
    <d v="2026-09-28T00:00:00"/>
    <s v="P007"/>
    <x v="0"/>
    <n v="9.3000000000000007"/>
    <n v="9.3000000000000007"/>
    <n v="0"/>
    <n v="4.95"/>
    <s v="正常交付"/>
    <s v="true"/>
    <x v="18"/>
    <s v="散装鲜菜"/>
    <s v="模拟_青禾小学食堂"/>
    <n v="46.04"/>
    <n v="0"/>
    <n v="46.04"/>
    <s v=""/>
    <s v=""/>
    <s v=""/>
    <s v=""/>
    <s v="通过"/>
  </r>
  <r>
    <s v="SIM-20260928-C005"/>
    <n v="3"/>
    <s v="C005"/>
    <d v="2026-09-28T00:00:00"/>
    <s v="P008"/>
    <x v="0"/>
    <n v="8.5"/>
    <n v="8.5"/>
    <n v="0"/>
    <n v="3.9"/>
    <s v="正常交付"/>
    <s v="true"/>
    <x v="14"/>
    <s v="散装鲜菜"/>
    <s v="模拟_青禾小学食堂"/>
    <n v="33.15"/>
    <n v="0"/>
    <n v="33.15"/>
    <s v=""/>
    <s v=""/>
    <s v=""/>
    <s v=""/>
    <s v="通过"/>
  </r>
  <r>
    <s v="SIM-20260928-C005"/>
    <n v="4"/>
    <s v="C005"/>
    <d v="2026-09-28T00:00:00"/>
    <s v="P009"/>
    <x v="0"/>
    <n v="7.7"/>
    <n v="7.7"/>
    <n v="0"/>
    <n v="4.9000000000000004"/>
    <s v="正常交付"/>
    <s v="true"/>
    <x v="17"/>
    <s v="散装鲜菜"/>
    <s v="模拟_青禾小学食堂"/>
    <n v="37.729999999999997"/>
    <n v="0"/>
    <n v="37.729999999999997"/>
    <s v=""/>
    <s v=""/>
    <s v=""/>
    <s v=""/>
    <s v="通过"/>
  </r>
  <r>
    <s v="SIM-20260928-C005"/>
    <n v="5"/>
    <s v="C005"/>
    <d v="2026-09-28T00:00:00"/>
    <s v="P013"/>
    <x v="0"/>
    <n v="10.8"/>
    <n v="10.8"/>
    <n v="0"/>
    <n v="6.1"/>
    <s v="正常交付"/>
    <s v="true"/>
    <x v="11"/>
    <s v="散装鲜菜"/>
    <s v="模拟_青禾小学食堂"/>
    <n v="65.88"/>
    <n v="0"/>
    <n v="65.88"/>
    <s v=""/>
    <s v=""/>
    <s v=""/>
    <s v=""/>
    <s v="通过"/>
  </r>
  <r>
    <s v="SIM-20260928-C005"/>
    <n v="6"/>
    <s v="C005"/>
    <d v="2026-09-28T00:00:00"/>
    <s v="P003"/>
    <x v="0"/>
    <n v="11.6"/>
    <n v="11.6"/>
    <n v="0"/>
    <n v="2.9"/>
    <s v="正常交付"/>
    <s v="true"/>
    <x v="12"/>
    <s v="散装鲜菜"/>
    <s v="模拟_青禾小学食堂"/>
    <n v="33.64"/>
    <n v="0"/>
    <n v="33.64"/>
    <s v=""/>
    <s v=""/>
    <s v=""/>
    <s v=""/>
    <s v="通过"/>
  </r>
  <r>
    <s v="SIM-20260928-C006"/>
    <n v="1"/>
    <s v="C006"/>
    <d v="2026-09-28T00:00:00"/>
    <s v="P010"/>
    <x v="0"/>
    <n v="5"/>
    <n v="4.8"/>
    <n v="0"/>
    <n v="4.9000000000000004"/>
    <s v="到货不足；按实际交付计费"/>
    <s v="true"/>
    <x v="16"/>
    <s v="散装鲜菜"/>
    <s v="模拟_溪桥医院食堂"/>
    <n v="23.52"/>
    <n v="0"/>
    <n v="23.52"/>
    <s v=""/>
    <s v=""/>
    <s v=""/>
    <s v=""/>
    <s v="通过"/>
  </r>
  <r>
    <s v="SIM-20260928-C006"/>
    <n v="2"/>
    <s v="C006"/>
    <d v="2026-09-28T00:00:00"/>
    <s v="P007"/>
    <x v="0"/>
    <n v="9.1999999999999993"/>
    <n v="9.1999999999999993"/>
    <n v="0"/>
    <n v="4.95"/>
    <s v="正常交付"/>
    <s v="true"/>
    <x v="18"/>
    <s v="散装鲜菜"/>
    <s v="模拟_溪桥医院食堂"/>
    <n v="45.54"/>
    <n v="0"/>
    <n v="45.54"/>
    <s v=""/>
    <s v=""/>
    <s v=""/>
    <s v=""/>
    <s v="通过"/>
  </r>
  <r>
    <s v="SIM-20260928-C006"/>
    <n v="3"/>
    <s v="C006"/>
    <d v="2026-09-28T00:00:00"/>
    <s v="P006"/>
    <x v="0"/>
    <n v="7.8"/>
    <n v="7.6"/>
    <n v="0"/>
    <n v="4.5999999999999996"/>
    <s v="到货不足；按实际交付计费"/>
    <s v="true"/>
    <x v="10"/>
    <s v="散装鲜菜"/>
    <s v="模拟_溪桥医院食堂"/>
    <n v="34.96"/>
    <n v="0"/>
    <n v="34.96"/>
    <s v=""/>
    <s v=""/>
    <s v=""/>
    <s v=""/>
    <s v="通过"/>
  </r>
  <r>
    <s v="SIM-20260928-C006"/>
    <n v="4"/>
    <s v="C006"/>
    <d v="2026-09-28T00:00:00"/>
    <s v="P009"/>
    <x v="0"/>
    <n v="5.7"/>
    <n v="5.7"/>
    <n v="0"/>
    <n v="4.9000000000000004"/>
    <s v="正常交付"/>
    <s v="true"/>
    <x v="17"/>
    <s v="散装鲜菜"/>
    <s v="模拟_溪桥医院食堂"/>
    <n v="27.93"/>
    <n v="0"/>
    <n v="27.93"/>
    <s v=""/>
    <s v=""/>
    <s v=""/>
    <s v=""/>
    <s v="通过"/>
  </r>
  <r>
    <s v="SIM-20260928-C006"/>
    <n v="5"/>
    <s v="C006"/>
    <d v="2026-09-28T00:00:00"/>
    <s v="P003"/>
    <x v="0"/>
    <n v="7.1"/>
    <n v="7.1"/>
    <n v="0"/>
    <n v="2.9"/>
    <s v="正常交付"/>
    <s v="true"/>
    <x v="12"/>
    <s v="散装鲜菜"/>
    <s v="模拟_溪桥医院食堂"/>
    <n v="20.59"/>
    <n v="0"/>
    <n v="20.59"/>
    <s v=""/>
    <s v=""/>
    <s v=""/>
    <s v=""/>
    <s v="通过"/>
  </r>
  <r>
    <s v="SIM-20260928-C006"/>
    <n v="6"/>
    <s v="C006"/>
    <d v="2026-09-28T00:00:00"/>
    <s v="P005"/>
    <x v="0"/>
    <n v="11.3"/>
    <n v="11.3"/>
    <n v="0"/>
    <n v="2.7"/>
    <s v="正常交付"/>
    <s v="true"/>
    <x v="1"/>
    <s v="散装鲜菜"/>
    <s v="模拟_溪桥医院食堂"/>
    <n v="30.51"/>
    <n v="0"/>
    <n v="30.51"/>
    <s v=""/>
    <s v=""/>
    <s v=""/>
    <s v=""/>
    <s v="通过"/>
  </r>
  <r>
    <s v="SIM-20260928-C006"/>
    <n v="7"/>
    <s v="C006"/>
    <d v="2026-09-28T00:00:00"/>
    <s v="P015"/>
    <x v="0"/>
    <n v="1"/>
    <n v="1"/>
    <n v="0"/>
    <n v="7.8"/>
    <s v="正常交付"/>
    <s v="true"/>
    <x v="5"/>
    <s v="散装鲜菜"/>
    <s v="模拟_溪桥医院食堂"/>
    <n v="7.8"/>
    <n v="0"/>
    <n v="7.8"/>
    <s v=""/>
    <s v=""/>
    <s v=""/>
    <s v=""/>
    <s v="通过"/>
  </r>
  <r>
    <s v="SIM-20260929-C001"/>
    <n v="1"/>
    <s v="C001"/>
    <d v="2026-09-29T00:00:00"/>
    <s v="P012"/>
    <x v="0"/>
    <n v="3"/>
    <n v="3"/>
    <n v="0"/>
    <n v="5.2"/>
    <s v="正常交付"/>
    <s v="true"/>
    <x v="0"/>
    <s v="散装鲜菜"/>
    <s v="模拟_榕树下粉面店"/>
    <n v="15.6"/>
    <n v="0"/>
    <n v="15.6"/>
    <s v=""/>
    <s v=""/>
    <s v=""/>
    <s v=""/>
    <s v="通过"/>
  </r>
  <r>
    <s v="SIM-20260929-C001"/>
    <n v="2"/>
    <s v="C001"/>
    <d v="2026-09-29T00:00:00"/>
    <s v="P007"/>
    <x v="0"/>
    <n v="5"/>
    <n v="5"/>
    <n v="0"/>
    <n v="5.25"/>
    <s v="正常交付"/>
    <s v="true"/>
    <x v="18"/>
    <s v="散装鲜菜"/>
    <s v="模拟_榕树下粉面店"/>
    <n v="26.25"/>
    <n v="0"/>
    <n v="26.25"/>
    <s v=""/>
    <s v=""/>
    <s v=""/>
    <s v=""/>
    <s v="通过"/>
  </r>
  <r>
    <s v="SIM-20260929-C001"/>
    <n v="3"/>
    <s v="C001"/>
    <d v="2026-09-29T00:00:00"/>
    <s v="P014"/>
    <x v="0"/>
    <n v="2.6"/>
    <n v="2.6"/>
    <n v="0"/>
    <n v="4.8"/>
    <s v="正常交付"/>
    <s v="true"/>
    <x v="19"/>
    <s v="散装鲜菜"/>
    <s v="模拟_榕树下粉面店"/>
    <n v="12.48"/>
    <n v="0"/>
    <n v="12.48"/>
    <s v=""/>
    <s v=""/>
    <s v=""/>
    <s v=""/>
    <s v="通过"/>
  </r>
  <r>
    <s v="SIM-20260929-C001"/>
    <n v="4"/>
    <s v="C001"/>
    <d v="2026-09-29T00:00:00"/>
    <s v="P005"/>
    <x v="0"/>
    <n v="2.6"/>
    <n v="2.6"/>
    <n v="0"/>
    <n v="2.8"/>
    <s v="正常交付"/>
    <s v="true"/>
    <x v="1"/>
    <s v="散装鲜菜"/>
    <s v="模拟_榕树下粉面店"/>
    <n v="7.28"/>
    <n v="0"/>
    <n v="7.28"/>
    <s v=""/>
    <s v=""/>
    <s v=""/>
    <s v=""/>
    <s v="通过"/>
  </r>
  <r>
    <s v="SIM-20260929-C001"/>
    <n v="5"/>
    <s v="C001"/>
    <d v="2026-09-29T00:00:00"/>
    <s v="P016"/>
    <x v="0"/>
    <n v="3"/>
    <n v="3"/>
    <n v="0"/>
    <n v="10.3"/>
    <s v="正常交付"/>
    <s v="true"/>
    <x v="4"/>
    <s v="普通鲜鸡蛋按净重"/>
    <s v="模拟_榕树下粉面店"/>
    <n v="30.9"/>
    <n v="0"/>
    <n v="30.9"/>
    <s v=""/>
    <s v=""/>
    <s v=""/>
    <s v=""/>
    <s v="通过"/>
  </r>
  <r>
    <s v="SIM-20260929-C001"/>
    <n v="6"/>
    <s v="C001"/>
    <d v="2026-09-29T00:00:00"/>
    <s v="P015"/>
    <x v="0"/>
    <n v="0.5"/>
    <n v="0.5"/>
    <n v="0"/>
    <n v="7.7"/>
    <s v="正常交付"/>
    <s v="true"/>
    <x v="5"/>
    <s v="散装鲜菜"/>
    <s v="模拟_榕树下粉面店"/>
    <n v="3.85"/>
    <n v="0"/>
    <n v="3.85"/>
    <s v=""/>
    <s v=""/>
    <s v=""/>
    <s v=""/>
    <s v="通过"/>
  </r>
  <r>
    <s v="SIM-20260929-C002"/>
    <n v="1"/>
    <s v="C002"/>
    <d v="2026-09-29T00:00:00"/>
    <s v="P010"/>
    <x v="0"/>
    <n v="6.1"/>
    <n v="6.1"/>
    <n v="0.5"/>
    <n v="4.8"/>
    <s v="正常交付；签收时挑出黄叶退回"/>
    <s v="true"/>
    <x v="16"/>
    <s v="散装鲜菜"/>
    <s v="模拟_桥头家常菜馆"/>
    <n v="29.28"/>
    <n v="2.4"/>
    <n v="26.880000000000003"/>
    <s v=""/>
    <s v=""/>
    <s v=""/>
    <s v=""/>
    <s v="通过"/>
  </r>
  <r>
    <s v="SIM-20260929-C002"/>
    <n v="2"/>
    <s v="C002"/>
    <d v="2026-09-29T00:00:00"/>
    <s v="P007"/>
    <x v="0"/>
    <n v="3.9"/>
    <n v="3.9"/>
    <n v="0"/>
    <n v="5.25"/>
    <s v="正常交付"/>
    <s v="true"/>
    <x v="18"/>
    <s v="散装鲜菜"/>
    <s v="模拟_桥头家常菜馆"/>
    <n v="20.48"/>
    <n v="0"/>
    <n v="20.48"/>
    <s v=""/>
    <s v=""/>
    <s v=""/>
    <s v=""/>
    <s v="通过"/>
  </r>
  <r>
    <s v="SIM-20260929-C002"/>
    <n v="3"/>
    <s v="C002"/>
    <d v="2026-09-29T00:00:00"/>
    <s v="P006"/>
    <x v="0"/>
    <n v="7"/>
    <n v="7"/>
    <n v="0"/>
    <n v="4.5"/>
    <s v="正常交付"/>
    <s v="true"/>
    <x v="10"/>
    <s v="散装鲜菜"/>
    <s v="模拟_桥头家常菜馆"/>
    <n v="31.5"/>
    <n v="0"/>
    <n v="31.5"/>
    <s v=""/>
    <s v=""/>
    <s v=""/>
    <s v=""/>
    <s v="通过"/>
  </r>
  <r>
    <s v="SIM-20260929-C002"/>
    <n v="4"/>
    <s v="C002"/>
    <d v="2026-09-29T00:00:00"/>
    <s v="P013"/>
    <x v="0"/>
    <n v="6.1"/>
    <n v="5.9"/>
    <n v="0"/>
    <n v="6.3"/>
    <s v="到货不足；按实际交付计费"/>
    <s v="true"/>
    <x v="11"/>
    <s v="散装鲜菜"/>
    <s v="模拟_桥头家常菜馆"/>
    <n v="37.17"/>
    <n v="0"/>
    <n v="37.17"/>
    <s v=""/>
    <s v=""/>
    <s v=""/>
    <s v=""/>
    <s v="通过"/>
  </r>
  <r>
    <s v="SIM-20260929-C002"/>
    <n v="5"/>
    <s v="C002"/>
    <d v="2026-09-29T00:00:00"/>
    <s v="P009"/>
    <x v="0"/>
    <n v="4.4000000000000004"/>
    <n v="4.4000000000000004"/>
    <n v="0"/>
    <n v="4.8"/>
    <s v="正常交付"/>
    <s v="true"/>
    <x v="17"/>
    <s v="散装鲜菜"/>
    <s v="模拟_桥头家常菜馆"/>
    <n v="21.12"/>
    <n v="0"/>
    <n v="21.12"/>
    <s v=""/>
    <s v=""/>
    <s v=""/>
    <s v=""/>
    <s v="通过"/>
  </r>
  <r>
    <s v="SIM-20260929-C002"/>
    <n v="6"/>
    <s v="C002"/>
    <d v="2026-09-29T00:00:00"/>
    <s v="P016"/>
    <x v="0"/>
    <n v="4"/>
    <n v="4"/>
    <n v="0"/>
    <n v="10.3"/>
    <s v="正常交付"/>
    <s v="true"/>
    <x v="4"/>
    <s v="普通鲜鸡蛋按净重"/>
    <s v="模拟_桥头家常菜馆"/>
    <n v="41.2"/>
    <n v="0"/>
    <n v="41.2"/>
    <s v=""/>
    <s v=""/>
    <s v=""/>
    <s v=""/>
    <s v="通过"/>
  </r>
  <r>
    <s v="SIM-20260929-C002"/>
    <n v="7"/>
    <s v="C002"/>
    <d v="2026-09-29T00:00:00"/>
    <s v="P015"/>
    <x v="0"/>
    <n v="1"/>
    <n v="1"/>
    <n v="0"/>
    <n v="7.7"/>
    <s v="正常交付"/>
    <s v="true"/>
    <x v="5"/>
    <s v="散装鲜菜"/>
    <s v="模拟_桥头家常菜馆"/>
    <n v="7.7"/>
    <n v="0"/>
    <n v="7.7"/>
    <s v=""/>
    <s v=""/>
    <s v=""/>
    <s v=""/>
    <s v="通过"/>
  </r>
  <r>
    <s v="SIM-20260929-C003"/>
    <n v="1"/>
    <s v="C003"/>
    <d v="2026-09-29T00:00:00"/>
    <s v="P011"/>
    <x v="0"/>
    <n v="5.3"/>
    <n v="5.3"/>
    <n v="0"/>
    <n v="4.8"/>
    <s v="正常交付"/>
    <s v="true"/>
    <x v="8"/>
    <s v="散装鲜菜"/>
    <s v="模拟_兴街快餐店"/>
    <n v="25.44"/>
    <n v="0"/>
    <n v="25.44"/>
    <s v=""/>
    <s v=""/>
    <s v=""/>
    <s v=""/>
    <s v="通过"/>
  </r>
  <r>
    <s v="SIM-20260929-C003"/>
    <n v="2"/>
    <s v="C003"/>
    <d v="2026-09-29T00:00:00"/>
    <s v="P014"/>
    <x v="0"/>
    <n v="10.5"/>
    <n v="10.199999999999999"/>
    <n v="0"/>
    <n v="4.8"/>
    <s v="到货不足；按实际交付计费"/>
    <s v="true"/>
    <x v="19"/>
    <s v="散装鲜菜"/>
    <s v="模拟_兴街快餐店"/>
    <n v="48.96"/>
    <n v="0"/>
    <n v="48.96"/>
    <s v=""/>
    <s v=""/>
    <s v=""/>
    <s v=""/>
    <s v="通过"/>
  </r>
  <r>
    <s v="SIM-20260929-C003"/>
    <n v="3"/>
    <s v="C003"/>
    <d v="2026-09-29T00:00:00"/>
    <s v="P007"/>
    <x v="0"/>
    <n v="9.1999999999999993"/>
    <n v="9.1999999999999993"/>
    <n v="0"/>
    <n v="5.25"/>
    <s v="正常交付"/>
    <s v="true"/>
    <x v="18"/>
    <s v="散装鲜菜"/>
    <s v="模拟_兴街快餐店"/>
    <n v="48.3"/>
    <n v="0"/>
    <n v="48.3"/>
    <s v=""/>
    <s v=""/>
    <s v=""/>
    <s v=""/>
    <s v="通过"/>
  </r>
  <r>
    <s v="SIM-20260929-C003"/>
    <n v="4"/>
    <s v="C003"/>
    <d v="2026-09-29T00:00:00"/>
    <s v="P003"/>
    <x v="0"/>
    <n v="4.5999999999999996"/>
    <n v="4.5999999999999996"/>
    <n v="0"/>
    <n v="3"/>
    <s v="正常交付"/>
    <s v="true"/>
    <x v="12"/>
    <s v="散装鲜菜"/>
    <s v="模拟_兴街快餐店"/>
    <n v="13.8"/>
    <n v="0"/>
    <n v="13.8"/>
    <s v=""/>
    <s v=""/>
    <s v=""/>
    <s v=""/>
    <s v="通过"/>
  </r>
  <r>
    <s v="SIM-20260929-C003"/>
    <n v="5"/>
    <s v="C003"/>
    <d v="2026-09-29T00:00:00"/>
    <s v="P009"/>
    <x v="0"/>
    <n v="9.8000000000000007"/>
    <n v="9.8000000000000007"/>
    <n v="0"/>
    <n v="4.8"/>
    <s v="正常交付"/>
    <s v="true"/>
    <x v="17"/>
    <s v="散装鲜菜"/>
    <s v="模拟_兴街快餐店"/>
    <n v="47.04"/>
    <n v="0"/>
    <n v="47.04"/>
    <s v=""/>
    <s v=""/>
    <s v=""/>
    <s v=""/>
    <s v="通过"/>
  </r>
  <r>
    <s v="SIM-20260929-C003"/>
    <n v="6"/>
    <s v="C003"/>
    <d v="2026-09-29T00:00:00"/>
    <s v="P001"/>
    <x v="0"/>
    <n v="7.2"/>
    <n v="7.2"/>
    <n v="0"/>
    <n v="3.1"/>
    <s v="正常交付"/>
    <s v="true"/>
    <x v="9"/>
    <s v="散装鲜菜"/>
    <s v="模拟_兴街快餐店"/>
    <n v="22.32"/>
    <n v="0"/>
    <n v="22.32"/>
    <s v=""/>
    <s v=""/>
    <s v=""/>
    <s v=""/>
    <s v="通过"/>
  </r>
  <r>
    <s v="SIM-20260929-C003"/>
    <n v="7"/>
    <s v="C003"/>
    <d v="2026-09-29T00:00:00"/>
    <s v="P016"/>
    <x v="0"/>
    <n v="6"/>
    <n v="6"/>
    <n v="0"/>
    <n v="10.3"/>
    <s v="正常交付"/>
    <s v="true"/>
    <x v="4"/>
    <s v="普通鲜鸡蛋按净重"/>
    <s v="模拟_兴街快餐店"/>
    <n v="61.8"/>
    <n v="0"/>
    <n v="61.8"/>
    <s v=""/>
    <s v=""/>
    <s v=""/>
    <s v=""/>
    <s v="通过"/>
  </r>
  <r>
    <s v="SIM-20260929-C003"/>
    <n v="8"/>
    <s v="C003"/>
    <d v="2026-09-29T00:00:00"/>
    <s v="P015"/>
    <x v="0"/>
    <n v="1"/>
    <n v="1"/>
    <n v="0"/>
    <n v="7.7"/>
    <s v="正常交付"/>
    <s v="true"/>
    <x v="5"/>
    <s v="散装鲜菜"/>
    <s v="模拟_兴街快餐店"/>
    <n v="7.7"/>
    <n v="0"/>
    <n v="7.7"/>
    <s v=""/>
    <s v=""/>
    <s v=""/>
    <s v=""/>
    <s v="通过"/>
  </r>
  <r>
    <s v="SIM-20260929-C004"/>
    <n v="1"/>
    <s v="C004"/>
    <d v="2026-09-29T00:00:00"/>
    <s v="P011"/>
    <x v="0"/>
    <n v="7.5"/>
    <n v="7.5"/>
    <n v="0"/>
    <n v="4.8"/>
    <s v="正常交付"/>
    <s v="true"/>
    <x v="8"/>
    <s v="散装鲜菜"/>
    <s v="模拟_田畔饭店"/>
    <n v="36"/>
    <n v="0"/>
    <n v="36"/>
    <s v=""/>
    <s v=""/>
    <s v=""/>
    <s v=""/>
    <s v="通过"/>
  </r>
  <r>
    <s v="SIM-20260929-C004"/>
    <n v="2"/>
    <s v="C004"/>
    <d v="2026-09-29T00:00:00"/>
    <s v="P006"/>
    <x v="0"/>
    <n v="8"/>
    <n v="8"/>
    <n v="0"/>
    <n v="4.5"/>
    <s v="正常交付"/>
    <s v="true"/>
    <x v="10"/>
    <s v="散装鲜菜"/>
    <s v="模拟_田畔饭店"/>
    <n v="36"/>
    <n v="0"/>
    <n v="36"/>
    <s v=""/>
    <s v=""/>
    <s v=""/>
    <s v=""/>
    <s v="通过"/>
  </r>
  <r>
    <s v="SIM-20260929-C004"/>
    <n v="3"/>
    <s v="C004"/>
    <d v="2026-09-29T00:00:00"/>
    <s v="P014"/>
    <x v="0"/>
    <n v="6"/>
    <n v="6"/>
    <n v="0"/>
    <n v="4.8"/>
    <s v="正常交付"/>
    <s v="true"/>
    <x v="19"/>
    <s v="散装鲜菜"/>
    <s v="模拟_田畔饭店"/>
    <n v="28.8"/>
    <n v="0"/>
    <n v="28.8"/>
    <s v=""/>
    <s v=""/>
    <s v=""/>
    <s v=""/>
    <s v="通过"/>
  </r>
  <r>
    <s v="SIM-20260929-C004"/>
    <n v="4"/>
    <s v="C004"/>
    <d v="2026-09-29T00:00:00"/>
    <s v="P013"/>
    <x v="0"/>
    <n v="7.5"/>
    <n v="7.5"/>
    <n v="0"/>
    <n v="6.3"/>
    <s v="正常交付"/>
    <s v="true"/>
    <x v="11"/>
    <s v="散装鲜菜"/>
    <s v="模拟_田畔饭店"/>
    <n v="47.25"/>
    <n v="0"/>
    <n v="47.25"/>
    <s v=""/>
    <s v=""/>
    <s v=""/>
    <s v=""/>
    <s v="通过"/>
  </r>
  <r>
    <s v="SIM-20260929-C004"/>
    <n v="5"/>
    <s v="C004"/>
    <d v="2026-09-29T00:00:00"/>
    <s v="P004"/>
    <x v="0"/>
    <n v="4"/>
    <n v="4"/>
    <n v="0"/>
    <n v="2.2000000000000002"/>
    <s v="正常交付"/>
    <s v="true"/>
    <x v="3"/>
    <s v="散装鲜菜"/>
    <s v="模拟_田畔饭店"/>
    <n v="8.8000000000000007"/>
    <n v="0"/>
    <n v="8.8000000000000007"/>
    <s v=""/>
    <s v=""/>
    <s v=""/>
    <s v=""/>
    <s v="通过"/>
  </r>
  <r>
    <s v="SIM-20260929-C004"/>
    <n v="6"/>
    <s v="C004"/>
    <d v="2026-09-29T00:00:00"/>
    <s v="P001"/>
    <x v="0"/>
    <n v="4.5"/>
    <n v="4.5"/>
    <n v="0"/>
    <n v="3.1"/>
    <s v="正常交付"/>
    <s v="true"/>
    <x v="9"/>
    <s v="散装鲜菜"/>
    <s v="模拟_田畔饭店"/>
    <n v="13.95"/>
    <n v="0"/>
    <n v="13.95"/>
    <s v=""/>
    <s v=""/>
    <s v=""/>
    <s v=""/>
    <s v="通过"/>
  </r>
  <r>
    <s v="SIM-20260929-C004"/>
    <n v="7"/>
    <s v="C004"/>
    <d v="2026-09-29T00:00:00"/>
    <s v="P016"/>
    <x v="0"/>
    <n v="5"/>
    <n v="5"/>
    <n v="0"/>
    <n v="10.3"/>
    <s v="正常交付"/>
    <s v="true"/>
    <x v="4"/>
    <s v="普通鲜鸡蛋按净重"/>
    <s v="模拟_田畔饭店"/>
    <n v="51.5"/>
    <n v="0"/>
    <n v="51.5"/>
    <s v=""/>
    <s v=""/>
    <s v=""/>
    <s v=""/>
    <s v="通过"/>
  </r>
  <r>
    <s v="SIM-20260929-C004"/>
    <n v="8"/>
    <s v="C004"/>
    <d v="2026-09-29T00:00:00"/>
    <s v="P015"/>
    <x v="0"/>
    <n v="1"/>
    <n v="1"/>
    <n v="0"/>
    <n v="7.7"/>
    <s v="正常交付"/>
    <s v="true"/>
    <x v="5"/>
    <s v="散装鲜菜"/>
    <s v="模拟_田畔饭店"/>
    <n v="7.7"/>
    <n v="0"/>
    <n v="7.7"/>
    <s v=""/>
    <s v=""/>
    <s v=""/>
    <s v=""/>
    <s v="通过"/>
  </r>
  <r>
    <s v="SIM-20260929-C005"/>
    <n v="1"/>
    <s v="C005"/>
    <d v="2026-09-29T00:00:00"/>
    <s v="P010"/>
    <x v="0"/>
    <n v="15.5"/>
    <n v="15.5"/>
    <n v="0"/>
    <n v="4.8"/>
    <s v="正常交付"/>
    <s v="true"/>
    <x v="16"/>
    <s v="散装鲜菜"/>
    <s v="模拟_青禾小学食堂"/>
    <n v="74.400000000000006"/>
    <n v="0"/>
    <n v="74.400000000000006"/>
    <s v=""/>
    <s v=""/>
    <s v=""/>
    <s v=""/>
    <s v="通过"/>
  </r>
  <r>
    <s v="SIM-20260929-C005"/>
    <n v="2"/>
    <s v="C005"/>
    <d v="2026-09-29T00:00:00"/>
    <s v="P001"/>
    <x v="0"/>
    <n v="8.6999999999999993"/>
    <n v="8.6999999999999993"/>
    <n v="0"/>
    <n v="3.1"/>
    <s v="正常交付"/>
    <s v="true"/>
    <x v="9"/>
    <s v="散装鲜菜"/>
    <s v="模拟_青禾小学食堂"/>
    <n v="26.97"/>
    <n v="0"/>
    <n v="26.97"/>
    <s v=""/>
    <s v=""/>
    <s v=""/>
    <s v=""/>
    <s v="通过"/>
  </r>
  <r>
    <s v="SIM-20260929-C005"/>
    <n v="3"/>
    <s v="C005"/>
    <d v="2026-09-29T00:00:00"/>
    <s v="P006"/>
    <x v="0"/>
    <n v="6.8"/>
    <n v="6.8"/>
    <n v="0"/>
    <n v="4.5"/>
    <s v="正常交付"/>
    <s v="true"/>
    <x v="10"/>
    <s v="散装鲜菜"/>
    <s v="模拟_青禾小学食堂"/>
    <n v="30.6"/>
    <n v="0"/>
    <n v="30.6"/>
    <s v=""/>
    <s v=""/>
    <s v=""/>
    <s v=""/>
    <s v="通过"/>
  </r>
  <r>
    <s v="SIM-20260929-C005"/>
    <n v="4"/>
    <s v="C005"/>
    <d v="2026-09-29T00:00:00"/>
    <s v="P003"/>
    <x v="0"/>
    <n v="8.6999999999999993"/>
    <n v="8.6999999999999993"/>
    <n v="0"/>
    <n v="3"/>
    <s v="正常交付"/>
    <s v="true"/>
    <x v="12"/>
    <s v="散装鲜菜"/>
    <s v="模拟_青禾小学食堂"/>
    <n v="26.1"/>
    <n v="0"/>
    <n v="26.1"/>
    <s v=""/>
    <s v=""/>
    <s v=""/>
    <s v=""/>
    <s v="通过"/>
  </r>
  <r>
    <s v="SIM-20260929-C005"/>
    <n v="5"/>
    <s v="C005"/>
    <d v="2026-09-29T00:00:00"/>
    <s v="P005"/>
    <x v="0"/>
    <n v="13.5"/>
    <n v="13.5"/>
    <n v="0"/>
    <n v="2.8"/>
    <s v="正常交付"/>
    <s v="true"/>
    <x v="1"/>
    <s v="散装鲜菜"/>
    <s v="模拟_青禾小学食堂"/>
    <n v="37.799999999999997"/>
    <n v="0"/>
    <n v="37.799999999999997"/>
    <s v=""/>
    <s v=""/>
    <s v=""/>
    <s v=""/>
    <s v="通过"/>
  </r>
  <r>
    <s v="SIM-20260929-C005"/>
    <n v="6"/>
    <s v="C005"/>
    <d v="2026-09-29T00:00:00"/>
    <s v="P013"/>
    <x v="0"/>
    <n v="10.6"/>
    <n v="10.6"/>
    <n v="0"/>
    <n v="6.3"/>
    <s v="正常交付"/>
    <s v="true"/>
    <x v="11"/>
    <s v="散装鲜菜"/>
    <s v="模拟_青禾小学食堂"/>
    <n v="66.78"/>
    <n v="0"/>
    <n v="66.78"/>
    <s v=""/>
    <s v=""/>
    <s v=""/>
    <s v=""/>
    <s v="通过"/>
  </r>
  <r>
    <s v="SIM-20260929-C005"/>
    <n v="7"/>
    <s v="C005"/>
    <d v="2026-09-29T00:00:00"/>
    <s v="P016"/>
    <x v="0"/>
    <n v="12"/>
    <n v="12"/>
    <n v="0"/>
    <n v="10.3"/>
    <s v="正常交付"/>
    <s v="true"/>
    <x v="4"/>
    <s v="普通鲜鸡蛋按净重"/>
    <s v="模拟_青禾小学食堂"/>
    <n v="123.6"/>
    <n v="0"/>
    <n v="123.6"/>
    <s v=""/>
    <s v=""/>
    <s v=""/>
    <s v=""/>
    <s v="通过"/>
  </r>
  <r>
    <s v="SIM-20260929-C005"/>
    <n v="8"/>
    <s v="C005"/>
    <d v="2026-09-29T00:00:00"/>
    <s v="P017"/>
    <x v="2"/>
    <n v="6"/>
    <n v="6"/>
    <n v="0"/>
    <n v="119"/>
    <s v="正常交付"/>
    <s v="true"/>
    <x v="13"/>
    <s v="25公斤/袋普通籼米"/>
    <s v="模拟_青禾小学食堂"/>
    <n v="714"/>
    <n v="0"/>
    <n v="714"/>
    <s v=""/>
    <s v=""/>
    <s v=""/>
    <s v=""/>
    <s v="通过"/>
  </r>
  <r>
    <s v="SIM-20260929-C005"/>
    <n v="9"/>
    <s v="C005"/>
    <d v="2026-09-29T00:00:00"/>
    <s v="P020"/>
    <x v="1"/>
    <n v="2"/>
    <n v="2"/>
    <n v="0"/>
    <n v="59"/>
    <s v="正常交付"/>
    <s v="true"/>
    <x v="15"/>
    <s v="5升/桶普通大豆油"/>
    <s v="模拟_青禾小学食堂"/>
    <n v="118"/>
    <n v="0"/>
    <n v="118"/>
    <s v=""/>
    <s v=""/>
    <s v=""/>
    <s v=""/>
    <s v="通过"/>
  </r>
  <r>
    <s v="SIM-20260929-C006"/>
    <n v="1"/>
    <s v="C006"/>
    <d v="2026-09-29T00:00:00"/>
    <s v="P011"/>
    <x v="0"/>
    <n v="4.8"/>
    <n v="4.8"/>
    <n v="0"/>
    <n v="4.8"/>
    <s v="正常交付"/>
    <s v="true"/>
    <x v="8"/>
    <s v="散装鲜菜"/>
    <s v="模拟_溪桥医院食堂"/>
    <n v="23.04"/>
    <n v="0"/>
    <n v="23.04"/>
    <s v=""/>
    <s v=""/>
    <s v=""/>
    <s v=""/>
    <s v="通过"/>
  </r>
  <r>
    <s v="SIM-20260929-C006"/>
    <n v="2"/>
    <s v="C006"/>
    <d v="2026-09-29T00:00:00"/>
    <s v="P005"/>
    <x v="0"/>
    <n v="6"/>
    <n v="6"/>
    <n v="0"/>
    <n v="2.8"/>
    <s v="正常交付"/>
    <s v="true"/>
    <x v="1"/>
    <s v="散装鲜菜"/>
    <s v="模拟_溪桥医院食堂"/>
    <n v="16.8"/>
    <n v="0"/>
    <n v="16.8"/>
    <s v=""/>
    <s v=""/>
    <s v=""/>
    <s v=""/>
    <s v="通过"/>
  </r>
  <r>
    <s v="SIM-20260929-C006"/>
    <n v="3"/>
    <s v="C006"/>
    <d v="2026-09-29T00:00:00"/>
    <s v="P001"/>
    <x v="0"/>
    <n v="9.6999999999999993"/>
    <n v="9.6999999999999993"/>
    <n v="0"/>
    <n v="3.1"/>
    <s v="正常交付"/>
    <s v="true"/>
    <x v="9"/>
    <s v="散装鲜菜"/>
    <s v="模拟_溪桥医院食堂"/>
    <n v="30.07"/>
    <n v="0"/>
    <n v="30.07"/>
    <s v=""/>
    <s v=""/>
    <s v=""/>
    <s v=""/>
    <s v="通过"/>
  </r>
  <r>
    <s v="SIM-20260929-C006"/>
    <n v="4"/>
    <s v="C006"/>
    <d v="2026-09-29T00:00:00"/>
    <s v="P004"/>
    <x v="0"/>
    <n v="8.5"/>
    <n v="8.5"/>
    <n v="0"/>
    <n v="2.2000000000000002"/>
    <s v="正常交付"/>
    <s v="true"/>
    <x v="3"/>
    <s v="散装鲜菜"/>
    <s v="模拟_溪桥医院食堂"/>
    <n v="18.7"/>
    <n v="0"/>
    <n v="18.7"/>
    <s v=""/>
    <s v=""/>
    <s v=""/>
    <s v=""/>
    <s v="通过"/>
  </r>
  <r>
    <s v="SIM-20260929-C006"/>
    <n v="5"/>
    <s v="C006"/>
    <d v="2026-09-29T00:00:00"/>
    <s v="P006"/>
    <x v="0"/>
    <n v="6.7"/>
    <n v="6.7"/>
    <n v="0"/>
    <n v="4.5"/>
    <s v="正常交付"/>
    <s v="true"/>
    <x v="10"/>
    <s v="散装鲜菜"/>
    <s v="模拟_溪桥医院食堂"/>
    <n v="30.15"/>
    <n v="0"/>
    <n v="30.15"/>
    <s v=""/>
    <s v=""/>
    <s v=""/>
    <s v=""/>
    <s v="通过"/>
  </r>
  <r>
    <s v="SIM-20260929-C006"/>
    <n v="6"/>
    <s v="C006"/>
    <d v="2026-09-29T00:00:00"/>
    <s v="P007"/>
    <x v="0"/>
    <n v="8.5"/>
    <n v="8.5"/>
    <n v="0"/>
    <n v="5.25"/>
    <s v="正常交付"/>
    <s v="true"/>
    <x v="18"/>
    <s v="散装鲜菜"/>
    <s v="模拟_溪桥医院食堂"/>
    <n v="44.63"/>
    <n v="0"/>
    <n v="44.63"/>
    <s v=""/>
    <s v=""/>
    <s v=""/>
    <s v=""/>
    <s v="通过"/>
  </r>
  <r>
    <s v="SIM-20260929-C006"/>
    <n v="7"/>
    <s v="C006"/>
    <d v="2026-09-29T00:00:00"/>
    <s v="P016"/>
    <x v="0"/>
    <n v="9"/>
    <n v="9"/>
    <n v="0"/>
    <n v="10.3"/>
    <s v="正常交付"/>
    <s v="true"/>
    <x v="4"/>
    <s v="普通鲜鸡蛋按净重"/>
    <s v="模拟_溪桥医院食堂"/>
    <n v="92.7"/>
    <n v="0"/>
    <n v="92.7"/>
    <s v=""/>
    <s v=""/>
    <s v=""/>
    <s v=""/>
    <s v="通过"/>
  </r>
  <r>
    <s v="SIM-20260930-C001"/>
    <n v="1"/>
    <s v="C001"/>
    <d v="2026-09-30T00:00:00"/>
    <s v="P010"/>
    <x v="0"/>
    <n v="1.6"/>
    <n v="1.6"/>
    <n v="0"/>
    <n v="4.8"/>
    <s v="正常交付"/>
    <s v="true"/>
    <x v="16"/>
    <s v="散装鲜菜"/>
    <s v="模拟_榕树下粉面店"/>
    <n v="7.68"/>
    <n v="0"/>
    <n v="7.68"/>
    <s v=""/>
    <s v=""/>
    <s v=""/>
    <s v=""/>
    <s v="通过"/>
  </r>
  <r>
    <s v="SIM-20260930-C001"/>
    <n v="2"/>
    <s v="C001"/>
    <d v="2026-09-30T00:00:00"/>
    <s v="P007"/>
    <x v="0"/>
    <n v="3.2"/>
    <n v="3.2"/>
    <n v="0"/>
    <n v="5.25"/>
    <s v="正常交付"/>
    <s v="true"/>
    <x v="18"/>
    <s v="散装鲜菜"/>
    <s v="模拟_榕树下粉面店"/>
    <n v="16.8"/>
    <n v="0"/>
    <n v="16.8"/>
    <s v=""/>
    <s v=""/>
    <s v=""/>
    <s v=""/>
    <s v="通过"/>
  </r>
  <r>
    <s v="SIM-20260930-C001"/>
    <n v="3"/>
    <s v="C001"/>
    <d v="2026-09-30T00:00:00"/>
    <s v="P008"/>
    <x v="0"/>
    <n v="3"/>
    <n v="3"/>
    <n v="0"/>
    <n v="4.3"/>
    <s v="正常交付"/>
    <s v="true"/>
    <x v="14"/>
    <s v="散装鲜菜"/>
    <s v="模拟_榕树下粉面店"/>
    <n v="12.9"/>
    <n v="0"/>
    <n v="12.9"/>
    <s v=""/>
    <s v=""/>
    <s v=""/>
    <s v=""/>
    <s v="通过"/>
  </r>
  <r>
    <s v="SIM-20260930-C001"/>
    <n v="4"/>
    <s v="C001"/>
    <d v="2026-09-30T00:00:00"/>
    <s v="P001"/>
    <x v="0"/>
    <n v="3"/>
    <n v="3"/>
    <n v="0"/>
    <n v="3.1"/>
    <s v="正常交付"/>
    <s v="true"/>
    <x v="9"/>
    <s v="散装鲜菜"/>
    <s v="模拟_榕树下粉面店"/>
    <n v="9.3000000000000007"/>
    <n v="0"/>
    <n v="9.3000000000000007"/>
    <s v=""/>
    <s v=""/>
    <s v=""/>
    <s v=""/>
    <s v="通过"/>
  </r>
  <r>
    <s v="SIM-20260930-C001"/>
    <n v="5"/>
    <s v="C001"/>
    <d v="2026-09-30T00:00:00"/>
    <s v="P019"/>
    <x v="1"/>
    <n v="1"/>
    <n v="1"/>
    <n v="0"/>
    <n v="69"/>
    <s v="正常交付"/>
    <s v="true"/>
    <x v="6"/>
    <s v="5升/桶普通菜籽油"/>
    <s v="模拟_榕树下粉面店"/>
    <n v="69"/>
    <n v="0"/>
    <n v="69"/>
    <s v=""/>
    <s v=""/>
    <s v=""/>
    <s v=""/>
    <s v="通过"/>
  </r>
  <r>
    <s v="SIM-20260930-C001"/>
    <n v="6"/>
    <s v="C001"/>
    <d v="2026-09-30T00:00:00"/>
    <s v="P018"/>
    <x v="2"/>
    <n v="1"/>
    <n v="1"/>
    <n v="0"/>
    <n v="107"/>
    <s v="正常交付"/>
    <s v="true"/>
    <x v="7"/>
    <s v="25公斤/袋普通小麦粉"/>
    <s v="模拟_榕树下粉面店"/>
    <n v="107"/>
    <n v="0"/>
    <n v="107"/>
    <s v=""/>
    <s v=""/>
    <s v=""/>
    <s v=""/>
    <s v="通过"/>
  </r>
  <r>
    <s v="SIM-20260930-C002"/>
    <n v="1"/>
    <s v="C002"/>
    <d v="2026-09-30T00:00:00"/>
    <s v="P011"/>
    <x v="0"/>
    <n v="3.4"/>
    <n v="3.4"/>
    <n v="0"/>
    <n v="4.8"/>
    <s v="正常交付"/>
    <s v="true"/>
    <x v="8"/>
    <s v="散装鲜菜"/>
    <s v="模拟_桥头家常菜馆"/>
    <n v="16.32"/>
    <n v="0"/>
    <n v="16.32"/>
    <s v=""/>
    <s v=""/>
    <s v=""/>
    <s v=""/>
    <s v="通过"/>
  </r>
  <r>
    <s v="SIM-20260930-C002"/>
    <n v="2"/>
    <s v="C002"/>
    <d v="2026-09-30T00:00:00"/>
    <s v="P008"/>
    <x v="0"/>
    <n v="6.8"/>
    <n v="6.8"/>
    <n v="0"/>
    <n v="4.3"/>
    <s v="正常交付"/>
    <s v="true"/>
    <x v="14"/>
    <s v="散装鲜菜"/>
    <s v="模拟_桥头家常菜馆"/>
    <n v="29.24"/>
    <n v="0"/>
    <n v="29.24"/>
    <s v=""/>
    <s v=""/>
    <s v=""/>
    <s v=""/>
    <s v="通过"/>
  </r>
  <r>
    <s v="SIM-20260930-C002"/>
    <n v="3"/>
    <s v="C002"/>
    <d v="2026-09-30T00:00:00"/>
    <s v="P006"/>
    <x v="0"/>
    <n v="6.4"/>
    <n v="6.4"/>
    <n v="0"/>
    <n v="4.5"/>
    <s v="正常交付"/>
    <s v="true"/>
    <x v="10"/>
    <s v="散装鲜菜"/>
    <s v="模拟_桥头家常菜馆"/>
    <n v="28.8"/>
    <n v="0"/>
    <n v="28.8"/>
    <s v=""/>
    <s v=""/>
    <s v=""/>
    <s v=""/>
    <s v="通过"/>
  </r>
  <r>
    <s v="SIM-20260930-C002"/>
    <n v="4"/>
    <s v="C002"/>
    <d v="2026-09-30T00:00:00"/>
    <s v="P003"/>
    <x v="0"/>
    <n v="6.4"/>
    <n v="6.4"/>
    <n v="0"/>
    <n v="3"/>
    <s v="正常交付"/>
    <s v="true"/>
    <x v="12"/>
    <s v="散装鲜菜"/>
    <s v="模拟_桥头家常菜馆"/>
    <n v="19.2"/>
    <n v="0"/>
    <n v="19.2"/>
    <s v=""/>
    <s v=""/>
    <s v=""/>
    <s v=""/>
    <s v="通过"/>
  </r>
  <r>
    <s v="SIM-20260930-C002"/>
    <n v="5"/>
    <s v="C002"/>
    <d v="2026-09-30T00:00:00"/>
    <s v="P004"/>
    <x v="0"/>
    <n v="3.9"/>
    <n v="3.9"/>
    <n v="0"/>
    <n v="2.2000000000000002"/>
    <s v="正常交付"/>
    <s v="true"/>
    <x v="3"/>
    <s v="散装鲜菜"/>
    <s v="模拟_桥头家常菜馆"/>
    <n v="8.58"/>
    <n v="0"/>
    <n v="8.58"/>
    <s v=""/>
    <s v=""/>
    <s v=""/>
    <s v=""/>
    <s v="通过"/>
  </r>
  <r>
    <s v="SIM-20260930-C002"/>
    <n v="6"/>
    <s v="C002"/>
    <d v="2026-09-30T00:00:00"/>
    <s v="P017"/>
    <x v="2"/>
    <n v="3"/>
    <n v="3"/>
    <n v="0"/>
    <n v="119"/>
    <s v="正常交付"/>
    <s v="true"/>
    <x v="13"/>
    <s v="25公斤/袋普通籼米"/>
    <s v="模拟_桥头家常菜馆"/>
    <n v="357"/>
    <n v="0"/>
    <n v="357"/>
    <s v=""/>
    <s v=""/>
    <s v=""/>
    <s v=""/>
    <s v="通过"/>
  </r>
  <r>
    <s v="SIM-20260930-C002"/>
    <n v="7"/>
    <s v="C002"/>
    <d v="2026-09-30T00:00:00"/>
    <s v="P019"/>
    <x v="1"/>
    <n v="1"/>
    <n v="1"/>
    <n v="0"/>
    <n v="69"/>
    <s v="正常交付"/>
    <s v="true"/>
    <x v="6"/>
    <s v="5升/桶普通菜籽油"/>
    <s v="模拟_桥头家常菜馆"/>
    <n v="69"/>
    <n v="0"/>
    <n v="69"/>
    <s v=""/>
    <s v=""/>
    <s v=""/>
    <s v=""/>
    <s v="通过"/>
  </r>
  <r>
    <s v="SIM-20260930-C003"/>
    <n v="1"/>
    <s v="C003"/>
    <d v="2026-09-30T00:00:00"/>
    <s v="P011"/>
    <x v="0"/>
    <n v="5.6"/>
    <n v="5.6"/>
    <n v="0.3"/>
    <n v="4.8"/>
    <s v="正常交付；签收时挑出黄叶退回"/>
    <s v="true"/>
    <x v="8"/>
    <s v="散装鲜菜"/>
    <s v="模拟_兴街快餐店"/>
    <n v="26.88"/>
    <n v="1.44"/>
    <n v="25.439999999999998"/>
    <s v=""/>
    <s v=""/>
    <s v=""/>
    <s v=""/>
    <s v="通过"/>
  </r>
  <r>
    <s v="SIM-20260930-C003"/>
    <n v="2"/>
    <s v="C003"/>
    <d v="2026-09-30T00:00:00"/>
    <s v="P004"/>
    <x v="0"/>
    <n v="7.5"/>
    <n v="7.5"/>
    <n v="0"/>
    <n v="2.2000000000000002"/>
    <s v="正常交付"/>
    <s v="true"/>
    <x v="3"/>
    <s v="散装鲜菜"/>
    <s v="模拟_兴街快餐店"/>
    <n v="16.5"/>
    <n v="0"/>
    <n v="16.5"/>
    <s v=""/>
    <s v=""/>
    <s v=""/>
    <s v=""/>
    <s v="通过"/>
  </r>
  <r>
    <s v="SIM-20260930-C003"/>
    <n v="3"/>
    <s v="C003"/>
    <d v="2026-09-30T00:00:00"/>
    <s v="P001"/>
    <x v="0"/>
    <n v="6.1"/>
    <n v="6.1"/>
    <n v="0"/>
    <n v="3.1"/>
    <s v="正常交付"/>
    <s v="true"/>
    <x v="9"/>
    <s v="散装鲜菜"/>
    <s v="模拟_兴街快餐店"/>
    <n v="18.91"/>
    <n v="0"/>
    <n v="18.91"/>
    <s v=""/>
    <s v=""/>
    <s v=""/>
    <s v=""/>
    <s v="通过"/>
  </r>
  <r>
    <s v="SIM-20260930-C003"/>
    <n v="4"/>
    <s v="C003"/>
    <d v="2026-09-30T00:00:00"/>
    <s v="P013"/>
    <x v="0"/>
    <n v="7"/>
    <n v="6.5"/>
    <n v="0"/>
    <n v="6.3"/>
    <s v="到货不足；按实际交付计费"/>
    <s v="true"/>
    <x v="11"/>
    <s v="散装鲜菜"/>
    <s v="模拟_兴街快餐店"/>
    <n v="40.950000000000003"/>
    <n v="0"/>
    <n v="40.950000000000003"/>
    <s v=""/>
    <s v=""/>
    <s v=""/>
    <s v=""/>
    <s v="通过"/>
  </r>
  <r>
    <s v="SIM-20260930-C003"/>
    <n v="5"/>
    <s v="C003"/>
    <d v="2026-09-30T00:00:00"/>
    <s v="P008"/>
    <x v="0"/>
    <n v="7"/>
    <n v="7"/>
    <n v="0"/>
    <n v="4.3"/>
    <s v="正常交付"/>
    <s v="true"/>
    <x v="14"/>
    <s v="散装鲜菜"/>
    <s v="模拟_兴街快餐店"/>
    <n v="30.1"/>
    <n v="0"/>
    <n v="30.1"/>
    <s v=""/>
    <s v=""/>
    <s v=""/>
    <s v=""/>
    <s v="通过"/>
  </r>
  <r>
    <s v="SIM-20260930-C003"/>
    <n v="6"/>
    <s v="C003"/>
    <d v="2026-09-30T00:00:00"/>
    <s v="P002"/>
    <x v="0"/>
    <n v="5.0999999999999996"/>
    <n v="5.0999999999999996"/>
    <n v="0"/>
    <n v="2.7"/>
    <s v="正常交付"/>
    <s v="true"/>
    <x v="2"/>
    <s v="散装鲜菜"/>
    <s v="模拟_兴街快餐店"/>
    <n v="13.77"/>
    <n v="0"/>
    <n v="13.77"/>
    <s v=""/>
    <s v=""/>
    <s v=""/>
    <s v=""/>
    <s v="通过"/>
  </r>
  <r>
    <s v="SIM-20260930-C003"/>
    <n v="7"/>
    <s v="C003"/>
    <d v="2026-09-30T00:00:00"/>
    <s v="P017"/>
    <x v="2"/>
    <n v="5"/>
    <n v="5"/>
    <n v="0"/>
    <n v="119"/>
    <s v="正常交付"/>
    <s v="true"/>
    <x v="13"/>
    <s v="25公斤/袋普通籼米"/>
    <s v="模拟_兴街快餐店"/>
    <n v="595"/>
    <n v="0"/>
    <n v="595"/>
    <s v=""/>
    <s v=""/>
    <s v=""/>
    <s v=""/>
    <s v="通过"/>
  </r>
  <r>
    <s v="SIM-20260930-C003"/>
    <n v="8"/>
    <s v="C003"/>
    <d v="2026-09-30T00:00:00"/>
    <s v="P020"/>
    <x v="1"/>
    <n v="2"/>
    <n v="2"/>
    <n v="0"/>
    <n v="59"/>
    <s v="正常交付"/>
    <s v="true"/>
    <x v="15"/>
    <s v="5升/桶普通大豆油"/>
    <s v="模拟_兴街快餐店"/>
    <n v="118"/>
    <n v="0"/>
    <n v="118"/>
    <s v=""/>
    <s v=""/>
    <s v=""/>
    <s v=""/>
    <s v="通过"/>
  </r>
  <r>
    <s v="SIM-20260930-C005"/>
    <n v="1"/>
    <s v="C005"/>
    <d v="2026-09-30T00:00:00"/>
    <s v="P011"/>
    <x v="0"/>
    <n v="8.3000000000000007"/>
    <n v="8.3000000000000007"/>
    <n v="0"/>
    <n v="4.8"/>
    <s v="正常交付"/>
    <s v="true"/>
    <x v="8"/>
    <s v="散装鲜菜"/>
    <s v="模拟_青禾小学食堂"/>
    <n v="39.840000000000003"/>
    <n v="0"/>
    <n v="39.840000000000003"/>
    <s v=""/>
    <s v=""/>
    <s v=""/>
    <s v=""/>
    <s v="通过"/>
  </r>
  <r>
    <s v="SIM-20260930-C005"/>
    <n v="2"/>
    <s v="C005"/>
    <d v="2026-09-30T00:00:00"/>
    <s v="P014"/>
    <x v="0"/>
    <n v="6.4"/>
    <n v="6.4"/>
    <n v="0"/>
    <n v="4.8"/>
    <s v="正常交付"/>
    <s v="true"/>
    <x v="19"/>
    <s v="散装鲜菜"/>
    <s v="模拟_青禾小学食堂"/>
    <n v="30.72"/>
    <n v="0"/>
    <n v="30.72"/>
    <s v=""/>
    <s v=""/>
    <s v=""/>
    <s v=""/>
    <s v="通过"/>
  </r>
  <r>
    <s v="SIM-20260930-C005"/>
    <n v="3"/>
    <s v="C005"/>
    <d v="2026-09-30T00:00:00"/>
    <s v="P013"/>
    <x v="0"/>
    <n v="6.4"/>
    <n v="6.4"/>
    <n v="0"/>
    <n v="6.3"/>
    <s v="正常交付"/>
    <s v="true"/>
    <x v="11"/>
    <s v="散装鲜菜"/>
    <s v="模拟_青禾小学食堂"/>
    <n v="40.32"/>
    <n v="0"/>
    <n v="40.32"/>
    <s v=""/>
    <s v=""/>
    <s v=""/>
    <s v=""/>
    <s v="通过"/>
  </r>
  <r>
    <s v="SIM-20260930-C005"/>
    <n v="4"/>
    <s v="C005"/>
    <d v="2026-09-30T00:00:00"/>
    <s v="P009"/>
    <x v="0"/>
    <n v="8.3000000000000007"/>
    <n v="7.8"/>
    <n v="0"/>
    <n v="4.8"/>
    <s v="到货不足；按实际交付计费"/>
    <s v="true"/>
    <x v="17"/>
    <s v="散装鲜菜"/>
    <s v="模拟_青禾小学食堂"/>
    <n v="37.44"/>
    <n v="0"/>
    <n v="37.44"/>
    <s v=""/>
    <s v=""/>
    <s v=""/>
    <s v=""/>
    <s v="通过"/>
  </r>
  <r>
    <s v="SIM-20260930-C005"/>
    <n v="5"/>
    <s v="C005"/>
    <d v="2026-09-30T00:00:00"/>
    <s v="P002"/>
    <x v="0"/>
    <n v="12.9"/>
    <n v="12.9"/>
    <n v="0"/>
    <n v="2.7"/>
    <s v="正常交付"/>
    <s v="true"/>
    <x v="2"/>
    <s v="散装鲜菜"/>
    <s v="模拟_青禾小学食堂"/>
    <n v="34.83"/>
    <n v="0"/>
    <n v="34.83"/>
    <s v=""/>
    <s v=""/>
    <s v=""/>
    <s v=""/>
    <s v="通过"/>
  </r>
  <r>
    <s v="SIM-20260930-C005"/>
    <n v="6"/>
    <s v="C005"/>
    <d v="2026-09-30T00:00:00"/>
    <s v="P005"/>
    <x v="0"/>
    <n v="14.7"/>
    <n v="14.7"/>
    <n v="0"/>
    <n v="2.8"/>
    <s v="正常交付"/>
    <s v="true"/>
    <x v="1"/>
    <s v="散装鲜菜"/>
    <s v="模拟_青禾小学食堂"/>
    <n v="41.16"/>
    <n v="0"/>
    <n v="41.16"/>
    <s v=""/>
    <s v=""/>
    <s v=""/>
    <s v=""/>
    <s v="通过"/>
  </r>
  <r>
    <s v="SIM-20260930-C005"/>
    <n v="7"/>
    <s v="C005"/>
    <d v="2026-09-30T00:00:00"/>
    <s v="P015"/>
    <x v="0"/>
    <n v="1"/>
    <n v="1"/>
    <n v="0"/>
    <n v="7.7"/>
    <s v="正常交付"/>
    <s v="true"/>
    <x v="5"/>
    <s v="散装鲜菜"/>
    <s v="模拟_青禾小学食堂"/>
    <n v="7.7"/>
    <n v="0"/>
    <n v="7.7"/>
    <s v=""/>
    <s v=""/>
    <s v=""/>
    <s v=""/>
    <s v="通过"/>
  </r>
  <r>
    <s v="SIM-20260930-C006"/>
    <n v="1"/>
    <s v="C006"/>
    <d v="2026-09-30T00:00:00"/>
    <s v="P011"/>
    <x v="0"/>
    <n v="5.5"/>
    <n v="5.5"/>
    <n v="0"/>
    <n v="4.8"/>
    <s v="正常交付"/>
    <s v="true"/>
    <x v="8"/>
    <s v="散装鲜菜"/>
    <s v="模拟_溪桥医院食堂"/>
    <n v="26.4"/>
    <n v="0"/>
    <n v="26.4"/>
    <s v=""/>
    <s v=""/>
    <s v=""/>
    <s v=""/>
    <s v="通过"/>
  </r>
  <r>
    <s v="SIM-20260930-C006"/>
    <n v="2"/>
    <s v="C006"/>
    <d v="2026-09-30T00:00:00"/>
    <s v="P002"/>
    <x v="0"/>
    <n v="7.1"/>
    <n v="7.1"/>
    <n v="0"/>
    <n v="2.7"/>
    <s v="正常交付"/>
    <s v="true"/>
    <x v="2"/>
    <s v="散装鲜菜"/>
    <s v="模拟_溪桥医院食堂"/>
    <n v="19.170000000000002"/>
    <n v="0"/>
    <n v="19.170000000000002"/>
    <s v=""/>
    <s v=""/>
    <s v=""/>
    <s v=""/>
    <s v="通过"/>
  </r>
  <r>
    <s v="SIM-20260930-C006"/>
    <n v="3"/>
    <s v="C006"/>
    <d v="2026-09-30T00:00:00"/>
    <s v="P007"/>
    <x v="0"/>
    <n v="11.8"/>
    <n v="11.8"/>
    <n v="0"/>
    <n v="5.25"/>
    <s v="正常交付"/>
    <s v="true"/>
    <x v="18"/>
    <s v="散装鲜菜"/>
    <s v="模拟_溪桥医院食堂"/>
    <n v="61.95"/>
    <n v="0"/>
    <n v="61.95"/>
    <s v=""/>
    <s v=""/>
    <s v=""/>
    <s v=""/>
    <s v="通过"/>
  </r>
  <r>
    <s v="SIM-20260930-C006"/>
    <n v="4"/>
    <s v="C006"/>
    <d v="2026-09-30T00:00:00"/>
    <s v="P013"/>
    <x v="0"/>
    <n v="7.9"/>
    <n v="7.9"/>
    <n v="0"/>
    <n v="6.3"/>
    <s v="正常交付"/>
    <s v="true"/>
    <x v="11"/>
    <s v="散装鲜菜"/>
    <s v="模拟_溪桥医院食堂"/>
    <n v="49.77"/>
    <n v="0"/>
    <n v="49.77"/>
    <s v=""/>
    <s v=""/>
    <s v=""/>
    <s v=""/>
    <s v="通过"/>
  </r>
  <r>
    <s v="SIM-20260930-C006"/>
    <n v="5"/>
    <s v="C006"/>
    <d v="2026-09-30T00:00:00"/>
    <s v="P008"/>
    <x v="0"/>
    <n v="12.6"/>
    <n v="12.6"/>
    <n v="0"/>
    <n v="4.3"/>
    <s v="正常交付"/>
    <s v="true"/>
    <x v="14"/>
    <s v="散装鲜菜"/>
    <s v="模拟_溪桥医院食堂"/>
    <n v="54.18"/>
    <n v="0"/>
    <n v="54.18"/>
    <s v=""/>
    <s v=""/>
    <s v=""/>
    <s v=""/>
    <s v="通过"/>
  </r>
  <r>
    <s v="SIM-20260930-C006"/>
    <n v="6"/>
    <s v="C006"/>
    <d v="2026-09-30T00:00:00"/>
    <s v="P001"/>
    <x v="0"/>
    <n v="5.5"/>
    <n v="5.5"/>
    <n v="0"/>
    <n v="3.1"/>
    <s v="正常交付"/>
    <s v="true"/>
    <x v="9"/>
    <s v="散装鲜菜"/>
    <s v="模拟_溪桥医院食堂"/>
    <n v="17.05"/>
    <n v="0"/>
    <n v="17.05"/>
    <s v=""/>
    <s v=""/>
    <s v=""/>
    <s v=""/>
    <s v="通过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">
  <r>
    <s v="SIM-20260901-C001"/>
    <n v="1"/>
    <s v="C001"/>
    <x v="0"/>
    <s v="P012"/>
    <s v="公斤"/>
    <n v="4.0999999999999996"/>
    <n v="4.0999999999999996"/>
    <n v="0"/>
    <n v="4.5999999999999996"/>
    <s v="正常交付"/>
    <s v="true"/>
    <s v="小白菜"/>
    <s v="散装鲜菜"/>
    <s v="模拟_榕树下粉面店"/>
    <n v="18.86"/>
    <n v="0"/>
    <n v="18.86"/>
    <s v=""/>
    <s v=""/>
    <s v=""/>
    <s v=""/>
    <s v="通过"/>
  </r>
  <r>
    <s v="SIM-20260901-C001"/>
    <n v="2"/>
    <s v="C001"/>
    <x v="0"/>
    <s v="P005"/>
    <s v="公斤"/>
    <n v="3.3"/>
    <n v="3.3"/>
    <n v="0"/>
    <n v="2.7"/>
    <s v="正常交付"/>
    <s v="true"/>
    <s v="南瓜"/>
    <s v="散装鲜菜"/>
    <s v="模拟_榕树下粉面店"/>
    <n v="8.91"/>
    <n v="0"/>
    <n v="8.91"/>
    <s v=""/>
    <s v=""/>
    <s v=""/>
    <s v=""/>
    <s v="通过"/>
  </r>
  <r>
    <s v="SIM-20260901-C001"/>
    <n v="3"/>
    <s v="C001"/>
    <x v="0"/>
    <s v="P002"/>
    <s v="公斤"/>
    <n v="2.6"/>
    <n v="2.6"/>
    <n v="0"/>
    <n v="2.2999999999999998"/>
    <s v="正常交付"/>
    <s v="true"/>
    <s v="白萝卜"/>
    <s v="散装鲜菜"/>
    <s v="模拟_榕树下粉面店"/>
    <n v="5.98"/>
    <n v="0"/>
    <n v="5.98"/>
    <s v=""/>
    <s v=""/>
    <s v=""/>
    <s v=""/>
    <s v="通过"/>
  </r>
  <r>
    <s v="SIM-20260901-C001"/>
    <n v="4"/>
    <s v="C001"/>
    <x v="0"/>
    <s v="P004"/>
    <s v="公斤"/>
    <n v="3"/>
    <n v="3"/>
    <n v="0"/>
    <n v="2.2999999999999998"/>
    <s v="正常交付"/>
    <s v="true"/>
    <s v="冬瓜"/>
    <s v="散装鲜菜"/>
    <s v="模拟_榕树下粉面店"/>
    <n v="6.9"/>
    <n v="0"/>
    <n v="6.9"/>
    <s v=""/>
    <s v=""/>
    <s v=""/>
    <s v=""/>
    <s v="通过"/>
  </r>
  <r>
    <s v="SIM-20260901-C001"/>
    <n v="5"/>
    <s v="C001"/>
    <x v="0"/>
    <s v="P016"/>
    <s v="公斤"/>
    <n v="3"/>
    <n v="3"/>
    <n v="0"/>
    <n v="10.1"/>
    <s v="正常交付"/>
    <s v="true"/>
    <s v="鸡蛋"/>
    <s v="普通鲜鸡蛋按净重"/>
    <s v="模拟_榕树下粉面店"/>
    <n v="30.3"/>
    <n v="0"/>
    <n v="30.3"/>
    <s v=""/>
    <s v=""/>
    <s v=""/>
    <s v=""/>
    <s v="通过"/>
  </r>
  <r>
    <s v="SIM-20260901-C001"/>
    <n v="6"/>
    <s v="C001"/>
    <x v="0"/>
    <s v="P015"/>
    <s v="公斤"/>
    <n v="0.5"/>
    <n v="0.5"/>
    <n v="0"/>
    <n v="7.3"/>
    <s v="正常交付"/>
    <s v="true"/>
    <s v="小葱"/>
    <s v="散装鲜菜"/>
    <s v="模拟_榕树下粉面店"/>
    <n v="3.65"/>
    <n v="0"/>
    <n v="3.65"/>
    <s v=""/>
    <s v=""/>
    <s v=""/>
    <s v=""/>
    <s v="通过"/>
  </r>
  <r>
    <s v="SIM-20260901-C001"/>
    <n v="7"/>
    <s v="C001"/>
    <x v="0"/>
    <s v="P019"/>
    <s v="桶"/>
    <n v="1"/>
    <n v="1"/>
    <n v="0"/>
    <n v="71"/>
    <s v="正常交付"/>
    <s v="true"/>
    <s v="菜籽油"/>
    <s v="5升/桶普通菜籽油"/>
    <s v="模拟_榕树下粉面店"/>
    <n v="71"/>
    <n v="0"/>
    <n v="71"/>
    <s v=""/>
    <s v=""/>
    <s v=""/>
    <s v=""/>
    <s v="通过"/>
  </r>
  <r>
    <s v="SIM-20260901-C001"/>
    <n v="8"/>
    <s v="C001"/>
    <x v="0"/>
    <s v="P018"/>
    <s v="袋"/>
    <n v="1"/>
    <n v="1"/>
    <n v="0"/>
    <n v="111"/>
    <s v="正常交付"/>
    <s v="true"/>
    <s v="小麦粉"/>
    <s v="25公斤/袋普通小麦粉"/>
    <s v="模拟_榕树下粉面店"/>
    <n v="111"/>
    <n v="0"/>
    <n v="111"/>
    <s v=""/>
    <s v=""/>
    <s v=""/>
    <s v=""/>
    <s v="通过"/>
  </r>
  <r>
    <s v="SIM-20260901-C002"/>
    <n v="1"/>
    <s v="C002"/>
    <x v="0"/>
    <s v="P011"/>
    <s v="公斤"/>
    <n v="4.5"/>
    <n v="4.5"/>
    <n v="0"/>
    <n v="4.4000000000000004"/>
    <s v="正常交付"/>
    <s v="true"/>
    <s v="红薯叶"/>
    <s v="散装鲜菜"/>
    <s v="模拟_桥头家常菜馆"/>
    <n v="19.8"/>
    <n v="0"/>
    <n v="19.8"/>
    <s v=""/>
    <s v=""/>
    <s v=""/>
    <s v=""/>
    <s v="通过"/>
  </r>
  <r>
    <s v="SIM-20260901-C002"/>
    <n v="2"/>
    <s v="C002"/>
    <x v="0"/>
    <s v="P001"/>
    <s v="公斤"/>
    <n v="4.5"/>
    <n v="4.5"/>
    <n v="0"/>
    <n v="3.3"/>
    <s v="正常交付"/>
    <s v="true"/>
    <s v="土豆"/>
    <s v="散装鲜菜"/>
    <s v="模拟_桥头家常菜馆"/>
    <n v="14.85"/>
    <n v="0"/>
    <n v="14.85"/>
    <s v=""/>
    <s v=""/>
    <s v=""/>
    <s v=""/>
    <s v="通过"/>
  </r>
  <r>
    <s v="SIM-20260901-C002"/>
    <n v="3"/>
    <s v="C002"/>
    <x v="0"/>
    <s v="P006"/>
    <s v="公斤"/>
    <n v="9"/>
    <n v="9"/>
    <n v="0"/>
    <n v="4.5999999999999996"/>
    <s v="正常交付"/>
    <s v="true"/>
    <s v="茄子"/>
    <s v="散装鲜菜"/>
    <s v="模拟_桥头家常菜馆"/>
    <n v="41.4"/>
    <n v="0"/>
    <n v="41.4"/>
    <s v=""/>
    <s v=""/>
    <s v=""/>
    <s v=""/>
    <s v="通过"/>
  </r>
  <r>
    <s v="SIM-20260901-C002"/>
    <n v="4"/>
    <s v="C002"/>
    <x v="0"/>
    <s v="P013"/>
    <s v="公斤"/>
    <n v="4.5"/>
    <n v="4.5"/>
    <n v="0"/>
    <n v="6.3"/>
    <s v="正常交付"/>
    <s v="true"/>
    <s v="豇豆"/>
    <s v="散装鲜菜"/>
    <s v="模拟_桥头家常菜馆"/>
    <n v="28.35"/>
    <n v="0"/>
    <n v="28.35"/>
    <s v=""/>
    <s v=""/>
    <s v=""/>
    <s v=""/>
    <s v="通过"/>
  </r>
  <r>
    <s v="SIM-20260901-C002"/>
    <n v="5"/>
    <s v="C002"/>
    <x v="0"/>
    <s v="P003"/>
    <s v="公斤"/>
    <n v="6.4"/>
    <n v="6.4"/>
    <n v="0"/>
    <n v="3.3"/>
    <s v="正常交付"/>
    <s v="true"/>
    <s v="包菜"/>
    <s v="散装鲜菜"/>
    <s v="模拟_桥头家常菜馆"/>
    <n v="21.12"/>
    <n v="0"/>
    <n v="21.12"/>
    <s v=""/>
    <s v=""/>
    <s v=""/>
    <s v=""/>
    <s v="通过"/>
  </r>
  <r>
    <s v="SIM-20260901-C002"/>
    <n v="6"/>
    <s v="C002"/>
    <x v="0"/>
    <s v="P016"/>
    <s v="公斤"/>
    <n v="4"/>
    <n v="4"/>
    <n v="0"/>
    <n v="10.1"/>
    <s v="正常交付"/>
    <s v="true"/>
    <s v="鸡蛋"/>
    <s v="普通鲜鸡蛋按净重"/>
    <s v="模拟_桥头家常菜馆"/>
    <n v="40.4"/>
    <n v="0"/>
    <n v="40.4"/>
    <s v=""/>
    <s v=""/>
    <s v=""/>
    <s v=""/>
    <s v="通过"/>
  </r>
  <r>
    <s v="SIM-20260901-C002"/>
    <n v="7"/>
    <s v="C002"/>
    <x v="0"/>
    <s v="P015"/>
    <s v="公斤"/>
    <n v="1"/>
    <n v="1"/>
    <n v="0"/>
    <n v="7.3"/>
    <s v="正常交付"/>
    <s v="true"/>
    <s v="小葱"/>
    <s v="散装鲜菜"/>
    <s v="模拟_桥头家常菜馆"/>
    <n v="7.3"/>
    <n v="0"/>
    <n v="7.3"/>
    <s v=""/>
    <s v=""/>
    <s v=""/>
    <s v=""/>
    <s v="通过"/>
  </r>
  <r>
    <s v="SIM-20260901-C002"/>
    <n v="8"/>
    <s v="C002"/>
    <x v="0"/>
    <s v="P017"/>
    <s v="袋"/>
    <n v="3"/>
    <n v="3"/>
    <n v="0"/>
    <n v="118"/>
    <s v="正常交付"/>
    <s v="true"/>
    <s v="籼米"/>
    <s v="25公斤/袋普通籼米"/>
    <s v="模拟_桥头家常菜馆"/>
    <n v="354"/>
    <n v="0"/>
    <n v="354"/>
    <s v=""/>
    <s v=""/>
    <s v=""/>
    <s v=""/>
    <s v="通过"/>
  </r>
  <r>
    <s v="SIM-20260901-C002"/>
    <n v="9"/>
    <s v="C002"/>
    <x v="0"/>
    <s v="P019"/>
    <s v="桶"/>
    <n v="1"/>
    <n v="1"/>
    <n v="0"/>
    <n v="71"/>
    <s v="正常交付"/>
    <s v="true"/>
    <s v="菜籽油"/>
    <s v="5升/桶普通菜籽油"/>
    <s v="模拟_桥头家常菜馆"/>
    <n v="71"/>
    <n v="0"/>
    <n v="71"/>
    <s v=""/>
    <s v=""/>
    <s v=""/>
    <s v=""/>
    <s v="通过"/>
  </r>
  <r>
    <s v="SIM-20260901-C003"/>
    <n v="1"/>
    <s v="C003"/>
    <x v="0"/>
    <s v="P011"/>
    <s v="公斤"/>
    <n v="7.6"/>
    <n v="7.6"/>
    <n v="0"/>
    <n v="4.4000000000000004"/>
    <s v="正常交付"/>
    <s v="true"/>
    <s v="红薯叶"/>
    <s v="散装鲜菜"/>
    <s v="模拟_兴街快餐店"/>
    <n v="33.44"/>
    <n v="0"/>
    <n v="33.44"/>
    <s v=""/>
    <s v=""/>
    <s v=""/>
    <s v=""/>
    <s v="通过"/>
  </r>
  <r>
    <s v="SIM-20260901-C003"/>
    <n v="2"/>
    <s v="C003"/>
    <x v="0"/>
    <s v="P004"/>
    <s v="公斤"/>
    <n v="3.5"/>
    <n v="3.5"/>
    <n v="0"/>
    <n v="2.2999999999999998"/>
    <s v="正常交付"/>
    <s v="true"/>
    <s v="冬瓜"/>
    <s v="散装鲜菜"/>
    <s v="模拟_兴街快餐店"/>
    <n v="8.0500000000000007"/>
    <n v="0"/>
    <n v="8.0500000000000007"/>
    <s v=""/>
    <s v=""/>
    <s v=""/>
    <s v=""/>
    <s v="通过"/>
  </r>
  <r>
    <s v="SIM-20260901-C003"/>
    <n v="3"/>
    <s v="C003"/>
    <x v="0"/>
    <s v="P005"/>
    <s v="公斤"/>
    <n v="8.1"/>
    <n v="8.1"/>
    <n v="0"/>
    <n v="2.7"/>
    <s v="正常交付"/>
    <s v="true"/>
    <s v="南瓜"/>
    <s v="散装鲜菜"/>
    <s v="模拟_兴街快餐店"/>
    <n v="21.87"/>
    <n v="0"/>
    <n v="21.87"/>
    <s v=""/>
    <s v=""/>
    <s v=""/>
    <s v=""/>
    <s v="通过"/>
  </r>
  <r>
    <s v="SIM-20260901-C003"/>
    <n v="4"/>
    <s v="C003"/>
    <x v="0"/>
    <s v="P003"/>
    <s v="公斤"/>
    <n v="6.6"/>
    <n v="6.6"/>
    <n v="0"/>
    <n v="3.3"/>
    <s v="正常交付"/>
    <s v="true"/>
    <s v="包菜"/>
    <s v="散装鲜菜"/>
    <s v="模拟_兴街快餐店"/>
    <n v="21.78"/>
    <n v="0"/>
    <n v="21.78"/>
    <s v=""/>
    <s v=""/>
    <s v=""/>
    <s v=""/>
    <s v="通过"/>
  </r>
  <r>
    <s v="SIM-20260901-C003"/>
    <n v="5"/>
    <s v="C003"/>
    <x v="0"/>
    <s v="P001"/>
    <s v="公斤"/>
    <n v="7.1"/>
    <n v="7.1"/>
    <n v="0"/>
    <n v="3.3"/>
    <s v="正常交付"/>
    <s v="true"/>
    <s v="土豆"/>
    <s v="散装鲜菜"/>
    <s v="模拟_兴街快餐店"/>
    <n v="23.43"/>
    <n v="0"/>
    <n v="23.43"/>
    <s v=""/>
    <s v=""/>
    <s v=""/>
    <s v=""/>
    <s v="通过"/>
  </r>
  <r>
    <s v="SIM-20260901-C003"/>
    <n v="6"/>
    <s v="C003"/>
    <x v="0"/>
    <s v="P008"/>
    <s v="公斤"/>
    <n v="4.0999999999999996"/>
    <n v="4.0999999999999996"/>
    <n v="0"/>
    <n v="4.0999999999999996"/>
    <s v="正常交付"/>
    <s v="true"/>
    <s v="黄瓜"/>
    <s v="散装鲜菜"/>
    <s v="模拟_兴街快餐店"/>
    <n v="16.809999999999999"/>
    <n v="0"/>
    <n v="16.809999999999999"/>
    <s v=""/>
    <s v=""/>
    <s v=""/>
    <s v=""/>
    <s v="通过"/>
  </r>
  <r>
    <s v="SIM-20260901-C003"/>
    <n v="7"/>
    <s v="C003"/>
    <x v="0"/>
    <s v="P016"/>
    <s v="公斤"/>
    <n v="6"/>
    <n v="6"/>
    <n v="0"/>
    <n v="10.1"/>
    <s v="正常交付"/>
    <s v="true"/>
    <s v="鸡蛋"/>
    <s v="普通鲜鸡蛋按净重"/>
    <s v="模拟_兴街快餐店"/>
    <n v="60.6"/>
    <n v="0"/>
    <n v="60.6"/>
    <s v=""/>
    <s v=""/>
    <s v=""/>
    <s v=""/>
    <s v="通过"/>
  </r>
  <r>
    <s v="SIM-20260901-C003"/>
    <n v="8"/>
    <s v="C003"/>
    <x v="0"/>
    <s v="P015"/>
    <s v="公斤"/>
    <n v="1"/>
    <n v="1"/>
    <n v="0"/>
    <n v="7.3"/>
    <s v="正常交付"/>
    <s v="true"/>
    <s v="小葱"/>
    <s v="散装鲜菜"/>
    <s v="模拟_兴街快餐店"/>
    <n v="7.3"/>
    <n v="0"/>
    <n v="7.3"/>
    <s v=""/>
    <s v=""/>
    <s v=""/>
    <s v=""/>
    <s v="通过"/>
  </r>
  <r>
    <s v="SIM-20260901-C003"/>
    <n v="9"/>
    <s v="C003"/>
    <x v="0"/>
    <s v="P017"/>
    <s v="袋"/>
    <n v="5"/>
    <n v="5"/>
    <n v="0"/>
    <n v="118"/>
    <s v="正常交付"/>
    <s v="true"/>
    <s v="籼米"/>
    <s v="25公斤/袋普通籼米"/>
    <s v="模拟_兴街快餐店"/>
    <n v="590"/>
    <n v="0"/>
    <n v="590"/>
    <s v=""/>
    <s v=""/>
    <s v=""/>
    <s v=""/>
    <s v="通过"/>
  </r>
  <r>
    <s v="SIM-20260901-C003"/>
    <n v="10"/>
    <s v="C003"/>
    <x v="0"/>
    <s v="P020"/>
    <s v="桶"/>
    <n v="2"/>
    <n v="2"/>
    <n v="0"/>
    <n v="59"/>
    <s v="正常交付"/>
    <s v="true"/>
    <s v="大豆油"/>
    <s v="5升/桶普通大豆油"/>
    <s v="模拟_兴街快餐店"/>
    <n v="118"/>
    <n v="0"/>
    <n v="118"/>
    <s v=""/>
    <s v=""/>
    <s v=""/>
    <s v=""/>
    <s v="通过"/>
  </r>
  <r>
    <s v="SIM-20260901-C004"/>
    <n v="1"/>
    <s v="C004"/>
    <x v="0"/>
    <s v="P010"/>
    <s v="公斤"/>
    <n v="5"/>
    <n v="5"/>
    <n v="0"/>
    <n v="5"/>
    <s v="正常交付"/>
    <s v="true"/>
    <s v="空心菜"/>
    <s v="散装鲜菜"/>
    <s v="模拟_田畔饭店"/>
    <n v="25"/>
    <n v="0"/>
    <n v="25"/>
    <s v=""/>
    <s v=""/>
    <s v=""/>
    <s v=""/>
    <s v="通过"/>
  </r>
  <r>
    <s v="SIM-20260901-C004"/>
    <n v="2"/>
    <s v="C004"/>
    <x v="0"/>
    <s v="P005"/>
    <s v="公斤"/>
    <n v="7.5"/>
    <n v="7.5"/>
    <n v="0"/>
    <n v="2.7"/>
    <s v="正常交付"/>
    <s v="true"/>
    <s v="南瓜"/>
    <s v="散装鲜菜"/>
    <s v="模拟_田畔饭店"/>
    <n v="20.25"/>
    <n v="0"/>
    <n v="20.25"/>
    <s v=""/>
    <s v=""/>
    <s v=""/>
    <s v=""/>
    <s v="通过"/>
  </r>
  <r>
    <s v="SIM-20260901-C004"/>
    <n v="3"/>
    <s v="C004"/>
    <x v="0"/>
    <s v="P001"/>
    <s v="公斤"/>
    <n v="5.5"/>
    <n v="5.5"/>
    <n v="0"/>
    <n v="3.3"/>
    <s v="正常交付"/>
    <s v="true"/>
    <s v="土豆"/>
    <s v="散装鲜菜"/>
    <s v="模拟_田畔饭店"/>
    <n v="18.149999999999999"/>
    <n v="0"/>
    <n v="18.149999999999999"/>
    <s v=""/>
    <s v=""/>
    <s v=""/>
    <s v=""/>
    <s v="通过"/>
  </r>
  <r>
    <s v="SIM-20260901-C004"/>
    <n v="4"/>
    <s v="C004"/>
    <x v="0"/>
    <s v="P003"/>
    <s v="公斤"/>
    <n v="5.5"/>
    <n v="5"/>
    <n v="0"/>
    <n v="3.3"/>
    <s v="到货不足；按实际交付计费"/>
    <s v="true"/>
    <s v="包菜"/>
    <s v="散装鲜菜"/>
    <s v="模拟_田畔饭店"/>
    <n v="16.5"/>
    <n v="0"/>
    <n v="16.5"/>
    <s v=""/>
    <s v=""/>
    <s v=""/>
    <s v=""/>
    <s v="通过"/>
  </r>
  <r>
    <s v="SIM-20260901-C004"/>
    <n v="5"/>
    <s v="C004"/>
    <x v="0"/>
    <s v="P009"/>
    <s v="公斤"/>
    <n v="6.5"/>
    <n v="6.5"/>
    <n v="0"/>
    <n v="5"/>
    <s v="正常交付"/>
    <s v="true"/>
    <s v="西红柿"/>
    <s v="散装鲜菜"/>
    <s v="模拟_田畔饭店"/>
    <n v="32.5"/>
    <n v="0"/>
    <n v="32.5"/>
    <s v=""/>
    <s v=""/>
    <s v=""/>
    <s v=""/>
    <s v="通过"/>
  </r>
  <r>
    <s v="SIM-20260901-C004"/>
    <n v="6"/>
    <s v="C004"/>
    <x v="0"/>
    <s v="P008"/>
    <s v="公斤"/>
    <n v="6.5"/>
    <n v="6.5"/>
    <n v="0"/>
    <n v="4.0999999999999996"/>
    <s v="正常交付"/>
    <s v="true"/>
    <s v="黄瓜"/>
    <s v="散装鲜菜"/>
    <s v="模拟_田畔饭店"/>
    <n v="26.65"/>
    <n v="0"/>
    <n v="26.65"/>
    <s v=""/>
    <s v=""/>
    <s v=""/>
    <s v=""/>
    <s v="通过"/>
  </r>
  <r>
    <s v="SIM-20260901-C004"/>
    <n v="7"/>
    <s v="C004"/>
    <x v="0"/>
    <s v="P016"/>
    <s v="公斤"/>
    <n v="5"/>
    <n v="4.8"/>
    <n v="0"/>
    <n v="10.1"/>
    <s v="到货不足；按实际交付计费"/>
    <s v="true"/>
    <s v="鸡蛋"/>
    <s v="普通鲜鸡蛋按净重"/>
    <s v="模拟_田畔饭店"/>
    <n v="48.48"/>
    <n v="0"/>
    <n v="48.48"/>
    <s v=""/>
    <s v=""/>
    <s v=""/>
    <s v=""/>
    <s v="通过"/>
  </r>
  <r>
    <s v="SIM-20260901-C004"/>
    <n v="8"/>
    <s v="C004"/>
    <x v="0"/>
    <s v="P015"/>
    <s v="公斤"/>
    <n v="1"/>
    <n v="1"/>
    <n v="0"/>
    <n v="7.3"/>
    <s v="正常交付"/>
    <s v="true"/>
    <s v="小葱"/>
    <s v="散装鲜菜"/>
    <s v="模拟_田畔饭店"/>
    <n v="7.3"/>
    <n v="0"/>
    <n v="7.3"/>
    <s v=""/>
    <s v=""/>
    <s v=""/>
    <s v=""/>
    <s v="通过"/>
  </r>
  <r>
    <s v="SIM-20260901-C004"/>
    <n v="9"/>
    <s v="C004"/>
    <x v="0"/>
    <s v="P017"/>
    <s v="袋"/>
    <n v="3"/>
    <n v="3"/>
    <n v="0"/>
    <n v="118"/>
    <s v="正常交付"/>
    <s v="true"/>
    <s v="籼米"/>
    <s v="25公斤/袋普通籼米"/>
    <s v="模拟_田畔饭店"/>
    <n v="354"/>
    <n v="0"/>
    <n v="354"/>
    <s v=""/>
    <s v=""/>
    <s v=""/>
    <s v=""/>
    <s v="通过"/>
  </r>
  <r>
    <s v="SIM-20260901-C004"/>
    <n v="10"/>
    <s v="C004"/>
    <x v="0"/>
    <s v="P019"/>
    <s v="桶"/>
    <n v="1"/>
    <n v="1"/>
    <n v="0"/>
    <n v="71"/>
    <s v="正常交付"/>
    <s v="true"/>
    <s v="菜籽油"/>
    <s v="5升/桶普通菜籽油"/>
    <s v="模拟_田畔饭店"/>
    <n v="71"/>
    <n v="0"/>
    <n v="71"/>
    <s v=""/>
    <s v=""/>
    <s v=""/>
    <s v=""/>
    <s v="通过"/>
  </r>
  <r>
    <s v="SIM-20260901-C005"/>
    <n v="1"/>
    <s v="C005"/>
    <x v="0"/>
    <s v="P011"/>
    <s v="公斤"/>
    <n v="14.4"/>
    <n v="14.4"/>
    <n v="0"/>
    <n v="4.4000000000000004"/>
    <s v="正常交付"/>
    <s v="true"/>
    <s v="红薯叶"/>
    <s v="散装鲜菜"/>
    <s v="模拟_青禾小学食堂"/>
    <n v="63.36"/>
    <n v="0"/>
    <n v="63.36"/>
    <s v=""/>
    <s v=""/>
    <s v=""/>
    <s v=""/>
    <s v="通过"/>
  </r>
  <r>
    <s v="SIM-20260901-C005"/>
    <n v="2"/>
    <s v="C005"/>
    <x v="0"/>
    <s v="P007"/>
    <s v="公斤"/>
    <n v="12.6"/>
    <n v="12.6"/>
    <n v="0"/>
    <n v="5.15"/>
    <s v="正常交付"/>
    <s v="true"/>
    <s v="青椒"/>
    <s v="散装鲜菜"/>
    <s v="模拟_青禾小学食堂"/>
    <n v="64.89"/>
    <n v="0"/>
    <n v="64.89"/>
    <s v=""/>
    <s v=""/>
    <s v=""/>
    <s v=""/>
    <s v="通过"/>
  </r>
  <r>
    <s v="SIM-20260901-C005"/>
    <n v="3"/>
    <s v="C005"/>
    <x v="0"/>
    <s v="P001"/>
    <s v="公斤"/>
    <n v="12.6"/>
    <n v="12.6"/>
    <n v="0"/>
    <n v="3.3"/>
    <s v="正常交付"/>
    <s v="true"/>
    <s v="土豆"/>
    <s v="散装鲜菜"/>
    <s v="模拟_青禾小学食堂"/>
    <n v="41.58"/>
    <n v="0"/>
    <n v="41.58"/>
    <s v=""/>
    <s v=""/>
    <s v=""/>
    <s v=""/>
    <s v="通过"/>
  </r>
  <r>
    <s v="SIM-20260901-C005"/>
    <n v="4"/>
    <s v="C005"/>
    <x v="0"/>
    <s v="P004"/>
    <s v="公斤"/>
    <n v="12.6"/>
    <n v="12.6"/>
    <n v="0"/>
    <n v="2.2999999999999998"/>
    <s v="正常交付"/>
    <s v="true"/>
    <s v="冬瓜"/>
    <s v="散装鲜菜"/>
    <s v="模拟_青禾小学食堂"/>
    <n v="28.98"/>
    <n v="0"/>
    <n v="28.98"/>
    <s v=""/>
    <s v=""/>
    <s v=""/>
    <s v=""/>
    <s v="通过"/>
  </r>
  <r>
    <s v="SIM-20260901-C005"/>
    <n v="5"/>
    <s v="C005"/>
    <x v="0"/>
    <s v="P006"/>
    <s v="公斤"/>
    <n v="8.1"/>
    <n v="8.1"/>
    <n v="0"/>
    <n v="4.5999999999999996"/>
    <s v="正常交付"/>
    <s v="true"/>
    <s v="茄子"/>
    <s v="散装鲜菜"/>
    <s v="模拟_青禾小学食堂"/>
    <n v="37.26"/>
    <n v="0"/>
    <n v="37.26"/>
    <s v=""/>
    <s v=""/>
    <s v=""/>
    <s v=""/>
    <s v="通过"/>
  </r>
  <r>
    <s v="SIM-20260901-C005"/>
    <n v="6"/>
    <s v="C005"/>
    <x v="0"/>
    <s v="P005"/>
    <s v="公斤"/>
    <n v="9"/>
    <n v="9"/>
    <n v="0"/>
    <n v="2.7"/>
    <s v="正常交付"/>
    <s v="true"/>
    <s v="南瓜"/>
    <s v="散装鲜菜"/>
    <s v="模拟_青禾小学食堂"/>
    <n v="24.3"/>
    <n v="0"/>
    <n v="24.3"/>
    <s v=""/>
    <s v=""/>
    <s v=""/>
    <s v=""/>
    <s v="通过"/>
  </r>
  <r>
    <s v="SIM-20260901-C005"/>
    <n v="7"/>
    <s v="C005"/>
    <x v="0"/>
    <s v="P016"/>
    <s v="公斤"/>
    <n v="12"/>
    <n v="12"/>
    <n v="0"/>
    <n v="10.1"/>
    <s v="正常交付"/>
    <s v="true"/>
    <s v="鸡蛋"/>
    <s v="普通鲜鸡蛋按净重"/>
    <s v="模拟_青禾小学食堂"/>
    <n v="121.2"/>
    <n v="0"/>
    <n v="121.2"/>
    <s v=""/>
    <s v=""/>
    <s v=""/>
    <s v=""/>
    <s v="通过"/>
  </r>
  <r>
    <s v="SIM-20260901-C005"/>
    <n v="8"/>
    <s v="C005"/>
    <x v="0"/>
    <s v="P015"/>
    <s v="公斤"/>
    <n v="1"/>
    <n v="0.7"/>
    <n v="0"/>
    <n v="7.3"/>
    <s v="到货不足；按实际交付计费"/>
    <s v="true"/>
    <s v="小葱"/>
    <s v="散装鲜菜"/>
    <s v="模拟_青禾小学食堂"/>
    <n v="5.1100000000000003"/>
    <n v="0"/>
    <n v="5.1100000000000003"/>
    <s v=""/>
    <s v=""/>
    <s v=""/>
    <s v=""/>
    <s v="通过"/>
  </r>
  <r>
    <s v="SIM-20260901-C005"/>
    <n v="9"/>
    <s v="C005"/>
    <x v="0"/>
    <s v="P017"/>
    <s v="袋"/>
    <n v="6"/>
    <n v="6"/>
    <n v="0"/>
    <n v="118"/>
    <s v="正常交付"/>
    <s v="true"/>
    <s v="籼米"/>
    <s v="25公斤/袋普通籼米"/>
    <s v="模拟_青禾小学食堂"/>
    <n v="708"/>
    <n v="0"/>
    <n v="708"/>
    <s v=""/>
    <s v=""/>
    <s v=""/>
    <s v=""/>
    <s v="通过"/>
  </r>
  <r>
    <s v="SIM-20260901-C005"/>
    <n v="10"/>
    <s v="C005"/>
    <x v="0"/>
    <s v="P020"/>
    <s v="桶"/>
    <n v="2"/>
    <n v="2"/>
    <n v="0"/>
    <n v="59"/>
    <s v="正常交付"/>
    <s v="true"/>
    <s v="大豆油"/>
    <s v="5升/桶普通大豆油"/>
    <s v="模拟_青禾小学食堂"/>
    <n v="118"/>
    <n v="0"/>
    <n v="118"/>
    <s v=""/>
    <s v=""/>
    <s v=""/>
    <s v=""/>
    <s v="通过"/>
  </r>
  <r>
    <s v="SIM-20260901-C006"/>
    <n v="1"/>
    <s v="C006"/>
    <x v="0"/>
    <s v="P010"/>
    <s v="公斤"/>
    <n v="7.6"/>
    <n v="7.6"/>
    <n v="0"/>
    <n v="5"/>
    <s v="正常交付"/>
    <s v="true"/>
    <s v="空心菜"/>
    <s v="散装鲜菜"/>
    <s v="模拟_溪桥医院食堂"/>
    <n v="38"/>
    <n v="0"/>
    <n v="38"/>
    <s v=""/>
    <s v=""/>
    <s v=""/>
    <s v=""/>
    <s v="通过"/>
  </r>
  <r>
    <s v="SIM-20260901-C006"/>
    <n v="2"/>
    <s v="C006"/>
    <x v="0"/>
    <s v="P013"/>
    <s v="公斤"/>
    <n v="6.7"/>
    <n v="6.7"/>
    <n v="0"/>
    <n v="6.3"/>
    <s v="正常交付"/>
    <s v="true"/>
    <s v="豇豆"/>
    <s v="散装鲜菜"/>
    <s v="模拟_溪桥医院食堂"/>
    <n v="42.21"/>
    <n v="0"/>
    <n v="42.21"/>
    <s v=""/>
    <s v=""/>
    <s v=""/>
    <s v=""/>
    <s v="通过"/>
  </r>
  <r>
    <s v="SIM-20260901-C006"/>
    <n v="3"/>
    <s v="C006"/>
    <x v="0"/>
    <s v="P008"/>
    <s v="公斤"/>
    <n v="7.6"/>
    <n v="7.6"/>
    <n v="0"/>
    <n v="4.0999999999999996"/>
    <s v="正常交付"/>
    <s v="true"/>
    <s v="黄瓜"/>
    <s v="散装鲜菜"/>
    <s v="模拟_溪桥医院食堂"/>
    <n v="31.16"/>
    <n v="0"/>
    <n v="31.16"/>
    <s v=""/>
    <s v=""/>
    <s v=""/>
    <s v=""/>
    <s v="通过"/>
  </r>
  <r>
    <s v="SIM-20260901-C006"/>
    <n v="4"/>
    <s v="C006"/>
    <x v="0"/>
    <s v="P005"/>
    <s v="公斤"/>
    <n v="6.7"/>
    <n v="6.7"/>
    <n v="0"/>
    <n v="2.7"/>
    <s v="正常交付"/>
    <s v="true"/>
    <s v="南瓜"/>
    <s v="散装鲜菜"/>
    <s v="模拟_溪桥医院食堂"/>
    <n v="18.09"/>
    <n v="0"/>
    <n v="18.09"/>
    <s v=""/>
    <s v=""/>
    <s v=""/>
    <s v=""/>
    <s v="通过"/>
  </r>
  <r>
    <s v="SIM-20260901-C006"/>
    <n v="5"/>
    <s v="C006"/>
    <x v="0"/>
    <s v="P009"/>
    <s v="公斤"/>
    <n v="9.3000000000000007"/>
    <n v="9.3000000000000007"/>
    <n v="0"/>
    <n v="5"/>
    <s v="正常交付"/>
    <s v="true"/>
    <s v="西红柿"/>
    <s v="散装鲜菜"/>
    <s v="模拟_溪桥医院食堂"/>
    <n v="46.5"/>
    <n v="0"/>
    <n v="46.5"/>
    <s v=""/>
    <s v=""/>
    <s v=""/>
    <s v=""/>
    <s v="通过"/>
  </r>
  <r>
    <s v="SIM-20260901-C006"/>
    <n v="6"/>
    <s v="C006"/>
    <x v="0"/>
    <s v="P006"/>
    <s v="公斤"/>
    <n v="13.5"/>
    <n v="13.5"/>
    <n v="0"/>
    <n v="4.5999999999999996"/>
    <s v="正常交付"/>
    <s v="true"/>
    <s v="茄子"/>
    <s v="散装鲜菜"/>
    <s v="模拟_溪桥医院食堂"/>
    <n v="62.1"/>
    <n v="0"/>
    <n v="62.1"/>
    <s v=""/>
    <s v=""/>
    <s v=""/>
    <s v=""/>
    <s v="通过"/>
  </r>
  <r>
    <s v="SIM-20260901-C006"/>
    <n v="7"/>
    <s v="C006"/>
    <x v="0"/>
    <s v="P016"/>
    <s v="公斤"/>
    <n v="9"/>
    <n v="9"/>
    <n v="0"/>
    <n v="10.1"/>
    <s v="正常交付"/>
    <s v="true"/>
    <s v="鸡蛋"/>
    <s v="普通鲜鸡蛋按净重"/>
    <s v="模拟_溪桥医院食堂"/>
    <n v="90.9"/>
    <n v="0"/>
    <n v="90.9"/>
    <s v=""/>
    <s v=""/>
    <s v=""/>
    <s v=""/>
    <s v="通过"/>
  </r>
  <r>
    <s v="SIM-20260901-C006"/>
    <n v="8"/>
    <s v="C006"/>
    <x v="0"/>
    <s v="P015"/>
    <s v="公斤"/>
    <n v="1"/>
    <n v="1"/>
    <n v="0"/>
    <n v="7.3"/>
    <s v="正常交付"/>
    <s v="true"/>
    <s v="小葱"/>
    <s v="散装鲜菜"/>
    <s v="模拟_溪桥医院食堂"/>
    <n v="7.3"/>
    <n v="0"/>
    <n v="7.3"/>
    <s v=""/>
    <s v=""/>
    <s v=""/>
    <s v=""/>
    <s v="通过"/>
  </r>
  <r>
    <s v="SIM-20260901-C006"/>
    <n v="9"/>
    <s v="C006"/>
    <x v="0"/>
    <s v="P017"/>
    <s v="袋"/>
    <n v="4"/>
    <n v="4"/>
    <n v="0"/>
    <n v="118"/>
    <s v="正常交付"/>
    <s v="true"/>
    <s v="籼米"/>
    <s v="25公斤/袋普通籼米"/>
    <s v="模拟_溪桥医院食堂"/>
    <n v="472"/>
    <n v="0"/>
    <n v="472"/>
    <s v=""/>
    <s v=""/>
    <s v=""/>
    <s v=""/>
    <s v="通过"/>
  </r>
  <r>
    <s v="SIM-20260901-C006"/>
    <n v="10"/>
    <s v="C006"/>
    <x v="0"/>
    <s v="P020"/>
    <s v="桶"/>
    <n v="2"/>
    <n v="2"/>
    <n v="0"/>
    <n v="59"/>
    <s v="正常交付"/>
    <s v="true"/>
    <s v="大豆油"/>
    <s v="5升/桶普通大豆油"/>
    <s v="模拟_溪桥医院食堂"/>
    <n v="118"/>
    <n v="0"/>
    <n v="118"/>
    <s v=""/>
    <s v=""/>
    <s v=""/>
    <s v=""/>
    <s v="通过"/>
  </r>
  <r>
    <s v="SIM-20260902-C001"/>
    <n v="1"/>
    <s v="C001"/>
    <x v="1"/>
    <s v="P011"/>
    <s v="公斤"/>
    <n v="2.6"/>
    <n v="2.6"/>
    <n v="0.3"/>
    <n v="4.4000000000000004"/>
    <s v="正常交付；签收时挑出黄叶退回"/>
    <s v="true"/>
    <s v="红薯叶"/>
    <s v="散装鲜菜"/>
    <s v="模拟_榕树下粉面店"/>
    <n v="11.44"/>
    <n v="1.32"/>
    <n v="10.119999999999999"/>
    <s v=""/>
    <s v=""/>
    <s v=""/>
    <s v=""/>
    <s v="通过"/>
  </r>
  <r>
    <s v="SIM-20260902-C001"/>
    <n v="2"/>
    <s v="C001"/>
    <x v="1"/>
    <s v="P008"/>
    <s v="公斤"/>
    <n v="3.2"/>
    <n v="3.2"/>
    <n v="0"/>
    <n v="4.0999999999999996"/>
    <s v="正常交付"/>
    <s v="true"/>
    <s v="黄瓜"/>
    <s v="散装鲜菜"/>
    <s v="模拟_榕树下粉面店"/>
    <n v="13.12"/>
    <n v="0"/>
    <n v="13.12"/>
    <s v=""/>
    <s v=""/>
    <s v=""/>
    <s v=""/>
    <s v="通过"/>
  </r>
  <r>
    <s v="SIM-20260902-C001"/>
    <n v="3"/>
    <s v="C001"/>
    <x v="1"/>
    <s v="P014"/>
    <s v="公斤"/>
    <n v="3"/>
    <n v="3"/>
    <n v="0"/>
    <n v="4.7"/>
    <s v="正常交付"/>
    <s v="true"/>
    <s v="丝瓜"/>
    <s v="散装鲜菜"/>
    <s v="模拟_榕树下粉面店"/>
    <n v="14.1"/>
    <n v="0"/>
    <n v="14.1"/>
    <s v=""/>
    <s v=""/>
    <s v=""/>
    <s v=""/>
    <s v="通过"/>
  </r>
  <r>
    <s v="SIM-20260902-C001"/>
    <n v="4"/>
    <s v="C001"/>
    <x v="1"/>
    <s v="P003"/>
    <s v="公斤"/>
    <n v="3.2"/>
    <n v="3.2"/>
    <n v="0"/>
    <n v="3.3"/>
    <s v="正常交付"/>
    <s v="true"/>
    <s v="包菜"/>
    <s v="散装鲜菜"/>
    <s v="模拟_榕树下粉面店"/>
    <n v="10.56"/>
    <n v="0"/>
    <n v="10.56"/>
    <s v=""/>
    <s v=""/>
    <s v=""/>
    <s v=""/>
    <s v="通过"/>
  </r>
  <r>
    <s v="SIM-20260902-C002"/>
    <n v="1"/>
    <s v="C002"/>
    <x v="1"/>
    <s v="P011"/>
    <s v="公斤"/>
    <n v="3.5"/>
    <n v="3.5"/>
    <n v="0"/>
    <n v="4.4000000000000004"/>
    <s v="正常交付"/>
    <s v="true"/>
    <s v="红薯叶"/>
    <s v="散装鲜菜"/>
    <s v="模拟_桥头家常菜馆"/>
    <n v="15.4"/>
    <n v="0"/>
    <n v="15.4"/>
    <s v=""/>
    <s v=""/>
    <s v=""/>
    <s v=""/>
    <s v="通过"/>
  </r>
  <r>
    <s v="SIM-20260902-C002"/>
    <n v="2"/>
    <s v="C002"/>
    <x v="1"/>
    <s v="P002"/>
    <s v="公斤"/>
    <n v="6.5"/>
    <n v="6.5"/>
    <n v="0"/>
    <n v="2.2999999999999998"/>
    <s v="正常交付"/>
    <s v="true"/>
    <s v="白萝卜"/>
    <s v="散装鲜菜"/>
    <s v="模拟_桥头家常菜馆"/>
    <n v="14.95"/>
    <n v="0"/>
    <n v="14.95"/>
    <s v=""/>
    <s v=""/>
    <s v=""/>
    <s v=""/>
    <s v="通过"/>
  </r>
  <r>
    <s v="SIM-20260902-C002"/>
    <n v="3"/>
    <s v="C002"/>
    <x v="1"/>
    <s v="P006"/>
    <s v="公斤"/>
    <n v="6.5"/>
    <n v="6.5"/>
    <n v="0"/>
    <n v="4.5999999999999996"/>
    <s v="正常交付"/>
    <s v="true"/>
    <s v="茄子"/>
    <s v="散装鲜菜"/>
    <s v="模拟_桥头家常菜馆"/>
    <n v="29.9"/>
    <n v="0"/>
    <n v="29.9"/>
    <s v=""/>
    <s v=""/>
    <s v=""/>
    <s v=""/>
    <s v="通过"/>
  </r>
  <r>
    <s v="SIM-20260902-C002"/>
    <n v="4"/>
    <s v="C002"/>
    <x v="1"/>
    <s v="P004"/>
    <s v="公斤"/>
    <n v="7"/>
    <n v="7"/>
    <n v="0"/>
    <n v="2.2999999999999998"/>
    <s v="正常交付"/>
    <s v="true"/>
    <s v="冬瓜"/>
    <s v="散装鲜菜"/>
    <s v="模拟_桥头家常菜馆"/>
    <n v="16.100000000000001"/>
    <n v="0"/>
    <n v="16.100000000000001"/>
    <s v=""/>
    <s v=""/>
    <s v=""/>
    <s v=""/>
    <s v="通过"/>
  </r>
  <r>
    <s v="SIM-20260902-C002"/>
    <n v="5"/>
    <s v="C002"/>
    <x v="1"/>
    <s v="P001"/>
    <s v="公斤"/>
    <n v="5.5"/>
    <n v="5.5"/>
    <n v="0"/>
    <n v="3.3"/>
    <s v="正常交付"/>
    <s v="true"/>
    <s v="土豆"/>
    <s v="散装鲜菜"/>
    <s v="模拟_桥头家常菜馆"/>
    <n v="18.149999999999999"/>
    <n v="0"/>
    <n v="18.149999999999999"/>
    <s v=""/>
    <s v=""/>
    <s v=""/>
    <s v=""/>
    <s v="通过"/>
  </r>
  <r>
    <s v="SIM-20260902-C003"/>
    <n v="1"/>
    <s v="C003"/>
    <x v="1"/>
    <s v="P012"/>
    <s v="公斤"/>
    <n v="6.8"/>
    <n v="6.8"/>
    <n v="0"/>
    <n v="4.5999999999999996"/>
    <s v="正常交付"/>
    <s v="true"/>
    <s v="小白菜"/>
    <s v="散装鲜菜"/>
    <s v="模拟_兴街快餐店"/>
    <n v="31.28"/>
    <n v="0"/>
    <n v="31.28"/>
    <s v=""/>
    <s v=""/>
    <s v=""/>
    <s v=""/>
    <s v="通过"/>
  </r>
  <r>
    <s v="SIM-20260902-C003"/>
    <n v="2"/>
    <s v="C003"/>
    <x v="1"/>
    <s v="P009"/>
    <s v="公斤"/>
    <n v="5.0999999999999996"/>
    <n v="5.0999999999999996"/>
    <n v="0"/>
    <n v="5"/>
    <s v="正常交付"/>
    <s v="true"/>
    <s v="西红柿"/>
    <s v="散装鲜菜"/>
    <s v="模拟_兴街快餐店"/>
    <n v="25.5"/>
    <n v="0"/>
    <n v="25.5"/>
    <s v=""/>
    <s v=""/>
    <s v=""/>
    <s v=""/>
    <s v="通过"/>
  </r>
  <r>
    <s v="SIM-20260902-C003"/>
    <n v="3"/>
    <s v="C003"/>
    <x v="1"/>
    <s v="P008"/>
    <s v="公斤"/>
    <n v="6.3"/>
    <n v="6.3"/>
    <n v="0"/>
    <n v="4.0999999999999996"/>
    <s v="正常交付"/>
    <s v="true"/>
    <s v="黄瓜"/>
    <s v="散装鲜菜"/>
    <s v="模拟_兴街快餐店"/>
    <n v="25.83"/>
    <n v="0"/>
    <n v="25.83"/>
    <s v=""/>
    <s v=""/>
    <s v=""/>
    <s v=""/>
    <s v="通过"/>
  </r>
  <r>
    <s v="SIM-20260902-C003"/>
    <n v="4"/>
    <s v="C003"/>
    <x v="1"/>
    <s v="P003"/>
    <s v="公斤"/>
    <n v="6.3"/>
    <n v="6.3"/>
    <n v="0"/>
    <n v="3.3"/>
    <s v="正常交付"/>
    <s v="true"/>
    <s v="包菜"/>
    <s v="散装鲜菜"/>
    <s v="模拟_兴街快餐店"/>
    <n v="20.79"/>
    <n v="0"/>
    <n v="20.79"/>
    <s v=""/>
    <s v=""/>
    <s v=""/>
    <s v=""/>
    <s v="通过"/>
  </r>
  <r>
    <s v="SIM-20260902-C003"/>
    <n v="5"/>
    <s v="C003"/>
    <x v="1"/>
    <s v="P001"/>
    <s v="公斤"/>
    <n v="8"/>
    <n v="8"/>
    <n v="0"/>
    <n v="3.3"/>
    <s v="正常交付"/>
    <s v="true"/>
    <s v="土豆"/>
    <s v="散装鲜菜"/>
    <s v="模拟_兴街快餐店"/>
    <n v="26.4"/>
    <n v="0"/>
    <n v="26.4"/>
    <s v=""/>
    <s v=""/>
    <s v=""/>
    <s v=""/>
    <s v="通过"/>
  </r>
  <r>
    <s v="SIM-20260902-C003"/>
    <n v="6"/>
    <s v="C003"/>
    <x v="1"/>
    <s v="P007"/>
    <s v="公斤"/>
    <n v="5.7"/>
    <n v="5.7"/>
    <n v="0"/>
    <n v="5.15"/>
    <s v="正常交付"/>
    <s v="true"/>
    <s v="青椒"/>
    <s v="散装鲜菜"/>
    <s v="模拟_兴街快餐店"/>
    <n v="29.36"/>
    <n v="0"/>
    <n v="29.36"/>
    <s v=""/>
    <s v=""/>
    <s v=""/>
    <s v=""/>
    <s v="通过"/>
  </r>
  <r>
    <s v="SIM-20260902-C005"/>
    <n v="1"/>
    <s v="C005"/>
    <x v="1"/>
    <s v="P012"/>
    <s v="公斤"/>
    <n v="11.4"/>
    <n v="11.4"/>
    <n v="0"/>
    <n v="4.5999999999999996"/>
    <s v="正常交付"/>
    <s v="true"/>
    <s v="小白菜"/>
    <s v="散装鲜菜"/>
    <s v="模拟_青禾小学食堂"/>
    <n v="52.44"/>
    <n v="0"/>
    <n v="52.44"/>
    <s v=""/>
    <s v=""/>
    <s v=""/>
    <s v=""/>
    <s v="通过"/>
  </r>
  <r>
    <s v="SIM-20260902-C005"/>
    <n v="2"/>
    <s v="C005"/>
    <x v="1"/>
    <s v="P006"/>
    <s v="公斤"/>
    <n v="15.2"/>
    <n v="15.2"/>
    <n v="0"/>
    <n v="4.5999999999999996"/>
    <s v="正常交付"/>
    <s v="true"/>
    <s v="茄子"/>
    <s v="散装鲜菜"/>
    <s v="模拟_青禾小学食堂"/>
    <n v="69.92"/>
    <n v="0"/>
    <n v="69.92"/>
    <s v=""/>
    <s v=""/>
    <s v=""/>
    <s v=""/>
    <s v="通过"/>
  </r>
  <r>
    <s v="SIM-20260902-C005"/>
    <n v="3"/>
    <s v="C005"/>
    <x v="1"/>
    <s v="P013"/>
    <s v="公斤"/>
    <n v="7.6"/>
    <n v="7.6"/>
    <n v="0"/>
    <n v="6.3"/>
    <s v="正常交付"/>
    <s v="true"/>
    <s v="豇豆"/>
    <s v="散装鲜菜"/>
    <s v="模拟_青禾小学食堂"/>
    <n v="47.88"/>
    <n v="0"/>
    <n v="47.88"/>
    <s v=""/>
    <s v=""/>
    <s v=""/>
    <s v=""/>
    <s v="通过"/>
  </r>
  <r>
    <s v="SIM-20260902-C005"/>
    <n v="4"/>
    <s v="C005"/>
    <x v="1"/>
    <s v="P004"/>
    <s v="公斤"/>
    <n v="8.6"/>
    <n v="8.6"/>
    <n v="0"/>
    <n v="2.2999999999999998"/>
    <s v="正常交付"/>
    <s v="true"/>
    <s v="冬瓜"/>
    <s v="散装鲜菜"/>
    <s v="模拟_青禾小学食堂"/>
    <n v="19.78"/>
    <n v="0"/>
    <n v="19.78"/>
    <s v=""/>
    <s v=""/>
    <s v=""/>
    <s v=""/>
    <s v="通过"/>
  </r>
  <r>
    <s v="SIM-20260902-C005"/>
    <n v="5"/>
    <s v="C005"/>
    <x v="1"/>
    <s v="P002"/>
    <s v="公斤"/>
    <n v="12.4"/>
    <n v="12.4"/>
    <n v="0"/>
    <n v="2.2999999999999998"/>
    <s v="正常交付"/>
    <s v="true"/>
    <s v="白萝卜"/>
    <s v="散装鲜菜"/>
    <s v="模拟_青禾小学食堂"/>
    <n v="28.52"/>
    <n v="0"/>
    <n v="28.52"/>
    <s v=""/>
    <s v=""/>
    <s v=""/>
    <s v=""/>
    <s v="通过"/>
  </r>
  <r>
    <s v="SIM-20260902-C005"/>
    <n v="6"/>
    <s v="C005"/>
    <x v="1"/>
    <s v="P001"/>
    <s v="公斤"/>
    <n v="10.5"/>
    <n v="10.5"/>
    <n v="0"/>
    <n v="3.3"/>
    <s v="正常交付"/>
    <s v="true"/>
    <s v="土豆"/>
    <s v="散装鲜菜"/>
    <s v="模拟_青禾小学食堂"/>
    <n v="34.65"/>
    <n v="0"/>
    <n v="34.65"/>
    <s v=""/>
    <s v=""/>
    <s v=""/>
    <s v=""/>
    <s v="通过"/>
  </r>
  <r>
    <s v="SIM-20260902-C006"/>
    <n v="1"/>
    <s v="C006"/>
    <x v="1"/>
    <s v="P010"/>
    <s v="公斤"/>
    <n v="9"/>
    <n v="9"/>
    <n v="0"/>
    <n v="5"/>
    <s v="正常交付"/>
    <s v="true"/>
    <s v="空心菜"/>
    <s v="散装鲜菜"/>
    <s v="模拟_溪桥医院食堂"/>
    <n v="45"/>
    <n v="0"/>
    <n v="45"/>
    <s v=""/>
    <s v=""/>
    <s v=""/>
    <s v=""/>
    <s v="通过"/>
  </r>
  <r>
    <s v="SIM-20260902-C006"/>
    <n v="2"/>
    <s v="C006"/>
    <x v="1"/>
    <s v="P009"/>
    <s v="公斤"/>
    <n v="10.4"/>
    <n v="10.4"/>
    <n v="0"/>
    <n v="5"/>
    <s v="正常交付"/>
    <s v="true"/>
    <s v="西红柿"/>
    <s v="散装鲜菜"/>
    <s v="模拟_溪桥医院食堂"/>
    <n v="52"/>
    <n v="0"/>
    <n v="52"/>
    <s v=""/>
    <s v=""/>
    <s v=""/>
    <s v=""/>
    <s v="通过"/>
  </r>
  <r>
    <s v="SIM-20260902-C006"/>
    <n v="3"/>
    <s v="C006"/>
    <x v="1"/>
    <s v="P008"/>
    <s v="公斤"/>
    <n v="8.3000000000000007"/>
    <n v="8.3000000000000007"/>
    <n v="0"/>
    <n v="4.0999999999999996"/>
    <s v="正常交付"/>
    <s v="true"/>
    <s v="黄瓜"/>
    <s v="散装鲜菜"/>
    <s v="模拟_溪桥医院食堂"/>
    <n v="34.03"/>
    <n v="0"/>
    <n v="34.03"/>
    <s v=""/>
    <s v=""/>
    <s v=""/>
    <s v=""/>
    <s v="通过"/>
  </r>
  <r>
    <s v="SIM-20260902-C006"/>
    <n v="4"/>
    <s v="C006"/>
    <x v="1"/>
    <s v="P014"/>
    <s v="公斤"/>
    <n v="4.8"/>
    <n v="4.8"/>
    <n v="0"/>
    <n v="4.7"/>
    <s v="正常交付"/>
    <s v="true"/>
    <s v="丝瓜"/>
    <s v="散装鲜菜"/>
    <s v="模拟_溪桥医院食堂"/>
    <n v="22.56"/>
    <n v="0"/>
    <n v="22.56"/>
    <s v=""/>
    <s v=""/>
    <s v=""/>
    <s v=""/>
    <s v="通过"/>
  </r>
  <r>
    <s v="SIM-20260902-C006"/>
    <n v="5"/>
    <s v="C006"/>
    <x v="1"/>
    <s v="P013"/>
    <s v="公斤"/>
    <n v="8.3000000000000007"/>
    <n v="8.3000000000000007"/>
    <n v="0"/>
    <n v="6.3"/>
    <s v="正常交付"/>
    <s v="true"/>
    <s v="豇豆"/>
    <s v="散装鲜菜"/>
    <s v="模拟_溪桥医院食堂"/>
    <n v="52.29"/>
    <n v="0"/>
    <n v="52.29"/>
    <s v=""/>
    <s v=""/>
    <s v=""/>
    <s v=""/>
    <s v="通过"/>
  </r>
  <r>
    <s v="SIM-20260902-C006"/>
    <n v="6"/>
    <s v="C006"/>
    <x v="1"/>
    <s v="P001"/>
    <s v="公斤"/>
    <n v="4.8"/>
    <n v="4.8"/>
    <n v="0"/>
    <n v="3.3"/>
    <s v="正常交付"/>
    <s v="true"/>
    <s v="土豆"/>
    <s v="散装鲜菜"/>
    <s v="模拟_溪桥医院食堂"/>
    <n v="15.84"/>
    <n v="0"/>
    <n v="15.84"/>
    <s v=""/>
    <s v=""/>
    <s v=""/>
    <s v=""/>
    <s v="通过"/>
  </r>
  <r>
    <s v="SIM-20260903-C001"/>
    <n v="1"/>
    <s v="C001"/>
    <x v="2"/>
    <s v="P011"/>
    <s v="公斤"/>
    <n v="2.6"/>
    <n v="2.4"/>
    <n v="0"/>
    <n v="4.4000000000000004"/>
    <s v="到货不足；按实际交付计费"/>
    <s v="true"/>
    <s v="红薯叶"/>
    <s v="散装鲜菜"/>
    <s v="模拟_榕树下粉面店"/>
    <n v="10.56"/>
    <n v="0"/>
    <n v="10.56"/>
    <s v=""/>
    <s v=""/>
    <s v=""/>
    <s v=""/>
    <s v="通过"/>
  </r>
  <r>
    <s v="SIM-20260903-C001"/>
    <n v="2"/>
    <s v="C001"/>
    <x v="2"/>
    <s v="P009"/>
    <s v="公斤"/>
    <n v="2.8"/>
    <n v="2.8"/>
    <n v="0"/>
    <n v="5"/>
    <s v="正常交付"/>
    <s v="true"/>
    <s v="西红柿"/>
    <s v="散装鲜菜"/>
    <s v="模拟_榕树下粉面店"/>
    <n v="14"/>
    <n v="0"/>
    <n v="14"/>
    <s v=""/>
    <s v=""/>
    <s v=""/>
    <s v=""/>
    <s v="通过"/>
  </r>
  <r>
    <s v="SIM-20260903-C001"/>
    <n v="3"/>
    <s v="C001"/>
    <x v="2"/>
    <s v="P007"/>
    <s v="公斤"/>
    <n v="3"/>
    <n v="2.5"/>
    <n v="0"/>
    <n v="5.15"/>
    <s v="到货不足；按实际交付计费"/>
    <s v="true"/>
    <s v="青椒"/>
    <s v="散装鲜菜"/>
    <s v="模拟_榕树下粉面店"/>
    <n v="12.88"/>
    <n v="0"/>
    <n v="12.88"/>
    <s v=""/>
    <s v=""/>
    <s v=""/>
    <s v=""/>
    <s v="通过"/>
  </r>
  <r>
    <s v="SIM-20260903-C001"/>
    <n v="4"/>
    <s v="C001"/>
    <x v="2"/>
    <s v="P001"/>
    <s v="公斤"/>
    <n v="3"/>
    <n v="3"/>
    <n v="0"/>
    <n v="3.3"/>
    <s v="正常交付"/>
    <s v="true"/>
    <s v="土豆"/>
    <s v="散装鲜菜"/>
    <s v="模拟_榕树下粉面店"/>
    <n v="9.9"/>
    <n v="0"/>
    <n v="9.9"/>
    <s v=""/>
    <s v=""/>
    <s v=""/>
    <s v=""/>
    <s v="通过"/>
  </r>
  <r>
    <s v="SIM-20260903-C001"/>
    <n v="5"/>
    <s v="C001"/>
    <x v="2"/>
    <s v="P016"/>
    <s v="公斤"/>
    <n v="3"/>
    <n v="3"/>
    <n v="0"/>
    <n v="10.1"/>
    <s v="正常交付"/>
    <s v="true"/>
    <s v="鸡蛋"/>
    <s v="普通鲜鸡蛋按净重"/>
    <s v="模拟_榕树下粉面店"/>
    <n v="30.3"/>
    <n v="0"/>
    <n v="30.3"/>
    <s v=""/>
    <s v=""/>
    <s v=""/>
    <s v=""/>
    <s v="通过"/>
  </r>
  <r>
    <s v="SIM-20260903-C002"/>
    <n v="1"/>
    <s v="C002"/>
    <x v="2"/>
    <s v="P011"/>
    <s v="公斤"/>
    <n v="5.8"/>
    <n v="5.8"/>
    <n v="0"/>
    <n v="4.4000000000000004"/>
    <s v="正常交付"/>
    <s v="true"/>
    <s v="红薯叶"/>
    <s v="散装鲜菜"/>
    <s v="模拟_桥头家常菜馆"/>
    <n v="25.52"/>
    <n v="0"/>
    <n v="25.52"/>
    <s v=""/>
    <s v=""/>
    <s v=""/>
    <s v=""/>
    <s v="通过"/>
  </r>
  <r>
    <s v="SIM-20260903-C002"/>
    <n v="2"/>
    <s v="C002"/>
    <x v="2"/>
    <s v="P003"/>
    <s v="公斤"/>
    <n v="3.5"/>
    <n v="3.5"/>
    <n v="0"/>
    <n v="3.3"/>
    <s v="正常交付"/>
    <s v="true"/>
    <s v="包菜"/>
    <s v="散装鲜菜"/>
    <s v="模拟_桥头家常菜馆"/>
    <n v="11.55"/>
    <n v="0"/>
    <n v="11.55"/>
    <s v=""/>
    <s v=""/>
    <s v=""/>
    <s v=""/>
    <s v="通过"/>
  </r>
  <r>
    <s v="SIM-20260903-C002"/>
    <n v="3"/>
    <s v="C002"/>
    <x v="2"/>
    <s v="P004"/>
    <s v="公斤"/>
    <n v="7.1"/>
    <n v="7.1"/>
    <n v="0"/>
    <n v="2.2999999999999998"/>
    <s v="正常交付"/>
    <s v="true"/>
    <s v="冬瓜"/>
    <s v="散装鲜菜"/>
    <s v="模拟_桥头家常菜馆"/>
    <n v="16.329999999999998"/>
    <n v="0"/>
    <n v="16.329999999999998"/>
    <s v=""/>
    <s v=""/>
    <s v=""/>
    <s v=""/>
    <s v="通过"/>
  </r>
  <r>
    <s v="SIM-20260903-C002"/>
    <n v="4"/>
    <s v="C002"/>
    <x v="2"/>
    <s v="P002"/>
    <s v="公斤"/>
    <n v="4.9000000000000004"/>
    <n v="4.7"/>
    <n v="0"/>
    <n v="2.2999999999999998"/>
    <s v="到货不足；按实际交付计费"/>
    <s v="true"/>
    <s v="白萝卜"/>
    <s v="散装鲜菜"/>
    <s v="模拟_桥头家常菜馆"/>
    <n v="10.81"/>
    <n v="0"/>
    <n v="10.81"/>
    <s v=""/>
    <s v=""/>
    <s v=""/>
    <s v=""/>
    <s v="通过"/>
  </r>
  <r>
    <s v="SIM-20260903-C002"/>
    <n v="5"/>
    <s v="C002"/>
    <x v="2"/>
    <s v="P013"/>
    <s v="公斤"/>
    <n v="5.3"/>
    <n v="5.3"/>
    <n v="0"/>
    <n v="6.3"/>
    <s v="正常交付"/>
    <s v="true"/>
    <s v="豇豆"/>
    <s v="散装鲜菜"/>
    <s v="模拟_桥头家常菜馆"/>
    <n v="33.39"/>
    <n v="0"/>
    <n v="33.39"/>
    <s v=""/>
    <s v=""/>
    <s v=""/>
    <s v=""/>
    <s v="通过"/>
  </r>
  <r>
    <s v="SIM-20260903-C002"/>
    <n v="6"/>
    <s v="C002"/>
    <x v="2"/>
    <s v="P016"/>
    <s v="公斤"/>
    <n v="4"/>
    <n v="4"/>
    <n v="0"/>
    <n v="10.1"/>
    <s v="正常交付"/>
    <s v="true"/>
    <s v="鸡蛋"/>
    <s v="普通鲜鸡蛋按净重"/>
    <s v="模拟_桥头家常菜馆"/>
    <n v="40.4"/>
    <n v="0"/>
    <n v="40.4"/>
    <s v=""/>
    <s v=""/>
    <s v=""/>
    <s v=""/>
    <s v="通过"/>
  </r>
  <r>
    <s v="SIM-20260903-C003"/>
    <n v="1"/>
    <s v="C003"/>
    <x v="2"/>
    <s v="P010"/>
    <s v="公斤"/>
    <n v="8.1999999999999993"/>
    <n v="8.1999999999999993"/>
    <n v="0"/>
    <n v="5"/>
    <s v="正常交付"/>
    <s v="true"/>
    <s v="空心菜"/>
    <s v="散装鲜菜"/>
    <s v="模拟_兴街快餐店"/>
    <n v="41"/>
    <n v="0"/>
    <n v="41"/>
    <s v=""/>
    <s v=""/>
    <s v=""/>
    <s v=""/>
    <s v="通过"/>
  </r>
  <r>
    <s v="SIM-20260903-C003"/>
    <n v="2"/>
    <s v="C003"/>
    <x v="2"/>
    <s v="P009"/>
    <s v="公斤"/>
    <n v="4.5999999999999996"/>
    <n v="4.5999999999999996"/>
    <n v="0"/>
    <n v="5"/>
    <s v="正常交付"/>
    <s v="true"/>
    <s v="西红柿"/>
    <s v="散装鲜菜"/>
    <s v="模拟_兴街快餐店"/>
    <n v="23"/>
    <n v="0"/>
    <n v="23"/>
    <s v=""/>
    <s v=""/>
    <s v=""/>
    <s v=""/>
    <s v="通过"/>
  </r>
  <r>
    <s v="SIM-20260903-C003"/>
    <n v="3"/>
    <s v="C003"/>
    <x v="2"/>
    <s v="P002"/>
    <s v="公斤"/>
    <n v="6.2"/>
    <n v="6.2"/>
    <n v="0"/>
    <n v="2.2999999999999998"/>
    <s v="正常交付"/>
    <s v="true"/>
    <s v="白萝卜"/>
    <s v="散装鲜菜"/>
    <s v="模拟_兴街快餐店"/>
    <n v="14.26"/>
    <n v="0"/>
    <n v="14.26"/>
    <s v=""/>
    <s v=""/>
    <s v=""/>
    <s v=""/>
    <s v="通过"/>
  </r>
  <r>
    <s v="SIM-20260903-C003"/>
    <n v="4"/>
    <s v="C003"/>
    <x v="2"/>
    <s v="P006"/>
    <s v="公斤"/>
    <n v="6.7"/>
    <n v="6.7"/>
    <n v="0"/>
    <n v="4.5999999999999996"/>
    <s v="正常交付"/>
    <s v="true"/>
    <s v="茄子"/>
    <s v="散装鲜菜"/>
    <s v="模拟_兴街快餐店"/>
    <n v="30.82"/>
    <n v="0"/>
    <n v="30.82"/>
    <s v=""/>
    <s v=""/>
    <s v=""/>
    <s v=""/>
    <s v="通过"/>
  </r>
  <r>
    <s v="SIM-20260903-C003"/>
    <n v="5"/>
    <s v="C003"/>
    <x v="2"/>
    <s v="P014"/>
    <s v="公斤"/>
    <n v="7.2"/>
    <n v="7.2"/>
    <n v="0"/>
    <n v="4.7"/>
    <s v="正常交付"/>
    <s v="true"/>
    <s v="丝瓜"/>
    <s v="散装鲜菜"/>
    <s v="模拟_兴街快餐店"/>
    <n v="33.840000000000003"/>
    <n v="0"/>
    <n v="33.840000000000003"/>
    <s v=""/>
    <s v=""/>
    <s v=""/>
    <s v=""/>
    <s v="通过"/>
  </r>
  <r>
    <s v="SIM-20260903-C003"/>
    <n v="6"/>
    <s v="C003"/>
    <x v="2"/>
    <s v="P003"/>
    <s v="公斤"/>
    <n v="6.2"/>
    <n v="5.7"/>
    <n v="0"/>
    <n v="3.3"/>
    <s v="到货不足；按实际交付计费"/>
    <s v="true"/>
    <s v="包菜"/>
    <s v="散装鲜菜"/>
    <s v="模拟_兴街快餐店"/>
    <n v="18.809999999999999"/>
    <n v="0"/>
    <n v="18.809999999999999"/>
    <s v=""/>
    <s v=""/>
    <s v=""/>
    <s v=""/>
    <s v="通过"/>
  </r>
  <r>
    <s v="SIM-20260903-C003"/>
    <n v="7"/>
    <s v="C003"/>
    <x v="2"/>
    <s v="P016"/>
    <s v="公斤"/>
    <n v="6"/>
    <n v="6"/>
    <n v="0"/>
    <n v="10.1"/>
    <s v="正常交付"/>
    <s v="true"/>
    <s v="鸡蛋"/>
    <s v="普通鲜鸡蛋按净重"/>
    <s v="模拟_兴街快餐店"/>
    <n v="60.6"/>
    <n v="0"/>
    <n v="60.6"/>
    <s v=""/>
    <s v=""/>
    <s v=""/>
    <s v=""/>
    <s v="通过"/>
  </r>
  <r>
    <s v="SIM-20260903-C004"/>
    <n v="1"/>
    <s v="C004"/>
    <x v="2"/>
    <s v="P010"/>
    <s v="公斤"/>
    <n v="5.6"/>
    <n v="5.6"/>
    <n v="0"/>
    <n v="5"/>
    <s v="正常交付"/>
    <s v="true"/>
    <s v="空心菜"/>
    <s v="散装鲜菜"/>
    <s v="模拟_田畔饭店"/>
    <n v="28"/>
    <n v="0"/>
    <n v="28"/>
    <s v=""/>
    <s v=""/>
    <s v=""/>
    <s v=""/>
    <s v="通过"/>
  </r>
  <r>
    <s v="SIM-20260903-C004"/>
    <n v="2"/>
    <s v="C004"/>
    <x v="2"/>
    <s v="P006"/>
    <s v="公斤"/>
    <n v="4.0999999999999996"/>
    <n v="4.0999999999999996"/>
    <n v="0"/>
    <n v="4.5999999999999996"/>
    <s v="正常交付"/>
    <s v="true"/>
    <s v="茄子"/>
    <s v="散装鲜菜"/>
    <s v="模拟_田畔饭店"/>
    <n v="18.86"/>
    <n v="0"/>
    <n v="18.86"/>
    <s v=""/>
    <s v=""/>
    <s v=""/>
    <s v=""/>
    <s v="通过"/>
  </r>
  <r>
    <s v="SIM-20260903-C004"/>
    <n v="3"/>
    <s v="C004"/>
    <x v="2"/>
    <s v="P003"/>
    <s v="公斤"/>
    <n v="7.6"/>
    <n v="7.6"/>
    <n v="0"/>
    <n v="3.3"/>
    <s v="正常交付"/>
    <s v="true"/>
    <s v="包菜"/>
    <s v="散装鲜菜"/>
    <s v="模拟_田畔饭店"/>
    <n v="25.08"/>
    <n v="0"/>
    <n v="25.08"/>
    <s v=""/>
    <s v=""/>
    <s v=""/>
    <s v=""/>
    <s v="通过"/>
  </r>
  <r>
    <s v="SIM-20260903-C004"/>
    <n v="4"/>
    <s v="C004"/>
    <x v="2"/>
    <s v="P013"/>
    <s v="公斤"/>
    <n v="7.6"/>
    <n v="7.6"/>
    <n v="0"/>
    <n v="6.3"/>
    <s v="正常交付"/>
    <s v="true"/>
    <s v="豇豆"/>
    <s v="散装鲜菜"/>
    <s v="模拟_田畔饭店"/>
    <n v="47.88"/>
    <n v="0"/>
    <n v="47.88"/>
    <s v=""/>
    <s v=""/>
    <s v=""/>
    <s v=""/>
    <s v="通过"/>
  </r>
  <r>
    <s v="SIM-20260903-C004"/>
    <n v="5"/>
    <s v="C004"/>
    <x v="2"/>
    <s v="P007"/>
    <s v="公斤"/>
    <n v="7.1"/>
    <n v="7.1"/>
    <n v="0"/>
    <n v="5.15"/>
    <s v="正常交付"/>
    <s v="true"/>
    <s v="青椒"/>
    <s v="散装鲜菜"/>
    <s v="模拟_田畔饭店"/>
    <n v="36.57"/>
    <n v="0"/>
    <n v="36.57"/>
    <s v=""/>
    <s v=""/>
    <s v=""/>
    <s v=""/>
    <s v="通过"/>
  </r>
  <r>
    <s v="SIM-20260903-C004"/>
    <n v="6"/>
    <s v="C004"/>
    <x v="2"/>
    <s v="P009"/>
    <s v="公斤"/>
    <n v="7.1"/>
    <n v="7.1"/>
    <n v="0"/>
    <n v="5"/>
    <s v="正常交付"/>
    <s v="true"/>
    <s v="西红柿"/>
    <s v="散装鲜菜"/>
    <s v="模拟_田畔饭店"/>
    <n v="35.5"/>
    <n v="0"/>
    <n v="35.5"/>
    <s v=""/>
    <s v=""/>
    <s v=""/>
    <s v=""/>
    <s v="通过"/>
  </r>
  <r>
    <s v="SIM-20260903-C005"/>
    <n v="1"/>
    <s v="C005"/>
    <x v="2"/>
    <s v="P010"/>
    <s v="公斤"/>
    <n v="8.1999999999999993"/>
    <n v="8.1999999999999993"/>
    <n v="0"/>
    <n v="5"/>
    <s v="正常交付"/>
    <s v="true"/>
    <s v="空心菜"/>
    <s v="散装鲜菜"/>
    <s v="模拟_青禾小学食堂"/>
    <n v="41"/>
    <n v="0"/>
    <n v="41"/>
    <s v=""/>
    <s v=""/>
    <s v=""/>
    <s v=""/>
    <s v="通过"/>
  </r>
  <r>
    <s v="SIM-20260903-C005"/>
    <n v="2"/>
    <s v="C005"/>
    <x v="2"/>
    <s v="P001"/>
    <s v="公斤"/>
    <n v="8.1999999999999993"/>
    <n v="8.1999999999999993"/>
    <n v="0"/>
    <n v="3.3"/>
    <s v="正常交付"/>
    <s v="true"/>
    <s v="土豆"/>
    <s v="散装鲜菜"/>
    <s v="模拟_青禾小学食堂"/>
    <n v="27.06"/>
    <n v="0"/>
    <n v="27.06"/>
    <s v=""/>
    <s v=""/>
    <s v=""/>
    <s v=""/>
    <s v="通过"/>
  </r>
  <r>
    <s v="SIM-20260903-C005"/>
    <n v="3"/>
    <s v="C005"/>
    <x v="2"/>
    <s v="P008"/>
    <s v="公斤"/>
    <n v="13.3"/>
    <n v="13.3"/>
    <n v="0"/>
    <n v="4.0999999999999996"/>
    <s v="正常交付"/>
    <s v="true"/>
    <s v="黄瓜"/>
    <s v="散装鲜菜"/>
    <s v="模拟_青禾小学食堂"/>
    <n v="54.53"/>
    <n v="0"/>
    <n v="54.53"/>
    <s v=""/>
    <s v=""/>
    <s v=""/>
    <s v=""/>
    <s v="通过"/>
  </r>
  <r>
    <s v="SIM-20260903-C005"/>
    <n v="4"/>
    <s v="C005"/>
    <x v="2"/>
    <s v="P009"/>
    <s v="公斤"/>
    <n v="7.2"/>
    <n v="7.2"/>
    <n v="0"/>
    <n v="5"/>
    <s v="正常交付"/>
    <s v="true"/>
    <s v="西红柿"/>
    <s v="散装鲜菜"/>
    <s v="模拟_青禾小学食堂"/>
    <n v="36"/>
    <n v="0"/>
    <n v="36"/>
    <s v=""/>
    <s v=""/>
    <s v=""/>
    <s v=""/>
    <s v="通过"/>
  </r>
  <r>
    <s v="SIM-20260903-C005"/>
    <n v="5"/>
    <s v="C005"/>
    <x v="2"/>
    <s v="P013"/>
    <s v="公斤"/>
    <n v="8.1999999999999993"/>
    <n v="8.1999999999999993"/>
    <n v="0"/>
    <n v="6.3"/>
    <s v="正常交付"/>
    <s v="true"/>
    <s v="豇豆"/>
    <s v="散装鲜菜"/>
    <s v="模拟_青禾小学食堂"/>
    <n v="51.66"/>
    <n v="0"/>
    <n v="51.66"/>
    <s v=""/>
    <s v=""/>
    <s v=""/>
    <s v=""/>
    <s v="通过"/>
  </r>
  <r>
    <s v="SIM-20260903-C005"/>
    <n v="6"/>
    <s v="C005"/>
    <x v="2"/>
    <s v="P005"/>
    <s v="公斤"/>
    <n v="16.399999999999999"/>
    <n v="16.399999999999999"/>
    <n v="0"/>
    <n v="2.7"/>
    <s v="正常交付"/>
    <s v="true"/>
    <s v="南瓜"/>
    <s v="散装鲜菜"/>
    <s v="模拟_青禾小学食堂"/>
    <n v="44.28"/>
    <n v="0"/>
    <n v="44.28"/>
    <s v=""/>
    <s v=""/>
    <s v=""/>
    <s v=""/>
    <s v="通过"/>
  </r>
  <r>
    <s v="SIM-20260903-C005"/>
    <n v="7"/>
    <s v="C005"/>
    <x v="2"/>
    <s v="P016"/>
    <s v="公斤"/>
    <n v="12"/>
    <n v="12"/>
    <n v="0"/>
    <n v="10.1"/>
    <s v="正常交付"/>
    <s v="true"/>
    <s v="鸡蛋"/>
    <s v="普通鲜鸡蛋按净重"/>
    <s v="模拟_青禾小学食堂"/>
    <n v="121.2"/>
    <n v="0"/>
    <n v="121.2"/>
    <s v=""/>
    <s v=""/>
    <s v=""/>
    <s v=""/>
    <s v="通过"/>
  </r>
  <r>
    <s v="SIM-20260903-C006"/>
    <n v="1"/>
    <s v="C006"/>
    <x v="2"/>
    <s v="P011"/>
    <s v="公斤"/>
    <n v="5"/>
    <n v="5"/>
    <n v="0"/>
    <n v="4.4000000000000004"/>
    <s v="正常交付"/>
    <s v="true"/>
    <s v="红薯叶"/>
    <s v="散装鲜菜"/>
    <s v="模拟_溪桥医院食堂"/>
    <n v="22"/>
    <n v="0"/>
    <n v="22"/>
    <s v=""/>
    <s v=""/>
    <s v=""/>
    <s v=""/>
    <s v="通过"/>
  </r>
  <r>
    <s v="SIM-20260903-C006"/>
    <n v="2"/>
    <s v="C006"/>
    <x v="2"/>
    <s v="P004"/>
    <s v="公斤"/>
    <n v="4.4000000000000004"/>
    <n v="4.4000000000000004"/>
    <n v="0"/>
    <n v="2.2999999999999998"/>
    <s v="正常交付"/>
    <s v="true"/>
    <s v="冬瓜"/>
    <s v="散装鲜菜"/>
    <s v="模拟_溪桥医院食堂"/>
    <n v="10.119999999999999"/>
    <n v="0"/>
    <n v="10.119999999999999"/>
    <s v=""/>
    <s v=""/>
    <s v=""/>
    <s v=""/>
    <s v="通过"/>
  </r>
  <r>
    <s v="SIM-20260903-C006"/>
    <n v="3"/>
    <s v="C006"/>
    <x v="2"/>
    <s v="P003"/>
    <s v="公斤"/>
    <n v="8.8000000000000007"/>
    <n v="8.8000000000000007"/>
    <n v="0"/>
    <n v="3.3"/>
    <s v="正常交付"/>
    <s v="true"/>
    <s v="包菜"/>
    <s v="散装鲜菜"/>
    <s v="模拟_溪桥医院食堂"/>
    <n v="29.04"/>
    <n v="0"/>
    <n v="29.04"/>
    <s v=""/>
    <s v=""/>
    <s v=""/>
    <s v=""/>
    <s v="通过"/>
  </r>
  <r>
    <s v="SIM-20260903-C006"/>
    <n v="4"/>
    <s v="C006"/>
    <x v="2"/>
    <s v="P014"/>
    <s v="公斤"/>
    <n v="9.5"/>
    <n v="9.5"/>
    <n v="0"/>
    <n v="4.7"/>
    <s v="正常交付"/>
    <s v="true"/>
    <s v="丝瓜"/>
    <s v="散装鲜菜"/>
    <s v="模拟_溪桥医院食堂"/>
    <n v="44.65"/>
    <n v="0"/>
    <n v="44.65"/>
    <s v=""/>
    <s v=""/>
    <s v=""/>
    <s v=""/>
    <s v="通过"/>
  </r>
  <r>
    <s v="SIM-20260903-C006"/>
    <n v="5"/>
    <s v="C006"/>
    <x v="2"/>
    <s v="P002"/>
    <s v="公斤"/>
    <n v="10.1"/>
    <n v="10.1"/>
    <n v="0"/>
    <n v="2.2999999999999998"/>
    <s v="正常交付"/>
    <s v="true"/>
    <s v="白萝卜"/>
    <s v="散装鲜菜"/>
    <s v="模拟_溪桥医院食堂"/>
    <n v="23.23"/>
    <n v="0"/>
    <n v="23.23"/>
    <s v=""/>
    <s v=""/>
    <s v=""/>
    <s v=""/>
    <s v="通过"/>
  </r>
  <r>
    <s v="SIM-20260903-C006"/>
    <n v="6"/>
    <s v="C006"/>
    <x v="2"/>
    <s v="P008"/>
    <s v="公斤"/>
    <n v="8.1999999999999993"/>
    <n v="8.1999999999999993"/>
    <n v="0"/>
    <n v="4.0999999999999996"/>
    <s v="正常交付"/>
    <s v="true"/>
    <s v="黄瓜"/>
    <s v="散装鲜菜"/>
    <s v="模拟_溪桥医院食堂"/>
    <n v="33.619999999999997"/>
    <n v="0"/>
    <n v="33.619999999999997"/>
    <s v=""/>
    <s v=""/>
    <s v=""/>
    <s v=""/>
    <s v="通过"/>
  </r>
  <r>
    <s v="SIM-20260903-C006"/>
    <n v="7"/>
    <s v="C006"/>
    <x v="2"/>
    <s v="P016"/>
    <s v="公斤"/>
    <n v="9"/>
    <n v="9"/>
    <n v="0"/>
    <n v="10.1"/>
    <s v="正常交付"/>
    <s v="true"/>
    <s v="鸡蛋"/>
    <s v="普通鲜鸡蛋按净重"/>
    <s v="模拟_溪桥医院食堂"/>
    <n v="90.9"/>
    <n v="0"/>
    <n v="90.9"/>
    <s v=""/>
    <s v=""/>
    <s v=""/>
    <s v=""/>
    <s v="通过"/>
  </r>
  <r>
    <s v="SIM-20260904-C001"/>
    <n v="1"/>
    <s v="C001"/>
    <x v="3"/>
    <s v="P012"/>
    <s v="公斤"/>
    <n v="2.6"/>
    <n v="2.6"/>
    <n v="0"/>
    <n v="4.5999999999999996"/>
    <s v="正常交付"/>
    <s v="true"/>
    <s v="小白菜"/>
    <s v="散装鲜菜"/>
    <s v="模拟_榕树下粉面店"/>
    <n v="11.96"/>
    <n v="0"/>
    <n v="11.96"/>
    <s v=""/>
    <s v=""/>
    <s v=""/>
    <s v=""/>
    <s v="通过"/>
  </r>
  <r>
    <s v="SIM-20260904-C001"/>
    <n v="2"/>
    <s v="C001"/>
    <x v="3"/>
    <s v="P008"/>
    <s v="公斤"/>
    <n v="2"/>
    <n v="2"/>
    <n v="0"/>
    <n v="4.0999999999999996"/>
    <s v="正常交付"/>
    <s v="true"/>
    <s v="黄瓜"/>
    <s v="散装鲜菜"/>
    <s v="模拟_榕树下粉面店"/>
    <n v="8.1999999999999993"/>
    <n v="0"/>
    <n v="8.1999999999999993"/>
    <s v=""/>
    <s v=""/>
    <s v=""/>
    <s v=""/>
    <s v="通过"/>
  </r>
  <r>
    <s v="SIM-20260904-C001"/>
    <n v="3"/>
    <s v="C001"/>
    <x v="3"/>
    <s v="P007"/>
    <s v="公斤"/>
    <n v="3.1"/>
    <n v="3.1"/>
    <n v="0"/>
    <n v="5.15"/>
    <s v="正常交付"/>
    <s v="true"/>
    <s v="青椒"/>
    <s v="散装鲜菜"/>
    <s v="模拟_榕树下粉面店"/>
    <n v="15.97"/>
    <n v="0"/>
    <n v="15.97"/>
    <s v=""/>
    <s v=""/>
    <s v=""/>
    <s v=""/>
    <s v="通过"/>
  </r>
  <r>
    <s v="SIM-20260904-C001"/>
    <n v="4"/>
    <s v="C001"/>
    <x v="3"/>
    <s v="P009"/>
    <s v="公斤"/>
    <n v="2.9"/>
    <n v="2.9"/>
    <n v="0"/>
    <n v="5"/>
    <s v="正常交付"/>
    <s v="true"/>
    <s v="西红柿"/>
    <s v="散装鲜菜"/>
    <s v="模拟_榕树下粉面店"/>
    <n v="14.5"/>
    <n v="0"/>
    <n v="14.5"/>
    <s v=""/>
    <s v=""/>
    <s v=""/>
    <s v=""/>
    <s v="通过"/>
  </r>
  <r>
    <s v="SIM-20260904-C001"/>
    <n v="5"/>
    <s v="C001"/>
    <x v="3"/>
    <s v="P015"/>
    <s v="公斤"/>
    <n v="0.5"/>
    <n v="0.3"/>
    <n v="0"/>
    <n v="7.3"/>
    <s v="到货不足；按实际交付计费"/>
    <s v="true"/>
    <s v="小葱"/>
    <s v="散装鲜菜"/>
    <s v="模拟_榕树下粉面店"/>
    <n v="2.19"/>
    <n v="0"/>
    <n v="2.19"/>
    <s v=""/>
    <s v=""/>
    <s v=""/>
    <s v=""/>
    <s v="通过"/>
  </r>
  <r>
    <s v="SIM-20260904-C002"/>
    <n v="1"/>
    <s v="C002"/>
    <x v="3"/>
    <s v="P012"/>
    <s v="公斤"/>
    <n v="4.2"/>
    <n v="4.2"/>
    <n v="0.5"/>
    <n v="4.5999999999999996"/>
    <s v="正常交付；签收时挑出黄叶退回"/>
    <s v="true"/>
    <s v="小白菜"/>
    <s v="散装鲜菜"/>
    <s v="模拟_桥头家常菜馆"/>
    <n v="19.32"/>
    <n v="2.2999999999999998"/>
    <n v="17.02"/>
    <s v=""/>
    <s v=""/>
    <s v=""/>
    <s v=""/>
    <s v="通过"/>
  </r>
  <r>
    <s v="SIM-20260904-C002"/>
    <n v="2"/>
    <s v="C002"/>
    <x v="3"/>
    <s v="P014"/>
    <s v="公斤"/>
    <n v="6"/>
    <n v="6"/>
    <n v="0"/>
    <n v="4.7"/>
    <s v="正常交付"/>
    <s v="true"/>
    <s v="丝瓜"/>
    <s v="散装鲜菜"/>
    <s v="模拟_桥头家常菜馆"/>
    <n v="28.2"/>
    <n v="0"/>
    <n v="28.2"/>
    <s v=""/>
    <s v=""/>
    <s v=""/>
    <s v=""/>
    <s v="通过"/>
  </r>
  <r>
    <s v="SIM-20260904-C002"/>
    <n v="3"/>
    <s v="C002"/>
    <x v="3"/>
    <s v="P002"/>
    <s v="公斤"/>
    <n v="6.7"/>
    <n v="6.7"/>
    <n v="0"/>
    <n v="2.2999999999999998"/>
    <s v="正常交付"/>
    <s v="true"/>
    <s v="白萝卜"/>
    <s v="散装鲜菜"/>
    <s v="模拟_桥头家常菜馆"/>
    <n v="15.41"/>
    <n v="0"/>
    <n v="15.41"/>
    <s v=""/>
    <s v=""/>
    <s v=""/>
    <s v=""/>
    <s v="通过"/>
  </r>
  <r>
    <s v="SIM-20260904-C002"/>
    <n v="4"/>
    <s v="C002"/>
    <x v="3"/>
    <s v="P006"/>
    <s v="公斤"/>
    <n v="9.1"/>
    <n v="9.1"/>
    <n v="0"/>
    <n v="4.5999999999999996"/>
    <s v="正常交付"/>
    <s v="true"/>
    <s v="茄子"/>
    <s v="散装鲜菜"/>
    <s v="模拟_桥头家常菜馆"/>
    <n v="41.86"/>
    <n v="0"/>
    <n v="41.86"/>
    <s v=""/>
    <s v=""/>
    <s v=""/>
    <s v=""/>
    <s v="通过"/>
  </r>
  <r>
    <s v="SIM-20260904-C002"/>
    <n v="5"/>
    <s v="C002"/>
    <x v="3"/>
    <s v="P013"/>
    <s v="公斤"/>
    <n v="7.3"/>
    <n v="7.3"/>
    <n v="0"/>
    <n v="6.3"/>
    <s v="正常交付"/>
    <s v="true"/>
    <s v="豇豆"/>
    <s v="散装鲜菜"/>
    <s v="模拟_桥头家常菜馆"/>
    <n v="45.99"/>
    <n v="0"/>
    <n v="45.99"/>
    <s v=""/>
    <s v=""/>
    <s v=""/>
    <s v=""/>
    <s v="通过"/>
  </r>
  <r>
    <s v="SIM-20260904-C002"/>
    <n v="6"/>
    <s v="C002"/>
    <x v="3"/>
    <s v="P015"/>
    <s v="公斤"/>
    <n v="1"/>
    <n v="1"/>
    <n v="0"/>
    <n v="7.3"/>
    <s v="正常交付"/>
    <s v="true"/>
    <s v="小葱"/>
    <s v="散装鲜菜"/>
    <s v="模拟_桥头家常菜馆"/>
    <n v="7.3"/>
    <n v="0"/>
    <n v="7.3"/>
    <s v=""/>
    <s v=""/>
    <s v=""/>
    <s v=""/>
    <s v="通过"/>
  </r>
  <r>
    <s v="SIM-20260904-C003"/>
    <n v="1"/>
    <s v="C003"/>
    <x v="3"/>
    <s v="P011"/>
    <s v="公斤"/>
    <n v="8.6999999999999993"/>
    <n v="8.6999999999999993"/>
    <n v="0"/>
    <n v="4.4000000000000004"/>
    <s v="正常交付"/>
    <s v="true"/>
    <s v="红薯叶"/>
    <s v="散装鲜菜"/>
    <s v="模拟_兴街快餐店"/>
    <n v="38.28"/>
    <n v="0"/>
    <n v="38.28"/>
    <s v=""/>
    <s v=""/>
    <s v=""/>
    <s v=""/>
    <s v="通过"/>
  </r>
  <r>
    <s v="SIM-20260904-C003"/>
    <n v="2"/>
    <s v="C003"/>
    <x v="3"/>
    <s v="P007"/>
    <s v="公斤"/>
    <n v="5.3"/>
    <n v="5.3"/>
    <n v="0"/>
    <n v="5.15"/>
    <s v="正常交付"/>
    <s v="true"/>
    <s v="青椒"/>
    <s v="散装鲜菜"/>
    <s v="模拟_兴街快餐店"/>
    <n v="27.3"/>
    <n v="0"/>
    <n v="27.3"/>
    <s v=""/>
    <s v=""/>
    <s v=""/>
    <s v=""/>
    <s v="通过"/>
  </r>
  <r>
    <s v="SIM-20260904-C003"/>
    <n v="3"/>
    <s v="C003"/>
    <x v="3"/>
    <s v="P002"/>
    <s v="公斤"/>
    <n v="8"/>
    <n v="8"/>
    <n v="0"/>
    <n v="2.2999999999999998"/>
    <s v="正常交付"/>
    <s v="true"/>
    <s v="白萝卜"/>
    <s v="散装鲜菜"/>
    <s v="模拟_兴街快餐店"/>
    <n v="18.399999999999999"/>
    <n v="0"/>
    <n v="18.399999999999999"/>
    <s v=""/>
    <s v=""/>
    <s v=""/>
    <s v=""/>
    <s v="通过"/>
  </r>
  <r>
    <s v="SIM-20260904-C003"/>
    <n v="4"/>
    <s v="C003"/>
    <x v="3"/>
    <s v="P013"/>
    <s v="公斤"/>
    <n v="10.7"/>
    <n v="10.7"/>
    <n v="0"/>
    <n v="6.3"/>
    <s v="正常交付"/>
    <s v="true"/>
    <s v="豇豆"/>
    <s v="散装鲜菜"/>
    <s v="模拟_兴街快餐店"/>
    <n v="67.41"/>
    <n v="0"/>
    <n v="67.41"/>
    <s v=""/>
    <s v=""/>
    <s v=""/>
    <s v=""/>
    <s v="通过"/>
  </r>
  <r>
    <s v="SIM-20260904-C003"/>
    <n v="5"/>
    <s v="C003"/>
    <x v="3"/>
    <s v="P003"/>
    <s v="公斤"/>
    <n v="5.3"/>
    <n v="5.3"/>
    <n v="0"/>
    <n v="3.3"/>
    <s v="正常交付"/>
    <s v="true"/>
    <s v="包菜"/>
    <s v="散装鲜菜"/>
    <s v="模拟_兴街快餐店"/>
    <n v="17.489999999999998"/>
    <n v="0"/>
    <n v="17.489999999999998"/>
    <s v=""/>
    <s v=""/>
    <s v=""/>
    <s v=""/>
    <s v="通过"/>
  </r>
  <r>
    <s v="SIM-20260904-C003"/>
    <n v="6"/>
    <s v="C003"/>
    <x v="3"/>
    <s v="P014"/>
    <s v="公斤"/>
    <n v="6"/>
    <n v="6"/>
    <n v="0"/>
    <n v="4.7"/>
    <s v="正常交付"/>
    <s v="true"/>
    <s v="丝瓜"/>
    <s v="散装鲜菜"/>
    <s v="模拟_兴街快餐店"/>
    <n v="28.2"/>
    <n v="0"/>
    <n v="28.2"/>
    <s v=""/>
    <s v=""/>
    <s v=""/>
    <s v=""/>
    <s v="通过"/>
  </r>
  <r>
    <s v="SIM-20260904-C003"/>
    <n v="7"/>
    <s v="C003"/>
    <x v="3"/>
    <s v="P015"/>
    <s v="公斤"/>
    <n v="1"/>
    <n v="1"/>
    <n v="0"/>
    <n v="7.3"/>
    <s v="正常交付"/>
    <s v="true"/>
    <s v="小葱"/>
    <s v="散装鲜菜"/>
    <s v="模拟_兴街快餐店"/>
    <n v="7.3"/>
    <n v="0"/>
    <n v="7.3"/>
    <s v=""/>
    <s v=""/>
    <s v=""/>
    <s v=""/>
    <s v="通过"/>
  </r>
  <r>
    <s v="SIM-20260904-C005"/>
    <n v="1"/>
    <s v="C005"/>
    <x v="3"/>
    <s v="P012"/>
    <s v="公斤"/>
    <n v="15.2"/>
    <n v="15.2"/>
    <n v="0"/>
    <n v="4.5999999999999996"/>
    <s v="正常交付"/>
    <s v="true"/>
    <s v="小白菜"/>
    <s v="散装鲜菜"/>
    <s v="模拟_青禾小学食堂"/>
    <n v="69.92"/>
    <n v="0"/>
    <n v="69.92"/>
    <s v=""/>
    <s v=""/>
    <s v=""/>
    <s v=""/>
    <s v="通过"/>
  </r>
  <r>
    <s v="SIM-20260904-C005"/>
    <n v="2"/>
    <s v="C005"/>
    <x v="3"/>
    <s v="P008"/>
    <s v="公斤"/>
    <n v="11.9"/>
    <n v="11.9"/>
    <n v="0"/>
    <n v="4.0999999999999996"/>
    <s v="正常交付"/>
    <s v="true"/>
    <s v="黄瓜"/>
    <s v="散装鲜菜"/>
    <s v="模拟_青禾小学食堂"/>
    <n v="48.79"/>
    <n v="0"/>
    <n v="48.79"/>
    <s v=""/>
    <s v=""/>
    <s v=""/>
    <s v=""/>
    <s v="通过"/>
  </r>
  <r>
    <s v="SIM-20260904-C005"/>
    <n v="3"/>
    <s v="C005"/>
    <x v="3"/>
    <s v="P003"/>
    <s v="公斤"/>
    <n v="8.6999999999999993"/>
    <n v="8.6999999999999993"/>
    <n v="0"/>
    <n v="3.3"/>
    <s v="正常交付"/>
    <s v="true"/>
    <s v="包菜"/>
    <s v="散装鲜菜"/>
    <s v="模拟_青禾小学食堂"/>
    <n v="28.71"/>
    <n v="0"/>
    <n v="28.71"/>
    <s v=""/>
    <s v=""/>
    <s v=""/>
    <s v=""/>
    <s v="通过"/>
  </r>
  <r>
    <s v="SIM-20260904-C005"/>
    <n v="4"/>
    <s v="C005"/>
    <x v="3"/>
    <s v="P002"/>
    <s v="公斤"/>
    <n v="7.6"/>
    <n v="7.6"/>
    <n v="0"/>
    <n v="2.2999999999999998"/>
    <s v="正常交付"/>
    <s v="true"/>
    <s v="白萝卜"/>
    <s v="散装鲜菜"/>
    <s v="模拟_青禾小学食堂"/>
    <n v="17.48"/>
    <n v="0"/>
    <n v="17.48"/>
    <s v=""/>
    <s v=""/>
    <s v=""/>
    <s v=""/>
    <s v="通过"/>
  </r>
  <r>
    <s v="SIM-20260904-C005"/>
    <n v="5"/>
    <s v="C005"/>
    <x v="3"/>
    <s v="P006"/>
    <s v="公斤"/>
    <n v="17.3"/>
    <n v="17.3"/>
    <n v="0"/>
    <n v="4.5999999999999996"/>
    <s v="正常交付"/>
    <s v="true"/>
    <s v="茄子"/>
    <s v="散装鲜菜"/>
    <s v="模拟_青禾小学食堂"/>
    <n v="79.58"/>
    <n v="0"/>
    <n v="79.58"/>
    <s v=""/>
    <s v=""/>
    <s v=""/>
    <s v=""/>
    <s v="通过"/>
  </r>
  <r>
    <s v="SIM-20260904-C005"/>
    <n v="6"/>
    <s v="C005"/>
    <x v="3"/>
    <s v="P004"/>
    <s v="公斤"/>
    <n v="7.6"/>
    <n v="7.6"/>
    <n v="0"/>
    <n v="2.2999999999999998"/>
    <s v="正常交付"/>
    <s v="true"/>
    <s v="冬瓜"/>
    <s v="散装鲜菜"/>
    <s v="模拟_青禾小学食堂"/>
    <n v="17.48"/>
    <n v="0"/>
    <n v="17.48"/>
    <s v=""/>
    <s v=""/>
    <s v=""/>
    <s v=""/>
    <s v="通过"/>
  </r>
  <r>
    <s v="SIM-20260904-C005"/>
    <n v="7"/>
    <s v="C005"/>
    <x v="3"/>
    <s v="P015"/>
    <s v="公斤"/>
    <n v="1"/>
    <n v="1"/>
    <n v="0"/>
    <n v="7.3"/>
    <s v="正常交付"/>
    <s v="true"/>
    <s v="小葱"/>
    <s v="散装鲜菜"/>
    <s v="模拟_青禾小学食堂"/>
    <n v="7.3"/>
    <n v="0"/>
    <n v="7.3"/>
    <s v=""/>
    <s v=""/>
    <s v=""/>
    <s v=""/>
    <s v="通过"/>
  </r>
  <r>
    <s v="SIM-20260904-C006"/>
    <n v="1"/>
    <s v="C006"/>
    <x v="3"/>
    <s v="P012"/>
    <s v="公斤"/>
    <n v="6"/>
    <n v="6"/>
    <n v="0"/>
    <n v="4.5999999999999996"/>
    <s v="正常交付"/>
    <s v="true"/>
    <s v="小白菜"/>
    <s v="散装鲜菜"/>
    <s v="模拟_溪桥医院食堂"/>
    <n v="27.6"/>
    <n v="0"/>
    <n v="27.6"/>
    <s v=""/>
    <s v=""/>
    <s v=""/>
    <s v=""/>
    <s v="通过"/>
  </r>
  <r>
    <s v="SIM-20260904-C006"/>
    <n v="2"/>
    <s v="C006"/>
    <x v="3"/>
    <s v="P003"/>
    <s v="公斤"/>
    <n v="8"/>
    <n v="8"/>
    <n v="0"/>
    <n v="3.3"/>
    <s v="正常交付"/>
    <s v="true"/>
    <s v="包菜"/>
    <s v="散装鲜菜"/>
    <s v="模拟_溪桥医院食堂"/>
    <n v="26.4"/>
    <n v="0"/>
    <n v="26.4"/>
    <s v=""/>
    <s v=""/>
    <s v=""/>
    <s v=""/>
    <s v="通过"/>
  </r>
  <r>
    <s v="SIM-20260904-C006"/>
    <n v="3"/>
    <s v="C006"/>
    <x v="3"/>
    <s v="P002"/>
    <s v="公斤"/>
    <n v="8"/>
    <n v="8"/>
    <n v="0"/>
    <n v="2.2999999999999998"/>
    <s v="正常交付"/>
    <s v="true"/>
    <s v="白萝卜"/>
    <s v="散装鲜菜"/>
    <s v="模拟_溪桥医院食堂"/>
    <n v="18.399999999999999"/>
    <n v="0"/>
    <n v="18.399999999999999"/>
    <s v=""/>
    <s v=""/>
    <s v=""/>
    <s v=""/>
    <s v="通过"/>
  </r>
  <r>
    <s v="SIM-20260904-C006"/>
    <n v="4"/>
    <s v="C006"/>
    <x v="3"/>
    <s v="P009"/>
    <s v="公斤"/>
    <n v="8.6"/>
    <n v="8.6"/>
    <n v="0"/>
    <n v="5"/>
    <s v="正常交付"/>
    <s v="true"/>
    <s v="西红柿"/>
    <s v="散装鲜菜"/>
    <s v="模拟_溪桥医院食堂"/>
    <n v="43"/>
    <n v="0"/>
    <n v="43"/>
    <s v=""/>
    <s v=""/>
    <s v=""/>
    <s v=""/>
    <s v="通过"/>
  </r>
  <r>
    <s v="SIM-20260904-C006"/>
    <n v="5"/>
    <s v="C006"/>
    <x v="3"/>
    <s v="P014"/>
    <s v="公斤"/>
    <n v="8"/>
    <n v="8"/>
    <n v="0"/>
    <n v="4.7"/>
    <s v="正常交付"/>
    <s v="true"/>
    <s v="丝瓜"/>
    <s v="散装鲜菜"/>
    <s v="模拟_溪桥医院食堂"/>
    <n v="37.6"/>
    <n v="0"/>
    <n v="37.6"/>
    <s v=""/>
    <s v=""/>
    <s v=""/>
    <s v=""/>
    <s v="通过"/>
  </r>
  <r>
    <s v="SIM-20260904-C006"/>
    <n v="6"/>
    <s v="C006"/>
    <x v="3"/>
    <s v="P005"/>
    <s v="公斤"/>
    <n v="4.7"/>
    <n v="4.7"/>
    <n v="0"/>
    <n v="2.7"/>
    <s v="正常交付"/>
    <s v="true"/>
    <s v="南瓜"/>
    <s v="散装鲜菜"/>
    <s v="模拟_溪桥医院食堂"/>
    <n v="12.69"/>
    <n v="0"/>
    <n v="12.69"/>
    <s v=""/>
    <s v=""/>
    <s v=""/>
    <s v=""/>
    <s v="通过"/>
  </r>
  <r>
    <s v="SIM-20260904-C006"/>
    <n v="7"/>
    <s v="C006"/>
    <x v="3"/>
    <s v="P015"/>
    <s v="公斤"/>
    <n v="1"/>
    <n v="1"/>
    <n v="0"/>
    <n v="7.3"/>
    <s v="正常交付"/>
    <s v="true"/>
    <s v="小葱"/>
    <s v="散装鲜菜"/>
    <s v="模拟_溪桥医院食堂"/>
    <n v="7.3"/>
    <n v="0"/>
    <n v="7.3"/>
    <s v=""/>
    <s v=""/>
    <s v=""/>
    <s v=""/>
    <s v="通过"/>
  </r>
  <r>
    <s v="SIM-20260905-C001"/>
    <n v="1"/>
    <s v="C001"/>
    <x v="4"/>
    <s v="P010"/>
    <s v="公斤"/>
    <n v="3.1"/>
    <n v="3.1"/>
    <n v="0"/>
    <n v="5"/>
    <s v="正常交付"/>
    <s v="true"/>
    <s v="空心菜"/>
    <s v="散装鲜菜"/>
    <s v="模拟_榕树下粉面店"/>
    <n v="15.5"/>
    <n v="0"/>
    <n v="15.5"/>
    <s v=""/>
    <s v=""/>
    <s v=""/>
    <s v=""/>
    <s v="通过"/>
  </r>
  <r>
    <s v="SIM-20260905-C001"/>
    <n v="2"/>
    <s v="C001"/>
    <x v="4"/>
    <s v="P014"/>
    <s v="公斤"/>
    <n v="2.4"/>
    <n v="2.4"/>
    <n v="0"/>
    <n v="4.7"/>
    <s v="正常交付"/>
    <s v="true"/>
    <s v="丝瓜"/>
    <s v="散装鲜菜"/>
    <s v="模拟_榕树下粉面店"/>
    <n v="11.28"/>
    <n v="0"/>
    <n v="11.28"/>
    <s v=""/>
    <s v=""/>
    <s v=""/>
    <s v=""/>
    <s v="通过"/>
  </r>
  <r>
    <s v="SIM-20260905-C001"/>
    <n v="3"/>
    <s v="C001"/>
    <x v="4"/>
    <s v="P003"/>
    <s v="公斤"/>
    <n v="3.1"/>
    <n v="3.1"/>
    <n v="0"/>
    <n v="3.3"/>
    <s v="正常交付"/>
    <s v="true"/>
    <s v="包菜"/>
    <s v="散装鲜菜"/>
    <s v="模拟_榕树下粉面店"/>
    <n v="10.23"/>
    <n v="0"/>
    <n v="10.23"/>
    <s v=""/>
    <s v=""/>
    <s v=""/>
    <s v=""/>
    <s v="通过"/>
  </r>
  <r>
    <s v="SIM-20260905-C001"/>
    <n v="4"/>
    <s v="C001"/>
    <x v="4"/>
    <s v="P007"/>
    <s v="公斤"/>
    <n v="2.9"/>
    <n v="2.9"/>
    <n v="0"/>
    <n v="5.15"/>
    <s v="正常交付"/>
    <s v="true"/>
    <s v="青椒"/>
    <s v="散装鲜菜"/>
    <s v="模拟_榕树下粉面店"/>
    <n v="14.94"/>
    <n v="0"/>
    <n v="14.94"/>
    <s v=""/>
    <s v=""/>
    <s v=""/>
    <s v=""/>
    <s v="通过"/>
  </r>
  <r>
    <s v="SIM-20260905-C001"/>
    <n v="5"/>
    <s v="C001"/>
    <x v="4"/>
    <s v="P016"/>
    <s v="公斤"/>
    <n v="3"/>
    <n v="3"/>
    <n v="0"/>
    <n v="10.1"/>
    <s v="正常交付"/>
    <s v="true"/>
    <s v="鸡蛋"/>
    <s v="普通鲜鸡蛋按净重"/>
    <s v="模拟_榕树下粉面店"/>
    <n v="30.3"/>
    <n v="0"/>
    <n v="30.3"/>
    <s v=""/>
    <s v=""/>
    <s v=""/>
    <s v=""/>
    <s v="通过"/>
  </r>
  <r>
    <s v="SIM-20260905-C002"/>
    <n v="1"/>
    <s v="C002"/>
    <x v="4"/>
    <s v="P012"/>
    <s v="公斤"/>
    <n v="7.5"/>
    <n v="7.5"/>
    <n v="0"/>
    <n v="4.5999999999999996"/>
    <s v="正常交付"/>
    <s v="true"/>
    <s v="小白菜"/>
    <s v="散装鲜菜"/>
    <s v="模拟_桥头家常菜馆"/>
    <n v="34.5"/>
    <n v="0"/>
    <n v="34.5"/>
    <s v=""/>
    <s v=""/>
    <s v=""/>
    <s v=""/>
    <s v="通过"/>
  </r>
  <r>
    <s v="SIM-20260905-C002"/>
    <n v="2"/>
    <s v="C002"/>
    <x v="4"/>
    <s v="P013"/>
    <s v="公斤"/>
    <n v="8.8000000000000007"/>
    <n v="8.8000000000000007"/>
    <n v="0"/>
    <n v="6.3"/>
    <s v="正常交付"/>
    <s v="true"/>
    <s v="豇豆"/>
    <s v="散装鲜菜"/>
    <s v="模拟_桥头家常菜馆"/>
    <n v="55.44"/>
    <n v="0"/>
    <n v="55.44"/>
    <s v=""/>
    <s v=""/>
    <s v=""/>
    <s v=""/>
    <s v="通过"/>
  </r>
  <r>
    <s v="SIM-20260905-C002"/>
    <n v="3"/>
    <s v="C002"/>
    <x v="4"/>
    <s v="P003"/>
    <s v="公斤"/>
    <n v="6.3"/>
    <n v="6.3"/>
    <n v="0"/>
    <n v="3.3"/>
    <s v="正常交付"/>
    <s v="true"/>
    <s v="包菜"/>
    <s v="散装鲜菜"/>
    <s v="模拟_桥头家常菜馆"/>
    <n v="20.79"/>
    <n v="0"/>
    <n v="20.79"/>
    <s v=""/>
    <s v=""/>
    <s v=""/>
    <s v=""/>
    <s v="通过"/>
  </r>
  <r>
    <s v="SIM-20260905-C002"/>
    <n v="4"/>
    <s v="C002"/>
    <x v="4"/>
    <s v="P007"/>
    <s v="公斤"/>
    <n v="6.9"/>
    <n v="6.9"/>
    <n v="0"/>
    <n v="5.15"/>
    <s v="正常交付"/>
    <s v="true"/>
    <s v="青椒"/>
    <s v="散装鲜菜"/>
    <s v="模拟_桥头家常菜馆"/>
    <n v="35.54"/>
    <n v="0"/>
    <n v="35.54"/>
    <s v=""/>
    <s v=""/>
    <s v=""/>
    <s v=""/>
    <s v="通过"/>
  </r>
  <r>
    <s v="SIM-20260905-C002"/>
    <n v="5"/>
    <s v="C002"/>
    <x v="4"/>
    <s v="P008"/>
    <s v="公斤"/>
    <n v="9.4"/>
    <n v="9.4"/>
    <n v="0"/>
    <n v="4.0999999999999996"/>
    <s v="正常交付"/>
    <s v="true"/>
    <s v="黄瓜"/>
    <s v="散装鲜菜"/>
    <s v="模拟_桥头家常菜馆"/>
    <n v="38.54"/>
    <n v="0"/>
    <n v="38.54"/>
    <s v=""/>
    <s v=""/>
    <s v=""/>
    <s v=""/>
    <s v="通过"/>
  </r>
  <r>
    <s v="SIM-20260905-C002"/>
    <n v="6"/>
    <s v="C002"/>
    <x v="4"/>
    <s v="P016"/>
    <s v="公斤"/>
    <n v="4"/>
    <n v="4"/>
    <n v="0"/>
    <n v="10.1"/>
    <s v="正常交付"/>
    <s v="true"/>
    <s v="鸡蛋"/>
    <s v="普通鲜鸡蛋按净重"/>
    <s v="模拟_桥头家常菜馆"/>
    <n v="40.4"/>
    <n v="0"/>
    <n v="40.4"/>
    <s v=""/>
    <s v=""/>
    <s v=""/>
    <s v=""/>
    <s v="通过"/>
  </r>
  <r>
    <s v="SIM-20260905-C003"/>
    <n v="1"/>
    <s v="C003"/>
    <x v="4"/>
    <s v="P011"/>
    <s v="公斤"/>
    <n v="6.6"/>
    <n v="6.6"/>
    <n v="0"/>
    <n v="4.4000000000000004"/>
    <s v="正常交付"/>
    <s v="true"/>
    <s v="红薯叶"/>
    <s v="散装鲜菜"/>
    <s v="模拟_兴街快餐店"/>
    <n v="29.04"/>
    <n v="0"/>
    <n v="29.04"/>
    <s v=""/>
    <s v=""/>
    <s v=""/>
    <s v=""/>
    <s v="通过"/>
  </r>
  <r>
    <s v="SIM-20260905-C003"/>
    <n v="2"/>
    <s v="C003"/>
    <x v="4"/>
    <s v="P009"/>
    <s v="公斤"/>
    <n v="6.6"/>
    <n v="6.6"/>
    <n v="0"/>
    <n v="5"/>
    <s v="正常交付"/>
    <s v="true"/>
    <s v="西红柿"/>
    <s v="散装鲜菜"/>
    <s v="模拟_兴街快餐店"/>
    <n v="33"/>
    <n v="0"/>
    <n v="33"/>
    <s v=""/>
    <s v=""/>
    <s v=""/>
    <s v=""/>
    <s v="通过"/>
  </r>
  <r>
    <s v="SIM-20260905-C003"/>
    <n v="3"/>
    <s v="C003"/>
    <x v="4"/>
    <s v="P005"/>
    <s v="公斤"/>
    <n v="6.6"/>
    <n v="6.6"/>
    <n v="0"/>
    <n v="2.7"/>
    <s v="正常交付"/>
    <s v="true"/>
    <s v="南瓜"/>
    <s v="散装鲜菜"/>
    <s v="模拟_兴街快餐店"/>
    <n v="17.82"/>
    <n v="0"/>
    <n v="17.82"/>
    <s v=""/>
    <s v=""/>
    <s v=""/>
    <s v=""/>
    <s v="通过"/>
  </r>
  <r>
    <s v="SIM-20260905-C003"/>
    <n v="4"/>
    <s v="C003"/>
    <x v="4"/>
    <s v="P001"/>
    <s v="公斤"/>
    <n v="4.9000000000000004"/>
    <n v="4.9000000000000004"/>
    <n v="0"/>
    <n v="3.3"/>
    <s v="正常交付"/>
    <s v="true"/>
    <s v="土豆"/>
    <s v="散装鲜菜"/>
    <s v="模拟_兴街快餐店"/>
    <n v="16.170000000000002"/>
    <n v="0"/>
    <n v="16.170000000000002"/>
    <s v=""/>
    <s v=""/>
    <s v=""/>
    <s v=""/>
    <s v="通过"/>
  </r>
  <r>
    <s v="SIM-20260905-C003"/>
    <n v="5"/>
    <s v="C003"/>
    <x v="4"/>
    <s v="P002"/>
    <s v="公斤"/>
    <n v="4.9000000000000004"/>
    <n v="4.9000000000000004"/>
    <n v="0"/>
    <n v="2.2999999999999998"/>
    <s v="正常交付"/>
    <s v="true"/>
    <s v="白萝卜"/>
    <s v="散装鲜菜"/>
    <s v="模拟_兴街快餐店"/>
    <n v="11.27"/>
    <n v="0"/>
    <n v="11.27"/>
    <s v=""/>
    <s v=""/>
    <s v=""/>
    <s v=""/>
    <s v="通过"/>
  </r>
  <r>
    <s v="SIM-20260905-C003"/>
    <n v="6"/>
    <s v="C003"/>
    <x v="4"/>
    <s v="P008"/>
    <s v="公斤"/>
    <n v="8.1999999999999993"/>
    <n v="8.1999999999999993"/>
    <n v="0"/>
    <n v="4.0999999999999996"/>
    <s v="正常交付"/>
    <s v="true"/>
    <s v="黄瓜"/>
    <s v="散装鲜菜"/>
    <s v="模拟_兴街快餐店"/>
    <n v="33.619999999999997"/>
    <n v="0"/>
    <n v="33.619999999999997"/>
    <s v=""/>
    <s v=""/>
    <s v=""/>
    <s v=""/>
    <s v="通过"/>
  </r>
  <r>
    <s v="SIM-20260905-C003"/>
    <n v="7"/>
    <s v="C003"/>
    <x v="4"/>
    <s v="P016"/>
    <s v="公斤"/>
    <n v="6"/>
    <n v="6"/>
    <n v="0"/>
    <n v="10.1"/>
    <s v="正常交付"/>
    <s v="true"/>
    <s v="鸡蛋"/>
    <s v="普通鲜鸡蛋按净重"/>
    <s v="模拟_兴街快餐店"/>
    <n v="60.6"/>
    <n v="0"/>
    <n v="60.6"/>
    <s v=""/>
    <s v=""/>
    <s v=""/>
    <s v=""/>
    <s v="通过"/>
  </r>
  <r>
    <s v="SIM-20260905-C004"/>
    <n v="1"/>
    <s v="C004"/>
    <x v="4"/>
    <s v="P012"/>
    <s v="公斤"/>
    <n v="9.4"/>
    <n v="9.4"/>
    <n v="0"/>
    <n v="4.5999999999999996"/>
    <s v="正常交付"/>
    <s v="true"/>
    <s v="小白菜"/>
    <s v="散装鲜菜"/>
    <s v="模拟_田畔饭店"/>
    <n v="43.24"/>
    <n v="0"/>
    <n v="43.24"/>
    <s v=""/>
    <s v=""/>
    <s v=""/>
    <s v=""/>
    <s v="通过"/>
  </r>
  <r>
    <s v="SIM-20260905-C004"/>
    <n v="2"/>
    <s v="C004"/>
    <x v="4"/>
    <s v="P001"/>
    <s v="公斤"/>
    <n v="8.6999999999999993"/>
    <n v="8.6999999999999993"/>
    <n v="0"/>
    <n v="3.3"/>
    <s v="正常交付"/>
    <s v="true"/>
    <s v="土豆"/>
    <s v="散装鲜菜"/>
    <s v="模拟_田畔饭店"/>
    <n v="28.71"/>
    <n v="0"/>
    <n v="28.71"/>
    <s v=""/>
    <s v=""/>
    <s v=""/>
    <s v=""/>
    <s v="通过"/>
  </r>
  <r>
    <s v="SIM-20260905-C004"/>
    <n v="3"/>
    <s v="C004"/>
    <x v="4"/>
    <s v="P008"/>
    <s v="公斤"/>
    <n v="5.0999999999999996"/>
    <n v="5.0999999999999996"/>
    <n v="0"/>
    <n v="4.0999999999999996"/>
    <s v="正常交付"/>
    <s v="true"/>
    <s v="黄瓜"/>
    <s v="散装鲜菜"/>
    <s v="模拟_田畔饭店"/>
    <n v="20.91"/>
    <n v="0"/>
    <n v="20.91"/>
    <s v=""/>
    <s v=""/>
    <s v=""/>
    <s v=""/>
    <s v="通过"/>
  </r>
  <r>
    <s v="SIM-20260905-C004"/>
    <n v="4"/>
    <s v="C004"/>
    <x v="4"/>
    <s v="P003"/>
    <s v="公斤"/>
    <n v="5.0999999999999996"/>
    <n v="4.5999999999999996"/>
    <n v="0"/>
    <n v="3.3"/>
    <s v="到货不足；按实际交付计费"/>
    <s v="true"/>
    <s v="包菜"/>
    <s v="散装鲜菜"/>
    <s v="模拟_田畔饭店"/>
    <n v="15.18"/>
    <n v="0"/>
    <n v="15.18"/>
    <s v=""/>
    <s v=""/>
    <s v=""/>
    <s v=""/>
    <s v="通过"/>
  </r>
  <r>
    <s v="SIM-20260905-C004"/>
    <n v="5"/>
    <s v="C004"/>
    <x v="4"/>
    <s v="P002"/>
    <s v="公斤"/>
    <n v="11.6"/>
    <n v="11.6"/>
    <n v="0"/>
    <n v="2.2999999999999998"/>
    <s v="正常交付"/>
    <s v="true"/>
    <s v="白萝卜"/>
    <s v="散装鲜菜"/>
    <s v="模拟_田畔饭店"/>
    <n v="26.68"/>
    <n v="0"/>
    <n v="26.68"/>
    <s v=""/>
    <s v=""/>
    <s v=""/>
    <s v=""/>
    <s v="通过"/>
  </r>
  <r>
    <s v="SIM-20260905-C004"/>
    <n v="6"/>
    <s v="C004"/>
    <x v="4"/>
    <s v="P013"/>
    <s v="公斤"/>
    <n v="8.6999999999999993"/>
    <n v="8.6999999999999993"/>
    <n v="0"/>
    <n v="6.3"/>
    <s v="正常交付"/>
    <s v="true"/>
    <s v="豇豆"/>
    <s v="散装鲜菜"/>
    <s v="模拟_田畔饭店"/>
    <n v="54.81"/>
    <n v="0"/>
    <n v="54.81"/>
    <s v=""/>
    <s v=""/>
    <s v=""/>
    <s v=""/>
    <s v="通过"/>
  </r>
  <r>
    <s v="SIM-20260905-C004"/>
    <n v="7"/>
    <s v="C004"/>
    <x v="4"/>
    <s v="P016"/>
    <s v="公斤"/>
    <n v="5"/>
    <n v="5"/>
    <n v="0"/>
    <n v="10.1"/>
    <s v="正常交付"/>
    <s v="true"/>
    <s v="鸡蛋"/>
    <s v="普通鲜鸡蛋按净重"/>
    <s v="模拟_田畔饭店"/>
    <n v="50.5"/>
    <n v="0"/>
    <n v="50.5"/>
    <s v=""/>
    <s v=""/>
    <s v=""/>
    <s v=""/>
    <s v="通过"/>
  </r>
  <r>
    <s v="SIM-20260905-C006"/>
    <n v="1"/>
    <s v="C006"/>
    <x v="4"/>
    <s v="P012"/>
    <s v="公斤"/>
    <n v="6.1"/>
    <n v="6.1"/>
    <n v="0"/>
    <n v="4.5999999999999996"/>
    <s v="正常交付"/>
    <s v="true"/>
    <s v="小白菜"/>
    <s v="散装鲜菜"/>
    <s v="模拟_溪桥医院食堂"/>
    <n v="28.06"/>
    <n v="0"/>
    <n v="28.06"/>
    <s v=""/>
    <s v=""/>
    <s v=""/>
    <s v=""/>
    <s v="通过"/>
  </r>
  <r>
    <s v="SIM-20260905-C006"/>
    <n v="2"/>
    <s v="C006"/>
    <x v="4"/>
    <s v="P001"/>
    <s v="公斤"/>
    <n v="9.4"/>
    <n v="8.9"/>
    <n v="0"/>
    <n v="3.3"/>
    <s v="到货不足；按实际交付计费"/>
    <s v="true"/>
    <s v="土豆"/>
    <s v="散装鲜菜"/>
    <s v="模拟_溪桥医院食堂"/>
    <n v="29.37"/>
    <n v="0"/>
    <n v="29.37"/>
    <s v=""/>
    <s v=""/>
    <s v=""/>
    <s v=""/>
    <s v="通过"/>
  </r>
  <r>
    <s v="SIM-20260905-C006"/>
    <n v="3"/>
    <s v="C006"/>
    <x v="4"/>
    <s v="P007"/>
    <s v="公斤"/>
    <n v="8.1"/>
    <n v="8.1"/>
    <n v="0"/>
    <n v="5.15"/>
    <s v="正常交付"/>
    <s v="true"/>
    <s v="青椒"/>
    <s v="散装鲜菜"/>
    <s v="模拟_溪桥医院食堂"/>
    <n v="41.72"/>
    <n v="0"/>
    <n v="41.72"/>
    <s v=""/>
    <s v=""/>
    <s v=""/>
    <s v=""/>
    <s v="通过"/>
  </r>
  <r>
    <s v="SIM-20260905-C006"/>
    <n v="4"/>
    <s v="C006"/>
    <x v="4"/>
    <s v="P004"/>
    <s v="公斤"/>
    <n v="10.8"/>
    <n v="10.8"/>
    <n v="0"/>
    <n v="2.2999999999999998"/>
    <s v="正常交付"/>
    <s v="true"/>
    <s v="冬瓜"/>
    <s v="散装鲜菜"/>
    <s v="模拟_溪桥医院食堂"/>
    <n v="24.84"/>
    <n v="0"/>
    <n v="24.84"/>
    <s v=""/>
    <s v=""/>
    <s v=""/>
    <s v=""/>
    <s v="通过"/>
  </r>
  <r>
    <s v="SIM-20260905-C006"/>
    <n v="5"/>
    <s v="C006"/>
    <x v="4"/>
    <s v="P003"/>
    <s v="公斤"/>
    <n v="8.1"/>
    <n v="8.1"/>
    <n v="0"/>
    <n v="3.3"/>
    <s v="正常交付"/>
    <s v="true"/>
    <s v="包菜"/>
    <s v="散装鲜菜"/>
    <s v="模拟_溪桥医院食堂"/>
    <n v="26.73"/>
    <n v="0"/>
    <n v="26.73"/>
    <s v=""/>
    <s v=""/>
    <s v=""/>
    <s v=""/>
    <s v="通过"/>
  </r>
  <r>
    <s v="SIM-20260905-C006"/>
    <n v="6"/>
    <s v="C006"/>
    <x v="4"/>
    <s v="P009"/>
    <s v="公斤"/>
    <n v="7.4"/>
    <n v="7.4"/>
    <n v="0"/>
    <n v="5"/>
    <s v="正常交付"/>
    <s v="true"/>
    <s v="西红柿"/>
    <s v="散装鲜菜"/>
    <s v="模拟_溪桥医院食堂"/>
    <n v="37"/>
    <n v="0"/>
    <n v="37"/>
    <s v=""/>
    <s v=""/>
    <s v=""/>
    <s v=""/>
    <s v="通过"/>
  </r>
  <r>
    <s v="SIM-20260905-C006"/>
    <n v="7"/>
    <s v="C006"/>
    <x v="4"/>
    <s v="P016"/>
    <s v="公斤"/>
    <n v="9"/>
    <n v="9"/>
    <n v="0"/>
    <n v="10.1"/>
    <s v="正常交付"/>
    <s v="true"/>
    <s v="鸡蛋"/>
    <s v="普通鲜鸡蛋按净重"/>
    <s v="模拟_溪桥医院食堂"/>
    <n v="90.9"/>
    <n v="0"/>
    <n v="90.9"/>
    <s v=""/>
    <s v=""/>
    <s v=""/>
    <s v=""/>
    <s v="通过"/>
  </r>
  <r>
    <s v="SIM-20260906-C002"/>
    <n v="1"/>
    <s v="C002"/>
    <x v="5"/>
    <s v="P012"/>
    <s v="公斤"/>
    <n v="7.8"/>
    <n v="7.8"/>
    <n v="0.3"/>
    <n v="4.5999999999999996"/>
    <s v="正常交付；签收时挑出黄叶退回"/>
    <s v="true"/>
    <s v="小白菜"/>
    <s v="散装鲜菜"/>
    <s v="模拟_桥头家常菜馆"/>
    <n v="35.880000000000003"/>
    <n v="1.38"/>
    <n v="34.5"/>
    <s v=""/>
    <s v=""/>
    <s v=""/>
    <s v=""/>
    <s v="通过"/>
  </r>
  <r>
    <s v="SIM-20260906-C002"/>
    <n v="2"/>
    <s v="C002"/>
    <x v="5"/>
    <s v="P006"/>
    <s v="公斤"/>
    <n v="6.7"/>
    <n v="6.7"/>
    <n v="0"/>
    <n v="4.5999999999999996"/>
    <s v="正常交付"/>
    <s v="true"/>
    <s v="茄子"/>
    <s v="散装鲜菜"/>
    <s v="模拟_桥头家常菜馆"/>
    <n v="30.82"/>
    <n v="0"/>
    <n v="30.82"/>
    <s v=""/>
    <s v=""/>
    <s v=""/>
    <s v=""/>
    <s v="通过"/>
  </r>
  <r>
    <s v="SIM-20260906-C002"/>
    <n v="3"/>
    <s v="C002"/>
    <x v="5"/>
    <s v="P008"/>
    <s v="公斤"/>
    <n v="4.0999999999999996"/>
    <n v="4.0999999999999996"/>
    <n v="0"/>
    <n v="4.0999999999999996"/>
    <s v="正常交付"/>
    <s v="true"/>
    <s v="黄瓜"/>
    <s v="散装鲜菜"/>
    <s v="模拟_桥头家常菜馆"/>
    <n v="16.809999999999999"/>
    <n v="0"/>
    <n v="16.809999999999999"/>
    <s v=""/>
    <s v=""/>
    <s v=""/>
    <s v=""/>
    <s v="通过"/>
  </r>
  <r>
    <s v="SIM-20260906-C002"/>
    <n v="4"/>
    <s v="C002"/>
    <x v="5"/>
    <s v="P014"/>
    <s v="公斤"/>
    <n v="7.2"/>
    <n v="7.2"/>
    <n v="0"/>
    <n v="4.7"/>
    <s v="正常交付"/>
    <s v="true"/>
    <s v="丝瓜"/>
    <s v="散装鲜菜"/>
    <s v="模拟_桥头家常菜馆"/>
    <n v="33.840000000000003"/>
    <n v="0"/>
    <n v="33.840000000000003"/>
    <s v=""/>
    <s v=""/>
    <s v=""/>
    <s v=""/>
    <s v="通过"/>
  </r>
  <r>
    <s v="SIM-20260906-C002"/>
    <n v="5"/>
    <s v="C002"/>
    <x v="5"/>
    <s v="P007"/>
    <s v="公斤"/>
    <n v="6.7"/>
    <n v="6.7"/>
    <n v="0"/>
    <n v="5.15"/>
    <s v="正常交付"/>
    <s v="true"/>
    <s v="青椒"/>
    <s v="散装鲜菜"/>
    <s v="模拟_桥头家常菜馆"/>
    <n v="34.51"/>
    <n v="0"/>
    <n v="34.51"/>
    <s v=""/>
    <s v=""/>
    <s v=""/>
    <s v=""/>
    <s v="通过"/>
  </r>
  <r>
    <s v="SIM-20260906-C002"/>
    <n v="6"/>
    <s v="C002"/>
    <x v="5"/>
    <s v="P017"/>
    <s v="袋"/>
    <n v="3"/>
    <n v="3"/>
    <n v="0"/>
    <n v="118"/>
    <s v="正常交付"/>
    <s v="true"/>
    <s v="籼米"/>
    <s v="25公斤/袋普通籼米"/>
    <s v="模拟_桥头家常菜馆"/>
    <n v="354"/>
    <n v="0"/>
    <n v="354"/>
    <s v=""/>
    <s v=""/>
    <s v=""/>
    <s v=""/>
    <s v="通过"/>
  </r>
  <r>
    <s v="SIM-20260906-C002"/>
    <n v="7"/>
    <s v="C002"/>
    <x v="5"/>
    <s v="P019"/>
    <s v="桶"/>
    <n v="1"/>
    <n v="1"/>
    <n v="0"/>
    <n v="71"/>
    <s v="正常交付"/>
    <s v="true"/>
    <s v="菜籽油"/>
    <s v="5升/桶普通菜籽油"/>
    <s v="模拟_桥头家常菜馆"/>
    <n v="71"/>
    <n v="0"/>
    <n v="71"/>
    <s v=""/>
    <s v=""/>
    <s v=""/>
    <s v=""/>
    <s v="通过"/>
  </r>
  <r>
    <s v="SIM-20260906-C006"/>
    <n v="1"/>
    <s v="C006"/>
    <x v="5"/>
    <s v="P011"/>
    <s v="公斤"/>
    <n v="7.6"/>
    <n v="7.6"/>
    <n v="0"/>
    <n v="4.4000000000000004"/>
    <s v="正常交付"/>
    <s v="true"/>
    <s v="红薯叶"/>
    <s v="散装鲜菜"/>
    <s v="模拟_溪桥医院食堂"/>
    <n v="33.44"/>
    <n v="0"/>
    <n v="33.44"/>
    <s v=""/>
    <s v=""/>
    <s v=""/>
    <s v=""/>
    <s v="通过"/>
  </r>
  <r>
    <s v="SIM-20260906-C006"/>
    <n v="2"/>
    <s v="C006"/>
    <x v="5"/>
    <s v="P013"/>
    <s v="公斤"/>
    <n v="4.8"/>
    <n v="4.8"/>
    <n v="0"/>
    <n v="6.3"/>
    <s v="正常交付"/>
    <s v="true"/>
    <s v="豇豆"/>
    <s v="散装鲜菜"/>
    <s v="模拟_溪桥医院食堂"/>
    <n v="30.24"/>
    <n v="0"/>
    <n v="30.24"/>
    <s v=""/>
    <s v=""/>
    <s v=""/>
    <s v=""/>
    <s v="通过"/>
  </r>
  <r>
    <s v="SIM-20260906-C006"/>
    <n v="3"/>
    <s v="C006"/>
    <x v="5"/>
    <s v="P002"/>
    <s v="公斤"/>
    <n v="11"/>
    <n v="11"/>
    <n v="0"/>
    <n v="2.2999999999999998"/>
    <s v="正常交付"/>
    <s v="true"/>
    <s v="白萝卜"/>
    <s v="散装鲜菜"/>
    <s v="模拟_溪桥医院食堂"/>
    <n v="25.3"/>
    <n v="0"/>
    <n v="25.3"/>
    <s v=""/>
    <s v=""/>
    <s v=""/>
    <s v=""/>
    <s v="通过"/>
  </r>
  <r>
    <s v="SIM-20260906-C006"/>
    <n v="4"/>
    <s v="C006"/>
    <x v="5"/>
    <s v="P014"/>
    <s v="公斤"/>
    <n v="7.6"/>
    <n v="7.6"/>
    <n v="0"/>
    <n v="4.7"/>
    <s v="正常交付"/>
    <s v="true"/>
    <s v="丝瓜"/>
    <s v="散装鲜菜"/>
    <s v="模拟_溪桥医院食堂"/>
    <n v="35.72"/>
    <n v="0"/>
    <n v="35.72"/>
    <s v=""/>
    <s v=""/>
    <s v=""/>
    <s v=""/>
    <s v="通过"/>
  </r>
  <r>
    <s v="SIM-20260906-C006"/>
    <n v="5"/>
    <s v="C006"/>
    <x v="5"/>
    <s v="P003"/>
    <s v="公斤"/>
    <n v="5.5"/>
    <n v="5.5"/>
    <n v="0"/>
    <n v="3.3"/>
    <s v="正常交付"/>
    <s v="true"/>
    <s v="包菜"/>
    <s v="散装鲜菜"/>
    <s v="模拟_溪桥医院食堂"/>
    <n v="18.149999999999999"/>
    <n v="0"/>
    <n v="18.149999999999999"/>
    <s v=""/>
    <s v=""/>
    <s v=""/>
    <s v=""/>
    <s v="通过"/>
  </r>
  <r>
    <s v="SIM-20260906-C006"/>
    <n v="6"/>
    <s v="C006"/>
    <x v="5"/>
    <s v="P009"/>
    <s v="公斤"/>
    <n v="9.6"/>
    <n v="9.6"/>
    <n v="0"/>
    <n v="5"/>
    <s v="正常交付"/>
    <s v="true"/>
    <s v="西红柿"/>
    <s v="散装鲜菜"/>
    <s v="模拟_溪桥医院食堂"/>
    <n v="48"/>
    <n v="0"/>
    <n v="48"/>
    <s v=""/>
    <s v=""/>
    <s v=""/>
    <s v=""/>
    <s v="通过"/>
  </r>
  <r>
    <s v="SIM-20260906-C006"/>
    <n v="7"/>
    <s v="C006"/>
    <x v="5"/>
    <s v="P017"/>
    <s v="袋"/>
    <n v="4"/>
    <n v="4"/>
    <n v="0"/>
    <n v="118"/>
    <s v="正常交付"/>
    <s v="true"/>
    <s v="籼米"/>
    <s v="25公斤/袋普通籼米"/>
    <s v="模拟_溪桥医院食堂"/>
    <n v="472"/>
    <n v="0"/>
    <n v="472"/>
    <s v=""/>
    <s v=""/>
    <s v=""/>
    <s v=""/>
    <s v="通过"/>
  </r>
  <r>
    <s v="SIM-20260906-C006"/>
    <n v="8"/>
    <s v="C006"/>
    <x v="5"/>
    <s v="P020"/>
    <s v="桶"/>
    <n v="2"/>
    <n v="2"/>
    <n v="0"/>
    <n v="59"/>
    <s v="正常交付"/>
    <s v="true"/>
    <s v="大豆油"/>
    <s v="5升/桶普通大豆油"/>
    <s v="模拟_溪桥医院食堂"/>
    <n v="118"/>
    <n v="0"/>
    <n v="118"/>
    <s v=""/>
    <s v=""/>
    <s v=""/>
    <s v=""/>
    <s v="通过"/>
  </r>
  <r>
    <s v="SIM-20260907-C001"/>
    <n v="1"/>
    <s v="C001"/>
    <x v="6"/>
    <s v="P010"/>
    <s v="公斤"/>
    <n v="3.3"/>
    <n v="3.3"/>
    <n v="0"/>
    <n v="5"/>
    <s v="正常交付"/>
    <s v="true"/>
    <s v="空心菜"/>
    <s v="散装鲜菜"/>
    <s v="模拟_榕树下粉面店"/>
    <n v="16.5"/>
    <n v="0"/>
    <n v="16.5"/>
    <s v=""/>
    <s v=""/>
    <s v=""/>
    <s v=""/>
    <s v="通过"/>
  </r>
  <r>
    <s v="SIM-20260907-C001"/>
    <n v="2"/>
    <s v="C001"/>
    <x v="6"/>
    <s v="P005"/>
    <s v="公斤"/>
    <n v="2.1"/>
    <n v="2.1"/>
    <n v="0"/>
    <n v="2.7"/>
    <s v="正常交付"/>
    <s v="true"/>
    <s v="南瓜"/>
    <s v="散装鲜菜"/>
    <s v="模拟_榕树下粉面店"/>
    <n v="5.67"/>
    <n v="0"/>
    <n v="5.67"/>
    <s v=""/>
    <s v=""/>
    <s v=""/>
    <s v=""/>
    <s v="通过"/>
  </r>
  <r>
    <s v="SIM-20260907-C001"/>
    <n v="3"/>
    <s v="C001"/>
    <x v="6"/>
    <s v="P001"/>
    <s v="公斤"/>
    <n v="3.3"/>
    <n v="3.3"/>
    <n v="0"/>
    <n v="3.3"/>
    <s v="正常交付"/>
    <s v="true"/>
    <s v="土豆"/>
    <s v="散装鲜菜"/>
    <s v="模拟_榕树下粉面店"/>
    <n v="10.89"/>
    <n v="0"/>
    <n v="10.89"/>
    <s v=""/>
    <s v=""/>
    <s v=""/>
    <s v=""/>
    <s v="通过"/>
  </r>
  <r>
    <s v="SIM-20260907-C001"/>
    <n v="4"/>
    <s v="C001"/>
    <x v="6"/>
    <s v="P008"/>
    <s v="公斤"/>
    <n v="3.8"/>
    <n v="3.8"/>
    <n v="0"/>
    <n v="4.0999999999999996"/>
    <s v="正常交付"/>
    <s v="true"/>
    <s v="黄瓜"/>
    <s v="散装鲜菜"/>
    <s v="模拟_榕树下粉面店"/>
    <n v="15.58"/>
    <n v="0"/>
    <n v="15.58"/>
    <s v=""/>
    <s v=""/>
    <s v=""/>
    <s v=""/>
    <s v="通过"/>
  </r>
  <r>
    <s v="SIM-20260907-C001"/>
    <n v="5"/>
    <s v="C001"/>
    <x v="6"/>
    <s v="P019"/>
    <s v="桶"/>
    <n v="1"/>
    <n v="1"/>
    <n v="0"/>
    <n v="71"/>
    <s v="正常交付"/>
    <s v="true"/>
    <s v="菜籽油"/>
    <s v="5升/桶普通菜籽油"/>
    <s v="模拟_榕树下粉面店"/>
    <n v="71"/>
    <n v="0"/>
    <n v="71"/>
    <s v=""/>
    <s v=""/>
    <s v=""/>
    <s v=""/>
    <s v="通过"/>
  </r>
  <r>
    <s v="SIM-20260907-C001"/>
    <n v="6"/>
    <s v="C001"/>
    <x v="6"/>
    <s v="P018"/>
    <s v="袋"/>
    <n v="1"/>
    <n v="1"/>
    <n v="0"/>
    <n v="111"/>
    <s v="正常交付"/>
    <s v="true"/>
    <s v="小麦粉"/>
    <s v="25公斤/袋普通小麦粉"/>
    <s v="模拟_榕树下粉面店"/>
    <n v="111"/>
    <n v="0"/>
    <n v="111"/>
    <s v=""/>
    <s v=""/>
    <s v=""/>
    <s v=""/>
    <s v="通过"/>
  </r>
  <r>
    <s v="SIM-20260907-C003"/>
    <n v="1"/>
    <s v="C003"/>
    <x v="6"/>
    <s v="P012"/>
    <s v="公斤"/>
    <n v="5.5"/>
    <n v="5.5"/>
    <n v="0"/>
    <n v="4.5999999999999996"/>
    <s v="正常交付"/>
    <s v="true"/>
    <s v="小白菜"/>
    <s v="散装鲜菜"/>
    <s v="模拟_兴街快餐店"/>
    <n v="25.3"/>
    <n v="0"/>
    <n v="25.3"/>
    <s v=""/>
    <s v=""/>
    <s v=""/>
    <s v=""/>
    <s v="通过"/>
  </r>
  <r>
    <s v="SIM-20260907-C003"/>
    <n v="2"/>
    <s v="C003"/>
    <x v="6"/>
    <s v="P008"/>
    <s v="公斤"/>
    <n v="4.4000000000000004"/>
    <n v="4.4000000000000004"/>
    <n v="0"/>
    <n v="4.0999999999999996"/>
    <s v="正常交付"/>
    <s v="true"/>
    <s v="黄瓜"/>
    <s v="散装鲜菜"/>
    <s v="模拟_兴街快餐店"/>
    <n v="18.04"/>
    <n v="0"/>
    <n v="18.04"/>
    <s v=""/>
    <s v=""/>
    <s v=""/>
    <s v=""/>
    <s v="通过"/>
  </r>
  <r>
    <s v="SIM-20260907-C003"/>
    <n v="3"/>
    <s v="C003"/>
    <x v="6"/>
    <s v="P009"/>
    <s v="公斤"/>
    <n v="7.2"/>
    <n v="7.2"/>
    <n v="0"/>
    <n v="5"/>
    <s v="正常交付"/>
    <s v="true"/>
    <s v="西红柿"/>
    <s v="散装鲜菜"/>
    <s v="模拟_兴街快餐店"/>
    <n v="36"/>
    <n v="0"/>
    <n v="36"/>
    <s v=""/>
    <s v=""/>
    <s v=""/>
    <s v=""/>
    <s v="通过"/>
  </r>
  <r>
    <s v="SIM-20260907-C003"/>
    <n v="4"/>
    <s v="C003"/>
    <x v="6"/>
    <s v="P002"/>
    <s v="公斤"/>
    <n v="6.1"/>
    <n v="5.6"/>
    <n v="0"/>
    <n v="2.2999999999999998"/>
    <s v="到货不足；按实际交付计费"/>
    <s v="true"/>
    <s v="白萝卜"/>
    <s v="散装鲜菜"/>
    <s v="模拟_兴街快餐店"/>
    <n v="12.88"/>
    <n v="0"/>
    <n v="12.88"/>
    <s v=""/>
    <s v=""/>
    <s v=""/>
    <s v=""/>
    <s v="通过"/>
  </r>
  <r>
    <s v="SIM-20260907-C003"/>
    <n v="5"/>
    <s v="C003"/>
    <x v="6"/>
    <s v="P006"/>
    <s v="公斤"/>
    <n v="8.8000000000000007"/>
    <n v="8.8000000000000007"/>
    <n v="0"/>
    <n v="4.5999999999999996"/>
    <s v="正常交付"/>
    <s v="true"/>
    <s v="茄子"/>
    <s v="散装鲜菜"/>
    <s v="模拟_兴街快餐店"/>
    <n v="40.479999999999997"/>
    <n v="0"/>
    <n v="40.479999999999997"/>
    <s v=""/>
    <s v=""/>
    <s v=""/>
    <s v=""/>
    <s v="通过"/>
  </r>
  <r>
    <s v="SIM-20260907-C003"/>
    <n v="6"/>
    <s v="C003"/>
    <x v="6"/>
    <s v="P007"/>
    <s v="公斤"/>
    <n v="8.8000000000000007"/>
    <n v="8.8000000000000007"/>
    <n v="0"/>
    <n v="5.15"/>
    <s v="正常交付"/>
    <s v="true"/>
    <s v="青椒"/>
    <s v="散装鲜菜"/>
    <s v="模拟_兴街快餐店"/>
    <n v="45.32"/>
    <n v="0"/>
    <n v="45.32"/>
    <s v=""/>
    <s v=""/>
    <s v=""/>
    <s v=""/>
    <s v="通过"/>
  </r>
  <r>
    <s v="SIM-20260907-C003"/>
    <n v="7"/>
    <s v="C003"/>
    <x v="6"/>
    <s v="P017"/>
    <s v="袋"/>
    <n v="5"/>
    <n v="5"/>
    <n v="0"/>
    <n v="118"/>
    <s v="正常交付"/>
    <s v="true"/>
    <s v="籼米"/>
    <s v="25公斤/袋普通籼米"/>
    <s v="模拟_兴街快餐店"/>
    <n v="590"/>
    <n v="0"/>
    <n v="590"/>
    <s v=""/>
    <s v=""/>
    <s v=""/>
    <s v=""/>
    <s v="通过"/>
  </r>
  <r>
    <s v="SIM-20260907-C003"/>
    <n v="8"/>
    <s v="C003"/>
    <x v="6"/>
    <s v="P020"/>
    <s v="桶"/>
    <n v="2"/>
    <n v="2"/>
    <n v="0"/>
    <n v="59"/>
    <s v="正常交付"/>
    <s v="true"/>
    <s v="大豆油"/>
    <s v="5升/桶普通大豆油"/>
    <s v="模拟_兴街快餐店"/>
    <n v="118"/>
    <n v="0"/>
    <n v="118"/>
    <s v=""/>
    <s v=""/>
    <s v=""/>
    <s v=""/>
    <s v="通过"/>
  </r>
  <r>
    <s v="SIM-20260907-C005"/>
    <n v="1"/>
    <s v="C005"/>
    <x v="6"/>
    <s v="P012"/>
    <s v="公斤"/>
    <n v="12"/>
    <n v="12"/>
    <n v="0"/>
    <n v="4.5999999999999996"/>
    <s v="正常交付"/>
    <s v="true"/>
    <s v="小白菜"/>
    <s v="散装鲜菜"/>
    <s v="模拟_青禾小学食堂"/>
    <n v="55.2"/>
    <n v="0"/>
    <n v="55.2"/>
    <s v=""/>
    <s v=""/>
    <s v=""/>
    <s v=""/>
    <s v="通过"/>
  </r>
  <r>
    <s v="SIM-20260907-C005"/>
    <n v="2"/>
    <s v="C005"/>
    <x v="6"/>
    <s v="P006"/>
    <s v="公斤"/>
    <n v="9"/>
    <n v="9"/>
    <n v="0"/>
    <n v="4.5999999999999996"/>
    <s v="正常交付"/>
    <s v="true"/>
    <s v="茄子"/>
    <s v="散装鲜菜"/>
    <s v="模拟_青禾小学食堂"/>
    <n v="41.4"/>
    <n v="0"/>
    <n v="41.4"/>
    <s v=""/>
    <s v=""/>
    <s v=""/>
    <s v=""/>
    <s v="通过"/>
  </r>
  <r>
    <s v="SIM-20260907-C005"/>
    <n v="3"/>
    <s v="C005"/>
    <x v="6"/>
    <s v="P004"/>
    <s v="公斤"/>
    <n v="12"/>
    <n v="12"/>
    <n v="0"/>
    <n v="2.2999999999999998"/>
    <s v="正常交付"/>
    <s v="true"/>
    <s v="冬瓜"/>
    <s v="散装鲜菜"/>
    <s v="模拟_青禾小学食堂"/>
    <n v="27.6"/>
    <n v="0"/>
    <n v="27.6"/>
    <s v=""/>
    <s v=""/>
    <s v=""/>
    <s v=""/>
    <s v="通过"/>
  </r>
  <r>
    <s v="SIM-20260907-C005"/>
    <n v="4"/>
    <s v="C005"/>
    <x v="6"/>
    <s v="P002"/>
    <s v="公斤"/>
    <n v="8"/>
    <n v="8"/>
    <n v="0"/>
    <n v="2.2999999999999998"/>
    <s v="正常交付"/>
    <s v="true"/>
    <s v="白萝卜"/>
    <s v="散装鲜菜"/>
    <s v="模拟_青禾小学食堂"/>
    <n v="18.399999999999999"/>
    <n v="0"/>
    <n v="18.399999999999999"/>
    <s v=""/>
    <s v=""/>
    <s v=""/>
    <s v=""/>
    <s v="通过"/>
  </r>
  <r>
    <s v="SIM-20260907-C005"/>
    <n v="5"/>
    <s v="C005"/>
    <x v="6"/>
    <s v="P014"/>
    <s v="公斤"/>
    <n v="10"/>
    <n v="10"/>
    <n v="0"/>
    <n v="4.7"/>
    <s v="正常交付"/>
    <s v="true"/>
    <s v="丝瓜"/>
    <s v="散装鲜菜"/>
    <s v="模拟_青禾小学食堂"/>
    <n v="47"/>
    <n v="0"/>
    <n v="47"/>
    <s v=""/>
    <s v=""/>
    <s v=""/>
    <s v=""/>
    <s v="通过"/>
  </r>
  <r>
    <s v="SIM-20260907-C005"/>
    <n v="6"/>
    <s v="C005"/>
    <x v="6"/>
    <s v="P001"/>
    <s v="公斤"/>
    <n v="14"/>
    <n v="14"/>
    <n v="0"/>
    <n v="3.3"/>
    <s v="正常交付"/>
    <s v="true"/>
    <s v="土豆"/>
    <s v="散装鲜菜"/>
    <s v="模拟_青禾小学食堂"/>
    <n v="46.2"/>
    <n v="0"/>
    <n v="46.2"/>
    <s v=""/>
    <s v=""/>
    <s v=""/>
    <s v=""/>
    <s v="通过"/>
  </r>
  <r>
    <s v="SIM-20260907-C005"/>
    <n v="7"/>
    <s v="C005"/>
    <x v="6"/>
    <s v="P016"/>
    <s v="公斤"/>
    <n v="12"/>
    <n v="12"/>
    <n v="0"/>
    <n v="10.1"/>
    <s v="正常交付"/>
    <s v="true"/>
    <s v="鸡蛋"/>
    <s v="普通鲜鸡蛋按净重"/>
    <s v="模拟_青禾小学食堂"/>
    <n v="121.2"/>
    <n v="0"/>
    <n v="121.2"/>
    <s v=""/>
    <s v=""/>
    <s v=""/>
    <s v=""/>
    <s v="通过"/>
  </r>
  <r>
    <s v="SIM-20260907-C006"/>
    <n v="1"/>
    <s v="C006"/>
    <x v="6"/>
    <s v="P010"/>
    <s v="公斤"/>
    <n v="4.5999999999999996"/>
    <n v="4.5999999999999996"/>
    <n v="0"/>
    <n v="5"/>
    <s v="正常交付"/>
    <s v="true"/>
    <s v="空心菜"/>
    <s v="散装鲜菜"/>
    <s v="模拟_溪桥医院食堂"/>
    <n v="23"/>
    <n v="0"/>
    <n v="23"/>
    <s v=""/>
    <s v=""/>
    <s v=""/>
    <s v=""/>
    <s v="通过"/>
  </r>
  <r>
    <s v="SIM-20260907-C006"/>
    <n v="2"/>
    <s v="C006"/>
    <x v="6"/>
    <s v="P001"/>
    <s v="公斤"/>
    <n v="8.6"/>
    <n v="8.6"/>
    <n v="0"/>
    <n v="3.3"/>
    <s v="正常交付"/>
    <s v="true"/>
    <s v="土豆"/>
    <s v="散装鲜菜"/>
    <s v="模拟_溪桥医院食堂"/>
    <n v="28.38"/>
    <n v="0"/>
    <n v="28.38"/>
    <s v=""/>
    <s v=""/>
    <s v=""/>
    <s v=""/>
    <s v="通过"/>
  </r>
  <r>
    <s v="SIM-20260907-C006"/>
    <n v="3"/>
    <s v="C006"/>
    <x v="6"/>
    <s v="P006"/>
    <s v="公斤"/>
    <n v="7.3"/>
    <n v="7.3"/>
    <n v="0"/>
    <n v="4.5999999999999996"/>
    <s v="正常交付"/>
    <s v="true"/>
    <s v="茄子"/>
    <s v="散装鲜菜"/>
    <s v="模拟_溪桥医院食堂"/>
    <n v="33.58"/>
    <n v="0"/>
    <n v="33.58"/>
    <s v=""/>
    <s v=""/>
    <s v=""/>
    <s v=""/>
    <s v="通过"/>
  </r>
  <r>
    <s v="SIM-20260907-C006"/>
    <n v="4"/>
    <s v="C006"/>
    <x v="6"/>
    <s v="P013"/>
    <s v="公斤"/>
    <n v="9.3000000000000007"/>
    <n v="9.3000000000000007"/>
    <n v="0"/>
    <n v="6.3"/>
    <s v="正常交付"/>
    <s v="true"/>
    <s v="豇豆"/>
    <s v="散装鲜菜"/>
    <s v="模拟_溪桥医院食堂"/>
    <n v="58.59"/>
    <n v="0"/>
    <n v="58.59"/>
    <s v=""/>
    <s v=""/>
    <s v=""/>
    <s v=""/>
    <s v="通过"/>
  </r>
  <r>
    <s v="SIM-20260907-C006"/>
    <n v="5"/>
    <s v="C006"/>
    <x v="6"/>
    <s v="P002"/>
    <s v="公斤"/>
    <n v="8"/>
    <n v="8"/>
    <n v="0"/>
    <n v="2.2999999999999998"/>
    <s v="正常交付"/>
    <s v="true"/>
    <s v="白萝卜"/>
    <s v="散装鲜菜"/>
    <s v="模拟_溪桥医院食堂"/>
    <n v="18.399999999999999"/>
    <n v="0"/>
    <n v="18.399999999999999"/>
    <s v=""/>
    <s v=""/>
    <s v=""/>
    <s v=""/>
    <s v="通过"/>
  </r>
  <r>
    <s v="SIM-20260907-C006"/>
    <n v="6"/>
    <s v="C006"/>
    <x v="6"/>
    <s v="P003"/>
    <s v="公斤"/>
    <n v="9.3000000000000007"/>
    <n v="9.3000000000000007"/>
    <n v="0"/>
    <n v="3.3"/>
    <s v="正常交付"/>
    <s v="true"/>
    <s v="包菜"/>
    <s v="散装鲜菜"/>
    <s v="模拟_溪桥医院食堂"/>
    <n v="30.69"/>
    <n v="0"/>
    <n v="30.69"/>
    <s v=""/>
    <s v=""/>
    <s v=""/>
    <s v=""/>
    <s v="通过"/>
  </r>
  <r>
    <s v="SIM-20260907-C006"/>
    <n v="7"/>
    <s v="C006"/>
    <x v="6"/>
    <s v="P016"/>
    <s v="公斤"/>
    <n v="9"/>
    <n v="9"/>
    <n v="0"/>
    <n v="10.1"/>
    <s v="正常交付"/>
    <s v="true"/>
    <s v="鸡蛋"/>
    <s v="普通鲜鸡蛋按净重"/>
    <s v="模拟_溪桥医院食堂"/>
    <n v="90.9"/>
    <n v="0"/>
    <n v="90.9"/>
    <s v=""/>
    <s v=""/>
    <s v=""/>
    <s v=""/>
    <s v="通过"/>
  </r>
  <r>
    <s v="SIM-20260907-C006"/>
    <n v="8"/>
    <s v="C006"/>
    <x v="6"/>
    <s v="P015"/>
    <s v="公斤"/>
    <n v="1"/>
    <n v="1"/>
    <n v="0"/>
    <n v="7.3"/>
    <s v="正常交付"/>
    <s v="true"/>
    <s v="小葱"/>
    <s v="散装鲜菜"/>
    <s v="模拟_溪桥医院食堂"/>
    <n v="7.3"/>
    <n v="0"/>
    <n v="7.3"/>
    <s v=""/>
    <s v=""/>
    <s v=""/>
    <s v=""/>
    <s v="通过"/>
  </r>
  <r>
    <s v="SIM-20260908-C001"/>
    <n v="1"/>
    <s v="C001"/>
    <x v="7"/>
    <s v="P012"/>
    <s v="公斤"/>
    <n v="2.6"/>
    <n v="2.6"/>
    <n v="0"/>
    <n v="5"/>
    <s v="正常交付"/>
    <s v="true"/>
    <s v="小白菜"/>
    <s v="散装鲜菜"/>
    <s v="模拟_榕树下粉面店"/>
    <n v="13"/>
    <n v="0"/>
    <n v="13"/>
    <s v=""/>
    <s v=""/>
    <s v=""/>
    <s v=""/>
    <s v="通过"/>
  </r>
  <r>
    <s v="SIM-20260908-C001"/>
    <n v="2"/>
    <s v="C001"/>
    <x v="7"/>
    <s v="P006"/>
    <s v="公斤"/>
    <n v="2.2999999999999998"/>
    <n v="2.2999999999999998"/>
    <n v="0"/>
    <n v="4.8"/>
    <s v="正常交付"/>
    <s v="true"/>
    <s v="茄子"/>
    <s v="散装鲜菜"/>
    <s v="模拟_榕树下粉面店"/>
    <n v="11.04"/>
    <n v="0"/>
    <n v="11.04"/>
    <s v=""/>
    <s v=""/>
    <s v=""/>
    <s v=""/>
    <s v="通过"/>
  </r>
  <r>
    <s v="SIM-20260908-C001"/>
    <n v="3"/>
    <s v="C001"/>
    <x v="7"/>
    <s v="P014"/>
    <s v="公斤"/>
    <n v="3.1"/>
    <n v="3.1"/>
    <n v="0"/>
    <n v="5"/>
    <s v="正常交付"/>
    <s v="true"/>
    <s v="丝瓜"/>
    <s v="散装鲜菜"/>
    <s v="模拟_榕树下粉面店"/>
    <n v="15.5"/>
    <n v="0"/>
    <n v="15.5"/>
    <s v=""/>
    <s v=""/>
    <s v=""/>
    <s v=""/>
    <s v="通过"/>
  </r>
  <r>
    <s v="SIM-20260908-C001"/>
    <n v="4"/>
    <s v="C001"/>
    <x v="7"/>
    <s v="P005"/>
    <s v="公斤"/>
    <n v="3.1"/>
    <n v="3.1"/>
    <n v="0"/>
    <n v="2.7"/>
    <s v="正常交付"/>
    <s v="true"/>
    <s v="南瓜"/>
    <s v="散装鲜菜"/>
    <s v="模拟_榕树下粉面店"/>
    <n v="8.3699999999999992"/>
    <n v="0"/>
    <n v="8.3699999999999992"/>
    <s v=""/>
    <s v=""/>
    <s v=""/>
    <s v=""/>
    <s v="通过"/>
  </r>
  <r>
    <s v="SIM-20260908-C001"/>
    <n v="5"/>
    <s v="C001"/>
    <x v="7"/>
    <s v="P016"/>
    <s v="公斤"/>
    <n v="3"/>
    <n v="3"/>
    <n v="0"/>
    <n v="10.4"/>
    <s v="正常交付"/>
    <s v="true"/>
    <s v="鸡蛋"/>
    <s v="普通鲜鸡蛋按净重"/>
    <s v="模拟_榕树下粉面店"/>
    <n v="31.2"/>
    <n v="0"/>
    <n v="31.2"/>
    <s v=""/>
    <s v=""/>
    <s v=""/>
    <s v=""/>
    <s v="通过"/>
  </r>
  <r>
    <s v="SIM-20260908-C001"/>
    <n v="6"/>
    <s v="C001"/>
    <x v="7"/>
    <s v="P015"/>
    <s v="公斤"/>
    <n v="0.5"/>
    <n v="0.5"/>
    <n v="0"/>
    <n v="7.2"/>
    <s v="正常交付"/>
    <s v="true"/>
    <s v="小葱"/>
    <s v="散装鲜菜"/>
    <s v="模拟_榕树下粉面店"/>
    <n v="3.6"/>
    <n v="0"/>
    <n v="3.6"/>
    <s v=""/>
    <s v=""/>
    <s v=""/>
    <s v=""/>
    <s v="通过"/>
  </r>
  <r>
    <s v="SIM-20260908-C002"/>
    <n v="1"/>
    <s v="C002"/>
    <x v="7"/>
    <s v="P011"/>
    <s v="公斤"/>
    <n v="5.7"/>
    <n v="5.7"/>
    <n v="0.5"/>
    <n v="4.3"/>
    <s v="正常交付；签收时挑出黄叶退回"/>
    <s v="true"/>
    <s v="红薯叶"/>
    <s v="散装鲜菜"/>
    <s v="模拟_桥头家常菜馆"/>
    <n v="24.51"/>
    <n v="2.15"/>
    <n v="22.360000000000003"/>
    <s v=""/>
    <s v=""/>
    <s v=""/>
    <s v=""/>
    <s v="通过"/>
  </r>
  <r>
    <s v="SIM-20260908-C002"/>
    <n v="2"/>
    <s v="C002"/>
    <x v="7"/>
    <s v="P013"/>
    <s v="公斤"/>
    <n v="8"/>
    <n v="8"/>
    <n v="0"/>
    <n v="6"/>
    <s v="正常交付"/>
    <s v="true"/>
    <s v="豇豆"/>
    <s v="散装鲜菜"/>
    <s v="模拟_桥头家常菜馆"/>
    <n v="48"/>
    <n v="0"/>
    <n v="48"/>
    <s v=""/>
    <s v=""/>
    <s v=""/>
    <s v=""/>
    <s v="通过"/>
  </r>
  <r>
    <s v="SIM-20260908-C002"/>
    <n v="3"/>
    <s v="C002"/>
    <x v="7"/>
    <s v="P005"/>
    <s v="公斤"/>
    <n v="4"/>
    <n v="4"/>
    <n v="0"/>
    <n v="2.7"/>
    <s v="正常交付"/>
    <s v="true"/>
    <s v="南瓜"/>
    <s v="散装鲜菜"/>
    <s v="模拟_桥头家常菜馆"/>
    <n v="10.8"/>
    <n v="0"/>
    <n v="10.8"/>
    <s v=""/>
    <s v=""/>
    <s v=""/>
    <s v=""/>
    <s v="通过"/>
  </r>
  <r>
    <s v="SIM-20260908-C002"/>
    <n v="4"/>
    <s v="C002"/>
    <x v="7"/>
    <s v="P009"/>
    <s v="公斤"/>
    <n v="4.5999999999999996"/>
    <n v="4.5999999999999996"/>
    <n v="0"/>
    <n v="5"/>
    <s v="正常交付"/>
    <s v="true"/>
    <s v="西红柿"/>
    <s v="散装鲜菜"/>
    <s v="模拟_桥头家常菜馆"/>
    <n v="23"/>
    <n v="0"/>
    <n v="23"/>
    <s v=""/>
    <s v=""/>
    <s v=""/>
    <s v=""/>
    <s v="通过"/>
  </r>
  <r>
    <s v="SIM-20260908-C002"/>
    <n v="5"/>
    <s v="C002"/>
    <x v="7"/>
    <s v="P006"/>
    <s v="公斤"/>
    <n v="5.0999999999999996"/>
    <n v="5.0999999999999996"/>
    <n v="0"/>
    <n v="4.8"/>
    <s v="正常交付"/>
    <s v="true"/>
    <s v="茄子"/>
    <s v="散装鲜菜"/>
    <s v="模拟_桥头家常菜馆"/>
    <n v="24.48"/>
    <n v="0"/>
    <n v="24.48"/>
    <s v=""/>
    <s v=""/>
    <s v=""/>
    <s v=""/>
    <s v="通过"/>
  </r>
  <r>
    <s v="SIM-20260908-C002"/>
    <n v="6"/>
    <s v="C002"/>
    <x v="7"/>
    <s v="P016"/>
    <s v="公斤"/>
    <n v="4"/>
    <n v="4"/>
    <n v="0"/>
    <n v="10.4"/>
    <s v="正常交付"/>
    <s v="true"/>
    <s v="鸡蛋"/>
    <s v="普通鲜鸡蛋按净重"/>
    <s v="模拟_桥头家常菜馆"/>
    <n v="41.6"/>
    <n v="0"/>
    <n v="41.6"/>
    <s v=""/>
    <s v=""/>
    <s v=""/>
    <s v=""/>
    <s v="通过"/>
  </r>
  <r>
    <s v="SIM-20260908-C002"/>
    <n v="7"/>
    <s v="C002"/>
    <x v="7"/>
    <s v="P015"/>
    <s v="公斤"/>
    <n v="1"/>
    <n v="1"/>
    <n v="0"/>
    <n v="7.2"/>
    <s v="正常交付"/>
    <s v="true"/>
    <s v="小葱"/>
    <s v="散装鲜菜"/>
    <s v="模拟_桥头家常菜馆"/>
    <n v="7.2"/>
    <n v="0"/>
    <n v="7.2"/>
    <s v=""/>
    <s v=""/>
    <s v=""/>
    <s v=""/>
    <s v="通过"/>
  </r>
  <r>
    <s v="SIM-20260908-C003"/>
    <n v="1"/>
    <s v="C003"/>
    <x v="7"/>
    <s v="P011"/>
    <s v="公斤"/>
    <n v="4.9000000000000004"/>
    <n v="4.9000000000000004"/>
    <n v="0.3"/>
    <n v="4.3"/>
    <s v="正常交付；签收时挑出黄叶退回"/>
    <s v="true"/>
    <s v="红薯叶"/>
    <s v="散装鲜菜"/>
    <s v="模拟_兴街快餐店"/>
    <n v="21.07"/>
    <n v="1.29"/>
    <n v="19.78"/>
    <s v=""/>
    <s v=""/>
    <s v=""/>
    <s v=""/>
    <s v="通过"/>
  </r>
  <r>
    <s v="SIM-20260908-C003"/>
    <n v="2"/>
    <s v="C003"/>
    <x v="7"/>
    <s v="P003"/>
    <s v="公斤"/>
    <n v="8.6"/>
    <n v="8.6"/>
    <n v="0"/>
    <n v="2.9"/>
    <s v="正常交付"/>
    <s v="true"/>
    <s v="包菜"/>
    <s v="散装鲜菜"/>
    <s v="模拟_兴街快餐店"/>
    <n v="24.94"/>
    <n v="0"/>
    <n v="24.94"/>
    <s v=""/>
    <s v=""/>
    <s v=""/>
    <s v=""/>
    <s v="通过"/>
  </r>
  <r>
    <s v="SIM-20260908-C003"/>
    <n v="3"/>
    <s v="C003"/>
    <x v="7"/>
    <s v="P014"/>
    <s v="公斤"/>
    <n v="5.9"/>
    <n v="5.9"/>
    <n v="0"/>
    <n v="5"/>
    <s v="正常交付"/>
    <s v="true"/>
    <s v="丝瓜"/>
    <s v="散装鲜菜"/>
    <s v="模拟_兴街快餐店"/>
    <n v="29.5"/>
    <n v="0"/>
    <n v="29.5"/>
    <s v=""/>
    <s v=""/>
    <s v=""/>
    <s v=""/>
    <s v="通过"/>
  </r>
  <r>
    <s v="SIM-20260908-C003"/>
    <n v="4"/>
    <s v="C003"/>
    <x v="7"/>
    <s v="P008"/>
    <s v="公斤"/>
    <n v="8.6"/>
    <n v="8.6"/>
    <n v="0"/>
    <n v="4.4000000000000004"/>
    <s v="正常交付"/>
    <s v="true"/>
    <s v="黄瓜"/>
    <s v="散装鲜菜"/>
    <s v="模拟_兴街快餐店"/>
    <n v="37.840000000000003"/>
    <n v="0"/>
    <n v="37.840000000000003"/>
    <s v=""/>
    <s v=""/>
    <s v=""/>
    <s v=""/>
    <s v="通过"/>
  </r>
  <r>
    <s v="SIM-20260908-C003"/>
    <n v="5"/>
    <s v="C003"/>
    <x v="7"/>
    <s v="P002"/>
    <s v="公斤"/>
    <n v="8.6"/>
    <n v="8.6"/>
    <n v="0"/>
    <n v="2.7"/>
    <s v="正常交付"/>
    <s v="true"/>
    <s v="白萝卜"/>
    <s v="散装鲜菜"/>
    <s v="模拟_兴街快餐店"/>
    <n v="23.22"/>
    <n v="0"/>
    <n v="23.22"/>
    <s v=""/>
    <s v=""/>
    <s v=""/>
    <s v=""/>
    <s v="通过"/>
  </r>
  <r>
    <s v="SIM-20260908-C003"/>
    <n v="6"/>
    <s v="C003"/>
    <x v="7"/>
    <s v="P009"/>
    <s v="公斤"/>
    <n v="8.6"/>
    <n v="8.4"/>
    <n v="0"/>
    <n v="5"/>
    <s v="到货不足；按实际交付计费"/>
    <s v="true"/>
    <s v="西红柿"/>
    <s v="散装鲜菜"/>
    <s v="模拟_兴街快餐店"/>
    <n v="42"/>
    <n v="0"/>
    <n v="42"/>
    <s v=""/>
    <s v=""/>
    <s v=""/>
    <s v=""/>
    <s v="通过"/>
  </r>
  <r>
    <s v="SIM-20260908-C003"/>
    <n v="7"/>
    <s v="C003"/>
    <x v="7"/>
    <s v="P016"/>
    <s v="公斤"/>
    <n v="6"/>
    <n v="6"/>
    <n v="0"/>
    <n v="10.4"/>
    <s v="正常交付"/>
    <s v="true"/>
    <s v="鸡蛋"/>
    <s v="普通鲜鸡蛋按净重"/>
    <s v="模拟_兴街快餐店"/>
    <n v="62.4"/>
    <n v="0"/>
    <n v="62.4"/>
    <s v=""/>
    <s v=""/>
    <s v=""/>
    <s v=""/>
    <s v="通过"/>
  </r>
  <r>
    <s v="SIM-20260908-C003"/>
    <n v="8"/>
    <s v="C003"/>
    <x v="7"/>
    <s v="P015"/>
    <s v="公斤"/>
    <n v="1"/>
    <n v="1"/>
    <n v="0"/>
    <n v="7.2"/>
    <s v="正常交付"/>
    <s v="true"/>
    <s v="小葱"/>
    <s v="散装鲜菜"/>
    <s v="模拟_兴街快餐店"/>
    <n v="7.2"/>
    <n v="0"/>
    <n v="7.2"/>
    <s v=""/>
    <s v=""/>
    <s v=""/>
    <s v=""/>
    <s v="通过"/>
  </r>
  <r>
    <s v="SIM-20260908-C004"/>
    <n v="1"/>
    <s v="C004"/>
    <x v="7"/>
    <s v="P011"/>
    <s v="公斤"/>
    <n v="6.4"/>
    <n v="6.4"/>
    <n v="0"/>
    <n v="4.3"/>
    <s v="正常交付"/>
    <s v="true"/>
    <s v="红薯叶"/>
    <s v="散装鲜菜"/>
    <s v="模拟_田畔饭店"/>
    <n v="27.52"/>
    <n v="0"/>
    <n v="27.52"/>
    <s v=""/>
    <s v=""/>
    <s v=""/>
    <s v=""/>
    <s v="通过"/>
  </r>
  <r>
    <s v="SIM-20260908-C004"/>
    <n v="2"/>
    <s v="C004"/>
    <x v="7"/>
    <s v="P014"/>
    <s v="公斤"/>
    <n v="4.4000000000000004"/>
    <n v="4.4000000000000004"/>
    <n v="0"/>
    <n v="5"/>
    <s v="正常交付"/>
    <s v="true"/>
    <s v="丝瓜"/>
    <s v="散装鲜菜"/>
    <s v="模拟_田畔饭店"/>
    <n v="22"/>
    <n v="0"/>
    <n v="22"/>
    <s v=""/>
    <s v=""/>
    <s v=""/>
    <s v=""/>
    <s v="通过"/>
  </r>
  <r>
    <s v="SIM-20260908-C004"/>
    <n v="3"/>
    <s v="C004"/>
    <x v="7"/>
    <s v="P001"/>
    <s v="公斤"/>
    <n v="5.6"/>
    <n v="5.6"/>
    <n v="0"/>
    <n v="3.3"/>
    <s v="正常交付"/>
    <s v="true"/>
    <s v="土豆"/>
    <s v="散装鲜菜"/>
    <s v="模拟_田畔饭店"/>
    <n v="18.48"/>
    <n v="0"/>
    <n v="18.48"/>
    <s v=""/>
    <s v=""/>
    <s v=""/>
    <s v=""/>
    <s v="通过"/>
  </r>
  <r>
    <s v="SIM-20260908-C004"/>
    <n v="4"/>
    <s v="C004"/>
    <x v="7"/>
    <s v="P007"/>
    <s v="公斤"/>
    <n v="6.4"/>
    <n v="6.4"/>
    <n v="0"/>
    <n v="5.45"/>
    <s v="正常交付"/>
    <s v="true"/>
    <s v="青椒"/>
    <s v="散装鲜菜"/>
    <s v="模拟_田畔饭店"/>
    <n v="34.880000000000003"/>
    <n v="0"/>
    <n v="34.880000000000003"/>
    <s v=""/>
    <s v=""/>
    <s v=""/>
    <s v=""/>
    <s v="通过"/>
  </r>
  <r>
    <s v="SIM-20260908-C004"/>
    <n v="5"/>
    <s v="C004"/>
    <x v="7"/>
    <s v="P003"/>
    <s v="公斤"/>
    <n v="6"/>
    <n v="6"/>
    <n v="0"/>
    <n v="2.9"/>
    <s v="正常交付"/>
    <s v="true"/>
    <s v="包菜"/>
    <s v="散装鲜菜"/>
    <s v="模拟_田畔饭店"/>
    <n v="17.399999999999999"/>
    <n v="0"/>
    <n v="17.399999999999999"/>
    <s v=""/>
    <s v=""/>
    <s v=""/>
    <s v=""/>
    <s v="通过"/>
  </r>
  <r>
    <s v="SIM-20260908-C004"/>
    <n v="6"/>
    <s v="C004"/>
    <x v="7"/>
    <s v="P013"/>
    <s v="公斤"/>
    <n v="6"/>
    <n v="6"/>
    <n v="0"/>
    <n v="6"/>
    <s v="正常交付"/>
    <s v="true"/>
    <s v="豇豆"/>
    <s v="散装鲜菜"/>
    <s v="模拟_田畔饭店"/>
    <n v="36"/>
    <n v="0"/>
    <n v="36"/>
    <s v=""/>
    <s v=""/>
    <s v=""/>
    <s v=""/>
    <s v="通过"/>
  </r>
  <r>
    <s v="SIM-20260908-C004"/>
    <n v="7"/>
    <s v="C004"/>
    <x v="7"/>
    <s v="P015"/>
    <s v="公斤"/>
    <n v="1"/>
    <n v="1"/>
    <n v="0"/>
    <n v="7.2"/>
    <s v="正常交付"/>
    <s v="true"/>
    <s v="小葱"/>
    <s v="散装鲜菜"/>
    <s v="模拟_田畔饭店"/>
    <n v="7.2"/>
    <n v="0"/>
    <n v="7.2"/>
    <s v=""/>
    <s v=""/>
    <s v=""/>
    <s v=""/>
    <s v="通过"/>
  </r>
  <r>
    <s v="SIM-20260908-C005"/>
    <n v="1"/>
    <s v="C005"/>
    <x v="7"/>
    <s v="P011"/>
    <s v="公斤"/>
    <n v="7.4"/>
    <n v="7.4"/>
    <n v="0"/>
    <n v="4.3"/>
    <s v="正常交付"/>
    <s v="true"/>
    <s v="红薯叶"/>
    <s v="散装鲜菜"/>
    <s v="模拟_青禾小学食堂"/>
    <n v="31.82"/>
    <n v="0"/>
    <n v="31.82"/>
    <s v=""/>
    <s v=""/>
    <s v=""/>
    <s v=""/>
    <s v="通过"/>
  </r>
  <r>
    <s v="SIM-20260908-C005"/>
    <n v="2"/>
    <s v="C005"/>
    <x v="7"/>
    <s v="P001"/>
    <s v="公斤"/>
    <n v="6.5"/>
    <n v="6.5"/>
    <n v="0"/>
    <n v="3.3"/>
    <s v="正常交付"/>
    <s v="true"/>
    <s v="土豆"/>
    <s v="散装鲜菜"/>
    <s v="模拟_青禾小学食堂"/>
    <n v="21.45"/>
    <n v="0"/>
    <n v="21.45"/>
    <s v=""/>
    <s v=""/>
    <s v=""/>
    <s v=""/>
    <s v="通过"/>
  </r>
  <r>
    <s v="SIM-20260908-C005"/>
    <n v="3"/>
    <s v="C005"/>
    <x v="7"/>
    <s v="P002"/>
    <s v="公斤"/>
    <n v="6.5"/>
    <n v="6.2"/>
    <n v="0"/>
    <n v="2.7"/>
    <s v="到货不足；按实际交付计费"/>
    <s v="true"/>
    <s v="白萝卜"/>
    <s v="散装鲜菜"/>
    <s v="模拟_青禾小学食堂"/>
    <n v="16.739999999999998"/>
    <n v="0"/>
    <n v="16.739999999999998"/>
    <s v=""/>
    <s v=""/>
    <s v=""/>
    <s v=""/>
    <s v="通过"/>
  </r>
  <r>
    <s v="SIM-20260908-C005"/>
    <n v="4"/>
    <s v="C005"/>
    <x v="7"/>
    <s v="P003"/>
    <s v="公斤"/>
    <n v="14.9"/>
    <n v="14.9"/>
    <n v="0"/>
    <n v="2.9"/>
    <s v="正常交付"/>
    <s v="true"/>
    <s v="包菜"/>
    <s v="散装鲜菜"/>
    <s v="模拟_青禾小学食堂"/>
    <n v="43.21"/>
    <n v="0"/>
    <n v="43.21"/>
    <s v=""/>
    <s v=""/>
    <s v=""/>
    <s v=""/>
    <s v="通过"/>
  </r>
  <r>
    <s v="SIM-20260908-C005"/>
    <n v="5"/>
    <s v="C005"/>
    <x v="7"/>
    <s v="P009"/>
    <s v="公斤"/>
    <n v="10.199999999999999"/>
    <n v="10.199999999999999"/>
    <n v="0"/>
    <n v="5"/>
    <s v="正常交付"/>
    <s v="true"/>
    <s v="西红柿"/>
    <s v="散装鲜菜"/>
    <s v="模拟_青禾小学食堂"/>
    <n v="51"/>
    <n v="0"/>
    <n v="51"/>
    <s v=""/>
    <s v=""/>
    <s v=""/>
    <s v=""/>
    <s v="通过"/>
  </r>
  <r>
    <s v="SIM-20260908-C005"/>
    <n v="6"/>
    <s v="C005"/>
    <x v="7"/>
    <s v="P013"/>
    <s v="公斤"/>
    <n v="10.199999999999999"/>
    <n v="10.199999999999999"/>
    <n v="0"/>
    <n v="6"/>
    <s v="正常交付"/>
    <s v="true"/>
    <s v="豇豆"/>
    <s v="散装鲜菜"/>
    <s v="模拟_青禾小学食堂"/>
    <n v="61.2"/>
    <n v="0"/>
    <n v="61.2"/>
    <s v=""/>
    <s v=""/>
    <s v=""/>
    <s v=""/>
    <s v="通过"/>
  </r>
  <r>
    <s v="SIM-20260908-C005"/>
    <n v="7"/>
    <s v="C005"/>
    <x v="7"/>
    <s v="P017"/>
    <s v="袋"/>
    <n v="6"/>
    <n v="6"/>
    <n v="0"/>
    <n v="116"/>
    <s v="正常交付"/>
    <s v="true"/>
    <s v="籼米"/>
    <s v="25公斤/袋普通籼米"/>
    <s v="模拟_青禾小学食堂"/>
    <n v="696"/>
    <n v="0"/>
    <n v="696"/>
    <s v=""/>
    <s v=""/>
    <s v=""/>
    <s v=""/>
    <s v="通过"/>
  </r>
  <r>
    <s v="SIM-20260908-C005"/>
    <n v="8"/>
    <s v="C005"/>
    <x v="7"/>
    <s v="P020"/>
    <s v="桶"/>
    <n v="2"/>
    <n v="2"/>
    <n v="0"/>
    <n v="59"/>
    <s v="正常交付"/>
    <s v="true"/>
    <s v="大豆油"/>
    <s v="5升/桶普通大豆油"/>
    <s v="模拟_青禾小学食堂"/>
    <n v="118"/>
    <n v="0"/>
    <n v="118"/>
    <s v=""/>
    <s v=""/>
    <s v=""/>
    <s v=""/>
    <s v="通过"/>
  </r>
  <r>
    <s v="SIM-20260908-C006"/>
    <n v="1"/>
    <s v="C006"/>
    <x v="7"/>
    <s v="P010"/>
    <s v="公斤"/>
    <n v="10.1"/>
    <n v="10.1"/>
    <n v="0.5"/>
    <n v="5"/>
    <s v="正常交付；签收时挑出黄叶退回"/>
    <s v="true"/>
    <s v="空心菜"/>
    <s v="散装鲜菜"/>
    <s v="模拟_溪桥医院食堂"/>
    <n v="50.5"/>
    <n v="2.5"/>
    <n v="48"/>
    <s v=""/>
    <s v=""/>
    <s v=""/>
    <s v=""/>
    <s v="通过"/>
  </r>
  <r>
    <s v="SIM-20260908-C006"/>
    <n v="2"/>
    <s v="C006"/>
    <x v="7"/>
    <s v="P005"/>
    <s v="公斤"/>
    <n v="8.4"/>
    <n v="8.4"/>
    <n v="0"/>
    <n v="2.7"/>
    <s v="正常交付"/>
    <s v="true"/>
    <s v="南瓜"/>
    <s v="散装鲜菜"/>
    <s v="模拟_溪桥医院食堂"/>
    <n v="22.68"/>
    <n v="0"/>
    <n v="22.68"/>
    <s v=""/>
    <s v=""/>
    <s v=""/>
    <s v=""/>
    <s v="通过"/>
  </r>
  <r>
    <s v="SIM-20260908-C006"/>
    <n v="3"/>
    <s v="C006"/>
    <x v="7"/>
    <s v="P009"/>
    <s v="公斤"/>
    <n v="8.4"/>
    <n v="8.4"/>
    <n v="0"/>
    <n v="5"/>
    <s v="正常交付"/>
    <s v="true"/>
    <s v="西红柿"/>
    <s v="散装鲜菜"/>
    <s v="模拟_溪桥医院食堂"/>
    <n v="42"/>
    <n v="0"/>
    <n v="42"/>
    <s v=""/>
    <s v=""/>
    <s v=""/>
    <s v=""/>
    <s v="通过"/>
  </r>
  <r>
    <s v="SIM-20260908-C006"/>
    <n v="4"/>
    <s v="C006"/>
    <x v="7"/>
    <s v="P003"/>
    <s v="公斤"/>
    <n v="9.3000000000000007"/>
    <n v="9.3000000000000007"/>
    <n v="0"/>
    <n v="2.9"/>
    <s v="正常交付"/>
    <s v="true"/>
    <s v="包菜"/>
    <s v="散装鲜菜"/>
    <s v="模拟_溪桥医院食堂"/>
    <n v="26.97"/>
    <n v="0"/>
    <n v="26.97"/>
    <s v=""/>
    <s v=""/>
    <s v=""/>
    <s v=""/>
    <s v="通过"/>
  </r>
  <r>
    <s v="SIM-20260908-C006"/>
    <n v="5"/>
    <s v="C006"/>
    <x v="7"/>
    <s v="P004"/>
    <s v="公斤"/>
    <n v="5.9"/>
    <n v="5.9"/>
    <n v="0"/>
    <n v="2.7"/>
    <s v="正常交付"/>
    <s v="true"/>
    <s v="冬瓜"/>
    <s v="散装鲜菜"/>
    <s v="模拟_溪桥医院食堂"/>
    <n v="15.93"/>
    <n v="0"/>
    <n v="15.93"/>
    <s v=""/>
    <s v=""/>
    <s v=""/>
    <s v=""/>
    <s v="通过"/>
  </r>
  <r>
    <s v="SIM-20260908-C006"/>
    <n v="6"/>
    <s v="C006"/>
    <x v="7"/>
    <s v="P006"/>
    <s v="公斤"/>
    <n v="6.8"/>
    <n v="6.8"/>
    <n v="0"/>
    <n v="4.8"/>
    <s v="正常交付"/>
    <s v="true"/>
    <s v="茄子"/>
    <s v="散装鲜菜"/>
    <s v="模拟_溪桥医院食堂"/>
    <n v="32.64"/>
    <n v="0"/>
    <n v="32.64"/>
    <s v=""/>
    <s v=""/>
    <s v=""/>
    <s v=""/>
    <s v="通过"/>
  </r>
  <r>
    <s v="SIM-20260909-C001"/>
    <n v="1"/>
    <s v="C001"/>
    <x v="8"/>
    <s v="P011"/>
    <s v="公斤"/>
    <n v="3.4"/>
    <n v="3.4"/>
    <n v="0"/>
    <n v="4.3"/>
    <s v="正常交付"/>
    <s v="true"/>
    <s v="红薯叶"/>
    <s v="散装鲜菜"/>
    <s v="模拟_榕树下粉面店"/>
    <n v="14.62"/>
    <n v="0"/>
    <n v="14.62"/>
    <s v=""/>
    <s v=""/>
    <s v=""/>
    <s v=""/>
    <s v="通过"/>
  </r>
  <r>
    <s v="SIM-20260909-C001"/>
    <n v="2"/>
    <s v="C001"/>
    <x v="8"/>
    <s v="P004"/>
    <s v="公斤"/>
    <n v="1.7"/>
    <n v="1.7"/>
    <n v="0"/>
    <n v="2.7"/>
    <s v="正常交付"/>
    <s v="true"/>
    <s v="冬瓜"/>
    <s v="散装鲜菜"/>
    <s v="模拟_榕树下粉面店"/>
    <n v="4.59"/>
    <n v="0"/>
    <n v="4.59"/>
    <s v=""/>
    <s v=""/>
    <s v=""/>
    <s v=""/>
    <s v="通过"/>
  </r>
  <r>
    <s v="SIM-20260909-C001"/>
    <n v="3"/>
    <s v="C001"/>
    <x v="8"/>
    <s v="P013"/>
    <s v="公斤"/>
    <n v="3.2"/>
    <n v="3.2"/>
    <n v="0"/>
    <n v="6"/>
    <s v="正常交付"/>
    <s v="true"/>
    <s v="豇豆"/>
    <s v="散装鲜菜"/>
    <s v="模拟_榕树下粉面店"/>
    <n v="19.2"/>
    <n v="0"/>
    <n v="19.2"/>
    <s v=""/>
    <s v=""/>
    <s v=""/>
    <s v=""/>
    <s v="通过"/>
  </r>
  <r>
    <s v="SIM-20260909-C001"/>
    <n v="4"/>
    <s v="C001"/>
    <x v="8"/>
    <s v="P003"/>
    <s v="公斤"/>
    <n v="2.5"/>
    <n v="2.5"/>
    <n v="0"/>
    <n v="2.9"/>
    <s v="正常交付"/>
    <s v="true"/>
    <s v="包菜"/>
    <s v="散装鲜菜"/>
    <s v="模拟_榕树下粉面店"/>
    <n v="7.25"/>
    <n v="0"/>
    <n v="7.25"/>
    <s v=""/>
    <s v=""/>
    <s v=""/>
    <s v=""/>
    <s v="通过"/>
  </r>
  <r>
    <s v="SIM-20260909-C002"/>
    <n v="1"/>
    <s v="C002"/>
    <x v="8"/>
    <s v="P012"/>
    <s v="公斤"/>
    <n v="3.2"/>
    <n v="3.2"/>
    <n v="0"/>
    <n v="5"/>
    <s v="正常交付"/>
    <s v="true"/>
    <s v="小白菜"/>
    <s v="散装鲜菜"/>
    <s v="模拟_桥头家常菜馆"/>
    <n v="16"/>
    <n v="0"/>
    <n v="16"/>
    <s v=""/>
    <s v=""/>
    <s v=""/>
    <s v=""/>
    <s v="通过"/>
  </r>
  <r>
    <s v="SIM-20260909-C002"/>
    <n v="2"/>
    <s v="C002"/>
    <x v="8"/>
    <s v="P006"/>
    <s v="公斤"/>
    <n v="5.6"/>
    <n v="5.6"/>
    <n v="0"/>
    <n v="4.8"/>
    <s v="正常交付"/>
    <s v="true"/>
    <s v="茄子"/>
    <s v="散装鲜菜"/>
    <s v="模拟_桥头家常菜馆"/>
    <n v="26.88"/>
    <n v="0"/>
    <n v="26.88"/>
    <s v=""/>
    <s v=""/>
    <s v=""/>
    <s v=""/>
    <s v="通过"/>
  </r>
  <r>
    <s v="SIM-20260909-C002"/>
    <n v="3"/>
    <s v="C002"/>
    <x v="8"/>
    <s v="P003"/>
    <s v="公斤"/>
    <n v="4.4000000000000004"/>
    <n v="4.4000000000000004"/>
    <n v="0"/>
    <n v="2.9"/>
    <s v="正常交付"/>
    <s v="true"/>
    <s v="包菜"/>
    <s v="散装鲜菜"/>
    <s v="模拟_桥头家常菜馆"/>
    <n v="12.76"/>
    <n v="0"/>
    <n v="12.76"/>
    <s v=""/>
    <s v=""/>
    <s v=""/>
    <s v=""/>
    <s v="通过"/>
  </r>
  <r>
    <s v="SIM-20260909-C002"/>
    <n v="4"/>
    <s v="C002"/>
    <x v="8"/>
    <s v="P001"/>
    <s v="公斤"/>
    <n v="6.4"/>
    <n v="6.4"/>
    <n v="0"/>
    <n v="3.3"/>
    <s v="正常交付"/>
    <s v="true"/>
    <s v="土豆"/>
    <s v="散装鲜菜"/>
    <s v="模拟_桥头家常菜馆"/>
    <n v="21.12"/>
    <n v="0"/>
    <n v="21.12"/>
    <s v=""/>
    <s v=""/>
    <s v=""/>
    <s v=""/>
    <s v="通过"/>
  </r>
  <r>
    <s v="SIM-20260909-C002"/>
    <n v="5"/>
    <s v="C002"/>
    <x v="8"/>
    <s v="P004"/>
    <s v="公斤"/>
    <n v="6"/>
    <n v="6"/>
    <n v="0"/>
    <n v="2.7"/>
    <s v="正常交付"/>
    <s v="true"/>
    <s v="冬瓜"/>
    <s v="散装鲜菜"/>
    <s v="模拟_桥头家常菜馆"/>
    <n v="16.2"/>
    <n v="0"/>
    <n v="16.2"/>
    <s v=""/>
    <s v=""/>
    <s v=""/>
    <s v=""/>
    <s v="通过"/>
  </r>
  <r>
    <s v="SIM-20260909-C003"/>
    <n v="1"/>
    <s v="C003"/>
    <x v="8"/>
    <s v="P010"/>
    <s v="公斤"/>
    <n v="7.6"/>
    <n v="7.4"/>
    <n v="0"/>
    <n v="5"/>
    <s v="到货不足；按实际交付计费"/>
    <s v="true"/>
    <s v="空心菜"/>
    <s v="散装鲜菜"/>
    <s v="模拟_兴街快餐店"/>
    <n v="37"/>
    <n v="0"/>
    <n v="37"/>
    <s v=""/>
    <s v=""/>
    <s v=""/>
    <s v=""/>
    <s v="通过"/>
  </r>
  <r>
    <s v="SIM-20260909-C003"/>
    <n v="2"/>
    <s v="C003"/>
    <x v="8"/>
    <s v="P001"/>
    <s v="公斤"/>
    <n v="4.0999999999999996"/>
    <n v="4.0999999999999996"/>
    <n v="0"/>
    <n v="3.3"/>
    <s v="正常交付"/>
    <s v="true"/>
    <s v="土豆"/>
    <s v="散装鲜菜"/>
    <s v="模拟_兴街快餐店"/>
    <n v="13.53"/>
    <n v="0"/>
    <n v="13.53"/>
    <s v=""/>
    <s v=""/>
    <s v=""/>
    <s v=""/>
    <s v="通过"/>
  </r>
  <r>
    <s v="SIM-20260909-C003"/>
    <n v="3"/>
    <s v="C003"/>
    <x v="8"/>
    <s v="P007"/>
    <s v="公斤"/>
    <n v="4.7"/>
    <n v="4.7"/>
    <n v="0"/>
    <n v="5.45"/>
    <s v="正常交付"/>
    <s v="true"/>
    <s v="青椒"/>
    <s v="散装鲜菜"/>
    <s v="模拟_兴街快餐店"/>
    <n v="25.62"/>
    <n v="0"/>
    <n v="25.62"/>
    <s v=""/>
    <s v=""/>
    <s v=""/>
    <s v=""/>
    <s v="通过"/>
  </r>
  <r>
    <s v="SIM-20260909-C003"/>
    <n v="4"/>
    <s v="C003"/>
    <x v="8"/>
    <s v="P004"/>
    <s v="公斤"/>
    <n v="6.5"/>
    <n v="6.5"/>
    <n v="0"/>
    <n v="2.7"/>
    <s v="正常交付"/>
    <s v="true"/>
    <s v="冬瓜"/>
    <s v="散装鲜菜"/>
    <s v="模拟_兴街快餐店"/>
    <n v="17.55"/>
    <n v="0"/>
    <n v="17.55"/>
    <s v=""/>
    <s v=""/>
    <s v=""/>
    <s v=""/>
    <s v="通过"/>
  </r>
  <r>
    <s v="SIM-20260909-C003"/>
    <n v="5"/>
    <s v="C003"/>
    <x v="8"/>
    <s v="P003"/>
    <s v="公斤"/>
    <n v="7.1"/>
    <n v="7.1"/>
    <n v="0"/>
    <n v="2.9"/>
    <s v="正常交付"/>
    <s v="true"/>
    <s v="包菜"/>
    <s v="散装鲜菜"/>
    <s v="模拟_兴街快餐店"/>
    <n v="20.59"/>
    <n v="0"/>
    <n v="20.59"/>
    <s v=""/>
    <s v=""/>
    <s v=""/>
    <s v=""/>
    <s v="通过"/>
  </r>
  <r>
    <s v="SIM-20260909-C003"/>
    <n v="6"/>
    <s v="C003"/>
    <x v="8"/>
    <s v="P006"/>
    <s v="公斤"/>
    <n v="8.1999999999999993"/>
    <n v="8.1999999999999993"/>
    <n v="0"/>
    <n v="4.8"/>
    <s v="正常交付"/>
    <s v="true"/>
    <s v="茄子"/>
    <s v="散装鲜菜"/>
    <s v="模拟_兴街快餐店"/>
    <n v="39.36"/>
    <n v="0"/>
    <n v="39.36"/>
    <s v=""/>
    <s v=""/>
    <s v=""/>
    <s v=""/>
    <s v="通过"/>
  </r>
  <r>
    <s v="SIM-20260909-C005"/>
    <n v="1"/>
    <s v="C005"/>
    <x v="8"/>
    <s v="P011"/>
    <s v="公斤"/>
    <n v="12.8"/>
    <n v="12.8"/>
    <n v="0"/>
    <n v="4.3"/>
    <s v="正常交付"/>
    <s v="true"/>
    <s v="红薯叶"/>
    <s v="散装鲜菜"/>
    <s v="模拟_青禾小学食堂"/>
    <n v="55.04"/>
    <n v="0"/>
    <n v="55.04"/>
    <s v=""/>
    <s v=""/>
    <s v=""/>
    <s v=""/>
    <s v="通过"/>
  </r>
  <r>
    <s v="SIM-20260909-C005"/>
    <n v="2"/>
    <s v="C005"/>
    <x v="8"/>
    <s v="P008"/>
    <s v="公斤"/>
    <n v="8.1999999999999993"/>
    <n v="8.1999999999999993"/>
    <n v="0"/>
    <n v="4.4000000000000004"/>
    <s v="正常交付"/>
    <s v="true"/>
    <s v="黄瓜"/>
    <s v="散装鲜菜"/>
    <s v="模拟_青禾小学食堂"/>
    <n v="36.08"/>
    <n v="0"/>
    <n v="36.08"/>
    <s v=""/>
    <s v=""/>
    <s v=""/>
    <s v=""/>
    <s v="通过"/>
  </r>
  <r>
    <s v="SIM-20260909-C005"/>
    <n v="3"/>
    <s v="C005"/>
    <x v="8"/>
    <s v="P013"/>
    <s v="公斤"/>
    <n v="11.9"/>
    <n v="11.9"/>
    <n v="0"/>
    <n v="6"/>
    <s v="正常交付"/>
    <s v="true"/>
    <s v="豇豆"/>
    <s v="散装鲜菜"/>
    <s v="模拟_青禾小学食堂"/>
    <n v="71.400000000000006"/>
    <n v="0"/>
    <n v="71.400000000000006"/>
    <s v=""/>
    <s v=""/>
    <s v=""/>
    <s v=""/>
    <s v="通过"/>
  </r>
  <r>
    <s v="SIM-20260909-C005"/>
    <n v="4"/>
    <s v="C005"/>
    <x v="8"/>
    <s v="P004"/>
    <s v="公斤"/>
    <n v="8.1999999999999993"/>
    <n v="8.1999999999999993"/>
    <n v="0"/>
    <n v="2.7"/>
    <s v="正常交付"/>
    <s v="true"/>
    <s v="冬瓜"/>
    <s v="散装鲜菜"/>
    <s v="模拟_青禾小学食堂"/>
    <n v="22.14"/>
    <n v="0"/>
    <n v="22.14"/>
    <s v=""/>
    <s v=""/>
    <s v=""/>
    <s v=""/>
    <s v="通过"/>
  </r>
  <r>
    <s v="SIM-20260909-C005"/>
    <n v="5"/>
    <s v="C005"/>
    <x v="8"/>
    <s v="P002"/>
    <s v="公斤"/>
    <n v="7.3"/>
    <n v="7.3"/>
    <n v="0"/>
    <n v="2.7"/>
    <s v="正常交付"/>
    <s v="true"/>
    <s v="白萝卜"/>
    <s v="散装鲜菜"/>
    <s v="模拟_青禾小学食堂"/>
    <n v="19.71"/>
    <n v="0"/>
    <n v="19.71"/>
    <s v=""/>
    <s v=""/>
    <s v=""/>
    <s v=""/>
    <s v="通过"/>
  </r>
  <r>
    <s v="SIM-20260909-C005"/>
    <n v="6"/>
    <s v="C005"/>
    <x v="8"/>
    <s v="P007"/>
    <s v="公斤"/>
    <n v="13.7"/>
    <n v="13.7"/>
    <n v="0"/>
    <n v="5.45"/>
    <s v="正常交付"/>
    <s v="true"/>
    <s v="青椒"/>
    <s v="散装鲜菜"/>
    <s v="模拟_青禾小学食堂"/>
    <n v="74.67"/>
    <n v="0"/>
    <n v="74.67"/>
    <s v=""/>
    <s v=""/>
    <s v=""/>
    <s v=""/>
    <s v="通过"/>
  </r>
  <r>
    <s v="SIM-20260909-C005"/>
    <n v="7"/>
    <s v="C005"/>
    <x v="8"/>
    <s v="P016"/>
    <s v="公斤"/>
    <n v="12"/>
    <n v="12"/>
    <n v="0"/>
    <n v="10.4"/>
    <s v="正常交付"/>
    <s v="true"/>
    <s v="鸡蛋"/>
    <s v="普通鲜鸡蛋按净重"/>
    <s v="模拟_青禾小学食堂"/>
    <n v="124.8"/>
    <n v="0"/>
    <n v="124.8"/>
    <s v=""/>
    <s v=""/>
    <s v=""/>
    <s v=""/>
    <s v="通过"/>
  </r>
  <r>
    <s v="SIM-20260909-C005"/>
    <n v="8"/>
    <s v="C005"/>
    <x v="8"/>
    <s v="P015"/>
    <s v="公斤"/>
    <n v="1"/>
    <n v="1"/>
    <n v="0"/>
    <n v="7.2"/>
    <s v="正常交付"/>
    <s v="true"/>
    <s v="小葱"/>
    <s v="散装鲜菜"/>
    <s v="模拟_青禾小学食堂"/>
    <n v="7.2"/>
    <n v="0"/>
    <n v="7.2"/>
    <s v=""/>
    <s v=""/>
    <s v=""/>
    <s v=""/>
    <s v="通过"/>
  </r>
  <r>
    <s v="SIM-20260909-C006"/>
    <n v="1"/>
    <s v="C006"/>
    <x v="8"/>
    <s v="P011"/>
    <s v="公斤"/>
    <n v="9.1999999999999993"/>
    <n v="9.1999999999999993"/>
    <n v="0"/>
    <n v="4.3"/>
    <s v="正常交付"/>
    <s v="true"/>
    <s v="红薯叶"/>
    <s v="散装鲜菜"/>
    <s v="模拟_溪桥医院食堂"/>
    <n v="39.56"/>
    <n v="0"/>
    <n v="39.56"/>
    <s v=""/>
    <s v=""/>
    <s v=""/>
    <s v=""/>
    <s v="通过"/>
  </r>
  <r>
    <s v="SIM-20260909-C006"/>
    <n v="2"/>
    <s v="C006"/>
    <x v="8"/>
    <s v="P013"/>
    <s v="公斤"/>
    <n v="8.6"/>
    <n v="8.6"/>
    <n v="0"/>
    <n v="6"/>
    <s v="正常交付"/>
    <s v="true"/>
    <s v="豇豆"/>
    <s v="散装鲜菜"/>
    <s v="模拟_溪桥医院食堂"/>
    <n v="51.6"/>
    <n v="0"/>
    <n v="51.6"/>
    <s v=""/>
    <s v=""/>
    <s v=""/>
    <s v=""/>
    <s v="通过"/>
  </r>
  <r>
    <s v="SIM-20260909-C006"/>
    <n v="3"/>
    <s v="C006"/>
    <x v="8"/>
    <s v="P003"/>
    <s v="公斤"/>
    <n v="9.1999999999999993"/>
    <n v="9.1999999999999993"/>
    <n v="0"/>
    <n v="2.9"/>
    <s v="正常交付"/>
    <s v="true"/>
    <s v="包菜"/>
    <s v="散装鲜菜"/>
    <s v="模拟_溪桥医院食堂"/>
    <n v="26.68"/>
    <n v="0"/>
    <n v="26.68"/>
    <s v=""/>
    <s v=""/>
    <s v=""/>
    <s v=""/>
    <s v="通过"/>
  </r>
  <r>
    <s v="SIM-20260909-C006"/>
    <n v="4"/>
    <s v="C006"/>
    <x v="8"/>
    <s v="P005"/>
    <s v="公斤"/>
    <n v="6.7"/>
    <n v="6.7"/>
    <n v="0"/>
    <n v="2.7"/>
    <s v="正常交付"/>
    <s v="true"/>
    <s v="南瓜"/>
    <s v="散装鲜菜"/>
    <s v="模拟_溪桥医院食堂"/>
    <n v="18.09"/>
    <n v="0"/>
    <n v="18.09"/>
    <s v=""/>
    <s v=""/>
    <s v=""/>
    <s v=""/>
    <s v="通过"/>
  </r>
  <r>
    <s v="SIM-20260909-C006"/>
    <n v="5"/>
    <s v="C006"/>
    <x v="8"/>
    <s v="P009"/>
    <s v="公斤"/>
    <n v="5.5"/>
    <n v="5.5"/>
    <n v="0"/>
    <n v="5"/>
    <s v="正常交付"/>
    <s v="true"/>
    <s v="西红柿"/>
    <s v="散装鲜菜"/>
    <s v="模拟_溪桥医院食堂"/>
    <n v="27.5"/>
    <n v="0"/>
    <n v="27.5"/>
    <s v=""/>
    <s v=""/>
    <s v=""/>
    <s v=""/>
    <s v="通过"/>
  </r>
  <r>
    <s v="SIM-20260909-C006"/>
    <n v="6"/>
    <s v="C006"/>
    <x v="8"/>
    <s v="P004"/>
    <s v="公斤"/>
    <n v="7.9"/>
    <n v="7.9"/>
    <n v="0"/>
    <n v="2.7"/>
    <s v="正常交付"/>
    <s v="true"/>
    <s v="冬瓜"/>
    <s v="散装鲜菜"/>
    <s v="模拟_溪桥医院食堂"/>
    <n v="21.33"/>
    <n v="0"/>
    <n v="21.33"/>
    <s v=""/>
    <s v=""/>
    <s v=""/>
    <s v=""/>
    <s v="通过"/>
  </r>
  <r>
    <s v="SIM-20260909-C006"/>
    <n v="7"/>
    <s v="C006"/>
    <x v="8"/>
    <s v="P016"/>
    <s v="公斤"/>
    <n v="9"/>
    <n v="9"/>
    <n v="0"/>
    <n v="10.4"/>
    <s v="正常交付"/>
    <s v="true"/>
    <s v="鸡蛋"/>
    <s v="普通鲜鸡蛋按净重"/>
    <s v="模拟_溪桥医院食堂"/>
    <n v="93.6"/>
    <n v="0"/>
    <n v="93.6"/>
    <s v=""/>
    <s v=""/>
    <s v=""/>
    <s v=""/>
    <s v="通过"/>
  </r>
  <r>
    <s v="SIM-20260910-C001"/>
    <n v="1"/>
    <s v="C001"/>
    <x v="9"/>
    <s v="P012"/>
    <s v="公斤"/>
    <n v="2.5"/>
    <n v="2.5"/>
    <n v="0.5"/>
    <n v="5"/>
    <s v="正常交付；签收时挑出黄叶退回"/>
    <s v="true"/>
    <s v="小白菜"/>
    <s v="散装鲜菜"/>
    <s v="模拟_榕树下粉面店"/>
    <n v="12.5"/>
    <n v="2.5"/>
    <n v="10"/>
    <s v=""/>
    <s v=""/>
    <s v=""/>
    <s v=""/>
    <s v="通过"/>
  </r>
  <r>
    <s v="SIM-20260910-C001"/>
    <n v="2"/>
    <s v="C001"/>
    <x v="9"/>
    <s v="P005"/>
    <s v="公斤"/>
    <n v="3.2"/>
    <n v="3.2"/>
    <n v="0"/>
    <n v="2.7"/>
    <s v="正常交付"/>
    <s v="true"/>
    <s v="南瓜"/>
    <s v="散装鲜菜"/>
    <s v="模拟_榕树下粉面店"/>
    <n v="8.64"/>
    <n v="0"/>
    <n v="8.64"/>
    <s v=""/>
    <s v=""/>
    <s v=""/>
    <s v=""/>
    <s v="通过"/>
  </r>
  <r>
    <s v="SIM-20260910-C001"/>
    <n v="3"/>
    <s v="C001"/>
    <x v="9"/>
    <s v="P014"/>
    <s v="公斤"/>
    <n v="3.2"/>
    <n v="3.2"/>
    <n v="0"/>
    <n v="5"/>
    <s v="正常交付"/>
    <s v="true"/>
    <s v="丝瓜"/>
    <s v="散装鲜菜"/>
    <s v="模拟_榕树下粉面店"/>
    <n v="16"/>
    <n v="0"/>
    <n v="16"/>
    <s v=""/>
    <s v=""/>
    <s v=""/>
    <s v=""/>
    <s v="通过"/>
  </r>
  <r>
    <s v="SIM-20260910-C001"/>
    <n v="4"/>
    <s v="C001"/>
    <x v="9"/>
    <s v="P006"/>
    <s v="公斤"/>
    <n v="2.2999999999999998"/>
    <n v="2.2999999999999998"/>
    <n v="0"/>
    <n v="4.8"/>
    <s v="正常交付"/>
    <s v="true"/>
    <s v="茄子"/>
    <s v="散装鲜菜"/>
    <s v="模拟_榕树下粉面店"/>
    <n v="11.04"/>
    <n v="0"/>
    <n v="11.04"/>
    <s v=""/>
    <s v=""/>
    <s v=""/>
    <s v=""/>
    <s v="通过"/>
  </r>
  <r>
    <s v="SIM-20260910-C001"/>
    <n v="5"/>
    <s v="C001"/>
    <x v="9"/>
    <s v="P016"/>
    <s v="公斤"/>
    <n v="3"/>
    <n v="3"/>
    <n v="0"/>
    <n v="10.4"/>
    <s v="正常交付"/>
    <s v="true"/>
    <s v="鸡蛋"/>
    <s v="普通鲜鸡蛋按净重"/>
    <s v="模拟_榕树下粉面店"/>
    <n v="31.2"/>
    <n v="0"/>
    <n v="31.2"/>
    <s v=""/>
    <s v=""/>
    <s v=""/>
    <s v=""/>
    <s v="通过"/>
  </r>
  <r>
    <s v="SIM-20260910-C002"/>
    <n v="1"/>
    <s v="C002"/>
    <x v="9"/>
    <s v="P011"/>
    <s v="公斤"/>
    <n v="3.3"/>
    <n v="3.3"/>
    <n v="0"/>
    <n v="4.3"/>
    <s v="正常交付"/>
    <s v="true"/>
    <s v="红薯叶"/>
    <s v="散装鲜菜"/>
    <s v="模拟_桥头家常菜馆"/>
    <n v="14.19"/>
    <n v="0"/>
    <n v="14.19"/>
    <s v=""/>
    <s v=""/>
    <s v=""/>
    <s v=""/>
    <s v="通过"/>
  </r>
  <r>
    <s v="SIM-20260910-C002"/>
    <n v="2"/>
    <s v="C002"/>
    <x v="9"/>
    <s v="P004"/>
    <s v="公斤"/>
    <n v="5.4"/>
    <n v="5.4"/>
    <n v="0"/>
    <n v="2.7"/>
    <s v="正常交付"/>
    <s v="true"/>
    <s v="冬瓜"/>
    <s v="散装鲜菜"/>
    <s v="模拟_桥头家常菜馆"/>
    <n v="14.58"/>
    <n v="0"/>
    <n v="14.58"/>
    <s v=""/>
    <s v=""/>
    <s v=""/>
    <s v=""/>
    <s v="通过"/>
  </r>
  <r>
    <s v="SIM-20260910-C002"/>
    <n v="3"/>
    <s v="C002"/>
    <x v="9"/>
    <s v="P006"/>
    <s v="公斤"/>
    <n v="5"/>
    <n v="5"/>
    <n v="0"/>
    <n v="4.8"/>
    <s v="正常交付"/>
    <s v="true"/>
    <s v="茄子"/>
    <s v="散装鲜菜"/>
    <s v="模拟_桥头家常菜馆"/>
    <n v="24"/>
    <n v="0"/>
    <n v="24"/>
    <s v=""/>
    <s v=""/>
    <s v=""/>
    <s v=""/>
    <s v="通过"/>
  </r>
  <r>
    <s v="SIM-20260910-C002"/>
    <n v="4"/>
    <s v="C002"/>
    <x v="9"/>
    <s v="P003"/>
    <s v="公斤"/>
    <n v="5"/>
    <n v="5"/>
    <n v="0"/>
    <n v="2.9"/>
    <s v="正常交付"/>
    <s v="true"/>
    <s v="包菜"/>
    <s v="散装鲜菜"/>
    <s v="模拟_桥头家常菜馆"/>
    <n v="14.5"/>
    <n v="0"/>
    <n v="14.5"/>
    <s v=""/>
    <s v=""/>
    <s v=""/>
    <s v=""/>
    <s v="通过"/>
  </r>
  <r>
    <s v="SIM-20260910-C002"/>
    <n v="5"/>
    <s v="C002"/>
    <x v="9"/>
    <s v="P002"/>
    <s v="公斤"/>
    <n v="6.7"/>
    <n v="6.7"/>
    <n v="0"/>
    <n v="2.7"/>
    <s v="正常交付"/>
    <s v="true"/>
    <s v="白萝卜"/>
    <s v="散装鲜菜"/>
    <s v="模拟_桥头家常菜馆"/>
    <n v="18.09"/>
    <n v="0"/>
    <n v="18.09"/>
    <s v=""/>
    <s v=""/>
    <s v=""/>
    <s v=""/>
    <s v="通过"/>
  </r>
  <r>
    <s v="SIM-20260910-C002"/>
    <n v="6"/>
    <s v="C002"/>
    <x v="9"/>
    <s v="P016"/>
    <s v="公斤"/>
    <n v="4"/>
    <n v="4"/>
    <n v="0"/>
    <n v="10.4"/>
    <s v="正常交付"/>
    <s v="true"/>
    <s v="鸡蛋"/>
    <s v="普通鲜鸡蛋按净重"/>
    <s v="模拟_桥头家常菜馆"/>
    <n v="41.6"/>
    <n v="0"/>
    <n v="41.6"/>
    <s v=""/>
    <s v=""/>
    <s v=""/>
    <s v=""/>
    <s v="通过"/>
  </r>
  <r>
    <s v="SIM-20260910-C003"/>
    <n v="1"/>
    <s v="C003"/>
    <x v="9"/>
    <s v="P012"/>
    <s v="公斤"/>
    <n v="7"/>
    <n v="7"/>
    <n v="0.2"/>
    <n v="5"/>
    <s v="正常交付；签收时挑出黄叶退回"/>
    <s v="true"/>
    <s v="小白菜"/>
    <s v="散装鲜菜"/>
    <s v="模拟_兴街快餐店"/>
    <n v="35"/>
    <n v="1"/>
    <n v="34"/>
    <s v=""/>
    <s v=""/>
    <s v=""/>
    <s v=""/>
    <s v="通过"/>
  </r>
  <r>
    <s v="SIM-20260910-C003"/>
    <n v="2"/>
    <s v="C003"/>
    <x v="9"/>
    <s v="P007"/>
    <s v="公斤"/>
    <n v="6.4"/>
    <n v="6.4"/>
    <n v="0"/>
    <n v="5.45"/>
    <s v="正常交付"/>
    <s v="true"/>
    <s v="青椒"/>
    <s v="散装鲜菜"/>
    <s v="模拟_兴街快餐店"/>
    <n v="34.880000000000003"/>
    <n v="0"/>
    <n v="34.880000000000003"/>
    <s v=""/>
    <s v=""/>
    <s v=""/>
    <s v=""/>
    <s v="通过"/>
  </r>
  <r>
    <s v="SIM-20260910-C003"/>
    <n v="3"/>
    <s v="C003"/>
    <x v="9"/>
    <s v="P004"/>
    <s v="公斤"/>
    <n v="5.7"/>
    <n v="5.7"/>
    <n v="0"/>
    <n v="2.7"/>
    <s v="正常交付"/>
    <s v="true"/>
    <s v="冬瓜"/>
    <s v="散装鲜菜"/>
    <s v="模拟_兴街快餐店"/>
    <n v="15.39"/>
    <n v="0"/>
    <n v="15.39"/>
    <s v=""/>
    <s v=""/>
    <s v=""/>
    <s v=""/>
    <s v="通过"/>
  </r>
  <r>
    <s v="SIM-20260910-C003"/>
    <n v="4"/>
    <s v="C003"/>
    <x v="9"/>
    <s v="P013"/>
    <s v="公斤"/>
    <n v="5.7"/>
    <n v="5.7"/>
    <n v="0"/>
    <n v="6"/>
    <s v="正常交付"/>
    <s v="true"/>
    <s v="豇豆"/>
    <s v="散装鲜菜"/>
    <s v="模拟_兴街快餐店"/>
    <n v="34.200000000000003"/>
    <n v="0"/>
    <n v="34.200000000000003"/>
    <s v=""/>
    <s v=""/>
    <s v=""/>
    <s v=""/>
    <s v="通过"/>
  </r>
  <r>
    <s v="SIM-20260910-C003"/>
    <n v="5"/>
    <s v="C003"/>
    <x v="9"/>
    <s v="P001"/>
    <s v="公斤"/>
    <n v="8.3000000000000007"/>
    <n v="8.3000000000000007"/>
    <n v="0"/>
    <n v="3.3"/>
    <s v="正常交付"/>
    <s v="true"/>
    <s v="土豆"/>
    <s v="散装鲜菜"/>
    <s v="模拟_兴街快餐店"/>
    <n v="27.39"/>
    <n v="0"/>
    <n v="27.39"/>
    <s v=""/>
    <s v=""/>
    <s v=""/>
    <s v=""/>
    <s v="通过"/>
  </r>
  <r>
    <s v="SIM-20260910-C003"/>
    <n v="6"/>
    <s v="C003"/>
    <x v="9"/>
    <s v="P009"/>
    <s v="公斤"/>
    <n v="7.6"/>
    <n v="7.6"/>
    <n v="0"/>
    <n v="5"/>
    <s v="正常交付"/>
    <s v="true"/>
    <s v="西红柿"/>
    <s v="散装鲜菜"/>
    <s v="模拟_兴街快餐店"/>
    <n v="38"/>
    <n v="0"/>
    <n v="38"/>
    <s v=""/>
    <s v=""/>
    <s v=""/>
    <s v=""/>
    <s v="通过"/>
  </r>
  <r>
    <s v="SIM-20260910-C003"/>
    <n v="7"/>
    <s v="C003"/>
    <x v="9"/>
    <s v="P016"/>
    <s v="公斤"/>
    <n v="6"/>
    <n v="6"/>
    <n v="0.1"/>
    <n v="10.4"/>
    <s v="正常交付；签收时破损退回"/>
    <s v="true"/>
    <s v="鸡蛋"/>
    <s v="普通鲜鸡蛋按净重"/>
    <s v="模拟_兴街快餐店"/>
    <n v="62.4"/>
    <n v="1.04"/>
    <n v="61.36"/>
    <s v=""/>
    <s v=""/>
    <s v=""/>
    <s v=""/>
    <s v="通过"/>
  </r>
  <r>
    <s v="SIM-20260910-C004"/>
    <n v="1"/>
    <s v="C004"/>
    <x v="9"/>
    <s v="P012"/>
    <s v="公斤"/>
    <n v="4.5"/>
    <n v="4.5"/>
    <n v="0"/>
    <n v="5"/>
    <s v="正常交付"/>
    <s v="true"/>
    <s v="小白菜"/>
    <s v="散装鲜菜"/>
    <s v="模拟_田畔饭店"/>
    <n v="22.5"/>
    <n v="0"/>
    <n v="22.5"/>
    <s v=""/>
    <s v=""/>
    <s v=""/>
    <s v=""/>
    <s v="通过"/>
  </r>
  <r>
    <s v="SIM-20260910-C004"/>
    <n v="2"/>
    <s v="C004"/>
    <x v="9"/>
    <s v="P008"/>
    <s v="公斤"/>
    <n v="6.2"/>
    <n v="6.2"/>
    <n v="0"/>
    <n v="4.4000000000000004"/>
    <s v="正常交付"/>
    <s v="true"/>
    <s v="黄瓜"/>
    <s v="散装鲜菜"/>
    <s v="模拟_田畔饭店"/>
    <n v="27.28"/>
    <n v="0"/>
    <n v="27.28"/>
    <s v=""/>
    <s v=""/>
    <s v=""/>
    <s v=""/>
    <s v="通过"/>
  </r>
  <r>
    <s v="SIM-20260910-C004"/>
    <n v="3"/>
    <s v="C004"/>
    <x v="9"/>
    <s v="P006"/>
    <s v="公斤"/>
    <n v="6.8"/>
    <n v="6.8"/>
    <n v="0"/>
    <n v="4.8"/>
    <s v="正常交付"/>
    <s v="true"/>
    <s v="茄子"/>
    <s v="散装鲜菜"/>
    <s v="模拟_田畔饭店"/>
    <n v="32.64"/>
    <n v="0"/>
    <n v="32.64"/>
    <s v=""/>
    <s v=""/>
    <s v=""/>
    <s v=""/>
    <s v="通过"/>
  </r>
  <r>
    <s v="SIM-20260910-C004"/>
    <n v="4"/>
    <s v="C004"/>
    <x v="9"/>
    <s v="P005"/>
    <s v="公斤"/>
    <n v="5.6"/>
    <n v="5.6"/>
    <n v="0"/>
    <n v="2.7"/>
    <s v="正常交付"/>
    <s v="true"/>
    <s v="南瓜"/>
    <s v="散装鲜菜"/>
    <s v="模拟_田畔饭店"/>
    <n v="15.12"/>
    <n v="0"/>
    <n v="15.12"/>
    <s v=""/>
    <s v=""/>
    <s v=""/>
    <s v=""/>
    <s v="通过"/>
  </r>
  <r>
    <s v="SIM-20260910-C004"/>
    <n v="5"/>
    <s v="C004"/>
    <x v="9"/>
    <s v="P009"/>
    <s v="公斤"/>
    <n v="6.2"/>
    <n v="6.2"/>
    <n v="0"/>
    <n v="5"/>
    <s v="正常交付"/>
    <s v="true"/>
    <s v="西红柿"/>
    <s v="散装鲜菜"/>
    <s v="模拟_田畔饭店"/>
    <n v="31"/>
    <n v="0"/>
    <n v="31"/>
    <s v=""/>
    <s v=""/>
    <s v=""/>
    <s v=""/>
    <s v="通过"/>
  </r>
  <r>
    <s v="SIM-20260910-C004"/>
    <n v="6"/>
    <s v="C004"/>
    <x v="9"/>
    <s v="P002"/>
    <s v="公斤"/>
    <n v="9"/>
    <n v="9"/>
    <n v="0"/>
    <n v="2.7"/>
    <s v="正常交付"/>
    <s v="true"/>
    <s v="白萝卜"/>
    <s v="散装鲜菜"/>
    <s v="模拟_田畔饭店"/>
    <n v="24.3"/>
    <n v="0"/>
    <n v="24.3"/>
    <s v=""/>
    <s v=""/>
    <s v=""/>
    <s v=""/>
    <s v="通过"/>
  </r>
  <r>
    <s v="SIM-20260910-C004"/>
    <n v="7"/>
    <s v="C004"/>
    <x v="9"/>
    <s v="P016"/>
    <s v="公斤"/>
    <n v="5"/>
    <n v="5"/>
    <n v="0.1"/>
    <n v="10.4"/>
    <s v="正常交付；签收时破损退回"/>
    <s v="true"/>
    <s v="鸡蛋"/>
    <s v="普通鲜鸡蛋按净重"/>
    <s v="模拟_田畔饭店"/>
    <n v="52"/>
    <n v="1.04"/>
    <n v="50.96"/>
    <s v=""/>
    <s v=""/>
    <s v=""/>
    <s v=""/>
    <s v="通过"/>
  </r>
  <r>
    <s v="SIM-20260910-C005"/>
    <n v="1"/>
    <s v="C005"/>
    <x v="9"/>
    <s v="P011"/>
    <s v="公斤"/>
    <n v="10.1"/>
    <n v="10.1"/>
    <n v="0"/>
    <n v="4.3"/>
    <s v="正常交付"/>
    <s v="true"/>
    <s v="红薯叶"/>
    <s v="散装鲜菜"/>
    <s v="模拟_青禾小学食堂"/>
    <n v="43.43"/>
    <n v="0"/>
    <n v="43.43"/>
    <s v=""/>
    <s v=""/>
    <s v=""/>
    <s v=""/>
    <s v="通过"/>
  </r>
  <r>
    <s v="SIM-20260910-C005"/>
    <n v="2"/>
    <s v="C005"/>
    <x v="9"/>
    <s v="P002"/>
    <s v="公斤"/>
    <n v="10.9"/>
    <n v="10.9"/>
    <n v="0"/>
    <n v="2.7"/>
    <s v="正常交付"/>
    <s v="true"/>
    <s v="白萝卜"/>
    <s v="散装鲜菜"/>
    <s v="模拟_青禾小学食堂"/>
    <n v="29.43"/>
    <n v="0"/>
    <n v="29.43"/>
    <s v=""/>
    <s v=""/>
    <s v=""/>
    <s v=""/>
    <s v="通过"/>
  </r>
  <r>
    <s v="SIM-20260910-C005"/>
    <n v="3"/>
    <s v="C005"/>
    <x v="9"/>
    <s v="P006"/>
    <s v="公斤"/>
    <n v="5.9"/>
    <n v="5.9"/>
    <n v="0"/>
    <n v="4.8"/>
    <s v="正常交付"/>
    <s v="true"/>
    <s v="茄子"/>
    <s v="散装鲜菜"/>
    <s v="模拟_青禾小学食堂"/>
    <n v="28.32"/>
    <n v="0"/>
    <n v="28.32"/>
    <s v=""/>
    <s v=""/>
    <s v=""/>
    <s v=""/>
    <s v="通过"/>
  </r>
  <r>
    <s v="SIM-20260910-C005"/>
    <n v="4"/>
    <s v="C005"/>
    <x v="9"/>
    <s v="P005"/>
    <s v="公斤"/>
    <n v="9.3000000000000007"/>
    <n v="9.3000000000000007"/>
    <n v="0"/>
    <n v="2.7"/>
    <s v="正常交付"/>
    <s v="true"/>
    <s v="南瓜"/>
    <s v="散装鲜菜"/>
    <s v="模拟_青禾小学食堂"/>
    <n v="25.11"/>
    <n v="0"/>
    <n v="25.11"/>
    <s v=""/>
    <s v=""/>
    <s v=""/>
    <s v=""/>
    <s v="通过"/>
  </r>
  <r>
    <s v="SIM-20260910-C005"/>
    <n v="5"/>
    <s v="C005"/>
    <x v="9"/>
    <s v="P009"/>
    <s v="公斤"/>
    <n v="6.7"/>
    <n v="6.7"/>
    <n v="0"/>
    <n v="5"/>
    <s v="正常交付"/>
    <s v="true"/>
    <s v="西红柿"/>
    <s v="散装鲜菜"/>
    <s v="模拟_青禾小学食堂"/>
    <n v="33.5"/>
    <n v="0"/>
    <n v="33.5"/>
    <s v=""/>
    <s v=""/>
    <s v=""/>
    <s v=""/>
    <s v="通过"/>
  </r>
  <r>
    <s v="SIM-20260910-C005"/>
    <n v="6"/>
    <s v="C005"/>
    <x v="9"/>
    <s v="P003"/>
    <s v="公斤"/>
    <n v="13.5"/>
    <n v="13.5"/>
    <n v="0"/>
    <n v="2.9"/>
    <s v="正常交付"/>
    <s v="true"/>
    <s v="包菜"/>
    <s v="散装鲜菜"/>
    <s v="模拟_青禾小学食堂"/>
    <n v="39.15"/>
    <n v="0"/>
    <n v="39.15"/>
    <s v=""/>
    <s v=""/>
    <s v=""/>
    <s v=""/>
    <s v="通过"/>
  </r>
  <r>
    <s v="SIM-20260910-C006"/>
    <n v="1"/>
    <s v="C006"/>
    <x v="9"/>
    <s v="P010"/>
    <s v="公斤"/>
    <n v="6.9"/>
    <n v="6.9"/>
    <n v="0"/>
    <n v="5"/>
    <s v="正常交付"/>
    <s v="true"/>
    <s v="空心菜"/>
    <s v="散装鲜菜"/>
    <s v="模拟_溪桥医院食堂"/>
    <n v="34.5"/>
    <n v="0"/>
    <n v="34.5"/>
    <s v=""/>
    <s v=""/>
    <s v=""/>
    <s v=""/>
    <s v="通过"/>
  </r>
  <r>
    <s v="SIM-20260910-C006"/>
    <n v="2"/>
    <s v="C006"/>
    <x v="9"/>
    <s v="P005"/>
    <s v="公斤"/>
    <n v="6.9"/>
    <n v="6.9"/>
    <n v="0"/>
    <n v="2.7"/>
    <s v="正常交付"/>
    <s v="true"/>
    <s v="南瓜"/>
    <s v="散装鲜菜"/>
    <s v="模拟_溪桥医院食堂"/>
    <n v="18.63"/>
    <n v="0"/>
    <n v="18.63"/>
    <s v=""/>
    <s v=""/>
    <s v=""/>
    <s v=""/>
    <s v="通过"/>
  </r>
  <r>
    <s v="SIM-20260910-C006"/>
    <n v="3"/>
    <s v="C006"/>
    <x v="9"/>
    <s v="P014"/>
    <s v="公斤"/>
    <n v="7.7"/>
    <n v="7.7"/>
    <n v="0"/>
    <n v="5"/>
    <s v="正常交付"/>
    <s v="true"/>
    <s v="丝瓜"/>
    <s v="散装鲜菜"/>
    <s v="模拟_溪桥医院食堂"/>
    <n v="38.5"/>
    <n v="0"/>
    <n v="38.5"/>
    <s v=""/>
    <s v=""/>
    <s v=""/>
    <s v=""/>
    <s v="通过"/>
  </r>
  <r>
    <s v="SIM-20260910-C006"/>
    <n v="4"/>
    <s v="C006"/>
    <x v="9"/>
    <s v="P001"/>
    <s v="公斤"/>
    <n v="6"/>
    <n v="5.8"/>
    <n v="0"/>
    <n v="3.3"/>
    <s v="到货不足；按实际交付计费"/>
    <s v="true"/>
    <s v="土豆"/>
    <s v="散装鲜菜"/>
    <s v="模拟_溪桥医院食堂"/>
    <n v="19.14"/>
    <n v="0"/>
    <n v="19.14"/>
    <s v=""/>
    <s v=""/>
    <s v=""/>
    <s v=""/>
    <s v="通过"/>
  </r>
  <r>
    <s v="SIM-20260910-C006"/>
    <n v="5"/>
    <s v="C006"/>
    <x v="9"/>
    <s v="P013"/>
    <s v="公斤"/>
    <n v="11.2"/>
    <n v="10.7"/>
    <n v="0"/>
    <n v="6"/>
    <s v="到货不足；按实际交付计费"/>
    <s v="true"/>
    <s v="豇豆"/>
    <s v="散装鲜菜"/>
    <s v="模拟_溪桥医院食堂"/>
    <n v="64.2"/>
    <n v="0"/>
    <n v="64.2"/>
    <s v=""/>
    <s v=""/>
    <s v=""/>
    <s v=""/>
    <s v="通过"/>
  </r>
  <r>
    <s v="SIM-20260910-C006"/>
    <n v="6"/>
    <s v="C006"/>
    <x v="9"/>
    <s v="P008"/>
    <s v="公斤"/>
    <n v="6"/>
    <n v="6"/>
    <n v="0"/>
    <n v="4.4000000000000004"/>
    <s v="正常交付"/>
    <s v="true"/>
    <s v="黄瓜"/>
    <s v="散装鲜菜"/>
    <s v="模拟_溪桥医院食堂"/>
    <n v="26.4"/>
    <n v="0"/>
    <n v="26.4"/>
    <s v=""/>
    <s v=""/>
    <s v=""/>
    <s v=""/>
    <s v="通过"/>
  </r>
  <r>
    <s v="SIM-20260910-C006"/>
    <n v="7"/>
    <s v="C006"/>
    <x v="9"/>
    <s v="P015"/>
    <s v="公斤"/>
    <n v="1"/>
    <n v="1"/>
    <n v="0"/>
    <n v="7.2"/>
    <s v="正常交付"/>
    <s v="true"/>
    <s v="小葱"/>
    <s v="散装鲜菜"/>
    <s v="模拟_溪桥医院食堂"/>
    <n v="7.2"/>
    <n v="0"/>
    <n v="7.2"/>
    <s v=""/>
    <s v=""/>
    <s v=""/>
    <s v=""/>
    <s v="通过"/>
  </r>
  <r>
    <s v="SIM-20260911-C001"/>
    <n v="1"/>
    <s v="C001"/>
    <x v="10"/>
    <s v="P012"/>
    <s v="公斤"/>
    <n v="2.1"/>
    <n v="2.1"/>
    <n v="0.2"/>
    <n v="5"/>
    <s v="正常交付；签收时挑出黄叶退回"/>
    <s v="true"/>
    <s v="小白菜"/>
    <s v="散装鲜菜"/>
    <s v="模拟_榕树下粉面店"/>
    <n v="10.5"/>
    <n v="1"/>
    <n v="9.5"/>
    <s v=""/>
    <s v=""/>
    <s v=""/>
    <s v=""/>
    <s v="通过"/>
  </r>
  <r>
    <s v="SIM-20260911-C001"/>
    <n v="2"/>
    <s v="C001"/>
    <x v="10"/>
    <s v="P007"/>
    <s v="公斤"/>
    <n v="2.9"/>
    <n v="2.6"/>
    <n v="0"/>
    <n v="5.45"/>
    <s v="到货不足；按实际交付计费"/>
    <s v="true"/>
    <s v="青椒"/>
    <s v="散装鲜菜"/>
    <s v="模拟_榕树下粉面店"/>
    <n v="14.17"/>
    <n v="0"/>
    <n v="14.17"/>
    <s v=""/>
    <s v=""/>
    <s v=""/>
    <s v=""/>
    <s v="通过"/>
  </r>
  <r>
    <s v="SIM-20260911-C001"/>
    <n v="3"/>
    <s v="C001"/>
    <x v="10"/>
    <s v="P005"/>
    <s v="公斤"/>
    <n v="2.4"/>
    <n v="2.4"/>
    <n v="0"/>
    <n v="2.7"/>
    <s v="正常交付"/>
    <s v="true"/>
    <s v="南瓜"/>
    <s v="散装鲜菜"/>
    <s v="模拟_榕树下粉面店"/>
    <n v="6.48"/>
    <n v="0"/>
    <n v="6.48"/>
    <s v=""/>
    <s v=""/>
    <s v=""/>
    <s v=""/>
    <s v="通过"/>
  </r>
  <r>
    <s v="SIM-20260911-C001"/>
    <n v="4"/>
    <s v="C001"/>
    <x v="10"/>
    <s v="P003"/>
    <s v="公斤"/>
    <n v="3.2"/>
    <n v="3.2"/>
    <n v="0"/>
    <n v="2.9"/>
    <s v="正常交付"/>
    <s v="true"/>
    <s v="包菜"/>
    <s v="散装鲜菜"/>
    <s v="模拟_榕树下粉面店"/>
    <n v="9.2799999999999994"/>
    <n v="0"/>
    <n v="9.2799999999999994"/>
    <s v=""/>
    <s v=""/>
    <s v=""/>
    <s v=""/>
    <s v="通过"/>
  </r>
  <r>
    <s v="SIM-20260911-C001"/>
    <n v="5"/>
    <s v="C001"/>
    <x v="10"/>
    <s v="P015"/>
    <s v="公斤"/>
    <n v="0.5"/>
    <n v="0.5"/>
    <n v="0"/>
    <n v="7.2"/>
    <s v="正常交付"/>
    <s v="true"/>
    <s v="小葱"/>
    <s v="散装鲜菜"/>
    <s v="模拟_榕树下粉面店"/>
    <n v="3.6"/>
    <n v="0"/>
    <n v="3.6"/>
    <s v=""/>
    <s v=""/>
    <s v=""/>
    <s v=""/>
    <s v="通过"/>
  </r>
  <r>
    <s v="SIM-20260911-C002"/>
    <n v="1"/>
    <s v="C002"/>
    <x v="10"/>
    <s v="P012"/>
    <s v="公斤"/>
    <n v="8.6"/>
    <n v="8.6"/>
    <n v="0"/>
    <n v="5"/>
    <s v="正常交付"/>
    <s v="true"/>
    <s v="小白菜"/>
    <s v="散装鲜菜"/>
    <s v="模拟_桥头家常菜馆"/>
    <n v="43"/>
    <n v="0"/>
    <n v="43"/>
    <s v=""/>
    <s v=""/>
    <s v=""/>
    <s v=""/>
    <s v="通过"/>
  </r>
  <r>
    <s v="SIM-20260911-C002"/>
    <n v="2"/>
    <s v="C002"/>
    <x v="10"/>
    <s v="P003"/>
    <s v="公斤"/>
    <n v="4.3"/>
    <n v="4.3"/>
    <n v="0"/>
    <n v="2.9"/>
    <s v="正常交付"/>
    <s v="true"/>
    <s v="包菜"/>
    <s v="散装鲜菜"/>
    <s v="模拟_桥头家常菜馆"/>
    <n v="12.47"/>
    <n v="0"/>
    <n v="12.47"/>
    <s v=""/>
    <s v=""/>
    <s v=""/>
    <s v=""/>
    <s v="通过"/>
  </r>
  <r>
    <s v="SIM-20260911-C002"/>
    <n v="3"/>
    <s v="C002"/>
    <x v="10"/>
    <s v="P009"/>
    <s v="公斤"/>
    <n v="9.9"/>
    <n v="9.9"/>
    <n v="0"/>
    <n v="5"/>
    <s v="正常交付"/>
    <s v="true"/>
    <s v="西红柿"/>
    <s v="散装鲜菜"/>
    <s v="模拟_桥头家常菜馆"/>
    <n v="49.5"/>
    <n v="0"/>
    <n v="49.5"/>
    <s v=""/>
    <s v=""/>
    <s v=""/>
    <s v=""/>
    <s v="通过"/>
  </r>
  <r>
    <s v="SIM-20260911-C002"/>
    <n v="4"/>
    <s v="C002"/>
    <x v="10"/>
    <s v="P002"/>
    <s v="公斤"/>
    <n v="9.3000000000000007"/>
    <n v="9.3000000000000007"/>
    <n v="0"/>
    <n v="2.7"/>
    <s v="正常交付"/>
    <s v="true"/>
    <s v="白萝卜"/>
    <s v="散装鲜菜"/>
    <s v="模拟_桥头家常菜馆"/>
    <n v="25.11"/>
    <n v="0"/>
    <n v="25.11"/>
    <s v=""/>
    <s v=""/>
    <s v=""/>
    <s v=""/>
    <s v="通过"/>
  </r>
  <r>
    <s v="SIM-20260911-C002"/>
    <n v="5"/>
    <s v="C002"/>
    <x v="10"/>
    <s v="P014"/>
    <s v="公斤"/>
    <n v="4.3"/>
    <n v="4.3"/>
    <n v="0"/>
    <n v="5"/>
    <s v="正常交付"/>
    <s v="true"/>
    <s v="丝瓜"/>
    <s v="散装鲜菜"/>
    <s v="模拟_桥头家常菜馆"/>
    <n v="21.5"/>
    <n v="0"/>
    <n v="21.5"/>
    <s v=""/>
    <s v=""/>
    <s v=""/>
    <s v=""/>
    <s v="通过"/>
  </r>
  <r>
    <s v="SIM-20260911-C002"/>
    <n v="6"/>
    <s v="C002"/>
    <x v="10"/>
    <s v="P015"/>
    <s v="公斤"/>
    <n v="1"/>
    <n v="1"/>
    <n v="0"/>
    <n v="7.2"/>
    <s v="正常交付"/>
    <s v="true"/>
    <s v="小葱"/>
    <s v="散装鲜菜"/>
    <s v="模拟_桥头家常菜馆"/>
    <n v="7.2"/>
    <n v="0"/>
    <n v="7.2"/>
    <s v=""/>
    <s v=""/>
    <s v=""/>
    <s v=""/>
    <s v="通过"/>
  </r>
  <r>
    <s v="SIM-20260911-C003"/>
    <n v="1"/>
    <s v="C003"/>
    <x v="10"/>
    <s v="P010"/>
    <s v="公斤"/>
    <n v="9"/>
    <n v="9"/>
    <n v="0"/>
    <n v="5"/>
    <s v="正常交付"/>
    <s v="true"/>
    <s v="空心菜"/>
    <s v="散装鲜菜"/>
    <s v="模拟_兴街快餐店"/>
    <n v="45"/>
    <n v="0"/>
    <n v="45"/>
    <s v=""/>
    <s v=""/>
    <s v=""/>
    <s v=""/>
    <s v="通过"/>
  </r>
  <r>
    <s v="SIM-20260911-C003"/>
    <n v="2"/>
    <s v="C003"/>
    <x v="10"/>
    <s v="P001"/>
    <s v="公斤"/>
    <n v="7.3"/>
    <n v="7.3"/>
    <n v="0"/>
    <n v="3.3"/>
    <s v="正常交付"/>
    <s v="true"/>
    <s v="土豆"/>
    <s v="散装鲜菜"/>
    <s v="模拟_兴街快餐店"/>
    <n v="24.09"/>
    <n v="0"/>
    <n v="24.09"/>
    <s v=""/>
    <s v=""/>
    <s v=""/>
    <s v=""/>
    <s v="通过"/>
  </r>
  <r>
    <s v="SIM-20260911-C003"/>
    <n v="3"/>
    <s v="C003"/>
    <x v="10"/>
    <s v="P014"/>
    <s v="公斤"/>
    <n v="3.9"/>
    <n v="3.9"/>
    <n v="0"/>
    <n v="5"/>
    <s v="正常交付"/>
    <s v="true"/>
    <s v="丝瓜"/>
    <s v="散装鲜菜"/>
    <s v="模拟_兴街快餐店"/>
    <n v="19.5"/>
    <n v="0"/>
    <n v="19.5"/>
    <s v=""/>
    <s v=""/>
    <s v=""/>
    <s v=""/>
    <s v="通过"/>
  </r>
  <r>
    <s v="SIM-20260911-C003"/>
    <n v="4"/>
    <s v="C003"/>
    <x v="10"/>
    <s v="P005"/>
    <s v="公斤"/>
    <n v="6.2"/>
    <n v="6.2"/>
    <n v="0"/>
    <n v="2.7"/>
    <s v="正常交付"/>
    <s v="true"/>
    <s v="南瓜"/>
    <s v="散装鲜菜"/>
    <s v="模拟_兴街快餐店"/>
    <n v="16.739999999999998"/>
    <n v="0"/>
    <n v="16.739999999999998"/>
    <s v=""/>
    <s v=""/>
    <s v=""/>
    <s v=""/>
    <s v="通过"/>
  </r>
  <r>
    <s v="SIM-20260911-C003"/>
    <n v="5"/>
    <s v="C003"/>
    <x v="10"/>
    <s v="P003"/>
    <s v="公斤"/>
    <n v="5.0999999999999996"/>
    <n v="5.0999999999999996"/>
    <n v="0"/>
    <n v="2.9"/>
    <s v="正常交付"/>
    <s v="true"/>
    <s v="包菜"/>
    <s v="散装鲜菜"/>
    <s v="模拟_兴街快餐店"/>
    <n v="14.79"/>
    <n v="0"/>
    <n v="14.79"/>
    <s v=""/>
    <s v=""/>
    <s v=""/>
    <s v=""/>
    <s v="通过"/>
  </r>
  <r>
    <s v="SIM-20260911-C003"/>
    <n v="6"/>
    <s v="C003"/>
    <x v="10"/>
    <s v="P009"/>
    <s v="公斤"/>
    <n v="7.9"/>
    <n v="7.9"/>
    <n v="0"/>
    <n v="5"/>
    <s v="正常交付"/>
    <s v="true"/>
    <s v="西红柿"/>
    <s v="散装鲜菜"/>
    <s v="模拟_兴街快餐店"/>
    <n v="39.5"/>
    <n v="0"/>
    <n v="39.5"/>
    <s v=""/>
    <s v=""/>
    <s v=""/>
    <s v=""/>
    <s v="通过"/>
  </r>
  <r>
    <s v="SIM-20260911-C003"/>
    <n v="7"/>
    <s v="C003"/>
    <x v="10"/>
    <s v="P015"/>
    <s v="公斤"/>
    <n v="1"/>
    <n v="1"/>
    <n v="0"/>
    <n v="7.2"/>
    <s v="正常交付"/>
    <s v="true"/>
    <s v="小葱"/>
    <s v="散装鲜菜"/>
    <s v="模拟_兴街快餐店"/>
    <n v="7.2"/>
    <n v="0"/>
    <n v="7.2"/>
    <s v=""/>
    <s v=""/>
    <s v=""/>
    <s v=""/>
    <s v="通过"/>
  </r>
  <r>
    <s v="SIM-20260911-C005"/>
    <n v="1"/>
    <s v="C005"/>
    <x v="10"/>
    <s v="P010"/>
    <s v="公斤"/>
    <n v="15"/>
    <n v="15"/>
    <n v="0"/>
    <n v="5"/>
    <s v="正常交付"/>
    <s v="true"/>
    <s v="空心菜"/>
    <s v="散装鲜菜"/>
    <s v="模拟_青禾小学食堂"/>
    <n v="75"/>
    <n v="0"/>
    <n v="75"/>
    <s v=""/>
    <s v=""/>
    <s v=""/>
    <s v=""/>
    <s v="通过"/>
  </r>
  <r>
    <s v="SIM-20260911-C005"/>
    <n v="2"/>
    <s v="C005"/>
    <x v="10"/>
    <s v="P013"/>
    <s v="公斤"/>
    <n v="16"/>
    <n v="16"/>
    <n v="0"/>
    <n v="6"/>
    <s v="正常交付"/>
    <s v="true"/>
    <s v="豇豆"/>
    <s v="散装鲜菜"/>
    <s v="模拟_青禾小学食堂"/>
    <n v="96"/>
    <n v="0"/>
    <n v="96"/>
    <s v=""/>
    <s v=""/>
    <s v=""/>
    <s v=""/>
    <s v="通过"/>
  </r>
  <r>
    <s v="SIM-20260911-C005"/>
    <n v="3"/>
    <s v="C005"/>
    <x v="10"/>
    <s v="P006"/>
    <s v="公斤"/>
    <n v="7.5"/>
    <n v="7.5"/>
    <n v="0"/>
    <n v="4.8"/>
    <s v="正常交付"/>
    <s v="true"/>
    <s v="茄子"/>
    <s v="散装鲜菜"/>
    <s v="模拟_青禾小学食堂"/>
    <n v="36"/>
    <n v="0"/>
    <n v="36"/>
    <s v=""/>
    <s v=""/>
    <s v=""/>
    <s v=""/>
    <s v="通过"/>
  </r>
  <r>
    <s v="SIM-20260911-C005"/>
    <n v="4"/>
    <s v="C005"/>
    <x v="10"/>
    <s v="P001"/>
    <s v="公斤"/>
    <n v="8.5"/>
    <n v="8.5"/>
    <n v="0"/>
    <n v="3.3"/>
    <s v="正常交付"/>
    <s v="true"/>
    <s v="土豆"/>
    <s v="散装鲜菜"/>
    <s v="模拟_青禾小学食堂"/>
    <n v="28.05"/>
    <n v="0"/>
    <n v="28.05"/>
    <s v=""/>
    <s v=""/>
    <s v=""/>
    <s v=""/>
    <s v="通过"/>
  </r>
  <r>
    <s v="SIM-20260911-C005"/>
    <n v="5"/>
    <s v="C005"/>
    <x v="10"/>
    <s v="P003"/>
    <s v="公斤"/>
    <n v="12.8"/>
    <n v="12.8"/>
    <n v="0"/>
    <n v="2.9"/>
    <s v="正常交付"/>
    <s v="true"/>
    <s v="包菜"/>
    <s v="散装鲜菜"/>
    <s v="模拟_青禾小学食堂"/>
    <n v="37.119999999999997"/>
    <n v="0"/>
    <n v="37.119999999999997"/>
    <s v=""/>
    <s v=""/>
    <s v=""/>
    <s v=""/>
    <s v="通过"/>
  </r>
  <r>
    <s v="SIM-20260911-C005"/>
    <n v="6"/>
    <s v="C005"/>
    <x v="10"/>
    <s v="P007"/>
    <s v="公斤"/>
    <n v="9.6"/>
    <n v="9.6"/>
    <n v="0"/>
    <n v="5.45"/>
    <s v="正常交付"/>
    <s v="true"/>
    <s v="青椒"/>
    <s v="散装鲜菜"/>
    <s v="模拟_青禾小学食堂"/>
    <n v="52.32"/>
    <n v="0"/>
    <n v="52.32"/>
    <s v=""/>
    <s v=""/>
    <s v=""/>
    <s v=""/>
    <s v="通过"/>
  </r>
  <r>
    <s v="SIM-20260911-C005"/>
    <n v="7"/>
    <s v="C005"/>
    <x v="10"/>
    <s v="P016"/>
    <s v="公斤"/>
    <n v="12"/>
    <n v="12"/>
    <n v="0"/>
    <n v="10.4"/>
    <s v="正常交付"/>
    <s v="true"/>
    <s v="鸡蛋"/>
    <s v="普通鲜鸡蛋按净重"/>
    <s v="模拟_青禾小学食堂"/>
    <n v="124.8"/>
    <n v="0"/>
    <n v="124.8"/>
    <s v=""/>
    <s v=""/>
    <s v=""/>
    <s v=""/>
    <s v="通过"/>
  </r>
  <r>
    <s v="SIM-20260911-C006"/>
    <n v="1"/>
    <s v="C006"/>
    <x v="10"/>
    <s v="P012"/>
    <s v="公斤"/>
    <n v="12.3"/>
    <n v="12.3"/>
    <n v="0.3"/>
    <n v="5"/>
    <s v="正常交付；签收时挑出黄叶退回"/>
    <s v="true"/>
    <s v="小白菜"/>
    <s v="散装鲜菜"/>
    <s v="模拟_溪桥医院食堂"/>
    <n v="61.5"/>
    <n v="1.5"/>
    <n v="60"/>
    <s v=""/>
    <s v=""/>
    <s v=""/>
    <s v=""/>
    <s v="通过"/>
  </r>
  <r>
    <s v="SIM-20260911-C006"/>
    <n v="2"/>
    <s v="C006"/>
    <x v="10"/>
    <s v="P004"/>
    <s v="公斤"/>
    <n v="5.4"/>
    <n v="5.4"/>
    <n v="0"/>
    <n v="2.7"/>
    <s v="正常交付"/>
    <s v="true"/>
    <s v="冬瓜"/>
    <s v="散装鲜菜"/>
    <s v="模拟_溪桥医院食堂"/>
    <n v="14.58"/>
    <n v="0"/>
    <n v="14.58"/>
    <s v=""/>
    <s v=""/>
    <s v=""/>
    <s v=""/>
    <s v="通过"/>
  </r>
  <r>
    <s v="SIM-20260911-C006"/>
    <n v="3"/>
    <s v="C006"/>
    <x v="10"/>
    <s v="P013"/>
    <s v="公斤"/>
    <n v="8.5"/>
    <n v="8.5"/>
    <n v="0"/>
    <n v="6"/>
    <s v="正常交付"/>
    <s v="true"/>
    <s v="豇豆"/>
    <s v="散装鲜菜"/>
    <s v="模拟_溪桥医院食堂"/>
    <n v="51"/>
    <n v="0"/>
    <n v="51"/>
    <s v=""/>
    <s v=""/>
    <s v=""/>
    <s v=""/>
    <s v="通过"/>
  </r>
  <r>
    <s v="SIM-20260911-C006"/>
    <n v="4"/>
    <s v="C006"/>
    <x v="10"/>
    <s v="P002"/>
    <s v="公斤"/>
    <n v="9.1999999999999993"/>
    <n v="9.1999999999999993"/>
    <n v="0"/>
    <n v="2.7"/>
    <s v="正常交付"/>
    <s v="true"/>
    <s v="白萝卜"/>
    <s v="散装鲜菜"/>
    <s v="模拟_溪桥医院食堂"/>
    <n v="24.84"/>
    <n v="0"/>
    <n v="24.84"/>
    <s v=""/>
    <s v=""/>
    <s v=""/>
    <s v=""/>
    <s v="通过"/>
  </r>
  <r>
    <s v="SIM-20260911-C006"/>
    <n v="5"/>
    <s v="C006"/>
    <x v="10"/>
    <s v="P014"/>
    <s v="公斤"/>
    <n v="5.4"/>
    <n v="5.4"/>
    <n v="0"/>
    <n v="5"/>
    <s v="正常交付"/>
    <s v="true"/>
    <s v="丝瓜"/>
    <s v="散装鲜菜"/>
    <s v="模拟_溪桥医院食堂"/>
    <n v="27"/>
    <n v="0"/>
    <n v="27"/>
    <s v=""/>
    <s v=""/>
    <s v=""/>
    <s v=""/>
    <s v="通过"/>
  </r>
  <r>
    <s v="SIM-20260911-C006"/>
    <n v="6"/>
    <s v="C006"/>
    <x v="10"/>
    <s v="P007"/>
    <s v="公斤"/>
    <n v="7.7"/>
    <n v="7.7"/>
    <n v="0"/>
    <n v="5.45"/>
    <s v="正常交付"/>
    <s v="true"/>
    <s v="青椒"/>
    <s v="散装鲜菜"/>
    <s v="模拟_溪桥医院食堂"/>
    <n v="41.97"/>
    <n v="0"/>
    <n v="41.97"/>
    <s v=""/>
    <s v=""/>
    <s v=""/>
    <s v=""/>
    <s v="通过"/>
  </r>
  <r>
    <s v="SIM-20260911-C006"/>
    <n v="7"/>
    <s v="C006"/>
    <x v="10"/>
    <s v="P016"/>
    <s v="公斤"/>
    <n v="9"/>
    <n v="9"/>
    <n v="0"/>
    <n v="10.4"/>
    <s v="正常交付"/>
    <s v="true"/>
    <s v="鸡蛋"/>
    <s v="普通鲜鸡蛋按净重"/>
    <s v="模拟_溪桥医院食堂"/>
    <n v="93.6"/>
    <n v="0"/>
    <n v="93.6"/>
    <s v=""/>
    <s v=""/>
    <s v=""/>
    <s v=""/>
    <s v="通过"/>
  </r>
  <r>
    <s v="SIM-20260911-C006"/>
    <n v="8"/>
    <s v="C006"/>
    <x v="10"/>
    <s v="P017"/>
    <s v="袋"/>
    <n v="4"/>
    <n v="4"/>
    <n v="0"/>
    <n v="116"/>
    <s v="正常交付"/>
    <s v="true"/>
    <s v="籼米"/>
    <s v="25公斤/袋普通籼米"/>
    <s v="模拟_溪桥医院食堂"/>
    <n v="464"/>
    <n v="0"/>
    <n v="464"/>
    <s v=""/>
    <s v=""/>
    <s v=""/>
    <s v=""/>
    <s v="通过"/>
  </r>
  <r>
    <s v="SIM-20260911-C006"/>
    <n v="9"/>
    <s v="C006"/>
    <x v="10"/>
    <s v="P020"/>
    <s v="桶"/>
    <n v="2"/>
    <n v="2"/>
    <n v="0"/>
    <n v="59"/>
    <s v="正常交付"/>
    <s v="true"/>
    <s v="大豆油"/>
    <s v="5升/桶普通大豆油"/>
    <s v="模拟_溪桥医院食堂"/>
    <n v="118"/>
    <n v="0"/>
    <n v="118"/>
    <s v=""/>
    <s v=""/>
    <s v=""/>
    <s v=""/>
    <s v="通过"/>
  </r>
  <r>
    <s v="SIM-20260912-C001"/>
    <n v="1"/>
    <s v="C001"/>
    <x v="11"/>
    <s v="P011"/>
    <s v="公斤"/>
    <n v="3.2"/>
    <n v="3.2"/>
    <n v="0"/>
    <n v="4.3"/>
    <s v="正常交付"/>
    <s v="true"/>
    <s v="红薯叶"/>
    <s v="散装鲜菜"/>
    <s v="模拟_榕树下粉面店"/>
    <n v="13.76"/>
    <n v="0"/>
    <n v="13.76"/>
    <s v=""/>
    <s v=""/>
    <s v=""/>
    <s v=""/>
    <s v="通过"/>
  </r>
  <r>
    <s v="SIM-20260912-C001"/>
    <n v="2"/>
    <s v="C001"/>
    <x v="11"/>
    <s v="P013"/>
    <s v="公斤"/>
    <n v="3.6"/>
    <n v="3.6"/>
    <n v="0"/>
    <n v="6"/>
    <s v="正常交付"/>
    <s v="true"/>
    <s v="豇豆"/>
    <s v="散装鲜菜"/>
    <s v="模拟_榕树下粉面店"/>
    <n v="21.6"/>
    <n v="0"/>
    <n v="21.6"/>
    <s v=""/>
    <s v=""/>
    <s v=""/>
    <s v=""/>
    <s v="通过"/>
  </r>
  <r>
    <s v="SIM-20260912-C001"/>
    <n v="3"/>
    <s v="C001"/>
    <x v="11"/>
    <s v="P014"/>
    <s v="公斤"/>
    <n v="3"/>
    <n v="3"/>
    <n v="0"/>
    <n v="5"/>
    <s v="正常交付"/>
    <s v="true"/>
    <s v="丝瓜"/>
    <s v="散装鲜菜"/>
    <s v="模拟_榕树下粉面店"/>
    <n v="15"/>
    <n v="0"/>
    <n v="15"/>
    <s v=""/>
    <s v=""/>
    <s v=""/>
    <s v=""/>
    <s v="通过"/>
  </r>
  <r>
    <s v="SIM-20260912-C001"/>
    <n v="4"/>
    <s v="C001"/>
    <x v="11"/>
    <s v="P008"/>
    <s v="公斤"/>
    <n v="3.2"/>
    <n v="3.2"/>
    <n v="0"/>
    <n v="4.4000000000000004"/>
    <s v="正常交付"/>
    <s v="true"/>
    <s v="黄瓜"/>
    <s v="散装鲜菜"/>
    <s v="模拟_榕树下粉面店"/>
    <n v="14.08"/>
    <n v="0"/>
    <n v="14.08"/>
    <s v=""/>
    <s v=""/>
    <s v=""/>
    <s v=""/>
    <s v="通过"/>
  </r>
  <r>
    <s v="SIM-20260912-C001"/>
    <n v="5"/>
    <s v="C001"/>
    <x v="11"/>
    <s v="P016"/>
    <s v="公斤"/>
    <n v="3"/>
    <n v="3"/>
    <n v="0"/>
    <n v="10.4"/>
    <s v="正常交付"/>
    <s v="true"/>
    <s v="鸡蛋"/>
    <s v="普通鲜鸡蛋按净重"/>
    <s v="模拟_榕树下粉面店"/>
    <n v="31.2"/>
    <n v="0"/>
    <n v="31.2"/>
    <s v=""/>
    <s v=""/>
    <s v=""/>
    <s v=""/>
    <s v="通过"/>
  </r>
  <r>
    <s v="SIM-20260912-C001"/>
    <n v="6"/>
    <s v="C001"/>
    <x v="11"/>
    <s v="P019"/>
    <s v="桶"/>
    <n v="1"/>
    <n v="1"/>
    <n v="0"/>
    <n v="66"/>
    <s v="正常交付"/>
    <s v="true"/>
    <s v="菜籽油"/>
    <s v="5升/桶普通菜籽油"/>
    <s v="模拟_榕树下粉面店"/>
    <n v="66"/>
    <n v="0"/>
    <n v="66"/>
    <s v=""/>
    <s v=""/>
    <s v=""/>
    <s v=""/>
    <s v="通过"/>
  </r>
  <r>
    <s v="SIM-20260912-C001"/>
    <n v="7"/>
    <s v="C001"/>
    <x v="11"/>
    <s v="P018"/>
    <s v="袋"/>
    <n v="1"/>
    <n v="1"/>
    <n v="0"/>
    <n v="108"/>
    <s v="正常交付"/>
    <s v="true"/>
    <s v="小麦粉"/>
    <s v="25公斤/袋普通小麦粉"/>
    <s v="模拟_榕树下粉面店"/>
    <n v="108"/>
    <n v="0"/>
    <n v="108"/>
    <s v=""/>
    <s v=""/>
    <s v=""/>
    <s v=""/>
    <s v="通过"/>
  </r>
  <r>
    <s v="SIM-20260912-C002"/>
    <n v="1"/>
    <s v="C002"/>
    <x v="11"/>
    <s v="P010"/>
    <s v="公斤"/>
    <n v="5.0999999999999996"/>
    <n v="5.0999999999999996"/>
    <n v="0"/>
    <n v="5"/>
    <s v="正常交付"/>
    <s v="true"/>
    <s v="空心菜"/>
    <s v="散装鲜菜"/>
    <s v="模拟_桥头家常菜馆"/>
    <n v="25.5"/>
    <n v="0"/>
    <n v="25.5"/>
    <s v=""/>
    <s v=""/>
    <s v=""/>
    <s v=""/>
    <s v="通过"/>
  </r>
  <r>
    <s v="SIM-20260912-C002"/>
    <n v="2"/>
    <s v="C002"/>
    <x v="11"/>
    <s v="P003"/>
    <s v="公斤"/>
    <n v="4.5999999999999996"/>
    <n v="4.5999999999999996"/>
    <n v="0"/>
    <n v="2.9"/>
    <s v="正常交付"/>
    <s v="true"/>
    <s v="包菜"/>
    <s v="散装鲜菜"/>
    <s v="模拟_桥头家常菜馆"/>
    <n v="13.34"/>
    <n v="0"/>
    <n v="13.34"/>
    <s v=""/>
    <s v=""/>
    <s v=""/>
    <s v=""/>
    <s v="通过"/>
  </r>
  <r>
    <s v="SIM-20260912-C002"/>
    <n v="3"/>
    <s v="C002"/>
    <x v="11"/>
    <s v="P005"/>
    <s v="公斤"/>
    <n v="4.5999999999999996"/>
    <n v="4.5999999999999996"/>
    <n v="0"/>
    <n v="2.7"/>
    <s v="正常交付"/>
    <s v="true"/>
    <s v="南瓜"/>
    <s v="散装鲜菜"/>
    <s v="模拟_桥头家常菜馆"/>
    <n v="12.42"/>
    <n v="0"/>
    <n v="12.42"/>
    <s v=""/>
    <s v=""/>
    <s v=""/>
    <s v=""/>
    <s v="通过"/>
  </r>
  <r>
    <s v="SIM-20260912-C002"/>
    <n v="4"/>
    <s v="C002"/>
    <x v="11"/>
    <s v="P009"/>
    <s v="公斤"/>
    <n v="8.6"/>
    <n v="8.6"/>
    <n v="0"/>
    <n v="5"/>
    <s v="正常交付"/>
    <s v="true"/>
    <s v="西红柿"/>
    <s v="散装鲜菜"/>
    <s v="模拟_桥头家常菜馆"/>
    <n v="43"/>
    <n v="0"/>
    <n v="43"/>
    <s v=""/>
    <s v=""/>
    <s v=""/>
    <s v=""/>
    <s v="通过"/>
  </r>
  <r>
    <s v="SIM-20260912-C002"/>
    <n v="5"/>
    <s v="C002"/>
    <x v="11"/>
    <s v="P002"/>
    <s v="公斤"/>
    <n v="8"/>
    <n v="8"/>
    <n v="0"/>
    <n v="2.7"/>
    <s v="正常交付"/>
    <s v="true"/>
    <s v="白萝卜"/>
    <s v="散装鲜菜"/>
    <s v="模拟_桥头家常菜馆"/>
    <n v="21.6"/>
    <n v="0"/>
    <n v="21.6"/>
    <s v=""/>
    <s v=""/>
    <s v=""/>
    <s v=""/>
    <s v="通过"/>
  </r>
  <r>
    <s v="SIM-20260912-C002"/>
    <n v="6"/>
    <s v="C002"/>
    <x v="11"/>
    <s v="P016"/>
    <s v="公斤"/>
    <n v="4"/>
    <n v="4"/>
    <n v="0"/>
    <n v="10.4"/>
    <s v="正常交付"/>
    <s v="true"/>
    <s v="鸡蛋"/>
    <s v="普通鲜鸡蛋按净重"/>
    <s v="模拟_桥头家常菜馆"/>
    <n v="41.6"/>
    <n v="0"/>
    <n v="41.6"/>
    <s v=""/>
    <s v=""/>
    <s v=""/>
    <s v=""/>
    <s v="通过"/>
  </r>
  <r>
    <s v="SIM-20260912-C002"/>
    <n v="7"/>
    <s v="C002"/>
    <x v="11"/>
    <s v="P017"/>
    <s v="袋"/>
    <n v="3"/>
    <n v="3"/>
    <n v="0"/>
    <n v="116"/>
    <s v="正常交付"/>
    <s v="true"/>
    <s v="籼米"/>
    <s v="25公斤/袋普通籼米"/>
    <s v="模拟_桥头家常菜馆"/>
    <n v="348"/>
    <n v="0"/>
    <n v="348"/>
    <s v=""/>
    <s v=""/>
    <s v=""/>
    <s v=""/>
    <s v="通过"/>
  </r>
  <r>
    <s v="SIM-20260912-C002"/>
    <n v="8"/>
    <s v="C002"/>
    <x v="11"/>
    <s v="P019"/>
    <s v="桶"/>
    <n v="1"/>
    <n v="1"/>
    <n v="0"/>
    <n v="66"/>
    <s v="正常交付"/>
    <s v="true"/>
    <s v="菜籽油"/>
    <s v="5升/桶普通菜籽油"/>
    <s v="模拟_桥头家常菜馆"/>
    <n v="66"/>
    <n v="0"/>
    <n v="66"/>
    <s v=""/>
    <s v=""/>
    <s v=""/>
    <s v=""/>
    <s v="通过"/>
  </r>
  <r>
    <s v="SIM-20260912-C003"/>
    <n v="1"/>
    <s v="C003"/>
    <x v="11"/>
    <s v="P012"/>
    <s v="公斤"/>
    <n v="4.9000000000000004"/>
    <n v="4.9000000000000004"/>
    <n v="0"/>
    <n v="5"/>
    <s v="正常交付"/>
    <s v="true"/>
    <s v="小白菜"/>
    <s v="散装鲜菜"/>
    <s v="模拟_兴街快餐店"/>
    <n v="24.5"/>
    <n v="0"/>
    <n v="24.5"/>
    <s v=""/>
    <s v=""/>
    <s v=""/>
    <s v=""/>
    <s v="通过"/>
  </r>
  <r>
    <s v="SIM-20260912-C003"/>
    <n v="2"/>
    <s v="C003"/>
    <x v="11"/>
    <s v="P013"/>
    <s v="公斤"/>
    <n v="6.3"/>
    <n v="6.3"/>
    <n v="0"/>
    <n v="6"/>
    <s v="正常交付"/>
    <s v="true"/>
    <s v="豇豆"/>
    <s v="散装鲜菜"/>
    <s v="模拟_兴街快餐店"/>
    <n v="37.799999999999997"/>
    <n v="0"/>
    <n v="37.799999999999997"/>
    <s v=""/>
    <s v=""/>
    <s v=""/>
    <s v=""/>
    <s v="通过"/>
  </r>
  <r>
    <s v="SIM-20260912-C003"/>
    <n v="3"/>
    <s v="C003"/>
    <x v="11"/>
    <s v="P014"/>
    <s v="公斤"/>
    <n v="7.3"/>
    <n v="7.3"/>
    <n v="0"/>
    <n v="5"/>
    <s v="正常交付"/>
    <s v="true"/>
    <s v="丝瓜"/>
    <s v="散装鲜菜"/>
    <s v="模拟_兴街快餐店"/>
    <n v="36.5"/>
    <n v="0"/>
    <n v="36.5"/>
    <s v=""/>
    <s v=""/>
    <s v=""/>
    <s v=""/>
    <s v="通过"/>
  </r>
  <r>
    <s v="SIM-20260912-C003"/>
    <n v="4"/>
    <s v="C003"/>
    <x v="11"/>
    <s v="P003"/>
    <s v="公斤"/>
    <n v="4.4000000000000004"/>
    <n v="4.4000000000000004"/>
    <n v="0"/>
    <n v="2.9"/>
    <s v="正常交付"/>
    <s v="true"/>
    <s v="包菜"/>
    <s v="散装鲜菜"/>
    <s v="模拟_兴街快餐店"/>
    <n v="12.76"/>
    <n v="0"/>
    <n v="12.76"/>
    <s v=""/>
    <s v=""/>
    <s v=""/>
    <s v=""/>
    <s v="通过"/>
  </r>
  <r>
    <s v="SIM-20260912-C003"/>
    <n v="5"/>
    <s v="C003"/>
    <x v="11"/>
    <s v="P005"/>
    <s v="公斤"/>
    <n v="6.8"/>
    <n v="6.8"/>
    <n v="0"/>
    <n v="2.7"/>
    <s v="正常交付"/>
    <s v="true"/>
    <s v="南瓜"/>
    <s v="散装鲜菜"/>
    <s v="模拟_兴街快餐店"/>
    <n v="18.36"/>
    <n v="0"/>
    <n v="18.36"/>
    <s v=""/>
    <s v=""/>
    <s v=""/>
    <s v=""/>
    <s v="通过"/>
  </r>
  <r>
    <s v="SIM-20260912-C003"/>
    <n v="6"/>
    <s v="C003"/>
    <x v="11"/>
    <s v="P002"/>
    <s v="公斤"/>
    <n v="7.8"/>
    <n v="7.8"/>
    <n v="0"/>
    <n v="2.7"/>
    <s v="正常交付"/>
    <s v="true"/>
    <s v="白萝卜"/>
    <s v="散装鲜菜"/>
    <s v="模拟_兴街快餐店"/>
    <n v="21.06"/>
    <n v="0"/>
    <n v="21.06"/>
    <s v=""/>
    <s v=""/>
    <s v=""/>
    <s v=""/>
    <s v="通过"/>
  </r>
  <r>
    <s v="SIM-20260912-C003"/>
    <n v="7"/>
    <s v="C003"/>
    <x v="11"/>
    <s v="P016"/>
    <s v="公斤"/>
    <n v="6"/>
    <n v="6"/>
    <n v="0"/>
    <n v="10.4"/>
    <s v="正常交付"/>
    <s v="true"/>
    <s v="鸡蛋"/>
    <s v="普通鲜鸡蛋按净重"/>
    <s v="模拟_兴街快餐店"/>
    <n v="62.4"/>
    <n v="0"/>
    <n v="62.4"/>
    <s v=""/>
    <s v=""/>
    <s v=""/>
    <s v=""/>
    <s v="通过"/>
  </r>
  <r>
    <s v="SIM-20260912-C003"/>
    <n v="8"/>
    <s v="C003"/>
    <x v="11"/>
    <s v="P017"/>
    <s v="袋"/>
    <n v="5"/>
    <n v="5"/>
    <n v="0"/>
    <n v="116"/>
    <s v="正常交付"/>
    <s v="true"/>
    <s v="籼米"/>
    <s v="25公斤/袋普通籼米"/>
    <s v="模拟_兴街快餐店"/>
    <n v="580"/>
    <n v="0"/>
    <n v="580"/>
    <s v=""/>
    <s v=""/>
    <s v=""/>
    <s v=""/>
    <s v="通过"/>
  </r>
  <r>
    <s v="SIM-20260912-C003"/>
    <n v="9"/>
    <s v="C003"/>
    <x v="11"/>
    <s v="P020"/>
    <s v="桶"/>
    <n v="2"/>
    <n v="2"/>
    <n v="0"/>
    <n v="59"/>
    <s v="正常交付"/>
    <s v="true"/>
    <s v="大豆油"/>
    <s v="5升/桶普通大豆油"/>
    <s v="模拟_兴街快餐店"/>
    <n v="118"/>
    <n v="0"/>
    <n v="118"/>
    <s v=""/>
    <s v=""/>
    <s v=""/>
    <s v=""/>
    <s v="通过"/>
  </r>
  <r>
    <s v="SIM-20260912-C004"/>
    <n v="1"/>
    <s v="C004"/>
    <x v="11"/>
    <s v="P011"/>
    <s v="公斤"/>
    <n v="7.2"/>
    <n v="7.2"/>
    <n v="0.3"/>
    <n v="4.3"/>
    <s v="正常交付；签收时挑出黄叶退回"/>
    <s v="true"/>
    <s v="红薯叶"/>
    <s v="散装鲜菜"/>
    <s v="模拟_田畔饭店"/>
    <n v="30.96"/>
    <n v="1.29"/>
    <n v="29.67"/>
    <s v=""/>
    <s v=""/>
    <s v=""/>
    <s v=""/>
    <s v="通过"/>
  </r>
  <r>
    <s v="SIM-20260912-C004"/>
    <n v="2"/>
    <s v="C004"/>
    <x v="11"/>
    <s v="P005"/>
    <s v="公斤"/>
    <n v="7.2"/>
    <n v="6.9"/>
    <n v="0"/>
    <n v="2.7"/>
    <s v="到货不足；按实际交付计费"/>
    <s v="true"/>
    <s v="南瓜"/>
    <s v="散装鲜菜"/>
    <s v="模拟_田畔饭店"/>
    <n v="18.63"/>
    <n v="0"/>
    <n v="18.63"/>
    <s v=""/>
    <s v=""/>
    <s v=""/>
    <s v=""/>
    <s v="通过"/>
  </r>
  <r>
    <s v="SIM-20260912-C004"/>
    <n v="3"/>
    <s v="C004"/>
    <x v="11"/>
    <s v="P007"/>
    <s v="公斤"/>
    <n v="10.4"/>
    <n v="10.4"/>
    <n v="0"/>
    <n v="5.45"/>
    <s v="正常交付"/>
    <s v="true"/>
    <s v="青椒"/>
    <s v="散装鲜菜"/>
    <s v="模拟_田畔饭店"/>
    <n v="56.68"/>
    <n v="0"/>
    <n v="56.68"/>
    <s v=""/>
    <s v=""/>
    <s v=""/>
    <s v=""/>
    <s v="通过"/>
  </r>
  <r>
    <s v="SIM-20260912-C004"/>
    <n v="4"/>
    <s v="C004"/>
    <x v="11"/>
    <s v="P008"/>
    <s v="公斤"/>
    <n v="6.5"/>
    <n v="6.3"/>
    <n v="0"/>
    <n v="4.4000000000000004"/>
    <s v="到货不足；按实际交付计费"/>
    <s v="true"/>
    <s v="黄瓜"/>
    <s v="散装鲜菜"/>
    <s v="模拟_田畔饭店"/>
    <n v="27.72"/>
    <n v="0"/>
    <n v="27.72"/>
    <s v=""/>
    <s v=""/>
    <s v=""/>
    <s v=""/>
    <s v="通过"/>
  </r>
  <r>
    <s v="SIM-20260912-C004"/>
    <n v="5"/>
    <s v="C004"/>
    <x v="11"/>
    <s v="P006"/>
    <s v="公斤"/>
    <n v="9.1"/>
    <n v="9.1"/>
    <n v="0"/>
    <n v="4.8"/>
    <s v="正常交付"/>
    <s v="true"/>
    <s v="茄子"/>
    <s v="散装鲜菜"/>
    <s v="模拟_田畔饭店"/>
    <n v="43.68"/>
    <n v="0"/>
    <n v="43.68"/>
    <s v=""/>
    <s v=""/>
    <s v=""/>
    <s v=""/>
    <s v="通过"/>
  </r>
  <r>
    <s v="SIM-20260912-C004"/>
    <n v="6"/>
    <s v="C004"/>
    <x v="11"/>
    <s v="P004"/>
    <s v="公斤"/>
    <n v="5.2"/>
    <n v="5.2"/>
    <n v="0"/>
    <n v="2.7"/>
    <s v="正常交付"/>
    <s v="true"/>
    <s v="冬瓜"/>
    <s v="散装鲜菜"/>
    <s v="模拟_田畔饭店"/>
    <n v="14.04"/>
    <n v="0"/>
    <n v="14.04"/>
    <s v=""/>
    <s v=""/>
    <s v=""/>
    <s v=""/>
    <s v="通过"/>
  </r>
  <r>
    <s v="SIM-20260912-C004"/>
    <n v="7"/>
    <s v="C004"/>
    <x v="11"/>
    <s v="P017"/>
    <s v="袋"/>
    <n v="3"/>
    <n v="3"/>
    <n v="0"/>
    <n v="116"/>
    <s v="正常交付"/>
    <s v="true"/>
    <s v="籼米"/>
    <s v="25公斤/袋普通籼米"/>
    <s v="模拟_田畔饭店"/>
    <n v="348"/>
    <n v="0"/>
    <n v="348"/>
    <s v=""/>
    <s v=""/>
    <s v=""/>
    <s v=""/>
    <s v="通过"/>
  </r>
  <r>
    <s v="SIM-20260912-C004"/>
    <n v="8"/>
    <s v="C004"/>
    <x v="11"/>
    <s v="P019"/>
    <s v="桶"/>
    <n v="1"/>
    <n v="1"/>
    <n v="0"/>
    <n v="66"/>
    <s v="正常交付"/>
    <s v="true"/>
    <s v="菜籽油"/>
    <s v="5升/桶普通菜籽油"/>
    <s v="模拟_田畔饭店"/>
    <n v="66"/>
    <n v="0"/>
    <n v="66"/>
    <s v=""/>
    <s v=""/>
    <s v=""/>
    <s v=""/>
    <s v="通过"/>
  </r>
  <r>
    <s v="SIM-20260912-C006"/>
    <n v="1"/>
    <s v="C006"/>
    <x v="11"/>
    <s v="P011"/>
    <s v="公斤"/>
    <n v="5.4"/>
    <n v="5.4"/>
    <n v="0"/>
    <n v="4.3"/>
    <s v="正常交付"/>
    <s v="true"/>
    <s v="红薯叶"/>
    <s v="散装鲜菜"/>
    <s v="模拟_溪桥医院食堂"/>
    <n v="23.22"/>
    <n v="0"/>
    <n v="23.22"/>
    <s v=""/>
    <s v=""/>
    <s v=""/>
    <s v=""/>
    <s v="通过"/>
  </r>
  <r>
    <s v="SIM-20260912-C006"/>
    <n v="2"/>
    <s v="C006"/>
    <x v="11"/>
    <s v="P005"/>
    <s v="公斤"/>
    <n v="8.8000000000000007"/>
    <n v="8.8000000000000007"/>
    <n v="0"/>
    <n v="2.7"/>
    <s v="正常交付"/>
    <s v="true"/>
    <s v="南瓜"/>
    <s v="散装鲜菜"/>
    <s v="模拟_溪桥医院食堂"/>
    <n v="23.76"/>
    <n v="0"/>
    <n v="23.76"/>
    <s v=""/>
    <s v=""/>
    <s v=""/>
    <s v=""/>
    <s v="通过"/>
  </r>
  <r>
    <s v="SIM-20260912-C006"/>
    <n v="3"/>
    <s v="C006"/>
    <x v="11"/>
    <s v="P013"/>
    <s v="公斤"/>
    <n v="8.8000000000000007"/>
    <n v="8.8000000000000007"/>
    <n v="0"/>
    <n v="6"/>
    <s v="正常交付"/>
    <s v="true"/>
    <s v="豇豆"/>
    <s v="散装鲜菜"/>
    <s v="模拟_溪桥医院食堂"/>
    <n v="52.8"/>
    <n v="0"/>
    <n v="52.8"/>
    <s v=""/>
    <s v=""/>
    <s v=""/>
    <s v=""/>
    <s v="通过"/>
  </r>
  <r>
    <s v="SIM-20260912-C006"/>
    <n v="4"/>
    <s v="C006"/>
    <x v="11"/>
    <s v="P006"/>
    <s v="公斤"/>
    <n v="8.8000000000000007"/>
    <n v="8.8000000000000007"/>
    <n v="0"/>
    <n v="4.8"/>
    <s v="正常交付"/>
    <s v="true"/>
    <s v="茄子"/>
    <s v="散装鲜菜"/>
    <s v="模拟_溪桥医院食堂"/>
    <n v="42.24"/>
    <n v="0"/>
    <n v="42.24"/>
    <s v=""/>
    <s v=""/>
    <s v=""/>
    <s v=""/>
    <s v="通过"/>
  </r>
  <r>
    <s v="SIM-20260912-C006"/>
    <n v="5"/>
    <s v="C006"/>
    <x v="11"/>
    <s v="P014"/>
    <s v="公斤"/>
    <n v="4.7"/>
    <n v="4.7"/>
    <n v="0"/>
    <n v="5"/>
    <s v="正常交付"/>
    <s v="true"/>
    <s v="丝瓜"/>
    <s v="散装鲜菜"/>
    <s v="模拟_溪桥医院食堂"/>
    <n v="23.5"/>
    <n v="0"/>
    <n v="23.5"/>
    <s v=""/>
    <s v=""/>
    <s v=""/>
    <s v=""/>
    <s v="通过"/>
  </r>
  <r>
    <s v="SIM-20260912-C006"/>
    <n v="6"/>
    <s v="C006"/>
    <x v="11"/>
    <s v="P008"/>
    <s v="公斤"/>
    <n v="6.8"/>
    <n v="6.8"/>
    <n v="0"/>
    <n v="4.4000000000000004"/>
    <s v="正常交付"/>
    <s v="true"/>
    <s v="黄瓜"/>
    <s v="散装鲜菜"/>
    <s v="模拟_溪桥医院食堂"/>
    <n v="29.92"/>
    <n v="0"/>
    <n v="29.92"/>
    <s v=""/>
    <s v=""/>
    <s v=""/>
    <s v=""/>
    <s v="通过"/>
  </r>
  <r>
    <s v="SIM-20260913-C002"/>
    <n v="1"/>
    <s v="C002"/>
    <x v="12"/>
    <s v="P010"/>
    <s v="公斤"/>
    <n v="8"/>
    <n v="8"/>
    <n v="0"/>
    <n v="5"/>
    <s v="正常交付"/>
    <s v="true"/>
    <s v="空心菜"/>
    <s v="散装鲜菜"/>
    <s v="模拟_桥头家常菜馆"/>
    <n v="40"/>
    <n v="0"/>
    <n v="40"/>
    <s v=""/>
    <s v=""/>
    <s v=""/>
    <s v=""/>
    <s v="通过"/>
  </r>
  <r>
    <s v="SIM-20260913-C002"/>
    <n v="2"/>
    <s v="C002"/>
    <x v="12"/>
    <s v="P006"/>
    <s v="公斤"/>
    <n v="8.6"/>
    <n v="8.6"/>
    <n v="0"/>
    <n v="4.8"/>
    <s v="正常交付"/>
    <s v="true"/>
    <s v="茄子"/>
    <s v="散装鲜菜"/>
    <s v="模拟_桥头家常菜馆"/>
    <n v="41.28"/>
    <n v="0"/>
    <n v="41.28"/>
    <s v=""/>
    <s v=""/>
    <s v=""/>
    <s v=""/>
    <s v="通过"/>
  </r>
  <r>
    <s v="SIM-20260913-C002"/>
    <n v="3"/>
    <s v="C002"/>
    <x v="12"/>
    <s v="P003"/>
    <s v="公斤"/>
    <n v="7.5"/>
    <n v="7.5"/>
    <n v="0"/>
    <n v="2.9"/>
    <s v="正常交付"/>
    <s v="true"/>
    <s v="包菜"/>
    <s v="散装鲜菜"/>
    <s v="模拟_桥头家常菜馆"/>
    <n v="21.75"/>
    <n v="0"/>
    <n v="21.75"/>
    <s v=""/>
    <s v=""/>
    <s v=""/>
    <s v=""/>
    <s v="通过"/>
  </r>
  <r>
    <s v="SIM-20260913-C002"/>
    <n v="4"/>
    <s v="C002"/>
    <x v="12"/>
    <s v="P008"/>
    <s v="公斤"/>
    <n v="6.9"/>
    <n v="6.4"/>
    <n v="0"/>
    <n v="4.4000000000000004"/>
    <s v="到货不足；按实际交付计费"/>
    <s v="true"/>
    <s v="黄瓜"/>
    <s v="散装鲜菜"/>
    <s v="模拟_桥头家常菜馆"/>
    <n v="28.16"/>
    <n v="0"/>
    <n v="28.16"/>
    <s v=""/>
    <s v=""/>
    <s v=""/>
    <s v=""/>
    <s v="通过"/>
  </r>
  <r>
    <s v="SIM-20260913-C002"/>
    <n v="5"/>
    <s v="C002"/>
    <x v="12"/>
    <s v="P007"/>
    <s v="公斤"/>
    <n v="5.7"/>
    <n v="5.4"/>
    <n v="0"/>
    <n v="5.45"/>
    <s v="到货不足；按实际交付计费"/>
    <s v="true"/>
    <s v="青椒"/>
    <s v="散装鲜菜"/>
    <s v="模拟_桥头家常菜馆"/>
    <n v="29.43"/>
    <n v="0"/>
    <n v="29.43"/>
    <s v=""/>
    <s v=""/>
    <s v=""/>
    <s v=""/>
    <s v="通过"/>
  </r>
  <r>
    <s v="SIM-20260913-C006"/>
    <n v="1"/>
    <s v="C006"/>
    <x v="12"/>
    <s v="P012"/>
    <s v="公斤"/>
    <n v="9.3000000000000007"/>
    <n v="9.3000000000000007"/>
    <n v="0"/>
    <n v="5"/>
    <s v="正常交付"/>
    <s v="true"/>
    <s v="小白菜"/>
    <s v="散装鲜菜"/>
    <s v="模拟_溪桥医院食堂"/>
    <n v="46.5"/>
    <n v="0"/>
    <n v="46.5"/>
    <s v=""/>
    <s v=""/>
    <s v=""/>
    <s v=""/>
    <s v="通过"/>
  </r>
  <r>
    <s v="SIM-20260913-C006"/>
    <n v="2"/>
    <s v="C006"/>
    <x v="12"/>
    <s v="P006"/>
    <s v="公斤"/>
    <n v="5.6"/>
    <n v="5.6"/>
    <n v="0"/>
    <n v="4.8"/>
    <s v="正常交付"/>
    <s v="true"/>
    <s v="茄子"/>
    <s v="散装鲜菜"/>
    <s v="模拟_溪桥医院食堂"/>
    <n v="26.88"/>
    <n v="0"/>
    <n v="26.88"/>
    <s v=""/>
    <s v=""/>
    <s v=""/>
    <s v=""/>
    <s v="通过"/>
  </r>
  <r>
    <s v="SIM-20260913-C006"/>
    <n v="3"/>
    <s v="C006"/>
    <x v="12"/>
    <s v="P014"/>
    <s v="公斤"/>
    <n v="7.4"/>
    <n v="7.4"/>
    <n v="0"/>
    <n v="5"/>
    <s v="正常交付"/>
    <s v="true"/>
    <s v="丝瓜"/>
    <s v="散装鲜菜"/>
    <s v="模拟_溪桥医院食堂"/>
    <n v="37"/>
    <n v="0"/>
    <n v="37"/>
    <s v=""/>
    <s v=""/>
    <s v=""/>
    <s v=""/>
    <s v="通过"/>
  </r>
  <r>
    <s v="SIM-20260913-C006"/>
    <n v="4"/>
    <s v="C006"/>
    <x v="12"/>
    <s v="P002"/>
    <s v="公斤"/>
    <n v="9.9"/>
    <n v="9.9"/>
    <n v="0"/>
    <n v="2.7"/>
    <s v="正常交付"/>
    <s v="true"/>
    <s v="白萝卜"/>
    <s v="散装鲜菜"/>
    <s v="模拟_溪桥医院食堂"/>
    <n v="26.73"/>
    <n v="0"/>
    <n v="26.73"/>
    <s v=""/>
    <s v=""/>
    <s v=""/>
    <s v=""/>
    <s v="通过"/>
  </r>
  <r>
    <s v="SIM-20260913-C006"/>
    <n v="5"/>
    <s v="C006"/>
    <x v="12"/>
    <s v="P008"/>
    <s v="公斤"/>
    <n v="7.4"/>
    <n v="7.1"/>
    <n v="0"/>
    <n v="4.4000000000000004"/>
    <s v="到货不足；按实际交付计费"/>
    <s v="true"/>
    <s v="黄瓜"/>
    <s v="散装鲜菜"/>
    <s v="模拟_溪桥医院食堂"/>
    <n v="31.24"/>
    <n v="0"/>
    <n v="31.24"/>
    <s v=""/>
    <s v=""/>
    <s v=""/>
    <s v=""/>
    <s v="通过"/>
  </r>
  <r>
    <s v="SIM-20260913-C006"/>
    <n v="6"/>
    <s v="C006"/>
    <x v="12"/>
    <s v="P007"/>
    <s v="公斤"/>
    <n v="6.8"/>
    <n v="6.8"/>
    <n v="0"/>
    <n v="5.45"/>
    <s v="正常交付"/>
    <s v="true"/>
    <s v="青椒"/>
    <s v="散装鲜菜"/>
    <s v="模拟_溪桥医院食堂"/>
    <n v="37.06"/>
    <n v="0"/>
    <n v="37.06"/>
    <s v=""/>
    <s v=""/>
    <s v=""/>
    <s v=""/>
    <s v="通过"/>
  </r>
  <r>
    <s v="SIM-20260913-C006"/>
    <n v="7"/>
    <s v="C006"/>
    <x v="12"/>
    <s v="P016"/>
    <s v="公斤"/>
    <n v="9"/>
    <n v="9"/>
    <n v="0"/>
    <n v="10.4"/>
    <s v="正常交付"/>
    <s v="true"/>
    <s v="鸡蛋"/>
    <s v="普通鲜鸡蛋按净重"/>
    <s v="模拟_溪桥医院食堂"/>
    <n v="93.6"/>
    <n v="0"/>
    <n v="93.6"/>
    <s v=""/>
    <s v=""/>
    <s v=""/>
    <s v=""/>
    <s v="通过"/>
  </r>
  <r>
    <s v="SIM-20260913-C006"/>
    <n v="8"/>
    <s v="C006"/>
    <x v="12"/>
    <s v="P015"/>
    <s v="公斤"/>
    <n v="1"/>
    <n v="1"/>
    <n v="0"/>
    <n v="7.2"/>
    <s v="正常交付"/>
    <s v="true"/>
    <s v="小葱"/>
    <s v="散装鲜菜"/>
    <s v="模拟_溪桥医院食堂"/>
    <n v="7.2"/>
    <n v="0"/>
    <n v="7.2"/>
    <s v=""/>
    <s v=""/>
    <s v=""/>
    <s v=""/>
    <s v="通过"/>
  </r>
  <r>
    <s v="SIM-20260914-C001"/>
    <n v="1"/>
    <s v="C001"/>
    <x v="13"/>
    <s v="P010"/>
    <s v="公斤"/>
    <n v="2"/>
    <n v="2"/>
    <n v="0"/>
    <n v="5"/>
    <s v="正常交付"/>
    <s v="true"/>
    <s v="空心菜"/>
    <s v="散装鲜菜"/>
    <s v="模拟_榕树下粉面店"/>
    <n v="10"/>
    <n v="0"/>
    <n v="10"/>
    <s v=""/>
    <s v=""/>
    <s v=""/>
    <s v=""/>
    <s v="通过"/>
  </r>
  <r>
    <s v="SIM-20260914-C001"/>
    <n v="2"/>
    <s v="C001"/>
    <x v="13"/>
    <s v="P014"/>
    <s v="公斤"/>
    <n v="3.9"/>
    <n v="3.9"/>
    <n v="0"/>
    <n v="5"/>
    <s v="正常交付"/>
    <s v="true"/>
    <s v="丝瓜"/>
    <s v="散装鲜菜"/>
    <s v="模拟_榕树下粉面店"/>
    <n v="19.5"/>
    <n v="0"/>
    <n v="19.5"/>
    <s v=""/>
    <s v=""/>
    <s v=""/>
    <s v=""/>
    <s v="通过"/>
  </r>
  <r>
    <s v="SIM-20260914-C001"/>
    <n v="3"/>
    <s v="C001"/>
    <x v="13"/>
    <s v="P003"/>
    <s v="公斤"/>
    <n v="3.7"/>
    <n v="3.2"/>
    <n v="0"/>
    <n v="2.9"/>
    <s v="到货不足；按实际交付计费"/>
    <s v="true"/>
    <s v="包菜"/>
    <s v="散装鲜菜"/>
    <s v="模拟_榕树下粉面店"/>
    <n v="9.2799999999999994"/>
    <n v="0"/>
    <n v="9.2799999999999994"/>
    <s v=""/>
    <s v=""/>
    <s v=""/>
    <s v=""/>
    <s v="通过"/>
  </r>
  <r>
    <s v="SIM-20260914-C001"/>
    <n v="4"/>
    <s v="C001"/>
    <x v="13"/>
    <s v="P004"/>
    <s v="公斤"/>
    <n v="3.7"/>
    <n v="3.7"/>
    <n v="0"/>
    <n v="2.7"/>
    <s v="正常交付"/>
    <s v="true"/>
    <s v="冬瓜"/>
    <s v="散装鲜菜"/>
    <s v="模拟_榕树下粉面店"/>
    <n v="9.99"/>
    <n v="0"/>
    <n v="9.99"/>
    <s v=""/>
    <s v=""/>
    <s v=""/>
    <s v=""/>
    <s v="通过"/>
  </r>
  <r>
    <s v="SIM-20260914-C003"/>
    <n v="1"/>
    <s v="C003"/>
    <x v="13"/>
    <s v="P012"/>
    <s v="公斤"/>
    <n v="6.5"/>
    <n v="6.5"/>
    <n v="0.2"/>
    <n v="5"/>
    <s v="正常交付；签收时挑出黄叶退回"/>
    <s v="true"/>
    <s v="小白菜"/>
    <s v="散装鲜菜"/>
    <s v="模拟_兴街快餐店"/>
    <n v="32.5"/>
    <n v="1"/>
    <n v="31.5"/>
    <s v=""/>
    <s v=""/>
    <s v=""/>
    <s v=""/>
    <s v="通过"/>
  </r>
  <r>
    <s v="SIM-20260914-C003"/>
    <n v="2"/>
    <s v="C003"/>
    <x v="13"/>
    <s v="P004"/>
    <s v="公斤"/>
    <n v="8"/>
    <n v="8"/>
    <n v="0"/>
    <n v="2.7"/>
    <s v="正常交付"/>
    <s v="true"/>
    <s v="冬瓜"/>
    <s v="散装鲜菜"/>
    <s v="模拟_兴街快餐店"/>
    <n v="21.6"/>
    <n v="0"/>
    <n v="21.6"/>
    <s v=""/>
    <s v=""/>
    <s v=""/>
    <s v=""/>
    <s v="通过"/>
  </r>
  <r>
    <s v="SIM-20260914-C003"/>
    <n v="3"/>
    <s v="C003"/>
    <x v="13"/>
    <s v="P014"/>
    <s v="公斤"/>
    <n v="7"/>
    <n v="7"/>
    <n v="0"/>
    <n v="5"/>
    <s v="正常交付"/>
    <s v="true"/>
    <s v="丝瓜"/>
    <s v="散装鲜菜"/>
    <s v="模拟_兴街快餐店"/>
    <n v="35"/>
    <n v="0"/>
    <n v="35"/>
    <s v=""/>
    <s v=""/>
    <s v=""/>
    <s v=""/>
    <s v="通过"/>
  </r>
  <r>
    <s v="SIM-20260914-C003"/>
    <n v="4"/>
    <s v="C003"/>
    <x v="13"/>
    <s v="P013"/>
    <s v="公斤"/>
    <n v="7.5"/>
    <n v="7.5"/>
    <n v="0"/>
    <n v="6"/>
    <s v="正常交付"/>
    <s v="true"/>
    <s v="豇豆"/>
    <s v="散装鲜菜"/>
    <s v="模拟_兴街快餐店"/>
    <n v="45"/>
    <n v="0"/>
    <n v="45"/>
    <s v=""/>
    <s v=""/>
    <s v=""/>
    <s v=""/>
    <s v="通过"/>
  </r>
  <r>
    <s v="SIM-20260914-C003"/>
    <n v="5"/>
    <s v="C003"/>
    <x v="13"/>
    <s v="P008"/>
    <s v="公斤"/>
    <n v="7.5"/>
    <n v="7.5"/>
    <n v="0"/>
    <n v="4.4000000000000004"/>
    <s v="正常交付"/>
    <s v="true"/>
    <s v="黄瓜"/>
    <s v="散装鲜菜"/>
    <s v="模拟_兴街快餐店"/>
    <n v="33"/>
    <n v="0"/>
    <n v="33"/>
    <s v=""/>
    <s v=""/>
    <s v=""/>
    <s v=""/>
    <s v="通过"/>
  </r>
  <r>
    <s v="SIM-20260914-C003"/>
    <n v="6"/>
    <s v="C003"/>
    <x v="13"/>
    <s v="P005"/>
    <s v="公斤"/>
    <n v="6"/>
    <n v="6"/>
    <n v="0"/>
    <n v="2.7"/>
    <s v="正常交付"/>
    <s v="true"/>
    <s v="南瓜"/>
    <s v="散装鲜菜"/>
    <s v="模拟_兴街快餐店"/>
    <n v="16.2"/>
    <n v="0"/>
    <n v="16.2"/>
    <s v=""/>
    <s v=""/>
    <s v=""/>
    <s v=""/>
    <s v="通过"/>
  </r>
  <r>
    <s v="SIM-20260914-C005"/>
    <n v="1"/>
    <s v="C005"/>
    <x v="13"/>
    <s v="P010"/>
    <s v="公斤"/>
    <n v="9.6999999999999993"/>
    <n v="9.6999999999999993"/>
    <n v="0"/>
    <n v="5"/>
    <s v="正常交付"/>
    <s v="true"/>
    <s v="空心菜"/>
    <s v="散装鲜菜"/>
    <s v="模拟_青禾小学食堂"/>
    <n v="48.5"/>
    <n v="0"/>
    <n v="48.5"/>
    <s v=""/>
    <s v=""/>
    <s v=""/>
    <s v=""/>
    <s v="通过"/>
  </r>
  <r>
    <s v="SIM-20260914-C005"/>
    <n v="2"/>
    <s v="C005"/>
    <x v="13"/>
    <s v="P004"/>
    <s v="公斤"/>
    <n v="12.1"/>
    <n v="12.1"/>
    <n v="0"/>
    <n v="2.7"/>
    <s v="正常交付"/>
    <s v="true"/>
    <s v="冬瓜"/>
    <s v="散装鲜菜"/>
    <s v="模拟_青禾小学食堂"/>
    <n v="32.67"/>
    <n v="0"/>
    <n v="32.67"/>
    <s v=""/>
    <s v=""/>
    <s v=""/>
    <s v=""/>
    <s v="通过"/>
  </r>
  <r>
    <s v="SIM-20260914-C005"/>
    <n v="3"/>
    <s v="C005"/>
    <x v="13"/>
    <s v="P001"/>
    <s v="公斤"/>
    <n v="7.3"/>
    <n v="7.3"/>
    <n v="0"/>
    <n v="3.3"/>
    <s v="正常交付"/>
    <s v="true"/>
    <s v="土豆"/>
    <s v="散装鲜菜"/>
    <s v="模拟_青禾小学食堂"/>
    <n v="24.09"/>
    <n v="0"/>
    <n v="24.09"/>
    <s v=""/>
    <s v=""/>
    <s v=""/>
    <s v=""/>
    <s v="通过"/>
  </r>
  <r>
    <s v="SIM-20260914-C005"/>
    <n v="4"/>
    <s v="C005"/>
    <x v="13"/>
    <s v="P008"/>
    <s v="公斤"/>
    <n v="7.3"/>
    <n v="7.3"/>
    <n v="0"/>
    <n v="4.4000000000000004"/>
    <s v="正常交付"/>
    <s v="true"/>
    <s v="黄瓜"/>
    <s v="散装鲜菜"/>
    <s v="模拟_青禾小学食堂"/>
    <n v="32.119999999999997"/>
    <n v="0"/>
    <n v="32.119999999999997"/>
    <s v=""/>
    <s v=""/>
    <s v=""/>
    <s v=""/>
    <s v="通过"/>
  </r>
  <r>
    <s v="SIM-20260914-C005"/>
    <n v="5"/>
    <s v="C005"/>
    <x v="13"/>
    <s v="P014"/>
    <s v="公斤"/>
    <n v="9.6999999999999993"/>
    <n v="9.6999999999999993"/>
    <n v="0"/>
    <n v="5"/>
    <s v="正常交付"/>
    <s v="true"/>
    <s v="丝瓜"/>
    <s v="散装鲜菜"/>
    <s v="模拟_青禾小学食堂"/>
    <n v="48.5"/>
    <n v="0"/>
    <n v="48.5"/>
    <s v=""/>
    <s v=""/>
    <s v=""/>
    <s v=""/>
    <s v="通过"/>
  </r>
  <r>
    <s v="SIM-20260914-C005"/>
    <n v="6"/>
    <s v="C005"/>
    <x v="13"/>
    <s v="P003"/>
    <s v="公斤"/>
    <n v="10.5"/>
    <n v="10.5"/>
    <n v="0"/>
    <n v="2.9"/>
    <s v="正常交付"/>
    <s v="true"/>
    <s v="包菜"/>
    <s v="散装鲜菜"/>
    <s v="模拟_青禾小学食堂"/>
    <n v="30.45"/>
    <n v="0"/>
    <n v="30.45"/>
    <s v=""/>
    <s v=""/>
    <s v=""/>
    <s v=""/>
    <s v="通过"/>
  </r>
  <r>
    <s v="SIM-20260914-C005"/>
    <n v="7"/>
    <s v="C005"/>
    <x v="13"/>
    <s v="P015"/>
    <s v="公斤"/>
    <n v="1"/>
    <n v="1"/>
    <n v="0"/>
    <n v="7.2"/>
    <s v="正常交付"/>
    <s v="true"/>
    <s v="小葱"/>
    <s v="散装鲜菜"/>
    <s v="模拟_青禾小学食堂"/>
    <n v="7.2"/>
    <n v="0"/>
    <n v="7.2"/>
    <s v=""/>
    <s v=""/>
    <s v=""/>
    <s v=""/>
    <s v="通过"/>
  </r>
  <r>
    <s v="SIM-20260914-C006"/>
    <n v="1"/>
    <s v="C006"/>
    <x v="13"/>
    <s v="P010"/>
    <s v="公斤"/>
    <n v="6.5"/>
    <n v="6.5"/>
    <n v="0"/>
    <n v="5"/>
    <s v="正常交付"/>
    <s v="true"/>
    <s v="空心菜"/>
    <s v="散装鲜菜"/>
    <s v="模拟_溪桥医院食堂"/>
    <n v="32.5"/>
    <n v="0"/>
    <n v="32.5"/>
    <s v=""/>
    <s v=""/>
    <s v=""/>
    <s v=""/>
    <s v="通过"/>
  </r>
  <r>
    <s v="SIM-20260914-C006"/>
    <n v="2"/>
    <s v="C006"/>
    <x v="13"/>
    <s v="P008"/>
    <s v="公斤"/>
    <n v="9.5"/>
    <n v="9.5"/>
    <n v="0"/>
    <n v="4.4000000000000004"/>
    <s v="正常交付"/>
    <s v="true"/>
    <s v="黄瓜"/>
    <s v="散装鲜菜"/>
    <s v="模拟_溪桥医院食堂"/>
    <n v="41.8"/>
    <n v="0"/>
    <n v="41.8"/>
    <s v=""/>
    <s v=""/>
    <s v=""/>
    <s v=""/>
    <s v="通过"/>
  </r>
  <r>
    <s v="SIM-20260914-C006"/>
    <n v="3"/>
    <s v="C006"/>
    <x v="13"/>
    <s v="P014"/>
    <s v="公斤"/>
    <n v="7.7"/>
    <n v="7.5"/>
    <n v="0"/>
    <n v="5"/>
    <s v="到货不足；按实际交付计费"/>
    <s v="true"/>
    <s v="丝瓜"/>
    <s v="散装鲜菜"/>
    <s v="模拟_溪桥医院食堂"/>
    <n v="37.5"/>
    <n v="0"/>
    <n v="37.5"/>
    <s v=""/>
    <s v=""/>
    <s v=""/>
    <s v=""/>
    <s v="通过"/>
  </r>
  <r>
    <s v="SIM-20260914-C006"/>
    <n v="4"/>
    <s v="C006"/>
    <x v="13"/>
    <s v="P004"/>
    <s v="公斤"/>
    <n v="8.3000000000000007"/>
    <n v="8.3000000000000007"/>
    <n v="0"/>
    <n v="2.7"/>
    <s v="正常交付"/>
    <s v="true"/>
    <s v="冬瓜"/>
    <s v="散装鲜菜"/>
    <s v="模拟_溪桥医院食堂"/>
    <n v="22.41"/>
    <n v="0"/>
    <n v="22.41"/>
    <s v=""/>
    <s v=""/>
    <s v=""/>
    <s v=""/>
    <s v="通过"/>
  </r>
  <r>
    <s v="SIM-20260914-C006"/>
    <n v="5"/>
    <s v="C006"/>
    <x v="13"/>
    <s v="P013"/>
    <s v="公斤"/>
    <n v="5.3"/>
    <n v="5.3"/>
    <n v="0"/>
    <n v="6"/>
    <s v="正常交付"/>
    <s v="true"/>
    <s v="豇豆"/>
    <s v="散装鲜菜"/>
    <s v="模拟_溪桥医院食堂"/>
    <n v="31.8"/>
    <n v="0"/>
    <n v="31.8"/>
    <s v=""/>
    <s v=""/>
    <s v=""/>
    <s v=""/>
    <s v="通过"/>
  </r>
  <r>
    <s v="SIM-20260914-C006"/>
    <n v="6"/>
    <s v="C006"/>
    <x v="13"/>
    <s v="P001"/>
    <s v="公斤"/>
    <n v="7.7"/>
    <n v="7.7"/>
    <n v="0"/>
    <n v="3.3"/>
    <s v="正常交付"/>
    <s v="true"/>
    <s v="土豆"/>
    <s v="散装鲜菜"/>
    <s v="模拟_溪桥医院食堂"/>
    <n v="25.41"/>
    <n v="0"/>
    <n v="25.41"/>
    <s v=""/>
    <s v=""/>
    <s v=""/>
    <s v=""/>
    <s v="通过"/>
  </r>
  <r>
    <s v="SIM-20260915-C001"/>
    <n v="1"/>
    <s v="C001"/>
    <x v="14"/>
    <s v="P010"/>
    <s v="公斤"/>
    <n v="3.2"/>
    <n v="3.2"/>
    <n v="0"/>
    <n v="4.5"/>
    <s v="正常交付"/>
    <s v="true"/>
    <s v="空心菜"/>
    <s v="散装鲜菜"/>
    <s v="模拟_榕树下粉面店"/>
    <n v="14.4"/>
    <n v="0"/>
    <n v="14.4"/>
    <s v=""/>
    <s v=""/>
    <s v=""/>
    <s v=""/>
    <s v="通过"/>
  </r>
  <r>
    <s v="SIM-20260915-C001"/>
    <n v="2"/>
    <s v="C001"/>
    <x v="14"/>
    <s v="P001"/>
    <s v="公斤"/>
    <n v="2.1"/>
    <n v="2.1"/>
    <n v="0"/>
    <n v="3.4"/>
    <s v="正常交付"/>
    <s v="true"/>
    <s v="土豆"/>
    <s v="散装鲜菜"/>
    <s v="模拟_榕树下粉面店"/>
    <n v="7.14"/>
    <n v="0"/>
    <n v="7.14"/>
    <s v=""/>
    <s v=""/>
    <s v=""/>
    <s v=""/>
    <s v="通过"/>
  </r>
  <r>
    <s v="SIM-20260915-C001"/>
    <n v="3"/>
    <s v="C001"/>
    <x v="14"/>
    <s v="P005"/>
    <s v="公斤"/>
    <n v="2.6"/>
    <n v="2.6"/>
    <n v="0"/>
    <n v="3.2"/>
    <s v="正常交付"/>
    <s v="true"/>
    <s v="南瓜"/>
    <s v="散装鲜菜"/>
    <s v="模拟_榕树下粉面店"/>
    <n v="8.32"/>
    <n v="0"/>
    <n v="8.32"/>
    <s v=""/>
    <s v=""/>
    <s v=""/>
    <s v=""/>
    <s v="通过"/>
  </r>
  <r>
    <s v="SIM-20260915-C001"/>
    <n v="4"/>
    <s v="C001"/>
    <x v="14"/>
    <s v="P006"/>
    <s v="公斤"/>
    <n v="2.6"/>
    <n v="2.6"/>
    <n v="0"/>
    <n v="4.8"/>
    <s v="正常交付"/>
    <s v="true"/>
    <s v="茄子"/>
    <s v="散装鲜菜"/>
    <s v="模拟_榕树下粉面店"/>
    <n v="12.48"/>
    <n v="0"/>
    <n v="12.48"/>
    <s v=""/>
    <s v=""/>
    <s v=""/>
    <s v=""/>
    <s v="通过"/>
  </r>
  <r>
    <s v="SIM-20260915-C001"/>
    <n v="5"/>
    <s v="C001"/>
    <x v="14"/>
    <s v="P016"/>
    <s v="公斤"/>
    <n v="3"/>
    <n v="3"/>
    <n v="0"/>
    <n v="10.199999999999999"/>
    <s v="正常交付"/>
    <s v="true"/>
    <s v="鸡蛋"/>
    <s v="普通鲜鸡蛋按净重"/>
    <s v="模拟_榕树下粉面店"/>
    <n v="30.6"/>
    <n v="0"/>
    <n v="30.6"/>
    <s v=""/>
    <s v=""/>
    <s v=""/>
    <s v=""/>
    <s v="通过"/>
  </r>
  <r>
    <s v="SIM-20260915-C001"/>
    <n v="6"/>
    <s v="C001"/>
    <x v="14"/>
    <s v="P015"/>
    <s v="公斤"/>
    <n v="0.5"/>
    <n v="0.5"/>
    <n v="0"/>
    <n v="7.3"/>
    <s v="正常交付"/>
    <s v="true"/>
    <s v="小葱"/>
    <s v="散装鲜菜"/>
    <s v="模拟_榕树下粉面店"/>
    <n v="3.65"/>
    <n v="0"/>
    <n v="3.65"/>
    <s v=""/>
    <s v=""/>
    <s v=""/>
    <s v=""/>
    <s v="通过"/>
  </r>
  <r>
    <s v="SIM-20260915-C002"/>
    <n v="1"/>
    <s v="C002"/>
    <x v="14"/>
    <s v="P012"/>
    <s v="公斤"/>
    <n v="5"/>
    <n v="5"/>
    <n v="0"/>
    <n v="5.2"/>
    <s v="正常交付"/>
    <s v="true"/>
    <s v="小白菜"/>
    <s v="散装鲜菜"/>
    <s v="模拟_桥头家常菜馆"/>
    <n v="26"/>
    <n v="0"/>
    <n v="26"/>
    <s v=""/>
    <s v=""/>
    <s v=""/>
    <s v=""/>
    <s v="通过"/>
  </r>
  <r>
    <s v="SIM-20260915-C002"/>
    <n v="2"/>
    <s v="C002"/>
    <x v="14"/>
    <s v="P009"/>
    <s v="公斤"/>
    <n v="7.2"/>
    <n v="7.2"/>
    <n v="0"/>
    <n v="4.8"/>
    <s v="正常交付"/>
    <s v="true"/>
    <s v="西红柿"/>
    <s v="散装鲜菜"/>
    <s v="模拟_桥头家常菜馆"/>
    <n v="34.56"/>
    <n v="0"/>
    <n v="34.56"/>
    <s v=""/>
    <s v=""/>
    <s v=""/>
    <s v=""/>
    <s v="通过"/>
  </r>
  <r>
    <s v="SIM-20260915-C002"/>
    <n v="3"/>
    <s v="C002"/>
    <x v="14"/>
    <s v="P013"/>
    <s v="公斤"/>
    <n v="3.9"/>
    <n v="3.9"/>
    <n v="0"/>
    <n v="6"/>
    <s v="正常交付"/>
    <s v="true"/>
    <s v="豇豆"/>
    <s v="散装鲜菜"/>
    <s v="模拟_桥头家常菜馆"/>
    <n v="23.4"/>
    <n v="0"/>
    <n v="23.4"/>
    <s v=""/>
    <s v=""/>
    <s v=""/>
    <s v=""/>
    <s v="通过"/>
  </r>
  <r>
    <s v="SIM-20260915-C002"/>
    <n v="4"/>
    <s v="C002"/>
    <x v="14"/>
    <s v="P007"/>
    <s v="公斤"/>
    <n v="8.9"/>
    <n v="8.9"/>
    <n v="0"/>
    <n v="5.25"/>
    <s v="正常交付"/>
    <s v="true"/>
    <s v="青椒"/>
    <s v="散装鲜菜"/>
    <s v="模拟_桥头家常菜馆"/>
    <n v="46.73"/>
    <n v="0"/>
    <n v="46.73"/>
    <s v=""/>
    <s v=""/>
    <s v=""/>
    <s v=""/>
    <s v="通过"/>
  </r>
  <r>
    <s v="SIM-20260915-C002"/>
    <n v="5"/>
    <s v="C002"/>
    <x v="14"/>
    <s v="P003"/>
    <s v="公斤"/>
    <n v="5.5"/>
    <n v="5.5"/>
    <n v="0"/>
    <n v="3.5"/>
    <s v="正常交付"/>
    <s v="true"/>
    <s v="包菜"/>
    <s v="散装鲜菜"/>
    <s v="模拟_桥头家常菜馆"/>
    <n v="19.25"/>
    <n v="0"/>
    <n v="19.25"/>
    <s v=""/>
    <s v=""/>
    <s v=""/>
    <s v=""/>
    <s v="通过"/>
  </r>
  <r>
    <s v="SIM-20260915-C002"/>
    <n v="6"/>
    <s v="C002"/>
    <x v="14"/>
    <s v="P016"/>
    <s v="公斤"/>
    <n v="4"/>
    <n v="4"/>
    <n v="0"/>
    <n v="10.199999999999999"/>
    <s v="正常交付"/>
    <s v="true"/>
    <s v="鸡蛋"/>
    <s v="普通鲜鸡蛋按净重"/>
    <s v="模拟_桥头家常菜馆"/>
    <n v="40.799999999999997"/>
    <n v="0"/>
    <n v="40.799999999999997"/>
    <s v=""/>
    <s v=""/>
    <s v=""/>
    <s v=""/>
    <s v="通过"/>
  </r>
  <r>
    <s v="SIM-20260915-C002"/>
    <n v="7"/>
    <s v="C002"/>
    <x v="14"/>
    <s v="P015"/>
    <s v="公斤"/>
    <n v="1"/>
    <n v="1"/>
    <n v="0"/>
    <n v="7.3"/>
    <s v="正常交付"/>
    <s v="true"/>
    <s v="小葱"/>
    <s v="散装鲜菜"/>
    <s v="模拟_桥头家常菜馆"/>
    <n v="7.3"/>
    <n v="0"/>
    <n v="7.3"/>
    <s v=""/>
    <s v=""/>
    <s v=""/>
    <s v=""/>
    <s v="通过"/>
  </r>
  <r>
    <s v="SIM-20260915-C003"/>
    <n v="1"/>
    <s v="C003"/>
    <x v="14"/>
    <s v="P012"/>
    <s v="公斤"/>
    <n v="4.9000000000000004"/>
    <n v="4.9000000000000004"/>
    <n v="0"/>
    <n v="5.2"/>
    <s v="正常交付"/>
    <s v="true"/>
    <s v="小白菜"/>
    <s v="散装鲜菜"/>
    <s v="模拟_兴街快餐店"/>
    <n v="25.48"/>
    <n v="0"/>
    <n v="25.48"/>
    <s v=""/>
    <s v=""/>
    <s v=""/>
    <s v=""/>
    <s v="通过"/>
  </r>
  <r>
    <s v="SIM-20260915-C003"/>
    <n v="2"/>
    <s v="C003"/>
    <x v="14"/>
    <s v="P001"/>
    <s v="公斤"/>
    <n v="6.7"/>
    <n v="6.7"/>
    <n v="0"/>
    <n v="3.4"/>
    <s v="正常交付"/>
    <s v="true"/>
    <s v="土豆"/>
    <s v="散装鲜菜"/>
    <s v="模拟_兴街快餐店"/>
    <n v="22.78"/>
    <n v="0"/>
    <n v="22.78"/>
    <s v=""/>
    <s v=""/>
    <s v=""/>
    <s v=""/>
    <s v="通过"/>
  </r>
  <r>
    <s v="SIM-20260915-C003"/>
    <n v="3"/>
    <s v="C003"/>
    <x v="14"/>
    <s v="P013"/>
    <s v="公斤"/>
    <n v="7.3"/>
    <n v="7.3"/>
    <n v="0"/>
    <n v="6"/>
    <s v="正常交付"/>
    <s v="true"/>
    <s v="豇豆"/>
    <s v="散装鲜菜"/>
    <s v="模拟_兴街快餐店"/>
    <n v="43.8"/>
    <n v="0"/>
    <n v="43.8"/>
    <s v=""/>
    <s v=""/>
    <s v=""/>
    <s v=""/>
    <s v="通过"/>
  </r>
  <r>
    <s v="SIM-20260915-C003"/>
    <n v="4"/>
    <s v="C003"/>
    <x v="14"/>
    <s v="P008"/>
    <s v="公斤"/>
    <n v="7.3"/>
    <n v="7.3"/>
    <n v="0"/>
    <n v="4.4000000000000004"/>
    <s v="正常交付"/>
    <s v="true"/>
    <s v="黄瓜"/>
    <s v="散装鲜菜"/>
    <s v="模拟_兴街快餐店"/>
    <n v="32.119999999999997"/>
    <n v="0"/>
    <n v="32.119999999999997"/>
    <s v=""/>
    <s v=""/>
    <s v=""/>
    <s v=""/>
    <s v="通过"/>
  </r>
  <r>
    <s v="SIM-20260915-C003"/>
    <n v="5"/>
    <s v="C003"/>
    <x v="14"/>
    <s v="P004"/>
    <s v="公斤"/>
    <n v="9.6999999999999993"/>
    <n v="9.6999999999999993"/>
    <n v="0"/>
    <n v="2.6"/>
    <s v="正常交付"/>
    <s v="true"/>
    <s v="冬瓜"/>
    <s v="散装鲜菜"/>
    <s v="模拟_兴街快餐店"/>
    <n v="25.22"/>
    <n v="0"/>
    <n v="25.22"/>
    <s v=""/>
    <s v=""/>
    <s v=""/>
    <s v=""/>
    <s v="通过"/>
  </r>
  <r>
    <s v="SIM-20260915-C003"/>
    <n v="6"/>
    <s v="C003"/>
    <x v="14"/>
    <s v="P003"/>
    <s v="公斤"/>
    <n v="7.3"/>
    <n v="7.3"/>
    <n v="0"/>
    <n v="3.5"/>
    <s v="正常交付"/>
    <s v="true"/>
    <s v="包菜"/>
    <s v="散装鲜菜"/>
    <s v="模拟_兴街快餐店"/>
    <n v="25.55"/>
    <n v="0"/>
    <n v="25.55"/>
    <s v=""/>
    <s v=""/>
    <s v=""/>
    <s v=""/>
    <s v="通过"/>
  </r>
  <r>
    <s v="SIM-20260915-C003"/>
    <n v="7"/>
    <s v="C003"/>
    <x v="14"/>
    <s v="P016"/>
    <s v="公斤"/>
    <n v="6"/>
    <n v="6"/>
    <n v="0"/>
    <n v="10.199999999999999"/>
    <s v="正常交付"/>
    <s v="true"/>
    <s v="鸡蛋"/>
    <s v="普通鲜鸡蛋按净重"/>
    <s v="模拟_兴街快餐店"/>
    <n v="61.2"/>
    <n v="0"/>
    <n v="61.2"/>
    <s v=""/>
    <s v=""/>
    <s v=""/>
    <s v=""/>
    <s v="通过"/>
  </r>
  <r>
    <s v="SIM-20260915-C003"/>
    <n v="8"/>
    <s v="C003"/>
    <x v="14"/>
    <s v="P015"/>
    <s v="公斤"/>
    <n v="1"/>
    <n v="1"/>
    <n v="0"/>
    <n v="7.3"/>
    <s v="正常交付"/>
    <s v="true"/>
    <s v="小葱"/>
    <s v="散装鲜菜"/>
    <s v="模拟_兴街快餐店"/>
    <n v="7.3"/>
    <n v="0"/>
    <n v="7.3"/>
    <s v=""/>
    <s v=""/>
    <s v=""/>
    <s v=""/>
    <s v="通过"/>
  </r>
  <r>
    <s v="SIM-20260915-C004"/>
    <n v="1"/>
    <s v="C004"/>
    <x v="14"/>
    <s v="P011"/>
    <s v="公斤"/>
    <n v="4.5"/>
    <n v="4.5"/>
    <n v="0"/>
    <n v="4.3"/>
    <s v="正常交付"/>
    <s v="true"/>
    <s v="红薯叶"/>
    <s v="散装鲜菜"/>
    <s v="模拟_田畔饭店"/>
    <n v="19.350000000000001"/>
    <n v="0"/>
    <n v="19.350000000000001"/>
    <s v=""/>
    <s v=""/>
    <s v=""/>
    <s v=""/>
    <s v="通过"/>
  </r>
  <r>
    <s v="SIM-20260915-C004"/>
    <n v="2"/>
    <s v="C004"/>
    <x v="14"/>
    <s v="P007"/>
    <s v="公斤"/>
    <n v="7.8"/>
    <n v="7.8"/>
    <n v="0"/>
    <n v="5.25"/>
    <s v="正常交付"/>
    <s v="true"/>
    <s v="青椒"/>
    <s v="散装鲜菜"/>
    <s v="模拟_田畔饭店"/>
    <n v="40.950000000000003"/>
    <n v="0"/>
    <n v="40.950000000000003"/>
    <s v=""/>
    <s v=""/>
    <s v=""/>
    <s v=""/>
    <s v="通过"/>
  </r>
  <r>
    <s v="SIM-20260915-C004"/>
    <n v="3"/>
    <s v="C004"/>
    <x v="14"/>
    <s v="P001"/>
    <s v="公斤"/>
    <n v="9"/>
    <n v="9"/>
    <n v="0"/>
    <n v="3.4"/>
    <s v="正常交付"/>
    <s v="true"/>
    <s v="土豆"/>
    <s v="散装鲜菜"/>
    <s v="模拟_田畔饭店"/>
    <n v="30.6"/>
    <n v="0"/>
    <n v="30.6"/>
    <s v=""/>
    <s v=""/>
    <s v=""/>
    <s v=""/>
    <s v="通过"/>
  </r>
  <r>
    <s v="SIM-20260915-C004"/>
    <n v="4"/>
    <s v="C004"/>
    <x v="14"/>
    <s v="P014"/>
    <s v="公斤"/>
    <n v="5.6"/>
    <n v="5.6"/>
    <n v="0"/>
    <n v="5"/>
    <s v="正常交付"/>
    <s v="true"/>
    <s v="丝瓜"/>
    <s v="散装鲜菜"/>
    <s v="模拟_田畔饭店"/>
    <n v="28"/>
    <n v="0"/>
    <n v="28"/>
    <s v=""/>
    <s v=""/>
    <s v=""/>
    <s v=""/>
    <s v="通过"/>
  </r>
  <r>
    <s v="SIM-20260915-C004"/>
    <n v="5"/>
    <s v="C004"/>
    <x v="14"/>
    <s v="P006"/>
    <s v="公斤"/>
    <n v="7.3"/>
    <n v="7.3"/>
    <n v="0"/>
    <n v="4.8"/>
    <s v="正常交付"/>
    <s v="true"/>
    <s v="茄子"/>
    <s v="散装鲜菜"/>
    <s v="模拟_田畔饭店"/>
    <n v="35.04"/>
    <n v="0"/>
    <n v="35.04"/>
    <s v=""/>
    <s v=""/>
    <s v=""/>
    <s v=""/>
    <s v="通过"/>
  </r>
  <r>
    <s v="SIM-20260915-C004"/>
    <n v="6"/>
    <s v="C004"/>
    <x v="14"/>
    <s v="P003"/>
    <s v="公斤"/>
    <n v="8.4"/>
    <n v="8.4"/>
    <n v="0"/>
    <n v="3.5"/>
    <s v="正常交付"/>
    <s v="true"/>
    <s v="包菜"/>
    <s v="散装鲜菜"/>
    <s v="模拟_田畔饭店"/>
    <n v="29.4"/>
    <n v="0"/>
    <n v="29.4"/>
    <s v=""/>
    <s v=""/>
    <s v=""/>
    <s v=""/>
    <s v="通过"/>
  </r>
  <r>
    <s v="SIM-20260915-C004"/>
    <n v="7"/>
    <s v="C004"/>
    <x v="14"/>
    <s v="P016"/>
    <s v="公斤"/>
    <n v="5"/>
    <n v="5"/>
    <n v="0"/>
    <n v="10.199999999999999"/>
    <s v="正常交付"/>
    <s v="true"/>
    <s v="鸡蛋"/>
    <s v="普通鲜鸡蛋按净重"/>
    <s v="模拟_田畔饭店"/>
    <n v="51"/>
    <n v="0"/>
    <n v="51"/>
    <s v=""/>
    <s v=""/>
    <s v=""/>
    <s v=""/>
    <s v="通过"/>
  </r>
  <r>
    <s v="SIM-20260915-C004"/>
    <n v="8"/>
    <s v="C004"/>
    <x v="14"/>
    <s v="P015"/>
    <s v="公斤"/>
    <n v="1"/>
    <n v="1"/>
    <n v="0"/>
    <n v="7.3"/>
    <s v="正常交付"/>
    <s v="true"/>
    <s v="小葱"/>
    <s v="散装鲜菜"/>
    <s v="模拟_田畔饭店"/>
    <n v="7.3"/>
    <n v="0"/>
    <n v="7.3"/>
    <s v=""/>
    <s v=""/>
    <s v=""/>
    <s v=""/>
    <s v="通过"/>
  </r>
  <r>
    <s v="SIM-20260915-C005"/>
    <n v="1"/>
    <s v="C005"/>
    <x v="14"/>
    <s v="P012"/>
    <s v="公斤"/>
    <n v="8.4"/>
    <n v="8.4"/>
    <n v="0"/>
    <n v="5.2"/>
    <s v="正常交付"/>
    <s v="true"/>
    <s v="小白菜"/>
    <s v="散装鲜菜"/>
    <s v="模拟_青禾小学食堂"/>
    <n v="43.68"/>
    <n v="0"/>
    <n v="43.68"/>
    <s v=""/>
    <s v=""/>
    <s v=""/>
    <s v=""/>
    <s v="通过"/>
  </r>
  <r>
    <s v="SIM-20260915-C005"/>
    <n v="2"/>
    <s v="C005"/>
    <x v="14"/>
    <s v="P014"/>
    <s v="公斤"/>
    <n v="8.4"/>
    <n v="8.4"/>
    <n v="0"/>
    <n v="5"/>
    <s v="正常交付"/>
    <s v="true"/>
    <s v="丝瓜"/>
    <s v="散装鲜菜"/>
    <s v="模拟_青禾小学食堂"/>
    <n v="42"/>
    <n v="0"/>
    <n v="42"/>
    <s v=""/>
    <s v=""/>
    <s v=""/>
    <s v=""/>
    <s v="通过"/>
  </r>
  <r>
    <s v="SIM-20260915-C005"/>
    <n v="3"/>
    <s v="C005"/>
    <x v="14"/>
    <s v="P006"/>
    <s v="公斤"/>
    <n v="15.8"/>
    <n v="15.8"/>
    <n v="0"/>
    <n v="4.8"/>
    <s v="正常交付"/>
    <s v="true"/>
    <s v="茄子"/>
    <s v="散装鲜菜"/>
    <s v="模拟_青禾小学食堂"/>
    <n v="75.84"/>
    <n v="0"/>
    <n v="75.84"/>
    <s v=""/>
    <s v=""/>
    <s v=""/>
    <s v=""/>
    <s v="通过"/>
  </r>
  <r>
    <s v="SIM-20260915-C005"/>
    <n v="4"/>
    <s v="C005"/>
    <x v="14"/>
    <s v="P001"/>
    <s v="公斤"/>
    <n v="7.4"/>
    <n v="7.4"/>
    <n v="0"/>
    <n v="3.4"/>
    <s v="正常交付"/>
    <s v="true"/>
    <s v="土豆"/>
    <s v="散装鲜菜"/>
    <s v="模拟_青禾小学食堂"/>
    <n v="25.16"/>
    <n v="0"/>
    <n v="25.16"/>
    <s v=""/>
    <s v=""/>
    <s v=""/>
    <s v=""/>
    <s v="通过"/>
  </r>
  <r>
    <s v="SIM-20260915-C005"/>
    <n v="5"/>
    <s v="C005"/>
    <x v="14"/>
    <s v="P004"/>
    <s v="公斤"/>
    <n v="11.6"/>
    <n v="11.6"/>
    <n v="0"/>
    <n v="2.6"/>
    <s v="正常交付"/>
    <s v="true"/>
    <s v="冬瓜"/>
    <s v="散装鲜菜"/>
    <s v="模拟_青禾小学食堂"/>
    <n v="30.16"/>
    <n v="0"/>
    <n v="30.16"/>
    <s v=""/>
    <s v=""/>
    <s v=""/>
    <s v=""/>
    <s v="通过"/>
  </r>
  <r>
    <s v="SIM-20260915-C005"/>
    <n v="6"/>
    <s v="C005"/>
    <x v="14"/>
    <s v="P002"/>
    <s v="公斤"/>
    <n v="13.7"/>
    <n v="13.7"/>
    <n v="0"/>
    <n v="2.7"/>
    <s v="正常交付"/>
    <s v="true"/>
    <s v="白萝卜"/>
    <s v="散装鲜菜"/>
    <s v="模拟_青禾小学食堂"/>
    <n v="36.99"/>
    <n v="0"/>
    <n v="36.99"/>
    <s v=""/>
    <s v=""/>
    <s v=""/>
    <s v=""/>
    <s v="通过"/>
  </r>
  <r>
    <s v="SIM-20260915-C005"/>
    <n v="7"/>
    <s v="C005"/>
    <x v="14"/>
    <s v="P016"/>
    <s v="公斤"/>
    <n v="12"/>
    <n v="12"/>
    <n v="0"/>
    <n v="10.199999999999999"/>
    <s v="正常交付"/>
    <s v="true"/>
    <s v="鸡蛋"/>
    <s v="普通鲜鸡蛋按净重"/>
    <s v="模拟_青禾小学食堂"/>
    <n v="122.4"/>
    <n v="0"/>
    <n v="122.4"/>
    <s v=""/>
    <s v=""/>
    <s v=""/>
    <s v=""/>
    <s v="通过"/>
  </r>
  <r>
    <s v="SIM-20260915-C005"/>
    <n v="8"/>
    <s v="C005"/>
    <x v="14"/>
    <s v="P017"/>
    <s v="袋"/>
    <n v="6"/>
    <n v="6"/>
    <n v="0"/>
    <n v="119"/>
    <s v="正常交付"/>
    <s v="true"/>
    <s v="籼米"/>
    <s v="25公斤/袋普通籼米"/>
    <s v="模拟_青禾小学食堂"/>
    <n v="714"/>
    <n v="0"/>
    <n v="714"/>
    <s v=""/>
    <s v=""/>
    <s v=""/>
    <s v=""/>
    <s v="通过"/>
  </r>
  <r>
    <s v="SIM-20260915-C005"/>
    <n v="9"/>
    <s v="C005"/>
    <x v="14"/>
    <s v="P020"/>
    <s v="桶"/>
    <n v="2"/>
    <n v="2"/>
    <n v="0"/>
    <n v="55"/>
    <s v="正常交付"/>
    <s v="true"/>
    <s v="大豆油"/>
    <s v="5升/桶普通大豆油"/>
    <s v="模拟_青禾小学食堂"/>
    <n v="110"/>
    <n v="0"/>
    <n v="110"/>
    <s v=""/>
    <s v=""/>
    <s v=""/>
    <s v=""/>
    <s v="通过"/>
  </r>
  <r>
    <s v="SIM-20260915-C006"/>
    <n v="1"/>
    <s v="C006"/>
    <x v="14"/>
    <s v="P011"/>
    <s v="公斤"/>
    <n v="9.5"/>
    <n v="9.5"/>
    <n v="0"/>
    <n v="4.3"/>
    <s v="正常交付"/>
    <s v="true"/>
    <s v="红薯叶"/>
    <s v="散装鲜菜"/>
    <s v="模拟_溪桥医院食堂"/>
    <n v="40.85"/>
    <n v="0"/>
    <n v="40.85"/>
    <s v=""/>
    <s v=""/>
    <s v=""/>
    <s v=""/>
    <s v="通过"/>
  </r>
  <r>
    <s v="SIM-20260915-C006"/>
    <n v="2"/>
    <s v="C006"/>
    <x v="14"/>
    <s v="P005"/>
    <s v="公斤"/>
    <n v="5.8"/>
    <n v="5.8"/>
    <n v="0"/>
    <n v="3.2"/>
    <s v="正常交付"/>
    <s v="true"/>
    <s v="南瓜"/>
    <s v="散装鲜菜"/>
    <s v="模拟_溪桥医院食堂"/>
    <n v="18.559999999999999"/>
    <n v="0"/>
    <n v="18.559999999999999"/>
    <s v=""/>
    <s v=""/>
    <s v=""/>
    <s v=""/>
    <s v="通过"/>
  </r>
  <r>
    <s v="SIM-20260915-C006"/>
    <n v="3"/>
    <s v="C006"/>
    <x v="14"/>
    <s v="P014"/>
    <s v="公斤"/>
    <n v="8.8000000000000007"/>
    <n v="8.8000000000000007"/>
    <n v="0"/>
    <n v="5"/>
    <s v="正常交付"/>
    <s v="true"/>
    <s v="丝瓜"/>
    <s v="散装鲜菜"/>
    <s v="模拟_溪桥医院食堂"/>
    <n v="44"/>
    <n v="0"/>
    <n v="44"/>
    <s v=""/>
    <s v=""/>
    <s v=""/>
    <s v=""/>
    <s v="通过"/>
  </r>
  <r>
    <s v="SIM-20260915-C006"/>
    <n v="4"/>
    <s v="C006"/>
    <x v="14"/>
    <s v="P013"/>
    <s v="公斤"/>
    <n v="5.8"/>
    <n v="5.8"/>
    <n v="0"/>
    <n v="6"/>
    <s v="正常交付"/>
    <s v="true"/>
    <s v="豇豆"/>
    <s v="散装鲜菜"/>
    <s v="模拟_溪桥医院食堂"/>
    <n v="34.799999999999997"/>
    <n v="0"/>
    <n v="34.799999999999997"/>
    <s v=""/>
    <s v=""/>
    <s v=""/>
    <s v=""/>
    <s v="通过"/>
  </r>
  <r>
    <s v="SIM-20260915-C006"/>
    <n v="5"/>
    <s v="C006"/>
    <x v="14"/>
    <s v="P001"/>
    <s v="公斤"/>
    <n v="11.7"/>
    <n v="11.7"/>
    <n v="0"/>
    <n v="3.4"/>
    <s v="正常交付"/>
    <s v="true"/>
    <s v="土豆"/>
    <s v="散装鲜菜"/>
    <s v="模拟_溪桥医院食堂"/>
    <n v="39.78"/>
    <n v="0"/>
    <n v="39.78"/>
    <s v=""/>
    <s v=""/>
    <s v=""/>
    <s v=""/>
    <s v="通过"/>
  </r>
  <r>
    <s v="SIM-20260915-C006"/>
    <n v="6"/>
    <s v="C006"/>
    <x v="14"/>
    <s v="P004"/>
    <s v="公斤"/>
    <n v="7.3"/>
    <n v="7.3"/>
    <n v="0"/>
    <n v="2.6"/>
    <s v="正常交付"/>
    <s v="true"/>
    <s v="冬瓜"/>
    <s v="散装鲜菜"/>
    <s v="模拟_溪桥医院食堂"/>
    <n v="18.98"/>
    <n v="0"/>
    <n v="18.98"/>
    <s v=""/>
    <s v=""/>
    <s v=""/>
    <s v=""/>
    <s v="通过"/>
  </r>
  <r>
    <s v="SIM-20260915-C006"/>
    <n v="7"/>
    <s v="C006"/>
    <x v="14"/>
    <s v="P016"/>
    <s v="公斤"/>
    <n v="9"/>
    <n v="9"/>
    <n v="0"/>
    <n v="10.199999999999999"/>
    <s v="正常交付"/>
    <s v="true"/>
    <s v="鸡蛋"/>
    <s v="普通鲜鸡蛋按净重"/>
    <s v="模拟_溪桥医院食堂"/>
    <n v="91.8"/>
    <n v="0"/>
    <n v="91.8"/>
    <s v=""/>
    <s v=""/>
    <s v=""/>
    <s v=""/>
    <s v="通过"/>
  </r>
  <r>
    <s v="SIM-20260916-C001"/>
    <n v="1"/>
    <s v="C001"/>
    <x v="15"/>
    <s v="P012"/>
    <s v="公斤"/>
    <n v="2.2999999999999998"/>
    <n v="2.2999999999999998"/>
    <n v="0"/>
    <n v="5.2"/>
    <s v="正常交付"/>
    <s v="true"/>
    <s v="小白菜"/>
    <s v="散装鲜菜"/>
    <s v="模拟_榕树下粉面店"/>
    <n v="11.96"/>
    <n v="0"/>
    <n v="11.96"/>
    <s v=""/>
    <s v=""/>
    <s v=""/>
    <s v=""/>
    <s v="通过"/>
  </r>
  <r>
    <s v="SIM-20260916-C001"/>
    <n v="2"/>
    <s v="C001"/>
    <x v="15"/>
    <s v="P002"/>
    <s v="公斤"/>
    <n v="3.9"/>
    <n v="3.9"/>
    <n v="0"/>
    <n v="2.7"/>
    <s v="正常交付"/>
    <s v="true"/>
    <s v="白萝卜"/>
    <s v="散装鲜菜"/>
    <s v="模拟_榕树下粉面店"/>
    <n v="10.53"/>
    <n v="0"/>
    <n v="10.53"/>
    <s v=""/>
    <s v=""/>
    <s v=""/>
    <s v=""/>
    <s v="通过"/>
  </r>
  <r>
    <s v="SIM-20260916-C001"/>
    <n v="3"/>
    <s v="C001"/>
    <x v="15"/>
    <s v="P003"/>
    <s v="公斤"/>
    <n v="4.2"/>
    <n v="4.2"/>
    <n v="0"/>
    <n v="3.5"/>
    <s v="正常交付"/>
    <s v="true"/>
    <s v="包菜"/>
    <s v="散装鲜菜"/>
    <s v="模拟_榕树下粉面店"/>
    <n v="14.7"/>
    <n v="0"/>
    <n v="14.7"/>
    <s v=""/>
    <s v=""/>
    <s v=""/>
    <s v=""/>
    <s v="通过"/>
  </r>
  <r>
    <s v="SIM-20260916-C001"/>
    <n v="4"/>
    <s v="C001"/>
    <x v="15"/>
    <s v="P006"/>
    <s v="公斤"/>
    <n v="2.9"/>
    <n v="2.9"/>
    <n v="0"/>
    <n v="4.8"/>
    <s v="正常交付"/>
    <s v="true"/>
    <s v="茄子"/>
    <s v="散装鲜菜"/>
    <s v="模拟_榕树下粉面店"/>
    <n v="13.92"/>
    <n v="0"/>
    <n v="13.92"/>
    <s v=""/>
    <s v=""/>
    <s v=""/>
    <s v=""/>
    <s v="通过"/>
  </r>
  <r>
    <s v="SIM-20260916-C002"/>
    <n v="1"/>
    <s v="C002"/>
    <x v="15"/>
    <s v="P011"/>
    <s v="公斤"/>
    <n v="7.9"/>
    <n v="7.9"/>
    <n v="0"/>
    <n v="4.3"/>
    <s v="正常交付"/>
    <s v="true"/>
    <s v="红薯叶"/>
    <s v="散装鲜菜"/>
    <s v="模拟_桥头家常菜馆"/>
    <n v="33.97"/>
    <n v="0"/>
    <n v="33.97"/>
    <s v=""/>
    <s v=""/>
    <s v=""/>
    <s v=""/>
    <s v="通过"/>
  </r>
  <r>
    <s v="SIM-20260916-C002"/>
    <n v="2"/>
    <s v="C002"/>
    <x v="15"/>
    <s v="P005"/>
    <s v="公斤"/>
    <n v="5.5"/>
    <n v="5.5"/>
    <n v="0"/>
    <n v="3.2"/>
    <s v="正常交付"/>
    <s v="true"/>
    <s v="南瓜"/>
    <s v="散装鲜菜"/>
    <s v="模拟_桥头家常菜馆"/>
    <n v="17.600000000000001"/>
    <n v="0"/>
    <n v="17.600000000000001"/>
    <s v=""/>
    <s v=""/>
    <s v=""/>
    <s v=""/>
    <s v="通过"/>
  </r>
  <r>
    <s v="SIM-20260916-C002"/>
    <n v="3"/>
    <s v="C002"/>
    <x v="15"/>
    <s v="P002"/>
    <s v="公斤"/>
    <n v="6.9"/>
    <n v="6.9"/>
    <n v="0"/>
    <n v="2.7"/>
    <s v="正常交付"/>
    <s v="true"/>
    <s v="白萝卜"/>
    <s v="散装鲜菜"/>
    <s v="模拟_桥头家常菜馆"/>
    <n v="18.63"/>
    <n v="0"/>
    <n v="18.63"/>
    <s v=""/>
    <s v=""/>
    <s v=""/>
    <s v=""/>
    <s v="通过"/>
  </r>
  <r>
    <s v="SIM-20260916-C002"/>
    <n v="4"/>
    <s v="C002"/>
    <x v="15"/>
    <s v="P004"/>
    <s v="公斤"/>
    <n v="5.5"/>
    <n v="5.5"/>
    <n v="0"/>
    <n v="2.6"/>
    <s v="正常交付"/>
    <s v="true"/>
    <s v="冬瓜"/>
    <s v="散装鲜菜"/>
    <s v="模拟_桥头家常菜馆"/>
    <n v="14.3"/>
    <n v="0"/>
    <n v="14.3"/>
    <s v=""/>
    <s v=""/>
    <s v=""/>
    <s v=""/>
    <s v="通过"/>
  </r>
  <r>
    <s v="SIM-20260916-C002"/>
    <n v="5"/>
    <s v="C002"/>
    <x v="15"/>
    <s v="P013"/>
    <s v="公斤"/>
    <n v="4.5"/>
    <n v="4.5"/>
    <n v="0"/>
    <n v="6"/>
    <s v="正常交付"/>
    <s v="true"/>
    <s v="豇豆"/>
    <s v="散装鲜菜"/>
    <s v="模拟_桥头家常菜馆"/>
    <n v="27"/>
    <n v="0"/>
    <n v="27"/>
    <s v=""/>
    <s v=""/>
    <s v=""/>
    <s v=""/>
    <s v="通过"/>
  </r>
  <r>
    <s v="SIM-20260916-C003"/>
    <n v="1"/>
    <s v="C003"/>
    <x v="15"/>
    <s v="P010"/>
    <s v="公斤"/>
    <n v="4.9000000000000004"/>
    <n v="4.9000000000000004"/>
    <n v="0"/>
    <n v="4.5"/>
    <s v="正常交付"/>
    <s v="true"/>
    <s v="空心菜"/>
    <s v="散装鲜菜"/>
    <s v="模拟_兴街快餐店"/>
    <n v="22.05"/>
    <n v="0"/>
    <n v="22.05"/>
    <s v=""/>
    <s v=""/>
    <s v=""/>
    <s v=""/>
    <s v="通过"/>
  </r>
  <r>
    <s v="SIM-20260916-C003"/>
    <n v="2"/>
    <s v="C003"/>
    <x v="15"/>
    <s v="P008"/>
    <s v="公斤"/>
    <n v="5.8"/>
    <n v="5.8"/>
    <n v="0"/>
    <n v="4.4000000000000004"/>
    <s v="正常交付"/>
    <s v="true"/>
    <s v="黄瓜"/>
    <s v="散装鲜菜"/>
    <s v="模拟_兴街快餐店"/>
    <n v="25.52"/>
    <n v="0"/>
    <n v="25.52"/>
    <s v=""/>
    <s v=""/>
    <s v=""/>
    <s v=""/>
    <s v="通过"/>
  </r>
  <r>
    <s v="SIM-20260916-C003"/>
    <n v="3"/>
    <s v="C003"/>
    <x v="15"/>
    <s v="P001"/>
    <s v="公斤"/>
    <n v="7.3"/>
    <n v="7.3"/>
    <n v="0"/>
    <n v="3.4"/>
    <s v="正常交付"/>
    <s v="true"/>
    <s v="土豆"/>
    <s v="散装鲜菜"/>
    <s v="模拟_兴街快餐店"/>
    <n v="24.82"/>
    <n v="0"/>
    <n v="24.82"/>
    <s v=""/>
    <s v=""/>
    <s v=""/>
    <s v=""/>
    <s v="通过"/>
  </r>
  <r>
    <s v="SIM-20260916-C003"/>
    <n v="4"/>
    <s v="C003"/>
    <x v="15"/>
    <s v="P009"/>
    <s v="公斤"/>
    <n v="6.8"/>
    <n v="6.8"/>
    <n v="0"/>
    <n v="4.8"/>
    <s v="正常交付"/>
    <s v="true"/>
    <s v="西红柿"/>
    <s v="散装鲜菜"/>
    <s v="模拟_兴街快餐店"/>
    <n v="32.64"/>
    <n v="0"/>
    <n v="32.64"/>
    <s v=""/>
    <s v=""/>
    <s v=""/>
    <s v=""/>
    <s v="通过"/>
  </r>
  <r>
    <s v="SIM-20260916-C003"/>
    <n v="5"/>
    <s v="C003"/>
    <x v="15"/>
    <s v="P006"/>
    <s v="公斤"/>
    <n v="6.3"/>
    <n v="6.3"/>
    <n v="0"/>
    <n v="4.8"/>
    <s v="正常交付"/>
    <s v="true"/>
    <s v="茄子"/>
    <s v="散装鲜菜"/>
    <s v="模拟_兴街快餐店"/>
    <n v="30.24"/>
    <n v="0"/>
    <n v="30.24"/>
    <s v=""/>
    <s v=""/>
    <s v=""/>
    <s v=""/>
    <s v="通过"/>
  </r>
  <r>
    <s v="SIM-20260916-C003"/>
    <n v="6"/>
    <s v="C003"/>
    <x v="15"/>
    <s v="P004"/>
    <s v="公斤"/>
    <n v="6.3"/>
    <n v="6.3"/>
    <n v="0"/>
    <n v="2.6"/>
    <s v="正常交付"/>
    <s v="true"/>
    <s v="冬瓜"/>
    <s v="散装鲜菜"/>
    <s v="模拟_兴街快餐店"/>
    <n v="16.38"/>
    <n v="0"/>
    <n v="16.38"/>
    <s v=""/>
    <s v=""/>
    <s v=""/>
    <s v=""/>
    <s v="通过"/>
  </r>
  <r>
    <s v="SIM-20260916-C005"/>
    <n v="1"/>
    <s v="C005"/>
    <x v="15"/>
    <s v="P011"/>
    <s v="公斤"/>
    <n v="9.1"/>
    <n v="9.1"/>
    <n v="0"/>
    <n v="4.3"/>
    <s v="正常交付"/>
    <s v="true"/>
    <s v="红薯叶"/>
    <s v="散装鲜菜"/>
    <s v="模拟_青禾小学食堂"/>
    <n v="39.130000000000003"/>
    <n v="0"/>
    <n v="39.130000000000003"/>
    <s v=""/>
    <s v=""/>
    <s v=""/>
    <s v=""/>
    <s v="通过"/>
  </r>
  <r>
    <s v="SIM-20260916-C005"/>
    <n v="2"/>
    <s v="C005"/>
    <x v="15"/>
    <s v="P008"/>
    <s v="公斤"/>
    <n v="9.1"/>
    <n v="9.1"/>
    <n v="0"/>
    <n v="4.4000000000000004"/>
    <s v="正常交付"/>
    <s v="true"/>
    <s v="黄瓜"/>
    <s v="散装鲜菜"/>
    <s v="模拟_青禾小学食堂"/>
    <n v="40.04"/>
    <n v="0"/>
    <n v="40.04"/>
    <s v=""/>
    <s v=""/>
    <s v=""/>
    <s v=""/>
    <s v="通过"/>
  </r>
  <r>
    <s v="SIM-20260916-C005"/>
    <n v="3"/>
    <s v="C005"/>
    <x v="15"/>
    <s v="P001"/>
    <s v="公斤"/>
    <n v="11.1"/>
    <n v="11.1"/>
    <n v="0"/>
    <n v="3.4"/>
    <s v="正常交付"/>
    <s v="true"/>
    <s v="土豆"/>
    <s v="散装鲜菜"/>
    <s v="模拟_青禾小学食堂"/>
    <n v="37.74"/>
    <n v="0"/>
    <n v="37.74"/>
    <s v=""/>
    <s v=""/>
    <s v=""/>
    <s v=""/>
    <s v="通过"/>
  </r>
  <r>
    <s v="SIM-20260916-C005"/>
    <n v="4"/>
    <s v="C005"/>
    <x v="15"/>
    <s v="P003"/>
    <s v="公斤"/>
    <n v="9.1"/>
    <n v="9.1"/>
    <n v="0"/>
    <n v="3.5"/>
    <s v="正常交付"/>
    <s v="true"/>
    <s v="包菜"/>
    <s v="散装鲜菜"/>
    <s v="模拟_青禾小学食堂"/>
    <n v="31.85"/>
    <n v="0"/>
    <n v="31.85"/>
    <s v=""/>
    <s v=""/>
    <s v=""/>
    <s v=""/>
    <s v="通过"/>
  </r>
  <r>
    <s v="SIM-20260916-C005"/>
    <n v="5"/>
    <s v="C005"/>
    <x v="15"/>
    <s v="P009"/>
    <s v="公斤"/>
    <n v="9.1"/>
    <n v="9.1"/>
    <n v="0"/>
    <n v="4.8"/>
    <s v="正常交付"/>
    <s v="true"/>
    <s v="西红柿"/>
    <s v="散装鲜菜"/>
    <s v="模拟_青禾小学食堂"/>
    <n v="43.68"/>
    <n v="0"/>
    <n v="43.68"/>
    <s v=""/>
    <s v=""/>
    <s v=""/>
    <s v=""/>
    <s v="通过"/>
  </r>
  <r>
    <s v="SIM-20260916-C005"/>
    <n v="6"/>
    <s v="C005"/>
    <x v="15"/>
    <s v="P004"/>
    <s v="公斤"/>
    <n v="7.1"/>
    <n v="7.1"/>
    <n v="0"/>
    <n v="2.6"/>
    <s v="正常交付"/>
    <s v="true"/>
    <s v="冬瓜"/>
    <s v="散装鲜菜"/>
    <s v="模拟_青禾小学食堂"/>
    <n v="18.46"/>
    <n v="0"/>
    <n v="18.46"/>
    <s v=""/>
    <s v=""/>
    <s v=""/>
    <s v=""/>
    <s v="通过"/>
  </r>
  <r>
    <s v="SIM-20260916-C006"/>
    <n v="1"/>
    <s v="C006"/>
    <x v="15"/>
    <s v="P011"/>
    <s v="公斤"/>
    <n v="9.9"/>
    <n v="9.9"/>
    <n v="0"/>
    <n v="4.3"/>
    <s v="正常交付"/>
    <s v="true"/>
    <s v="红薯叶"/>
    <s v="散装鲜菜"/>
    <s v="模拟_溪桥医院食堂"/>
    <n v="42.57"/>
    <n v="0"/>
    <n v="42.57"/>
    <s v=""/>
    <s v=""/>
    <s v=""/>
    <s v=""/>
    <s v="通过"/>
  </r>
  <r>
    <s v="SIM-20260916-C006"/>
    <n v="2"/>
    <s v="C006"/>
    <x v="15"/>
    <s v="P008"/>
    <s v="公斤"/>
    <n v="8.1"/>
    <n v="8.1"/>
    <n v="0"/>
    <n v="4.4000000000000004"/>
    <s v="正常交付"/>
    <s v="true"/>
    <s v="黄瓜"/>
    <s v="散装鲜菜"/>
    <s v="模拟_溪桥医院食堂"/>
    <n v="35.64"/>
    <n v="0"/>
    <n v="35.64"/>
    <s v=""/>
    <s v=""/>
    <s v=""/>
    <s v=""/>
    <s v="通过"/>
  </r>
  <r>
    <s v="SIM-20260916-C006"/>
    <n v="3"/>
    <s v="C006"/>
    <x v="15"/>
    <s v="P009"/>
    <s v="公斤"/>
    <n v="9.9"/>
    <n v="9.9"/>
    <n v="0"/>
    <n v="4.8"/>
    <s v="正常交付"/>
    <s v="true"/>
    <s v="西红柿"/>
    <s v="散装鲜菜"/>
    <s v="模拟_溪桥医院食堂"/>
    <n v="47.52"/>
    <n v="0"/>
    <n v="47.52"/>
    <s v=""/>
    <s v=""/>
    <s v=""/>
    <s v=""/>
    <s v="通过"/>
  </r>
  <r>
    <s v="SIM-20260916-C006"/>
    <n v="4"/>
    <s v="C006"/>
    <x v="15"/>
    <s v="P005"/>
    <s v="公斤"/>
    <n v="8.6999999999999993"/>
    <n v="8.6999999999999993"/>
    <n v="0"/>
    <n v="3.2"/>
    <s v="正常交付"/>
    <s v="true"/>
    <s v="南瓜"/>
    <s v="散装鲜菜"/>
    <s v="模拟_溪桥医院食堂"/>
    <n v="27.84"/>
    <n v="0"/>
    <n v="27.84"/>
    <s v=""/>
    <s v=""/>
    <s v=""/>
    <s v=""/>
    <s v="通过"/>
  </r>
  <r>
    <s v="SIM-20260916-C006"/>
    <n v="5"/>
    <s v="C006"/>
    <x v="15"/>
    <s v="P004"/>
    <s v="公斤"/>
    <n v="9.9"/>
    <n v="9.9"/>
    <n v="0"/>
    <n v="2.6"/>
    <s v="正常交付"/>
    <s v="true"/>
    <s v="冬瓜"/>
    <s v="散装鲜菜"/>
    <s v="模拟_溪桥医院食堂"/>
    <n v="25.74"/>
    <n v="0"/>
    <n v="25.74"/>
    <s v=""/>
    <s v=""/>
    <s v=""/>
    <s v=""/>
    <s v="通过"/>
  </r>
  <r>
    <s v="SIM-20260916-C006"/>
    <n v="6"/>
    <s v="C006"/>
    <x v="15"/>
    <s v="P001"/>
    <s v="公斤"/>
    <n v="6.2"/>
    <n v="6.2"/>
    <n v="0"/>
    <n v="3.4"/>
    <s v="正常交付"/>
    <s v="true"/>
    <s v="土豆"/>
    <s v="散装鲜菜"/>
    <s v="模拟_溪桥医院食堂"/>
    <n v="21.08"/>
    <n v="0"/>
    <n v="21.08"/>
    <s v=""/>
    <s v=""/>
    <s v=""/>
    <s v=""/>
    <s v="通过"/>
  </r>
  <r>
    <s v="SIM-20260916-C006"/>
    <n v="7"/>
    <s v="C006"/>
    <x v="15"/>
    <s v="P015"/>
    <s v="公斤"/>
    <n v="1"/>
    <n v="1"/>
    <n v="0"/>
    <n v="7.3"/>
    <s v="正常交付"/>
    <s v="true"/>
    <s v="小葱"/>
    <s v="散装鲜菜"/>
    <s v="模拟_溪桥医院食堂"/>
    <n v="7.3"/>
    <n v="0"/>
    <n v="7.3"/>
    <s v=""/>
    <s v=""/>
    <s v=""/>
    <s v=""/>
    <s v="通过"/>
  </r>
  <r>
    <s v="SIM-20260916-C006"/>
    <n v="8"/>
    <s v="C006"/>
    <x v="15"/>
    <s v="P017"/>
    <s v="袋"/>
    <n v="4"/>
    <n v="4"/>
    <n v="0"/>
    <n v="119"/>
    <s v="正常交付"/>
    <s v="true"/>
    <s v="籼米"/>
    <s v="25公斤/袋普通籼米"/>
    <s v="模拟_溪桥医院食堂"/>
    <n v="476"/>
    <n v="0"/>
    <n v="476"/>
    <s v=""/>
    <s v=""/>
    <s v=""/>
    <s v=""/>
    <s v="通过"/>
  </r>
  <r>
    <s v="SIM-20260916-C006"/>
    <n v="9"/>
    <s v="C006"/>
    <x v="15"/>
    <s v="P020"/>
    <s v="桶"/>
    <n v="2"/>
    <n v="2"/>
    <n v="0"/>
    <n v="55"/>
    <s v="正常交付"/>
    <s v="true"/>
    <s v="大豆油"/>
    <s v="5升/桶普通大豆油"/>
    <s v="模拟_溪桥医院食堂"/>
    <n v="110"/>
    <n v="0"/>
    <n v="110"/>
    <s v=""/>
    <s v=""/>
    <s v=""/>
    <s v=""/>
    <s v="通过"/>
  </r>
  <r>
    <s v="SIM-20260917-C001"/>
    <n v="1"/>
    <s v="C001"/>
    <x v="16"/>
    <s v="P011"/>
    <s v="公斤"/>
    <n v="2"/>
    <n v="2"/>
    <n v="0"/>
    <n v="4.3"/>
    <s v="正常交付"/>
    <s v="true"/>
    <s v="红薯叶"/>
    <s v="散装鲜菜"/>
    <s v="模拟_榕树下粉面店"/>
    <n v="8.6"/>
    <n v="0"/>
    <n v="8.6"/>
    <s v=""/>
    <s v=""/>
    <s v=""/>
    <s v=""/>
    <s v="通过"/>
  </r>
  <r>
    <s v="SIM-20260917-C001"/>
    <n v="2"/>
    <s v="C001"/>
    <x v="16"/>
    <s v="P005"/>
    <s v="公斤"/>
    <n v="4.5"/>
    <n v="4.5"/>
    <n v="0"/>
    <n v="3.2"/>
    <s v="正常交付"/>
    <s v="true"/>
    <s v="南瓜"/>
    <s v="散装鲜菜"/>
    <s v="模拟_榕树下粉面店"/>
    <n v="14.4"/>
    <n v="0"/>
    <n v="14.4"/>
    <s v=""/>
    <s v=""/>
    <s v=""/>
    <s v=""/>
    <s v="通过"/>
  </r>
  <r>
    <s v="SIM-20260917-C001"/>
    <n v="3"/>
    <s v="C001"/>
    <x v="16"/>
    <s v="P006"/>
    <s v="公斤"/>
    <n v="3.9"/>
    <n v="3.6"/>
    <n v="0"/>
    <n v="4.8"/>
    <s v="到货不足；按实际交付计费"/>
    <s v="true"/>
    <s v="茄子"/>
    <s v="散装鲜菜"/>
    <s v="模拟_榕树下粉面店"/>
    <n v="17.28"/>
    <n v="0"/>
    <n v="17.28"/>
    <s v=""/>
    <s v=""/>
    <s v=""/>
    <s v=""/>
    <s v="通过"/>
  </r>
  <r>
    <s v="SIM-20260917-C001"/>
    <n v="4"/>
    <s v="C001"/>
    <x v="16"/>
    <s v="P014"/>
    <s v="公斤"/>
    <n v="2.8"/>
    <n v="2.8"/>
    <n v="0"/>
    <n v="5"/>
    <s v="正常交付"/>
    <s v="true"/>
    <s v="丝瓜"/>
    <s v="散装鲜菜"/>
    <s v="模拟_榕树下粉面店"/>
    <n v="14"/>
    <n v="0"/>
    <n v="14"/>
    <s v=""/>
    <s v=""/>
    <s v=""/>
    <s v=""/>
    <s v="通过"/>
  </r>
  <r>
    <s v="SIM-20260917-C001"/>
    <n v="5"/>
    <s v="C001"/>
    <x v="16"/>
    <s v="P016"/>
    <s v="公斤"/>
    <n v="3"/>
    <n v="3"/>
    <n v="0"/>
    <n v="10.199999999999999"/>
    <s v="正常交付"/>
    <s v="true"/>
    <s v="鸡蛋"/>
    <s v="普通鲜鸡蛋按净重"/>
    <s v="模拟_榕树下粉面店"/>
    <n v="30.6"/>
    <n v="0"/>
    <n v="30.6"/>
    <s v=""/>
    <s v=""/>
    <s v=""/>
    <s v=""/>
    <s v="通过"/>
  </r>
  <r>
    <s v="SIM-20260917-C002"/>
    <n v="1"/>
    <s v="C002"/>
    <x v="16"/>
    <s v="P012"/>
    <s v="公斤"/>
    <n v="4.5"/>
    <n v="4.2"/>
    <n v="0"/>
    <n v="5.2"/>
    <s v="到货不足；按实际交付计费"/>
    <s v="true"/>
    <s v="小白菜"/>
    <s v="散装鲜菜"/>
    <s v="模拟_桥头家常菜馆"/>
    <n v="21.84"/>
    <n v="0"/>
    <n v="21.84"/>
    <s v=""/>
    <s v=""/>
    <s v=""/>
    <s v=""/>
    <s v="通过"/>
  </r>
  <r>
    <s v="SIM-20260917-C002"/>
    <n v="2"/>
    <s v="C002"/>
    <x v="16"/>
    <s v="P003"/>
    <s v="公斤"/>
    <n v="6"/>
    <n v="6"/>
    <n v="0"/>
    <n v="3.5"/>
    <s v="正常交付"/>
    <s v="true"/>
    <s v="包菜"/>
    <s v="散装鲜菜"/>
    <s v="模拟_桥头家常菜馆"/>
    <n v="21"/>
    <n v="0"/>
    <n v="21"/>
    <s v=""/>
    <s v=""/>
    <s v=""/>
    <s v=""/>
    <s v="通过"/>
  </r>
  <r>
    <s v="SIM-20260917-C002"/>
    <n v="3"/>
    <s v="C002"/>
    <x v="16"/>
    <s v="P004"/>
    <s v="公斤"/>
    <n v="5.5"/>
    <n v="5.5"/>
    <n v="0"/>
    <n v="2.6"/>
    <s v="正常交付"/>
    <s v="true"/>
    <s v="冬瓜"/>
    <s v="散装鲜菜"/>
    <s v="模拟_桥头家常菜馆"/>
    <n v="14.3"/>
    <n v="0"/>
    <n v="14.3"/>
    <s v=""/>
    <s v=""/>
    <s v=""/>
    <s v=""/>
    <s v="通过"/>
  </r>
  <r>
    <s v="SIM-20260917-C002"/>
    <n v="4"/>
    <s v="C002"/>
    <x v="16"/>
    <s v="P009"/>
    <s v="公斤"/>
    <n v="7"/>
    <n v="7"/>
    <n v="0"/>
    <n v="4.8"/>
    <s v="正常交付"/>
    <s v="true"/>
    <s v="西红柿"/>
    <s v="散装鲜菜"/>
    <s v="模拟_桥头家常菜馆"/>
    <n v="33.6"/>
    <n v="0"/>
    <n v="33.6"/>
    <s v=""/>
    <s v=""/>
    <s v=""/>
    <s v=""/>
    <s v="通过"/>
  </r>
  <r>
    <s v="SIM-20260917-C002"/>
    <n v="5"/>
    <s v="C002"/>
    <x v="16"/>
    <s v="P008"/>
    <s v="公斤"/>
    <n v="6"/>
    <n v="6"/>
    <n v="0"/>
    <n v="4.4000000000000004"/>
    <s v="正常交付"/>
    <s v="true"/>
    <s v="黄瓜"/>
    <s v="散装鲜菜"/>
    <s v="模拟_桥头家常菜馆"/>
    <n v="26.4"/>
    <n v="0"/>
    <n v="26.4"/>
    <s v=""/>
    <s v=""/>
    <s v=""/>
    <s v=""/>
    <s v="通过"/>
  </r>
  <r>
    <s v="SIM-20260917-C002"/>
    <n v="6"/>
    <s v="C002"/>
    <x v="16"/>
    <s v="P016"/>
    <s v="公斤"/>
    <n v="4"/>
    <n v="4"/>
    <n v="0"/>
    <n v="10.199999999999999"/>
    <s v="正常交付"/>
    <s v="true"/>
    <s v="鸡蛋"/>
    <s v="普通鲜鸡蛋按净重"/>
    <s v="模拟_桥头家常菜馆"/>
    <n v="40.799999999999997"/>
    <n v="0"/>
    <n v="40.799999999999997"/>
    <s v=""/>
    <s v=""/>
    <s v=""/>
    <s v=""/>
    <s v="通过"/>
  </r>
  <r>
    <s v="SIM-20260917-C003"/>
    <n v="1"/>
    <s v="C003"/>
    <x v="16"/>
    <s v="P012"/>
    <s v="公斤"/>
    <n v="4.7"/>
    <n v="4.7"/>
    <n v="0.2"/>
    <n v="5.2"/>
    <s v="正常交付；签收时挑出黄叶退回"/>
    <s v="true"/>
    <s v="小白菜"/>
    <s v="散装鲜菜"/>
    <s v="模拟_兴街快餐店"/>
    <n v="24.44"/>
    <n v="1.04"/>
    <n v="23.400000000000002"/>
    <s v=""/>
    <s v=""/>
    <s v=""/>
    <s v=""/>
    <s v="通过"/>
  </r>
  <r>
    <s v="SIM-20260917-C003"/>
    <n v="2"/>
    <s v="C003"/>
    <x v="16"/>
    <s v="P001"/>
    <s v="公斤"/>
    <n v="10.1"/>
    <n v="9.6"/>
    <n v="0"/>
    <n v="3.4"/>
    <s v="到货不足；按实际交付计费"/>
    <s v="true"/>
    <s v="土豆"/>
    <s v="散装鲜菜"/>
    <s v="模拟_兴街快餐店"/>
    <n v="32.64"/>
    <n v="0"/>
    <n v="32.64"/>
    <s v=""/>
    <s v=""/>
    <s v=""/>
    <s v=""/>
    <s v="通过"/>
  </r>
  <r>
    <s v="SIM-20260917-C003"/>
    <n v="3"/>
    <s v="C003"/>
    <x v="16"/>
    <s v="P005"/>
    <s v="公斤"/>
    <n v="10.1"/>
    <n v="10.1"/>
    <n v="0"/>
    <n v="3.2"/>
    <s v="正常交付"/>
    <s v="true"/>
    <s v="南瓜"/>
    <s v="散装鲜菜"/>
    <s v="模拟_兴街快餐店"/>
    <n v="32.32"/>
    <n v="0"/>
    <n v="32.32"/>
    <s v=""/>
    <s v=""/>
    <s v=""/>
    <s v=""/>
    <s v="通过"/>
  </r>
  <r>
    <s v="SIM-20260917-C003"/>
    <n v="4"/>
    <s v="C003"/>
    <x v="16"/>
    <s v="P007"/>
    <s v="公斤"/>
    <n v="6"/>
    <n v="6"/>
    <n v="0"/>
    <n v="5.25"/>
    <s v="正常交付"/>
    <s v="true"/>
    <s v="青椒"/>
    <s v="散装鲜菜"/>
    <s v="模拟_兴街快餐店"/>
    <n v="31.5"/>
    <n v="0"/>
    <n v="31.5"/>
    <s v=""/>
    <s v=""/>
    <s v=""/>
    <s v=""/>
    <s v="通过"/>
  </r>
  <r>
    <s v="SIM-20260917-C003"/>
    <n v="5"/>
    <s v="C003"/>
    <x v="16"/>
    <s v="P009"/>
    <s v="公斤"/>
    <n v="4.7"/>
    <n v="4.7"/>
    <n v="0"/>
    <n v="4.8"/>
    <s v="正常交付"/>
    <s v="true"/>
    <s v="西红柿"/>
    <s v="散装鲜菜"/>
    <s v="模拟_兴街快餐店"/>
    <n v="22.56"/>
    <n v="0"/>
    <n v="22.56"/>
    <s v=""/>
    <s v=""/>
    <s v=""/>
    <s v=""/>
    <s v="通过"/>
  </r>
  <r>
    <s v="SIM-20260917-C003"/>
    <n v="6"/>
    <s v="C003"/>
    <x v="16"/>
    <s v="P013"/>
    <s v="公斤"/>
    <n v="8.1"/>
    <n v="8.1"/>
    <n v="0"/>
    <n v="6"/>
    <s v="正常交付"/>
    <s v="true"/>
    <s v="豇豆"/>
    <s v="散装鲜菜"/>
    <s v="模拟_兴街快餐店"/>
    <n v="48.6"/>
    <n v="0"/>
    <n v="48.6"/>
    <s v=""/>
    <s v=""/>
    <s v=""/>
    <s v=""/>
    <s v="通过"/>
  </r>
  <r>
    <s v="SIM-20260917-C003"/>
    <n v="7"/>
    <s v="C003"/>
    <x v="16"/>
    <s v="P016"/>
    <s v="公斤"/>
    <n v="6"/>
    <n v="6"/>
    <n v="0"/>
    <n v="10.199999999999999"/>
    <s v="正常交付"/>
    <s v="true"/>
    <s v="鸡蛋"/>
    <s v="普通鲜鸡蛋按净重"/>
    <s v="模拟_兴街快餐店"/>
    <n v="61.2"/>
    <n v="0"/>
    <n v="61.2"/>
    <s v=""/>
    <s v=""/>
    <s v=""/>
    <s v=""/>
    <s v="通过"/>
  </r>
  <r>
    <s v="SIM-20260917-C004"/>
    <n v="1"/>
    <s v="C004"/>
    <x v="16"/>
    <s v="P012"/>
    <s v="公斤"/>
    <n v="8.6"/>
    <n v="8.6"/>
    <n v="0"/>
    <n v="5.2"/>
    <s v="正常交付"/>
    <s v="true"/>
    <s v="小白菜"/>
    <s v="散装鲜菜"/>
    <s v="模拟_田畔饭店"/>
    <n v="44.72"/>
    <n v="0"/>
    <n v="44.72"/>
    <s v=""/>
    <s v=""/>
    <s v=""/>
    <s v=""/>
    <s v="通过"/>
  </r>
  <r>
    <s v="SIM-20260917-C004"/>
    <n v="2"/>
    <s v="C004"/>
    <x v="16"/>
    <s v="P008"/>
    <s v="公斤"/>
    <n v="7"/>
    <n v="7"/>
    <n v="0"/>
    <n v="4.4000000000000004"/>
    <s v="正常交付"/>
    <s v="true"/>
    <s v="黄瓜"/>
    <s v="散装鲜菜"/>
    <s v="模拟_田畔饭店"/>
    <n v="30.8"/>
    <n v="0"/>
    <n v="30.8"/>
    <s v=""/>
    <s v=""/>
    <s v=""/>
    <s v=""/>
    <s v="通过"/>
  </r>
  <r>
    <s v="SIM-20260917-C004"/>
    <n v="3"/>
    <s v="C004"/>
    <x v="16"/>
    <s v="P001"/>
    <s v="公斤"/>
    <n v="3.8"/>
    <n v="3.8"/>
    <n v="0"/>
    <n v="3.4"/>
    <s v="正常交付"/>
    <s v="true"/>
    <s v="土豆"/>
    <s v="散装鲜菜"/>
    <s v="模拟_田畔饭店"/>
    <n v="12.92"/>
    <n v="0"/>
    <n v="12.92"/>
    <s v=""/>
    <s v=""/>
    <s v=""/>
    <s v=""/>
    <s v="通过"/>
  </r>
  <r>
    <s v="SIM-20260917-C004"/>
    <n v="4"/>
    <s v="C004"/>
    <x v="16"/>
    <s v="P014"/>
    <s v="公斤"/>
    <n v="7"/>
    <n v="7"/>
    <n v="0"/>
    <n v="5"/>
    <s v="正常交付"/>
    <s v="true"/>
    <s v="丝瓜"/>
    <s v="散装鲜菜"/>
    <s v="模拟_田畔饭店"/>
    <n v="35"/>
    <n v="0"/>
    <n v="35"/>
    <s v=""/>
    <s v=""/>
    <s v=""/>
    <s v=""/>
    <s v="通过"/>
  </r>
  <r>
    <s v="SIM-20260917-C004"/>
    <n v="5"/>
    <s v="C004"/>
    <x v="16"/>
    <s v="P002"/>
    <s v="公斤"/>
    <n v="7.5"/>
    <n v="7.5"/>
    <n v="0"/>
    <n v="2.7"/>
    <s v="正常交付"/>
    <s v="true"/>
    <s v="白萝卜"/>
    <s v="散装鲜菜"/>
    <s v="模拟_田畔饭店"/>
    <n v="20.25"/>
    <n v="0"/>
    <n v="20.25"/>
    <s v=""/>
    <s v=""/>
    <s v=""/>
    <s v=""/>
    <s v="通过"/>
  </r>
  <r>
    <s v="SIM-20260917-C004"/>
    <n v="6"/>
    <s v="C004"/>
    <x v="16"/>
    <s v="P009"/>
    <s v="公斤"/>
    <n v="6.4"/>
    <n v="6.4"/>
    <n v="0"/>
    <n v="4.8"/>
    <s v="正常交付"/>
    <s v="true"/>
    <s v="西红柿"/>
    <s v="散装鲜菜"/>
    <s v="模拟_田畔饭店"/>
    <n v="30.72"/>
    <n v="0"/>
    <n v="30.72"/>
    <s v=""/>
    <s v=""/>
    <s v=""/>
    <s v=""/>
    <s v="通过"/>
  </r>
  <r>
    <s v="SIM-20260917-C005"/>
    <n v="1"/>
    <s v="C005"/>
    <x v="16"/>
    <s v="P011"/>
    <s v="公斤"/>
    <n v="11.4"/>
    <n v="11.4"/>
    <n v="0.2"/>
    <n v="4.3"/>
    <s v="正常交付；签收时挑出黄叶退回"/>
    <s v="true"/>
    <s v="红薯叶"/>
    <s v="散装鲜菜"/>
    <s v="模拟_青禾小学食堂"/>
    <n v="49.02"/>
    <n v="0.86"/>
    <n v="48.160000000000004"/>
    <s v=""/>
    <s v=""/>
    <s v=""/>
    <s v=""/>
    <s v="通过"/>
  </r>
  <r>
    <s v="SIM-20260917-C005"/>
    <n v="2"/>
    <s v="C005"/>
    <x v="16"/>
    <s v="P006"/>
    <s v="公斤"/>
    <n v="8.3000000000000007"/>
    <n v="8.3000000000000007"/>
    <n v="0"/>
    <n v="4.8"/>
    <s v="正常交付"/>
    <s v="true"/>
    <s v="茄子"/>
    <s v="散装鲜菜"/>
    <s v="模拟_青禾小学食堂"/>
    <n v="39.840000000000003"/>
    <n v="0"/>
    <n v="39.840000000000003"/>
    <s v=""/>
    <s v=""/>
    <s v=""/>
    <s v=""/>
    <s v="通过"/>
  </r>
  <r>
    <s v="SIM-20260917-C005"/>
    <n v="3"/>
    <s v="C005"/>
    <x v="16"/>
    <s v="P008"/>
    <s v="公斤"/>
    <n v="11.4"/>
    <n v="11.4"/>
    <n v="0"/>
    <n v="4.4000000000000004"/>
    <s v="正常交付"/>
    <s v="true"/>
    <s v="黄瓜"/>
    <s v="散装鲜菜"/>
    <s v="模拟_青禾小学食堂"/>
    <n v="50.16"/>
    <n v="0"/>
    <n v="50.16"/>
    <s v=""/>
    <s v=""/>
    <s v=""/>
    <s v=""/>
    <s v="通过"/>
  </r>
  <r>
    <s v="SIM-20260917-C005"/>
    <n v="4"/>
    <s v="C005"/>
    <x v="16"/>
    <s v="P014"/>
    <s v="公斤"/>
    <n v="16.5"/>
    <n v="16.5"/>
    <n v="0"/>
    <n v="5"/>
    <s v="正常交付"/>
    <s v="true"/>
    <s v="丝瓜"/>
    <s v="散装鲜菜"/>
    <s v="模拟_青禾小学食堂"/>
    <n v="82.5"/>
    <n v="0"/>
    <n v="82.5"/>
    <s v=""/>
    <s v=""/>
    <s v=""/>
    <s v=""/>
    <s v="通过"/>
  </r>
  <r>
    <s v="SIM-20260917-C005"/>
    <n v="5"/>
    <s v="C005"/>
    <x v="16"/>
    <s v="P001"/>
    <s v="公斤"/>
    <n v="9.3000000000000007"/>
    <n v="9.3000000000000007"/>
    <n v="0"/>
    <n v="3.4"/>
    <s v="正常交付"/>
    <s v="true"/>
    <s v="土豆"/>
    <s v="散装鲜菜"/>
    <s v="模拟_青禾小学食堂"/>
    <n v="31.62"/>
    <n v="0"/>
    <n v="31.62"/>
    <s v=""/>
    <s v=""/>
    <s v=""/>
    <s v=""/>
    <s v="通过"/>
  </r>
  <r>
    <s v="SIM-20260917-C005"/>
    <n v="6"/>
    <s v="C005"/>
    <x v="16"/>
    <s v="P013"/>
    <s v="公斤"/>
    <n v="11.4"/>
    <n v="11.4"/>
    <n v="0"/>
    <n v="6"/>
    <s v="正常交付"/>
    <s v="true"/>
    <s v="豇豆"/>
    <s v="散装鲜菜"/>
    <s v="模拟_青禾小学食堂"/>
    <n v="68.400000000000006"/>
    <n v="0"/>
    <n v="68.400000000000006"/>
    <s v=""/>
    <s v=""/>
    <s v=""/>
    <s v=""/>
    <s v="通过"/>
  </r>
  <r>
    <s v="SIM-20260917-C005"/>
    <n v="7"/>
    <s v="C005"/>
    <x v="16"/>
    <s v="P016"/>
    <s v="公斤"/>
    <n v="12"/>
    <n v="12"/>
    <n v="0"/>
    <n v="10.199999999999999"/>
    <s v="正常交付"/>
    <s v="true"/>
    <s v="鸡蛋"/>
    <s v="普通鲜鸡蛋按净重"/>
    <s v="模拟_青禾小学食堂"/>
    <n v="122.4"/>
    <n v="0"/>
    <n v="122.4"/>
    <s v=""/>
    <s v=""/>
    <s v=""/>
    <s v=""/>
    <s v="通过"/>
  </r>
  <r>
    <s v="SIM-20260917-C005"/>
    <n v="8"/>
    <s v="C005"/>
    <x v="16"/>
    <s v="P015"/>
    <s v="公斤"/>
    <n v="1"/>
    <n v="1"/>
    <n v="0"/>
    <n v="7.3"/>
    <s v="正常交付"/>
    <s v="true"/>
    <s v="小葱"/>
    <s v="散装鲜菜"/>
    <s v="模拟_青禾小学食堂"/>
    <n v="7.3"/>
    <n v="0"/>
    <n v="7.3"/>
    <s v=""/>
    <s v=""/>
    <s v=""/>
    <s v=""/>
    <s v="通过"/>
  </r>
  <r>
    <s v="SIM-20260917-C006"/>
    <n v="1"/>
    <s v="C006"/>
    <x v="16"/>
    <s v="P012"/>
    <s v="公斤"/>
    <n v="8.8000000000000007"/>
    <n v="8.8000000000000007"/>
    <n v="0"/>
    <n v="5.2"/>
    <s v="正常交付"/>
    <s v="true"/>
    <s v="小白菜"/>
    <s v="散装鲜菜"/>
    <s v="模拟_溪桥医院食堂"/>
    <n v="45.76"/>
    <n v="0"/>
    <n v="45.76"/>
    <s v=""/>
    <s v=""/>
    <s v=""/>
    <s v=""/>
    <s v="通过"/>
  </r>
  <r>
    <s v="SIM-20260917-C006"/>
    <n v="2"/>
    <s v="C006"/>
    <x v="16"/>
    <s v="P014"/>
    <s v="公斤"/>
    <n v="6.5"/>
    <n v="6.5"/>
    <n v="0"/>
    <n v="5"/>
    <s v="正常交付"/>
    <s v="true"/>
    <s v="丝瓜"/>
    <s v="散装鲜菜"/>
    <s v="模拟_溪桥医院食堂"/>
    <n v="32.5"/>
    <n v="0"/>
    <n v="32.5"/>
    <s v=""/>
    <s v=""/>
    <s v=""/>
    <s v=""/>
    <s v="通过"/>
  </r>
  <r>
    <s v="SIM-20260917-C006"/>
    <n v="3"/>
    <s v="C006"/>
    <x v="16"/>
    <s v="P005"/>
    <s v="公斤"/>
    <n v="4.7"/>
    <n v="4.7"/>
    <n v="0"/>
    <n v="3.2"/>
    <s v="正常交付"/>
    <s v="true"/>
    <s v="南瓜"/>
    <s v="散装鲜菜"/>
    <s v="模拟_溪桥医院食堂"/>
    <n v="15.04"/>
    <n v="0"/>
    <n v="15.04"/>
    <s v=""/>
    <s v=""/>
    <s v=""/>
    <s v=""/>
    <s v="通过"/>
  </r>
  <r>
    <s v="SIM-20260917-C006"/>
    <n v="4"/>
    <s v="C006"/>
    <x v="16"/>
    <s v="P004"/>
    <s v="公斤"/>
    <n v="8.8000000000000007"/>
    <n v="8.8000000000000007"/>
    <n v="0"/>
    <n v="2.6"/>
    <s v="正常交付"/>
    <s v="true"/>
    <s v="冬瓜"/>
    <s v="散装鲜菜"/>
    <s v="模拟_溪桥医院食堂"/>
    <n v="22.88"/>
    <n v="0"/>
    <n v="22.88"/>
    <s v=""/>
    <s v=""/>
    <s v=""/>
    <s v=""/>
    <s v="通过"/>
  </r>
  <r>
    <s v="SIM-20260917-C006"/>
    <n v="5"/>
    <s v="C006"/>
    <x v="16"/>
    <s v="P006"/>
    <s v="公斤"/>
    <n v="9.4"/>
    <n v="9.1999999999999993"/>
    <n v="0"/>
    <n v="4.8"/>
    <s v="到货不足；按实际交付计费"/>
    <s v="true"/>
    <s v="茄子"/>
    <s v="散装鲜菜"/>
    <s v="模拟_溪桥医院食堂"/>
    <n v="44.16"/>
    <n v="0"/>
    <n v="44.16"/>
    <s v=""/>
    <s v=""/>
    <s v=""/>
    <s v=""/>
    <s v="通过"/>
  </r>
  <r>
    <s v="SIM-20260917-C006"/>
    <n v="6"/>
    <s v="C006"/>
    <x v="16"/>
    <s v="P003"/>
    <s v="公斤"/>
    <n v="5.9"/>
    <n v="5.4"/>
    <n v="0"/>
    <n v="3.5"/>
    <s v="到货不足；按实际交付计费"/>
    <s v="true"/>
    <s v="包菜"/>
    <s v="散装鲜菜"/>
    <s v="模拟_溪桥医院食堂"/>
    <n v="18.899999999999999"/>
    <n v="0"/>
    <n v="18.899999999999999"/>
    <s v=""/>
    <s v=""/>
    <s v=""/>
    <s v=""/>
    <s v="通过"/>
  </r>
  <r>
    <s v="SIM-20260917-C006"/>
    <n v="7"/>
    <s v="C006"/>
    <x v="16"/>
    <s v="P016"/>
    <s v="公斤"/>
    <n v="9"/>
    <n v="9"/>
    <n v="0"/>
    <n v="10.199999999999999"/>
    <s v="正常交付"/>
    <s v="true"/>
    <s v="鸡蛋"/>
    <s v="普通鲜鸡蛋按净重"/>
    <s v="模拟_溪桥医院食堂"/>
    <n v="91.8"/>
    <n v="0"/>
    <n v="91.8"/>
    <s v=""/>
    <s v=""/>
    <s v=""/>
    <s v=""/>
    <s v="通过"/>
  </r>
  <r>
    <s v="SIM-20260918-C001"/>
    <n v="1"/>
    <s v="C001"/>
    <x v="17"/>
    <s v="P011"/>
    <s v="公斤"/>
    <n v="3.6"/>
    <n v="3.6"/>
    <n v="0.3"/>
    <n v="4.3"/>
    <s v="正常交付；签收时挑出黄叶退回"/>
    <s v="true"/>
    <s v="红薯叶"/>
    <s v="散装鲜菜"/>
    <s v="模拟_榕树下粉面店"/>
    <n v="15.48"/>
    <n v="1.29"/>
    <n v="14.190000000000001"/>
    <s v=""/>
    <s v=""/>
    <s v=""/>
    <s v=""/>
    <s v="通过"/>
  </r>
  <r>
    <s v="SIM-20260918-C001"/>
    <n v="2"/>
    <s v="C001"/>
    <x v="17"/>
    <s v="P001"/>
    <s v="公斤"/>
    <n v="2.2999999999999998"/>
    <n v="2.2999999999999998"/>
    <n v="0"/>
    <n v="3.4"/>
    <s v="正常交付"/>
    <s v="true"/>
    <s v="土豆"/>
    <s v="散装鲜菜"/>
    <s v="模拟_榕树下粉面店"/>
    <n v="7.82"/>
    <n v="0"/>
    <n v="7.82"/>
    <s v=""/>
    <s v=""/>
    <s v=""/>
    <s v=""/>
    <s v="通过"/>
  </r>
  <r>
    <s v="SIM-20260918-C001"/>
    <n v="3"/>
    <s v="C001"/>
    <x v="17"/>
    <s v="P005"/>
    <s v="公斤"/>
    <n v="2.2999999999999998"/>
    <n v="2.2999999999999998"/>
    <n v="0"/>
    <n v="3.2"/>
    <s v="正常交付"/>
    <s v="true"/>
    <s v="南瓜"/>
    <s v="散装鲜菜"/>
    <s v="模拟_榕树下粉面店"/>
    <n v="7.36"/>
    <n v="0"/>
    <n v="7.36"/>
    <s v=""/>
    <s v=""/>
    <s v=""/>
    <s v=""/>
    <s v="通过"/>
  </r>
  <r>
    <s v="SIM-20260918-C001"/>
    <n v="4"/>
    <s v="C001"/>
    <x v="17"/>
    <s v="P004"/>
    <s v="公斤"/>
    <n v="4.5999999999999996"/>
    <n v="4.5999999999999996"/>
    <n v="0"/>
    <n v="2.6"/>
    <s v="正常交付"/>
    <s v="true"/>
    <s v="冬瓜"/>
    <s v="散装鲜菜"/>
    <s v="模拟_榕树下粉面店"/>
    <n v="11.96"/>
    <n v="0"/>
    <n v="11.96"/>
    <s v=""/>
    <s v=""/>
    <s v=""/>
    <s v=""/>
    <s v="通过"/>
  </r>
  <r>
    <s v="SIM-20260918-C001"/>
    <n v="5"/>
    <s v="C001"/>
    <x v="17"/>
    <s v="P015"/>
    <s v="公斤"/>
    <n v="0.5"/>
    <n v="0.5"/>
    <n v="0"/>
    <n v="7.3"/>
    <s v="正常交付"/>
    <s v="true"/>
    <s v="小葱"/>
    <s v="散装鲜菜"/>
    <s v="模拟_榕树下粉面店"/>
    <n v="3.65"/>
    <n v="0"/>
    <n v="3.65"/>
    <s v=""/>
    <s v=""/>
    <s v=""/>
    <s v=""/>
    <s v="通过"/>
  </r>
  <r>
    <s v="SIM-20260918-C001"/>
    <n v="6"/>
    <s v="C001"/>
    <x v="17"/>
    <s v="P019"/>
    <s v="桶"/>
    <n v="1"/>
    <n v="1"/>
    <n v="0"/>
    <n v="71"/>
    <s v="正常交付"/>
    <s v="true"/>
    <s v="菜籽油"/>
    <s v="5升/桶普通菜籽油"/>
    <s v="模拟_榕树下粉面店"/>
    <n v="71"/>
    <n v="0"/>
    <n v="71"/>
    <s v=""/>
    <s v=""/>
    <s v=""/>
    <s v=""/>
    <s v="通过"/>
  </r>
  <r>
    <s v="SIM-20260918-C001"/>
    <n v="7"/>
    <s v="C001"/>
    <x v="17"/>
    <s v="P018"/>
    <s v="袋"/>
    <n v="1"/>
    <n v="1"/>
    <n v="0"/>
    <n v="113"/>
    <s v="正常交付"/>
    <s v="true"/>
    <s v="小麦粉"/>
    <s v="25公斤/袋普通小麦粉"/>
    <s v="模拟_榕树下粉面店"/>
    <n v="113"/>
    <n v="0"/>
    <n v="113"/>
    <s v=""/>
    <s v=""/>
    <s v=""/>
    <s v=""/>
    <s v="通过"/>
  </r>
  <r>
    <s v="SIM-20260918-C002"/>
    <n v="1"/>
    <s v="C002"/>
    <x v="17"/>
    <s v="P010"/>
    <s v="公斤"/>
    <n v="6.8"/>
    <n v="6.8"/>
    <n v="0"/>
    <n v="4.5"/>
    <s v="正常交付"/>
    <s v="true"/>
    <s v="空心菜"/>
    <s v="散装鲜菜"/>
    <s v="模拟_桥头家常菜馆"/>
    <n v="30.6"/>
    <n v="0"/>
    <n v="30.6"/>
    <s v=""/>
    <s v=""/>
    <s v=""/>
    <s v=""/>
    <s v="通过"/>
  </r>
  <r>
    <s v="SIM-20260918-C002"/>
    <n v="2"/>
    <s v="C002"/>
    <x v="17"/>
    <s v="P002"/>
    <s v="公斤"/>
    <n v="5.3"/>
    <n v="5.3"/>
    <n v="0"/>
    <n v="2.7"/>
    <s v="正常交付"/>
    <s v="true"/>
    <s v="白萝卜"/>
    <s v="散装鲜菜"/>
    <s v="模拟_桥头家常菜馆"/>
    <n v="14.31"/>
    <n v="0"/>
    <n v="14.31"/>
    <s v=""/>
    <s v=""/>
    <s v=""/>
    <s v=""/>
    <s v="通过"/>
  </r>
  <r>
    <s v="SIM-20260918-C002"/>
    <n v="3"/>
    <s v="C002"/>
    <x v="17"/>
    <s v="P013"/>
    <s v="公斤"/>
    <n v="7.6"/>
    <n v="7.6"/>
    <n v="0"/>
    <n v="6"/>
    <s v="正常交付"/>
    <s v="true"/>
    <s v="豇豆"/>
    <s v="散装鲜菜"/>
    <s v="模拟_桥头家常菜馆"/>
    <n v="45.6"/>
    <n v="0"/>
    <n v="45.6"/>
    <s v=""/>
    <s v=""/>
    <s v=""/>
    <s v=""/>
    <s v="通过"/>
  </r>
  <r>
    <s v="SIM-20260918-C002"/>
    <n v="4"/>
    <s v="C002"/>
    <x v="17"/>
    <s v="P014"/>
    <s v="公斤"/>
    <n v="8.4"/>
    <n v="8.4"/>
    <n v="0"/>
    <n v="5"/>
    <s v="正常交付"/>
    <s v="true"/>
    <s v="丝瓜"/>
    <s v="散装鲜菜"/>
    <s v="模拟_桥头家常菜馆"/>
    <n v="42"/>
    <n v="0"/>
    <n v="42"/>
    <s v=""/>
    <s v=""/>
    <s v=""/>
    <s v=""/>
    <s v="通过"/>
  </r>
  <r>
    <s v="SIM-20260918-C002"/>
    <n v="5"/>
    <s v="C002"/>
    <x v="17"/>
    <s v="P009"/>
    <s v="公斤"/>
    <n v="6.8"/>
    <n v="6.3"/>
    <n v="0"/>
    <n v="4.8"/>
    <s v="到货不足；按实际交付计费"/>
    <s v="true"/>
    <s v="西红柿"/>
    <s v="散装鲜菜"/>
    <s v="模拟_桥头家常菜馆"/>
    <n v="30.24"/>
    <n v="0"/>
    <n v="30.24"/>
    <s v=""/>
    <s v=""/>
    <s v=""/>
    <s v=""/>
    <s v="通过"/>
  </r>
  <r>
    <s v="SIM-20260918-C002"/>
    <n v="6"/>
    <s v="C002"/>
    <x v="17"/>
    <s v="P015"/>
    <s v="公斤"/>
    <n v="1"/>
    <n v="1"/>
    <n v="0"/>
    <n v="7.3"/>
    <s v="正常交付"/>
    <s v="true"/>
    <s v="小葱"/>
    <s v="散装鲜菜"/>
    <s v="模拟_桥头家常菜馆"/>
    <n v="7.3"/>
    <n v="0"/>
    <n v="7.3"/>
    <s v=""/>
    <s v=""/>
    <s v=""/>
    <s v=""/>
    <s v="通过"/>
  </r>
  <r>
    <s v="SIM-20260918-C002"/>
    <n v="7"/>
    <s v="C002"/>
    <x v="17"/>
    <s v="P017"/>
    <s v="袋"/>
    <n v="3"/>
    <n v="3"/>
    <n v="0"/>
    <n v="119"/>
    <s v="正常交付"/>
    <s v="true"/>
    <s v="籼米"/>
    <s v="25公斤/袋普通籼米"/>
    <s v="模拟_桥头家常菜馆"/>
    <n v="357"/>
    <n v="0"/>
    <n v="357"/>
    <s v=""/>
    <s v=""/>
    <s v=""/>
    <s v=""/>
    <s v="通过"/>
  </r>
  <r>
    <s v="SIM-20260918-C002"/>
    <n v="8"/>
    <s v="C002"/>
    <x v="17"/>
    <s v="P019"/>
    <s v="桶"/>
    <n v="1"/>
    <n v="1"/>
    <n v="0"/>
    <n v="71"/>
    <s v="正常交付"/>
    <s v="true"/>
    <s v="菜籽油"/>
    <s v="5升/桶普通菜籽油"/>
    <s v="模拟_桥头家常菜馆"/>
    <n v="71"/>
    <n v="0"/>
    <n v="71"/>
    <s v=""/>
    <s v=""/>
    <s v=""/>
    <s v=""/>
    <s v="通过"/>
  </r>
  <r>
    <s v="SIM-20260918-C003"/>
    <n v="1"/>
    <s v="C003"/>
    <x v="17"/>
    <s v="P012"/>
    <s v="公斤"/>
    <n v="5.5"/>
    <n v="5.5"/>
    <n v="0.3"/>
    <n v="5.2"/>
    <s v="正常交付；签收时挑出黄叶退回"/>
    <s v="true"/>
    <s v="小白菜"/>
    <s v="散装鲜菜"/>
    <s v="模拟_兴街快餐店"/>
    <n v="28.6"/>
    <n v="1.56"/>
    <n v="27.040000000000003"/>
    <s v=""/>
    <s v=""/>
    <s v=""/>
    <s v=""/>
    <s v="通过"/>
  </r>
  <r>
    <s v="SIM-20260918-C003"/>
    <n v="2"/>
    <s v="C003"/>
    <x v="17"/>
    <s v="P002"/>
    <s v="公斤"/>
    <n v="6.3"/>
    <n v="6.3"/>
    <n v="0"/>
    <n v="2.7"/>
    <s v="正常交付"/>
    <s v="true"/>
    <s v="白萝卜"/>
    <s v="散装鲜菜"/>
    <s v="模拟_兴街快餐店"/>
    <n v="17.010000000000002"/>
    <n v="0"/>
    <n v="17.010000000000002"/>
    <s v=""/>
    <s v=""/>
    <s v=""/>
    <s v=""/>
    <s v="通过"/>
  </r>
  <r>
    <s v="SIM-20260918-C003"/>
    <n v="3"/>
    <s v="C003"/>
    <x v="17"/>
    <s v="P003"/>
    <s v="公斤"/>
    <n v="9.4"/>
    <n v="9.4"/>
    <n v="0"/>
    <n v="3.5"/>
    <s v="正常交付"/>
    <s v="true"/>
    <s v="包菜"/>
    <s v="散装鲜菜"/>
    <s v="模拟_兴街快餐店"/>
    <n v="32.9"/>
    <n v="0"/>
    <n v="32.9"/>
    <s v=""/>
    <s v=""/>
    <s v=""/>
    <s v=""/>
    <s v="通过"/>
  </r>
  <r>
    <s v="SIM-20260918-C003"/>
    <n v="4"/>
    <s v="C003"/>
    <x v="17"/>
    <s v="P004"/>
    <s v="公斤"/>
    <n v="7.8"/>
    <n v="7.8"/>
    <n v="0"/>
    <n v="2.6"/>
    <s v="正常交付"/>
    <s v="true"/>
    <s v="冬瓜"/>
    <s v="散装鲜菜"/>
    <s v="模拟_兴街快餐店"/>
    <n v="20.28"/>
    <n v="0"/>
    <n v="20.28"/>
    <s v=""/>
    <s v=""/>
    <s v=""/>
    <s v=""/>
    <s v="通过"/>
  </r>
  <r>
    <s v="SIM-20260918-C003"/>
    <n v="5"/>
    <s v="C003"/>
    <x v="17"/>
    <s v="P007"/>
    <s v="公斤"/>
    <n v="12.5"/>
    <n v="12.5"/>
    <n v="0"/>
    <n v="5.25"/>
    <s v="正常交付"/>
    <s v="true"/>
    <s v="青椒"/>
    <s v="散装鲜菜"/>
    <s v="模拟_兴街快餐店"/>
    <n v="65.63"/>
    <n v="0"/>
    <n v="65.63"/>
    <s v=""/>
    <s v=""/>
    <s v=""/>
    <s v=""/>
    <s v="通过"/>
  </r>
  <r>
    <s v="SIM-20260918-C003"/>
    <n v="6"/>
    <s v="C003"/>
    <x v="17"/>
    <s v="P008"/>
    <s v="公斤"/>
    <n v="5.5"/>
    <n v="5.5"/>
    <n v="0"/>
    <n v="4.4000000000000004"/>
    <s v="正常交付"/>
    <s v="true"/>
    <s v="黄瓜"/>
    <s v="散装鲜菜"/>
    <s v="模拟_兴街快餐店"/>
    <n v="24.2"/>
    <n v="0"/>
    <n v="24.2"/>
    <s v=""/>
    <s v=""/>
    <s v=""/>
    <s v=""/>
    <s v="通过"/>
  </r>
  <r>
    <s v="SIM-20260918-C003"/>
    <n v="7"/>
    <s v="C003"/>
    <x v="17"/>
    <s v="P015"/>
    <s v="公斤"/>
    <n v="1"/>
    <n v="1"/>
    <n v="0"/>
    <n v="7.3"/>
    <s v="正常交付"/>
    <s v="true"/>
    <s v="小葱"/>
    <s v="散装鲜菜"/>
    <s v="模拟_兴街快餐店"/>
    <n v="7.3"/>
    <n v="0"/>
    <n v="7.3"/>
    <s v=""/>
    <s v=""/>
    <s v=""/>
    <s v=""/>
    <s v="通过"/>
  </r>
  <r>
    <s v="SIM-20260918-C003"/>
    <n v="8"/>
    <s v="C003"/>
    <x v="17"/>
    <s v="P017"/>
    <s v="袋"/>
    <n v="5"/>
    <n v="5"/>
    <n v="0"/>
    <n v="119"/>
    <s v="正常交付"/>
    <s v="true"/>
    <s v="籼米"/>
    <s v="25公斤/袋普通籼米"/>
    <s v="模拟_兴街快餐店"/>
    <n v="595"/>
    <n v="0"/>
    <n v="595"/>
    <s v=""/>
    <s v=""/>
    <s v=""/>
    <s v=""/>
    <s v="通过"/>
  </r>
  <r>
    <s v="SIM-20260918-C003"/>
    <n v="9"/>
    <s v="C003"/>
    <x v="17"/>
    <s v="P020"/>
    <s v="桶"/>
    <n v="2"/>
    <n v="2"/>
    <n v="0"/>
    <n v="55"/>
    <s v="正常交付"/>
    <s v="true"/>
    <s v="大豆油"/>
    <s v="5升/桶普通大豆油"/>
    <s v="模拟_兴街快餐店"/>
    <n v="110"/>
    <n v="0"/>
    <n v="110"/>
    <s v=""/>
    <s v=""/>
    <s v=""/>
    <s v=""/>
    <s v="通过"/>
  </r>
  <r>
    <s v="SIM-20260918-C005"/>
    <n v="1"/>
    <s v="C005"/>
    <x v="17"/>
    <s v="P012"/>
    <s v="公斤"/>
    <n v="10.4"/>
    <n v="10.4"/>
    <n v="0"/>
    <n v="5.2"/>
    <s v="正常交付"/>
    <s v="true"/>
    <s v="小白菜"/>
    <s v="散装鲜菜"/>
    <s v="模拟_青禾小学食堂"/>
    <n v="54.08"/>
    <n v="0"/>
    <n v="54.08"/>
    <s v=""/>
    <s v=""/>
    <s v=""/>
    <s v=""/>
    <s v="通过"/>
  </r>
  <r>
    <s v="SIM-20260918-C005"/>
    <n v="2"/>
    <s v="C005"/>
    <x v="17"/>
    <s v="P006"/>
    <s v="公斤"/>
    <n v="10.4"/>
    <n v="10.4"/>
    <n v="0"/>
    <n v="4.8"/>
    <s v="正常交付"/>
    <s v="true"/>
    <s v="茄子"/>
    <s v="散装鲜菜"/>
    <s v="模拟_青禾小学食堂"/>
    <n v="49.92"/>
    <n v="0"/>
    <n v="49.92"/>
    <s v=""/>
    <s v=""/>
    <s v=""/>
    <s v=""/>
    <s v="通过"/>
  </r>
  <r>
    <s v="SIM-20260918-C005"/>
    <n v="3"/>
    <s v="C005"/>
    <x v="17"/>
    <s v="P013"/>
    <s v="公斤"/>
    <n v="11.9"/>
    <n v="11.9"/>
    <n v="0"/>
    <n v="6"/>
    <s v="正常交付"/>
    <s v="true"/>
    <s v="豇豆"/>
    <s v="散装鲜菜"/>
    <s v="模拟_青禾小学食堂"/>
    <n v="71.400000000000006"/>
    <n v="0"/>
    <n v="71.400000000000006"/>
    <s v=""/>
    <s v=""/>
    <s v=""/>
    <s v=""/>
    <s v="通过"/>
  </r>
  <r>
    <s v="SIM-20260918-C005"/>
    <n v="4"/>
    <s v="C005"/>
    <x v="17"/>
    <s v="P005"/>
    <s v="公斤"/>
    <n v="11.1"/>
    <n v="11.1"/>
    <n v="0"/>
    <n v="3.2"/>
    <s v="正常交付"/>
    <s v="true"/>
    <s v="南瓜"/>
    <s v="散装鲜菜"/>
    <s v="模拟_青禾小学食堂"/>
    <n v="35.520000000000003"/>
    <n v="0"/>
    <n v="35.520000000000003"/>
    <s v=""/>
    <s v=""/>
    <s v=""/>
    <s v=""/>
    <s v="通过"/>
  </r>
  <r>
    <s v="SIM-20260918-C005"/>
    <n v="5"/>
    <s v="C005"/>
    <x v="17"/>
    <s v="P002"/>
    <s v="公斤"/>
    <n v="8.1"/>
    <n v="8.1"/>
    <n v="0"/>
    <n v="2.7"/>
    <s v="正常交付"/>
    <s v="true"/>
    <s v="白萝卜"/>
    <s v="散装鲜菜"/>
    <s v="模拟_青禾小学食堂"/>
    <n v="21.87"/>
    <n v="0"/>
    <n v="21.87"/>
    <s v=""/>
    <s v=""/>
    <s v=""/>
    <s v=""/>
    <s v="通过"/>
  </r>
  <r>
    <s v="SIM-20260918-C005"/>
    <n v="6"/>
    <s v="C005"/>
    <x v="17"/>
    <s v="P008"/>
    <s v="公斤"/>
    <n v="5.2"/>
    <n v="4.9000000000000004"/>
    <n v="0"/>
    <n v="4.4000000000000004"/>
    <s v="到货不足；按实际交付计费"/>
    <s v="true"/>
    <s v="黄瓜"/>
    <s v="散装鲜菜"/>
    <s v="模拟_青禾小学食堂"/>
    <n v="21.56"/>
    <n v="0"/>
    <n v="21.56"/>
    <s v=""/>
    <s v=""/>
    <s v=""/>
    <s v=""/>
    <s v="通过"/>
  </r>
  <r>
    <s v="SIM-20260918-C006"/>
    <n v="1"/>
    <s v="C006"/>
    <x v="17"/>
    <s v="P012"/>
    <s v="公斤"/>
    <n v="9.9"/>
    <n v="9.9"/>
    <n v="0"/>
    <n v="5.2"/>
    <s v="正常交付"/>
    <s v="true"/>
    <s v="小白菜"/>
    <s v="散装鲜菜"/>
    <s v="模拟_溪桥医院食堂"/>
    <n v="51.48"/>
    <n v="0"/>
    <n v="51.48"/>
    <s v=""/>
    <s v=""/>
    <s v=""/>
    <s v=""/>
    <s v="通过"/>
  </r>
  <r>
    <s v="SIM-20260918-C006"/>
    <n v="2"/>
    <s v="C006"/>
    <x v="17"/>
    <s v="P001"/>
    <s v="公斤"/>
    <n v="7.4"/>
    <n v="7.4"/>
    <n v="0"/>
    <n v="3.4"/>
    <s v="正常交付"/>
    <s v="true"/>
    <s v="土豆"/>
    <s v="散装鲜菜"/>
    <s v="模拟_溪桥医院食堂"/>
    <n v="25.16"/>
    <n v="0"/>
    <n v="25.16"/>
    <s v=""/>
    <s v=""/>
    <s v=""/>
    <s v=""/>
    <s v="通过"/>
  </r>
  <r>
    <s v="SIM-20260918-C006"/>
    <n v="3"/>
    <s v="C006"/>
    <x v="17"/>
    <s v="P006"/>
    <s v="公斤"/>
    <n v="8.6999999999999993"/>
    <n v="8.6999999999999993"/>
    <n v="0"/>
    <n v="4.8"/>
    <s v="正常交付"/>
    <s v="true"/>
    <s v="茄子"/>
    <s v="散装鲜菜"/>
    <s v="模拟_溪桥医院食堂"/>
    <n v="41.76"/>
    <n v="0"/>
    <n v="41.76"/>
    <s v=""/>
    <s v=""/>
    <s v=""/>
    <s v=""/>
    <s v="通过"/>
  </r>
  <r>
    <s v="SIM-20260918-C006"/>
    <n v="4"/>
    <s v="C006"/>
    <x v="17"/>
    <s v="P009"/>
    <s v="公斤"/>
    <n v="8.1"/>
    <n v="8.1"/>
    <n v="0"/>
    <n v="4.8"/>
    <s v="正常交付"/>
    <s v="true"/>
    <s v="西红柿"/>
    <s v="散装鲜菜"/>
    <s v="模拟_溪桥医院食堂"/>
    <n v="38.880000000000003"/>
    <n v="0"/>
    <n v="38.880000000000003"/>
    <s v=""/>
    <s v=""/>
    <s v=""/>
    <s v=""/>
    <s v="通过"/>
  </r>
  <r>
    <s v="SIM-20260918-C006"/>
    <n v="5"/>
    <s v="C006"/>
    <x v="17"/>
    <s v="P003"/>
    <s v="公斤"/>
    <n v="7.4"/>
    <n v="7.4"/>
    <n v="0"/>
    <n v="3.5"/>
    <s v="正常交付"/>
    <s v="true"/>
    <s v="包菜"/>
    <s v="散装鲜菜"/>
    <s v="模拟_溪桥医院食堂"/>
    <n v="25.9"/>
    <n v="0"/>
    <n v="25.9"/>
    <s v=""/>
    <s v=""/>
    <s v=""/>
    <s v=""/>
    <s v="通过"/>
  </r>
  <r>
    <s v="SIM-20260918-C006"/>
    <n v="6"/>
    <s v="C006"/>
    <x v="17"/>
    <s v="P005"/>
    <s v="公斤"/>
    <n v="7.4"/>
    <n v="7.4"/>
    <n v="0"/>
    <n v="3.2"/>
    <s v="正常交付"/>
    <s v="true"/>
    <s v="南瓜"/>
    <s v="散装鲜菜"/>
    <s v="模拟_溪桥医院食堂"/>
    <n v="23.68"/>
    <n v="0"/>
    <n v="23.68"/>
    <s v=""/>
    <s v=""/>
    <s v=""/>
    <s v=""/>
    <s v="通过"/>
  </r>
  <r>
    <s v="SIM-20260919-C001"/>
    <n v="1"/>
    <s v="C001"/>
    <x v="18"/>
    <s v="P012"/>
    <s v="公斤"/>
    <n v="3.1"/>
    <n v="3.1"/>
    <n v="0"/>
    <n v="5.2"/>
    <s v="正常交付"/>
    <s v="true"/>
    <s v="小白菜"/>
    <s v="散装鲜菜"/>
    <s v="模拟_榕树下粉面店"/>
    <n v="16.12"/>
    <n v="0"/>
    <n v="16.12"/>
    <s v=""/>
    <s v=""/>
    <s v=""/>
    <s v=""/>
    <s v="通过"/>
  </r>
  <r>
    <s v="SIM-20260919-C001"/>
    <n v="2"/>
    <s v="C001"/>
    <x v="18"/>
    <s v="P009"/>
    <s v="公斤"/>
    <n v="3.3"/>
    <n v="3.3"/>
    <n v="0"/>
    <n v="4.8"/>
    <s v="正常交付"/>
    <s v="true"/>
    <s v="西红柿"/>
    <s v="散装鲜菜"/>
    <s v="模拟_榕树下粉面店"/>
    <n v="15.84"/>
    <n v="0"/>
    <n v="15.84"/>
    <s v=""/>
    <s v=""/>
    <s v=""/>
    <s v=""/>
    <s v="通过"/>
  </r>
  <r>
    <s v="SIM-20260919-C001"/>
    <n v="3"/>
    <s v="C001"/>
    <x v="18"/>
    <s v="P007"/>
    <s v="公斤"/>
    <n v="2.6"/>
    <n v="2.6"/>
    <n v="0"/>
    <n v="5.25"/>
    <s v="正常交付"/>
    <s v="true"/>
    <s v="青椒"/>
    <s v="散装鲜菜"/>
    <s v="模拟_榕树下粉面店"/>
    <n v="13.65"/>
    <n v="0"/>
    <n v="13.65"/>
    <s v=""/>
    <s v=""/>
    <s v=""/>
    <s v=""/>
    <s v="通过"/>
  </r>
  <r>
    <s v="SIM-20260919-C001"/>
    <n v="4"/>
    <s v="C001"/>
    <x v="18"/>
    <s v="P014"/>
    <s v="公斤"/>
    <n v="2.4"/>
    <n v="2.4"/>
    <n v="0"/>
    <n v="5"/>
    <s v="正常交付"/>
    <s v="true"/>
    <s v="丝瓜"/>
    <s v="散装鲜菜"/>
    <s v="模拟_榕树下粉面店"/>
    <n v="12"/>
    <n v="0"/>
    <n v="12"/>
    <s v=""/>
    <s v=""/>
    <s v=""/>
    <s v=""/>
    <s v="通过"/>
  </r>
  <r>
    <s v="SIM-20260919-C001"/>
    <n v="5"/>
    <s v="C001"/>
    <x v="18"/>
    <s v="P016"/>
    <s v="公斤"/>
    <n v="3"/>
    <n v="3"/>
    <n v="0"/>
    <n v="10.199999999999999"/>
    <s v="正常交付"/>
    <s v="true"/>
    <s v="鸡蛋"/>
    <s v="普通鲜鸡蛋按净重"/>
    <s v="模拟_榕树下粉面店"/>
    <n v="30.6"/>
    <n v="0"/>
    <n v="30.6"/>
    <s v=""/>
    <s v=""/>
    <s v=""/>
    <s v=""/>
    <s v="通过"/>
  </r>
  <r>
    <s v="SIM-20260919-C002"/>
    <n v="1"/>
    <s v="C002"/>
    <x v="18"/>
    <s v="P010"/>
    <s v="公斤"/>
    <n v="6.2"/>
    <n v="6.2"/>
    <n v="0"/>
    <n v="4.5"/>
    <s v="正常交付"/>
    <s v="true"/>
    <s v="空心菜"/>
    <s v="散装鲜菜"/>
    <s v="模拟_桥头家常菜馆"/>
    <n v="27.9"/>
    <n v="0"/>
    <n v="27.9"/>
    <s v=""/>
    <s v=""/>
    <s v=""/>
    <s v=""/>
    <s v="通过"/>
  </r>
  <r>
    <s v="SIM-20260919-C002"/>
    <n v="2"/>
    <s v="C002"/>
    <x v="18"/>
    <s v="P008"/>
    <s v="公斤"/>
    <n v="7.1"/>
    <n v="7.1"/>
    <n v="0"/>
    <n v="4.4000000000000004"/>
    <s v="正常交付"/>
    <s v="true"/>
    <s v="黄瓜"/>
    <s v="散装鲜菜"/>
    <s v="模拟_桥头家常菜馆"/>
    <n v="31.24"/>
    <n v="0"/>
    <n v="31.24"/>
    <s v=""/>
    <s v=""/>
    <s v=""/>
    <s v=""/>
    <s v="通过"/>
  </r>
  <r>
    <s v="SIM-20260919-C002"/>
    <n v="3"/>
    <s v="C002"/>
    <x v="18"/>
    <s v="P007"/>
    <s v="公斤"/>
    <n v="12.4"/>
    <n v="12.4"/>
    <n v="0"/>
    <n v="5.25"/>
    <s v="正常交付"/>
    <s v="true"/>
    <s v="青椒"/>
    <s v="散装鲜菜"/>
    <s v="模拟_桥头家常菜馆"/>
    <n v="65.099999999999994"/>
    <n v="0"/>
    <n v="65.099999999999994"/>
    <s v=""/>
    <s v=""/>
    <s v=""/>
    <s v=""/>
    <s v="通过"/>
  </r>
  <r>
    <s v="SIM-20260919-C002"/>
    <n v="4"/>
    <s v="C002"/>
    <x v="18"/>
    <s v="P002"/>
    <s v="公斤"/>
    <n v="7.1"/>
    <n v="7.1"/>
    <n v="0"/>
    <n v="2.7"/>
    <s v="正常交付"/>
    <s v="true"/>
    <s v="白萝卜"/>
    <s v="散装鲜菜"/>
    <s v="模拟_桥头家常菜馆"/>
    <n v="19.170000000000002"/>
    <n v="0"/>
    <n v="19.170000000000002"/>
    <s v=""/>
    <s v=""/>
    <s v=""/>
    <s v=""/>
    <s v="通过"/>
  </r>
  <r>
    <s v="SIM-20260919-C002"/>
    <n v="5"/>
    <s v="C002"/>
    <x v="18"/>
    <s v="P006"/>
    <s v="公斤"/>
    <n v="6.2"/>
    <n v="6.2"/>
    <n v="0"/>
    <n v="4.8"/>
    <s v="正常交付"/>
    <s v="true"/>
    <s v="茄子"/>
    <s v="散装鲜菜"/>
    <s v="模拟_桥头家常菜馆"/>
    <n v="29.76"/>
    <n v="0"/>
    <n v="29.76"/>
    <s v=""/>
    <s v=""/>
    <s v=""/>
    <s v=""/>
    <s v="通过"/>
  </r>
  <r>
    <s v="SIM-20260919-C002"/>
    <n v="6"/>
    <s v="C002"/>
    <x v="18"/>
    <s v="P016"/>
    <s v="公斤"/>
    <n v="4"/>
    <n v="4"/>
    <n v="0"/>
    <n v="10.199999999999999"/>
    <s v="正常交付"/>
    <s v="true"/>
    <s v="鸡蛋"/>
    <s v="普通鲜鸡蛋按净重"/>
    <s v="模拟_桥头家常菜馆"/>
    <n v="40.799999999999997"/>
    <n v="0"/>
    <n v="40.799999999999997"/>
    <s v=""/>
    <s v=""/>
    <s v=""/>
    <s v=""/>
    <s v="通过"/>
  </r>
  <r>
    <s v="SIM-20260919-C003"/>
    <n v="1"/>
    <s v="C003"/>
    <x v="18"/>
    <s v="P012"/>
    <s v="公斤"/>
    <n v="6.3"/>
    <n v="6.3"/>
    <n v="0"/>
    <n v="5.2"/>
    <s v="正常交付"/>
    <s v="true"/>
    <s v="小白菜"/>
    <s v="散装鲜菜"/>
    <s v="模拟_兴街快餐店"/>
    <n v="32.76"/>
    <n v="0"/>
    <n v="32.76"/>
    <s v=""/>
    <s v=""/>
    <s v=""/>
    <s v=""/>
    <s v="通过"/>
  </r>
  <r>
    <s v="SIM-20260919-C003"/>
    <n v="2"/>
    <s v="C003"/>
    <x v="18"/>
    <s v="P005"/>
    <s v="公斤"/>
    <n v="5.0999999999999996"/>
    <n v="5.0999999999999996"/>
    <n v="0"/>
    <n v="3.2"/>
    <s v="正常交付"/>
    <s v="true"/>
    <s v="南瓜"/>
    <s v="散装鲜菜"/>
    <s v="模拟_兴街快餐店"/>
    <n v="16.32"/>
    <n v="0"/>
    <n v="16.32"/>
    <s v=""/>
    <s v=""/>
    <s v=""/>
    <s v=""/>
    <s v="通过"/>
  </r>
  <r>
    <s v="SIM-20260919-C003"/>
    <n v="3"/>
    <s v="C003"/>
    <x v="18"/>
    <s v="P004"/>
    <s v="公斤"/>
    <n v="8.6"/>
    <n v="8.6"/>
    <n v="0"/>
    <n v="2.6"/>
    <s v="正常交付"/>
    <s v="true"/>
    <s v="冬瓜"/>
    <s v="散装鲜菜"/>
    <s v="模拟_兴街快餐店"/>
    <n v="22.36"/>
    <n v="0"/>
    <n v="22.36"/>
    <s v=""/>
    <s v=""/>
    <s v=""/>
    <s v=""/>
    <s v="通过"/>
  </r>
  <r>
    <s v="SIM-20260919-C003"/>
    <n v="4"/>
    <s v="C003"/>
    <x v="18"/>
    <s v="P001"/>
    <s v="公斤"/>
    <n v="4.5999999999999996"/>
    <n v="4.5999999999999996"/>
    <n v="0"/>
    <n v="3.4"/>
    <s v="正常交付"/>
    <s v="true"/>
    <s v="土豆"/>
    <s v="散装鲜菜"/>
    <s v="模拟_兴街快餐店"/>
    <n v="15.64"/>
    <n v="0"/>
    <n v="15.64"/>
    <s v=""/>
    <s v=""/>
    <s v=""/>
    <s v=""/>
    <s v="通过"/>
  </r>
  <r>
    <s v="SIM-20260919-C003"/>
    <n v="5"/>
    <s v="C003"/>
    <x v="18"/>
    <s v="P014"/>
    <s v="公斤"/>
    <n v="9.1"/>
    <n v="9.1"/>
    <n v="0"/>
    <n v="5"/>
    <s v="正常交付"/>
    <s v="true"/>
    <s v="丝瓜"/>
    <s v="散装鲜菜"/>
    <s v="模拟_兴街快餐店"/>
    <n v="45.5"/>
    <n v="0"/>
    <n v="45.5"/>
    <s v=""/>
    <s v=""/>
    <s v=""/>
    <s v=""/>
    <s v="通过"/>
  </r>
  <r>
    <s v="SIM-20260919-C003"/>
    <n v="6"/>
    <s v="C003"/>
    <x v="18"/>
    <s v="P008"/>
    <s v="公斤"/>
    <n v="9.1"/>
    <n v="9.1"/>
    <n v="0"/>
    <n v="4.4000000000000004"/>
    <s v="正常交付"/>
    <s v="true"/>
    <s v="黄瓜"/>
    <s v="散装鲜菜"/>
    <s v="模拟_兴街快餐店"/>
    <n v="40.04"/>
    <n v="0"/>
    <n v="40.04"/>
    <s v=""/>
    <s v=""/>
    <s v=""/>
    <s v=""/>
    <s v="通过"/>
  </r>
  <r>
    <s v="SIM-20260919-C003"/>
    <n v="7"/>
    <s v="C003"/>
    <x v="18"/>
    <s v="P016"/>
    <s v="公斤"/>
    <n v="6"/>
    <n v="6"/>
    <n v="0"/>
    <n v="10.199999999999999"/>
    <s v="正常交付"/>
    <s v="true"/>
    <s v="鸡蛋"/>
    <s v="普通鲜鸡蛋按净重"/>
    <s v="模拟_兴街快餐店"/>
    <n v="61.2"/>
    <n v="0"/>
    <n v="61.2"/>
    <s v=""/>
    <s v=""/>
    <s v=""/>
    <s v=""/>
    <s v="通过"/>
  </r>
  <r>
    <s v="SIM-20260919-C004"/>
    <n v="1"/>
    <s v="C004"/>
    <x v="18"/>
    <s v="P010"/>
    <s v="公斤"/>
    <n v="6.7"/>
    <n v="6.7"/>
    <n v="0"/>
    <n v="4.5"/>
    <s v="正常交付"/>
    <s v="true"/>
    <s v="空心菜"/>
    <s v="散装鲜菜"/>
    <s v="模拟_田畔饭店"/>
    <n v="30.15"/>
    <n v="0"/>
    <n v="30.15"/>
    <s v=""/>
    <s v=""/>
    <s v=""/>
    <s v=""/>
    <s v="通过"/>
  </r>
  <r>
    <s v="SIM-20260919-C004"/>
    <n v="2"/>
    <s v="C004"/>
    <x v="18"/>
    <s v="P007"/>
    <s v="公斤"/>
    <n v="8.1999999999999993"/>
    <n v="8.1999999999999993"/>
    <n v="0"/>
    <n v="5.25"/>
    <s v="正常交付"/>
    <s v="true"/>
    <s v="青椒"/>
    <s v="散装鲜菜"/>
    <s v="模拟_田畔饭店"/>
    <n v="43.05"/>
    <n v="0"/>
    <n v="43.05"/>
    <s v=""/>
    <s v=""/>
    <s v=""/>
    <s v=""/>
    <s v="通过"/>
  </r>
  <r>
    <s v="SIM-20260919-C004"/>
    <n v="3"/>
    <s v="C004"/>
    <x v="18"/>
    <s v="P004"/>
    <s v="公斤"/>
    <n v="11.1"/>
    <n v="11.1"/>
    <n v="0"/>
    <n v="2.6"/>
    <s v="正常交付"/>
    <s v="true"/>
    <s v="冬瓜"/>
    <s v="散装鲜菜"/>
    <s v="模拟_田畔饭店"/>
    <n v="28.86"/>
    <n v="0"/>
    <n v="28.86"/>
    <s v=""/>
    <s v=""/>
    <s v=""/>
    <s v=""/>
    <s v="通过"/>
  </r>
  <r>
    <s v="SIM-20260919-C004"/>
    <n v="4"/>
    <s v="C004"/>
    <x v="18"/>
    <s v="P002"/>
    <s v="公斤"/>
    <n v="8.1999999999999993"/>
    <n v="8.1999999999999993"/>
    <n v="0"/>
    <n v="2.7"/>
    <s v="正常交付"/>
    <s v="true"/>
    <s v="白萝卜"/>
    <s v="散装鲜菜"/>
    <s v="模拟_田畔饭店"/>
    <n v="22.14"/>
    <n v="0"/>
    <n v="22.14"/>
    <s v=""/>
    <s v=""/>
    <s v=""/>
    <s v=""/>
    <s v="通过"/>
  </r>
  <r>
    <s v="SIM-20260919-C004"/>
    <n v="5"/>
    <s v="C004"/>
    <x v="18"/>
    <s v="P009"/>
    <s v="公斤"/>
    <n v="6.7"/>
    <n v="6.7"/>
    <n v="0"/>
    <n v="4.8"/>
    <s v="正常交付"/>
    <s v="true"/>
    <s v="西红柿"/>
    <s v="散装鲜菜"/>
    <s v="模拟_田畔饭店"/>
    <n v="32.159999999999997"/>
    <n v="0"/>
    <n v="32.159999999999997"/>
    <s v=""/>
    <s v=""/>
    <s v=""/>
    <s v=""/>
    <s v="通过"/>
  </r>
  <r>
    <s v="SIM-20260919-C004"/>
    <n v="6"/>
    <s v="C004"/>
    <x v="18"/>
    <s v="P003"/>
    <s v="公斤"/>
    <n v="5.2"/>
    <n v="5.2"/>
    <n v="0"/>
    <n v="3.5"/>
    <s v="正常交付"/>
    <s v="true"/>
    <s v="包菜"/>
    <s v="散装鲜菜"/>
    <s v="模拟_田畔饭店"/>
    <n v="18.2"/>
    <n v="0"/>
    <n v="18.2"/>
    <s v=""/>
    <s v=""/>
    <s v=""/>
    <s v=""/>
    <s v="通过"/>
  </r>
  <r>
    <s v="SIM-20260919-C004"/>
    <n v="7"/>
    <s v="C004"/>
    <x v="18"/>
    <s v="P016"/>
    <s v="公斤"/>
    <n v="5"/>
    <n v="5"/>
    <n v="0"/>
    <n v="10.199999999999999"/>
    <s v="正常交付"/>
    <s v="true"/>
    <s v="鸡蛋"/>
    <s v="普通鲜鸡蛋按净重"/>
    <s v="模拟_田畔饭店"/>
    <n v="51"/>
    <n v="0"/>
    <n v="51"/>
    <s v=""/>
    <s v=""/>
    <s v=""/>
    <s v=""/>
    <s v="通过"/>
  </r>
  <r>
    <s v="SIM-20260919-C006"/>
    <n v="1"/>
    <s v="C006"/>
    <x v="18"/>
    <s v="P012"/>
    <s v="公斤"/>
    <n v="9.9"/>
    <n v="9.9"/>
    <n v="0"/>
    <n v="5.2"/>
    <s v="正常交付"/>
    <s v="true"/>
    <s v="小白菜"/>
    <s v="散装鲜菜"/>
    <s v="模拟_溪桥医院食堂"/>
    <n v="51.48"/>
    <n v="0"/>
    <n v="51.48"/>
    <s v=""/>
    <s v=""/>
    <s v=""/>
    <s v=""/>
    <s v="通过"/>
  </r>
  <r>
    <s v="SIM-20260919-C006"/>
    <n v="2"/>
    <s v="C006"/>
    <x v="18"/>
    <s v="P006"/>
    <s v="公斤"/>
    <n v="8.1"/>
    <n v="7.6"/>
    <n v="0"/>
    <n v="4.8"/>
    <s v="到货不足；按实际交付计费"/>
    <s v="true"/>
    <s v="茄子"/>
    <s v="散装鲜菜"/>
    <s v="模拟_溪桥医院食堂"/>
    <n v="36.479999999999997"/>
    <n v="0"/>
    <n v="36.479999999999997"/>
    <s v=""/>
    <s v=""/>
    <s v=""/>
    <s v=""/>
    <s v="通过"/>
  </r>
  <r>
    <s v="SIM-20260919-C006"/>
    <n v="3"/>
    <s v="C006"/>
    <x v="18"/>
    <s v="P008"/>
    <s v="公斤"/>
    <n v="11.7"/>
    <n v="11.7"/>
    <n v="0"/>
    <n v="4.4000000000000004"/>
    <s v="正常交付"/>
    <s v="true"/>
    <s v="黄瓜"/>
    <s v="散装鲜菜"/>
    <s v="模拟_溪桥医院食堂"/>
    <n v="51.48"/>
    <n v="0"/>
    <n v="51.48"/>
    <s v=""/>
    <s v=""/>
    <s v=""/>
    <s v=""/>
    <s v="通过"/>
  </r>
  <r>
    <s v="SIM-20260919-C006"/>
    <n v="4"/>
    <s v="C006"/>
    <x v="18"/>
    <s v="P002"/>
    <s v="公斤"/>
    <n v="6.3"/>
    <n v="6.3"/>
    <n v="0"/>
    <n v="2.7"/>
    <s v="正常交付"/>
    <s v="true"/>
    <s v="白萝卜"/>
    <s v="散装鲜菜"/>
    <s v="模拟_溪桥医院食堂"/>
    <n v="17.010000000000002"/>
    <n v="0"/>
    <n v="17.010000000000002"/>
    <s v=""/>
    <s v=""/>
    <s v=""/>
    <s v=""/>
    <s v="通过"/>
  </r>
  <r>
    <s v="SIM-20260919-C006"/>
    <n v="5"/>
    <s v="C006"/>
    <x v="18"/>
    <s v="P003"/>
    <s v="公斤"/>
    <n v="6.3"/>
    <n v="6.3"/>
    <n v="0"/>
    <n v="3.5"/>
    <s v="正常交付"/>
    <s v="true"/>
    <s v="包菜"/>
    <s v="散装鲜菜"/>
    <s v="模拟_溪桥医院食堂"/>
    <n v="22.05"/>
    <n v="0"/>
    <n v="22.05"/>
    <s v=""/>
    <s v=""/>
    <s v=""/>
    <s v=""/>
    <s v="通过"/>
  </r>
  <r>
    <s v="SIM-20260919-C006"/>
    <n v="6"/>
    <s v="C006"/>
    <x v="18"/>
    <s v="P005"/>
    <s v="公斤"/>
    <n v="9.9"/>
    <n v="9.9"/>
    <n v="0"/>
    <n v="3.2"/>
    <s v="正常交付"/>
    <s v="true"/>
    <s v="南瓜"/>
    <s v="散装鲜菜"/>
    <s v="模拟_溪桥医院食堂"/>
    <n v="31.68"/>
    <n v="0"/>
    <n v="31.68"/>
    <s v=""/>
    <s v=""/>
    <s v=""/>
    <s v=""/>
    <s v="通过"/>
  </r>
  <r>
    <s v="SIM-20260919-C006"/>
    <n v="7"/>
    <s v="C006"/>
    <x v="18"/>
    <s v="P016"/>
    <s v="公斤"/>
    <n v="9"/>
    <n v="9"/>
    <n v="0"/>
    <n v="10.199999999999999"/>
    <s v="正常交付"/>
    <s v="true"/>
    <s v="鸡蛋"/>
    <s v="普通鲜鸡蛋按净重"/>
    <s v="模拟_溪桥医院食堂"/>
    <n v="91.8"/>
    <n v="0"/>
    <n v="91.8"/>
    <s v=""/>
    <s v=""/>
    <s v=""/>
    <s v=""/>
    <s v="通过"/>
  </r>
  <r>
    <s v="SIM-20260919-C006"/>
    <n v="8"/>
    <s v="C006"/>
    <x v="18"/>
    <s v="P015"/>
    <s v="公斤"/>
    <n v="1"/>
    <n v="0.5"/>
    <n v="0"/>
    <n v="7.3"/>
    <s v="到货不足；按实际交付计费"/>
    <s v="true"/>
    <s v="小葱"/>
    <s v="散装鲜菜"/>
    <s v="模拟_溪桥医院食堂"/>
    <n v="3.65"/>
    <n v="0"/>
    <n v="3.65"/>
    <s v=""/>
    <s v=""/>
    <s v=""/>
    <s v=""/>
    <s v="通过"/>
  </r>
  <r>
    <s v="SIM-20260920-C002"/>
    <n v="1"/>
    <s v="C002"/>
    <x v="19"/>
    <s v="P012"/>
    <s v="公斤"/>
    <n v="7.7"/>
    <n v="7.7"/>
    <n v="0"/>
    <n v="5.2"/>
    <s v="正常交付"/>
    <s v="true"/>
    <s v="小白菜"/>
    <s v="散装鲜菜"/>
    <s v="模拟_桥头家常菜馆"/>
    <n v="40.04"/>
    <n v="0"/>
    <n v="40.04"/>
    <s v=""/>
    <s v=""/>
    <s v=""/>
    <s v=""/>
    <s v="通过"/>
  </r>
  <r>
    <s v="SIM-20260920-C002"/>
    <n v="2"/>
    <s v="C002"/>
    <x v="19"/>
    <s v="P014"/>
    <s v="公斤"/>
    <n v="7.7"/>
    <n v="7.7"/>
    <n v="0"/>
    <n v="5"/>
    <s v="正常交付"/>
    <s v="true"/>
    <s v="丝瓜"/>
    <s v="散装鲜菜"/>
    <s v="模拟_桥头家常菜馆"/>
    <n v="38.5"/>
    <n v="0"/>
    <n v="38.5"/>
    <s v=""/>
    <s v=""/>
    <s v=""/>
    <s v=""/>
    <s v="通过"/>
  </r>
  <r>
    <s v="SIM-20260920-C002"/>
    <n v="3"/>
    <s v="C002"/>
    <x v="19"/>
    <s v="P005"/>
    <s v="公斤"/>
    <n v="8.3000000000000007"/>
    <n v="8"/>
    <n v="0"/>
    <n v="3.2"/>
    <s v="到货不足；按实际交付计费"/>
    <s v="true"/>
    <s v="南瓜"/>
    <s v="散装鲜菜"/>
    <s v="模拟_桥头家常菜馆"/>
    <n v="25.6"/>
    <n v="0"/>
    <n v="25.6"/>
    <s v=""/>
    <s v=""/>
    <s v=""/>
    <s v=""/>
    <s v="通过"/>
  </r>
  <r>
    <s v="SIM-20260920-C002"/>
    <n v="4"/>
    <s v="C002"/>
    <x v="19"/>
    <s v="P004"/>
    <s v="公斤"/>
    <n v="8.3000000000000007"/>
    <n v="8.3000000000000007"/>
    <n v="0"/>
    <n v="2.6"/>
    <s v="正常交付"/>
    <s v="true"/>
    <s v="冬瓜"/>
    <s v="散装鲜菜"/>
    <s v="模拟_桥头家常菜馆"/>
    <n v="21.58"/>
    <n v="0"/>
    <n v="21.58"/>
    <s v=""/>
    <s v=""/>
    <s v=""/>
    <s v=""/>
    <s v="通过"/>
  </r>
  <r>
    <s v="SIM-20260920-C002"/>
    <n v="5"/>
    <s v="C002"/>
    <x v="19"/>
    <s v="P003"/>
    <s v="公斤"/>
    <n v="6.1"/>
    <n v="6.1"/>
    <n v="0"/>
    <n v="3.5"/>
    <s v="正常交付"/>
    <s v="true"/>
    <s v="包菜"/>
    <s v="散装鲜菜"/>
    <s v="模拟_桥头家常菜馆"/>
    <n v="21.35"/>
    <n v="0"/>
    <n v="21.35"/>
    <s v=""/>
    <s v=""/>
    <s v=""/>
    <s v=""/>
    <s v="通过"/>
  </r>
  <r>
    <s v="SIM-20260920-C005"/>
    <n v="1"/>
    <s v="C005"/>
    <x v="19"/>
    <s v="P011"/>
    <s v="公斤"/>
    <n v="14.7"/>
    <n v="14.7"/>
    <n v="0"/>
    <n v="4.3"/>
    <s v="正常交付"/>
    <s v="true"/>
    <s v="红薯叶"/>
    <s v="散装鲜菜"/>
    <s v="模拟_青禾小学食堂"/>
    <n v="63.21"/>
    <n v="0"/>
    <n v="63.21"/>
    <s v=""/>
    <s v=""/>
    <s v=""/>
    <s v=""/>
    <s v="通过"/>
  </r>
  <r>
    <s v="SIM-20260920-C005"/>
    <n v="2"/>
    <s v="C005"/>
    <x v="19"/>
    <s v="P008"/>
    <s v="公斤"/>
    <n v="13.8"/>
    <n v="13.8"/>
    <n v="0"/>
    <n v="4.4000000000000004"/>
    <s v="正常交付"/>
    <s v="true"/>
    <s v="黄瓜"/>
    <s v="散装鲜菜"/>
    <s v="模拟_青禾小学食堂"/>
    <n v="60.72"/>
    <n v="0"/>
    <n v="60.72"/>
    <s v=""/>
    <s v=""/>
    <s v=""/>
    <s v=""/>
    <s v="通过"/>
  </r>
  <r>
    <s v="SIM-20260920-C005"/>
    <n v="3"/>
    <s v="C005"/>
    <x v="19"/>
    <s v="P013"/>
    <s v="公斤"/>
    <n v="6.9"/>
    <n v="6.9"/>
    <n v="0"/>
    <n v="6"/>
    <s v="正常交付"/>
    <s v="true"/>
    <s v="豇豆"/>
    <s v="散装鲜菜"/>
    <s v="模拟_青禾小学食堂"/>
    <n v="41.4"/>
    <n v="0"/>
    <n v="41.4"/>
    <s v=""/>
    <s v=""/>
    <s v=""/>
    <s v=""/>
    <s v="通过"/>
  </r>
  <r>
    <s v="SIM-20260920-C005"/>
    <n v="4"/>
    <s v="C005"/>
    <x v="19"/>
    <s v="P007"/>
    <s v="公斤"/>
    <n v="15.7"/>
    <n v="15.7"/>
    <n v="0"/>
    <n v="5.25"/>
    <s v="正常交付"/>
    <s v="true"/>
    <s v="青椒"/>
    <s v="散装鲜菜"/>
    <s v="模拟_青禾小学食堂"/>
    <n v="82.43"/>
    <n v="0"/>
    <n v="82.43"/>
    <s v=""/>
    <s v=""/>
    <s v=""/>
    <s v=""/>
    <s v="通过"/>
  </r>
  <r>
    <s v="SIM-20260920-C005"/>
    <n v="5"/>
    <s v="C005"/>
    <x v="19"/>
    <s v="P009"/>
    <s v="公斤"/>
    <n v="10.8"/>
    <n v="10.8"/>
    <n v="0"/>
    <n v="4.8"/>
    <s v="正常交付"/>
    <s v="true"/>
    <s v="西红柿"/>
    <s v="散装鲜菜"/>
    <s v="模拟_青禾小学食堂"/>
    <n v="51.84"/>
    <n v="0"/>
    <n v="51.84"/>
    <s v=""/>
    <s v=""/>
    <s v=""/>
    <s v=""/>
    <s v="通过"/>
  </r>
  <r>
    <s v="SIM-20260920-C005"/>
    <n v="6"/>
    <s v="C005"/>
    <x v="19"/>
    <s v="P014"/>
    <s v="公斤"/>
    <n v="6.9"/>
    <n v="6.9"/>
    <n v="0"/>
    <n v="5"/>
    <s v="正常交付"/>
    <s v="true"/>
    <s v="丝瓜"/>
    <s v="散装鲜菜"/>
    <s v="模拟_青禾小学食堂"/>
    <n v="34.5"/>
    <n v="0"/>
    <n v="34.5"/>
    <s v=""/>
    <s v=""/>
    <s v=""/>
    <s v=""/>
    <s v="通过"/>
  </r>
  <r>
    <s v="SIM-20260920-C005"/>
    <n v="7"/>
    <s v="C005"/>
    <x v="19"/>
    <s v="P016"/>
    <s v="公斤"/>
    <n v="12"/>
    <n v="12"/>
    <n v="0"/>
    <n v="10.199999999999999"/>
    <s v="正常交付"/>
    <s v="true"/>
    <s v="鸡蛋"/>
    <s v="普通鲜鸡蛋按净重"/>
    <s v="模拟_青禾小学食堂"/>
    <n v="122.4"/>
    <n v="0"/>
    <n v="122.4"/>
    <s v=""/>
    <s v=""/>
    <s v=""/>
    <s v=""/>
    <s v="通过"/>
  </r>
  <r>
    <s v="SIM-20260920-C006"/>
    <n v="1"/>
    <s v="C006"/>
    <x v="19"/>
    <s v="P012"/>
    <s v="公斤"/>
    <n v="10.9"/>
    <n v="10.9"/>
    <n v="0.2"/>
    <n v="5.2"/>
    <s v="正常交付；签收时挑出黄叶退回"/>
    <s v="true"/>
    <s v="小白菜"/>
    <s v="散装鲜菜"/>
    <s v="模拟_溪桥医院食堂"/>
    <n v="56.68"/>
    <n v="1.04"/>
    <n v="55.64"/>
    <s v=""/>
    <s v=""/>
    <s v=""/>
    <s v=""/>
    <s v="通过"/>
  </r>
  <r>
    <s v="SIM-20260920-C006"/>
    <n v="2"/>
    <s v="C006"/>
    <x v="19"/>
    <s v="P005"/>
    <s v="公斤"/>
    <n v="9.5"/>
    <n v="9.5"/>
    <n v="0"/>
    <n v="3.2"/>
    <s v="正常交付"/>
    <s v="true"/>
    <s v="南瓜"/>
    <s v="散装鲜菜"/>
    <s v="模拟_溪桥医院食堂"/>
    <n v="30.4"/>
    <n v="0"/>
    <n v="30.4"/>
    <s v=""/>
    <s v=""/>
    <s v=""/>
    <s v=""/>
    <s v="通过"/>
  </r>
  <r>
    <s v="SIM-20260920-C006"/>
    <n v="3"/>
    <s v="C006"/>
    <x v="19"/>
    <s v="P001"/>
    <s v="公斤"/>
    <n v="8.1999999999999993"/>
    <n v="8.1999999999999993"/>
    <n v="0"/>
    <n v="3.4"/>
    <s v="正常交付"/>
    <s v="true"/>
    <s v="土豆"/>
    <s v="散装鲜菜"/>
    <s v="模拟_溪桥医院食堂"/>
    <n v="27.88"/>
    <n v="0"/>
    <n v="27.88"/>
    <s v=""/>
    <s v=""/>
    <s v=""/>
    <s v=""/>
    <s v="通过"/>
  </r>
  <r>
    <s v="SIM-20260920-C006"/>
    <n v="4"/>
    <s v="C006"/>
    <x v="19"/>
    <s v="P009"/>
    <s v="公斤"/>
    <n v="8.1999999999999993"/>
    <n v="8.1999999999999993"/>
    <n v="0"/>
    <n v="4.8"/>
    <s v="正常交付"/>
    <s v="true"/>
    <s v="西红柿"/>
    <s v="散装鲜菜"/>
    <s v="模拟_溪桥医院食堂"/>
    <n v="39.36"/>
    <n v="0"/>
    <n v="39.36"/>
    <s v=""/>
    <s v=""/>
    <s v=""/>
    <s v=""/>
    <s v="通过"/>
  </r>
  <r>
    <s v="SIM-20260920-C006"/>
    <n v="5"/>
    <s v="C006"/>
    <x v="19"/>
    <s v="P006"/>
    <s v="公斤"/>
    <n v="8.1999999999999993"/>
    <n v="8.1999999999999993"/>
    <n v="0"/>
    <n v="4.8"/>
    <s v="正常交付"/>
    <s v="true"/>
    <s v="茄子"/>
    <s v="散装鲜菜"/>
    <s v="模拟_溪桥医院食堂"/>
    <n v="39.36"/>
    <n v="0"/>
    <n v="39.36"/>
    <s v=""/>
    <s v=""/>
    <s v=""/>
    <s v=""/>
    <s v="通过"/>
  </r>
  <r>
    <s v="SIM-20260920-C006"/>
    <n v="6"/>
    <s v="C006"/>
    <x v="19"/>
    <s v="P008"/>
    <s v="公斤"/>
    <n v="7.5"/>
    <n v="7.5"/>
    <n v="0"/>
    <n v="4.4000000000000004"/>
    <s v="正常交付"/>
    <s v="true"/>
    <s v="黄瓜"/>
    <s v="散装鲜菜"/>
    <s v="模拟_溪桥医院食堂"/>
    <n v="33"/>
    <n v="0"/>
    <n v="33"/>
    <s v=""/>
    <s v=""/>
    <s v=""/>
    <s v=""/>
    <s v="通过"/>
  </r>
  <r>
    <s v="SIM-20260921-C001"/>
    <n v="1"/>
    <s v="C001"/>
    <x v="20"/>
    <s v="P010"/>
    <s v="公斤"/>
    <n v="2.2000000000000002"/>
    <n v="1.7"/>
    <n v="0.2"/>
    <n v="4.5"/>
    <s v="到货不足；按实际交付计费；签收时挑出黄叶退回"/>
    <s v="true"/>
    <s v="空心菜"/>
    <s v="散装鲜菜"/>
    <s v="模拟_榕树下粉面店"/>
    <n v="7.65"/>
    <n v="0.9"/>
    <n v="6.75"/>
    <s v=""/>
    <s v=""/>
    <s v=""/>
    <s v=""/>
    <s v="通过"/>
  </r>
  <r>
    <s v="SIM-20260921-C001"/>
    <n v="2"/>
    <s v="C001"/>
    <x v="20"/>
    <s v="P004"/>
    <s v="公斤"/>
    <n v="3.2"/>
    <n v="3.2"/>
    <n v="0"/>
    <n v="2.6"/>
    <s v="正常交付"/>
    <s v="true"/>
    <s v="冬瓜"/>
    <s v="散装鲜菜"/>
    <s v="模拟_榕树下粉面店"/>
    <n v="8.32"/>
    <n v="0"/>
    <n v="8.32"/>
    <s v=""/>
    <s v=""/>
    <s v=""/>
    <s v=""/>
    <s v="通过"/>
  </r>
  <r>
    <s v="SIM-20260921-C001"/>
    <n v="3"/>
    <s v="C001"/>
    <x v="20"/>
    <s v="P008"/>
    <s v="公斤"/>
    <n v="3.5"/>
    <n v="3.5"/>
    <n v="0"/>
    <n v="4.4000000000000004"/>
    <s v="正常交付"/>
    <s v="true"/>
    <s v="黄瓜"/>
    <s v="散装鲜菜"/>
    <s v="模拟_榕树下粉面店"/>
    <n v="15.4"/>
    <n v="0"/>
    <n v="15.4"/>
    <s v=""/>
    <s v=""/>
    <s v=""/>
    <s v=""/>
    <s v="通过"/>
  </r>
  <r>
    <s v="SIM-20260921-C001"/>
    <n v="4"/>
    <s v="C001"/>
    <x v="20"/>
    <s v="P009"/>
    <s v="公斤"/>
    <n v="2.9"/>
    <n v="2.9"/>
    <n v="0"/>
    <n v="4.8"/>
    <s v="正常交付"/>
    <s v="true"/>
    <s v="西红柿"/>
    <s v="散装鲜菜"/>
    <s v="模拟_榕树下粉面店"/>
    <n v="13.92"/>
    <n v="0"/>
    <n v="13.92"/>
    <s v=""/>
    <s v=""/>
    <s v=""/>
    <s v=""/>
    <s v="通过"/>
  </r>
  <r>
    <s v="SIM-20260921-C003"/>
    <n v="1"/>
    <s v="C003"/>
    <x v="20"/>
    <s v="P011"/>
    <s v="公斤"/>
    <n v="6.5"/>
    <n v="6.5"/>
    <n v="0"/>
    <n v="4.3"/>
    <s v="正常交付"/>
    <s v="true"/>
    <s v="红薯叶"/>
    <s v="散装鲜菜"/>
    <s v="模拟_兴街快餐店"/>
    <n v="27.95"/>
    <n v="0"/>
    <n v="27.95"/>
    <s v=""/>
    <s v=""/>
    <s v=""/>
    <s v=""/>
    <s v="通过"/>
  </r>
  <r>
    <s v="SIM-20260921-C003"/>
    <n v="2"/>
    <s v="C003"/>
    <x v="20"/>
    <s v="P003"/>
    <s v="公斤"/>
    <n v="4.5999999999999996"/>
    <n v="4.5999999999999996"/>
    <n v="0"/>
    <n v="3.5"/>
    <s v="正常交付"/>
    <s v="true"/>
    <s v="包菜"/>
    <s v="散装鲜菜"/>
    <s v="模拟_兴街快餐店"/>
    <n v="16.100000000000001"/>
    <n v="0"/>
    <n v="16.100000000000001"/>
    <s v=""/>
    <s v=""/>
    <s v=""/>
    <s v=""/>
    <s v="通过"/>
  </r>
  <r>
    <s v="SIM-20260921-C003"/>
    <n v="3"/>
    <s v="C003"/>
    <x v="20"/>
    <s v="P002"/>
    <s v="公斤"/>
    <n v="4.5999999999999996"/>
    <n v="4.0999999999999996"/>
    <n v="0"/>
    <n v="2.7"/>
    <s v="到货不足；按实际交付计费"/>
    <s v="true"/>
    <s v="白萝卜"/>
    <s v="散装鲜菜"/>
    <s v="模拟_兴街快餐店"/>
    <n v="11.07"/>
    <n v="0"/>
    <n v="11.07"/>
    <s v=""/>
    <s v=""/>
    <s v=""/>
    <s v=""/>
    <s v="通过"/>
  </r>
  <r>
    <s v="SIM-20260921-C003"/>
    <n v="4"/>
    <s v="C003"/>
    <x v="20"/>
    <s v="P001"/>
    <s v="公斤"/>
    <n v="8.5"/>
    <n v="8.3000000000000007"/>
    <n v="0"/>
    <n v="3.4"/>
    <s v="到货不足；按实际交付计费"/>
    <s v="true"/>
    <s v="土豆"/>
    <s v="散装鲜菜"/>
    <s v="模拟_兴街快餐店"/>
    <n v="28.22"/>
    <n v="0"/>
    <n v="28.22"/>
    <s v=""/>
    <s v=""/>
    <s v=""/>
    <s v=""/>
    <s v="通过"/>
  </r>
  <r>
    <s v="SIM-20260921-C003"/>
    <n v="5"/>
    <s v="C003"/>
    <x v="20"/>
    <s v="P004"/>
    <s v="公斤"/>
    <n v="5.2"/>
    <n v="5.2"/>
    <n v="0"/>
    <n v="2.6"/>
    <s v="正常交付"/>
    <s v="true"/>
    <s v="冬瓜"/>
    <s v="散装鲜菜"/>
    <s v="模拟_兴街快餐店"/>
    <n v="13.52"/>
    <n v="0"/>
    <n v="13.52"/>
    <s v=""/>
    <s v=""/>
    <s v=""/>
    <s v=""/>
    <s v="通过"/>
  </r>
  <r>
    <s v="SIM-20260921-C003"/>
    <n v="6"/>
    <s v="C003"/>
    <x v="20"/>
    <s v="P008"/>
    <s v="公斤"/>
    <n v="8.5"/>
    <n v="8.5"/>
    <n v="0"/>
    <n v="4.4000000000000004"/>
    <s v="正常交付"/>
    <s v="true"/>
    <s v="黄瓜"/>
    <s v="散装鲜菜"/>
    <s v="模拟_兴街快餐店"/>
    <n v="37.4"/>
    <n v="0"/>
    <n v="37.4"/>
    <s v=""/>
    <s v=""/>
    <s v=""/>
    <s v=""/>
    <s v="通过"/>
  </r>
  <r>
    <s v="SIM-20260921-C005"/>
    <n v="1"/>
    <s v="C005"/>
    <x v="20"/>
    <s v="P010"/>
    <s v="公斤"/>
    <n v="15.2"/>
    <n v="15.2"/>
    <n v="0"/>
    <n v="4.5"/>
    <s v="正常交付"/>
    <s v="true"/>
    <s v="空心菜"/>
    <s v="散装鲜菜"/>
    <s v="模拟_青禾小学食堂"/>
    <n v="68.400000000000006"/>
    <n v="0"/>
    <n v="68.400000000000006"/>
    <s v=""/>
    <s v=""/>
    <s v=""/>
    <s v=""/>
    <s v="通过"/>
  </r>
  <r>
    <s v="SIM-20260921-C005"/>
    <n v="2"/>
    <s v="C005"/>
    <x v="20"/>
    <s v="P004"/>
    <s v="公斤"/>
    <n v="15.2"/>
    <n v="15.2"/>
    <n v="0"/>
    <n v="2.6"/>
    <s v="正常交付"/>
    <s v="true"/>
    <s v="冬瓜"/>
    <s v="散装鲜菜"/>
    <s v="模拟_青禾小学食堂"/>
    <n v="39.520000000000003"/>
    <n v="0"/>
    <n v="39.520000000000003"/>
    <s v=""/>
    <s v=""/>
    <s v=""/>
    <s v=""/>
    <s v="通过"/>
  </r>
  <r>
    <s v="SIM-20260921-C005"/>
    <n v="3"/>
    <s v="C005"/>
    <x v="20"/>
    <s v="P014"/>
    <s v="公斤"/>
    <n v="12.3"/>
    <n v="12.3"/>
    <n v="0"/>
    <n v="5"/>
    <s v="正常交付"/>
    <s v="true"/>
    <s v="丝瓜"/>
    <s v="散装鲜菜"/>
    <s v="模拟_青禾小学食堂"/>
    <n v="61.5"/>
    <n v="0"/>
    <n v="61.5"/>
    <s v=""/>
    <s v=""/>
    <s v=""/>
    <s v=""/>
    <s v="通过"/>
  </r>
  <r>
    <s v="SIM-20260921-C005"/>
    <n v="4"/>
    <s v="C005"/>
    <x v="20"/>
    <s v="P005"/>
    <s v="公斤"/>
    <n v="6.6"/>
    <n v="6.6"/>
    <n v="0"/>
    <n v="3.2"/>
    <s v="正常交付"/>
    <s v="true"/>
    <s v="南瓜"/>
    <s v="散装鲜菜"/>
    <s v="模拟_青禾小学食堂"/>
    <n v="21.12"/>
    <n v="0"/>
    <n v="21.12"/>
    <s v=""/>
    <s v=""/>
    <s v=""/>
    <s v=""/>
    <s v="通过"/>
  </r>
  <r>
    <s v="SIM-20260921-C005"/>
    <n v="5"/>
    <s v="C005"/>
    <x v="20"/>
    <s v="P009"/>
    <s v="公斤"/>
    <n v="8.5"/>
    <n v="8.5"/>
    <n v="0"/>
    <n v="4.8"/>
    <s v="正常交付"/>
    <s v="true"/>
    <s v="西红柿"/>
    <s v="散装鲜菜"/>
    <s v="模拟_青禾小学食堂"/>
    <n v="40.799999999999997"/>
    <n v="0"/>
    <n v="40.799999999999997"/>
    <s v=""/>
    <s v=""/>
    <s v=""/>
    <s v=""/>
    <s v="通过"/>
  </r>
  <r>
    <s v="SIM-20260921-C005"/>
    <n v="6"/>
    <s v="C005"/>
    <x v="20"/>
    <s v="P001"/>
    <s v="公斤"/>
    <n v="8.5"/>
    <n v="8.5"/>
    <n v="0"/>
    <n v="3.4"/>
    <s v="正常交付"/>
    <s v="true"/>
    <s v="土豆"/>
    <s v="散装鲜菜"/>
    <s v="模拟_青禾小学食堂"/>
    <n v="28.9"/>
    <n v="0"/>
    <n v="28.9"/>
    <s v=""/>
    <s v=""/>
    <s v=""/>
    <s v=""/>
    <s v="通过"/>
  </r>
  <r>
    <s v="SIM-20260921-C005"/>
    <n v="7"/>
    <s v="C005"/>
    <x v="20"/>
    <s v="P015"/>
    <s v="公斤"/>
    <n v="1"/>
    <n v="1"/>
    <n v="0"/>
    <n v="7.3"/>
    <s v="正常交付"/>
    <s v="true"/>
    <s v="小葱"/>
    <s v="散装鲜菜"/>
    <s v="模拟_青禾小学食堂"/>
    <n v="7.3"/>
    <n v="0"/>
    <n v="7.3"/>
    <s v=""/>
    <s v=""/>
    <s v=""/>
    <s v=""/>
    <s v="通过"/>
  </r>
  <r>
    <s v="SIM-20260921-C005"/>
    <n v="8"/>
    <s v="C005"/>
    <x v="20"/>
    <s v="P017"/>
    <s v="袋"/>
    <n v="6"/>
    <n v="6"/>
    <n v="0"/>
    <n v="119"/>
    <s v="正常交付"/>
    <s v="true"/>
    <s v="籼米"/>
    <s v="25公斤/袋普通籼米"/>
    <s v="模拟_青禾小学食堂"/>
    <n v="714"/>
    <n v="0"/>
    <n v="714"/>
    <s v=""/>
    <s v=""/>
    <s v=""/>
    <s v=""/>
    <s v="通过"/>
  </r>
  <r>
    <s v="SIM-20260921-C005"/>
    <n v="9"/>
    <s v="C005"/>
    <x v="20"/>
    <s v="P020"/>
    <s v="桶"/>
    <n v="2"/>
    <n v="2"/>
    <n v="0"/>
    <n v="55"/>
    <s v="正常交付"/>
    <s v="true"/>
    <s v="大豆油"/>
    <s v="5升/桶普通大豆油"/>
    <s v="模拟_青禾小学食堂"/>
    <n v="110"/>
    <n v="0"/>
    <n v="110"/>
    <s v=""/>
    <s v=""/>
    <s v=""/>
    <s v=""/>
    <s v="通过"/>
  </r>
  <r>
    <s v="SIM-20260921-C006"/>
    <n v="1"/>
    <s v="C006"/>
    <x v="20"/>
    <s v="P011"/>
    <s v="公斤"/>
    <n v="12.1"/>
    <n v="12.1"/>
    <n v="0"/>
    <n v="4.3"/>
    <s v="正常交付"/>
    <s v="true"/>
    <s v="红薯叶"/>
    <s v="散装鲜菜"/>
    <s v="模拟_溪桥医院食堂"/>
    <n v="52.03"/>
    <n v="0"/>
    <n v="52.03"/>
    <s v=""/>
    <s v=""/>
    <s v=""/>
    <s v=""/>
    <s v="通过"/>
  </r>
  <r>
    <s v="SIM-20260921-C006"/>
    <n v="2"/>
    <s v="C006"/>
    <x v="20"/>
    <s v="P001"/>
    <s v="公斤"/>
    <n v="11.3"/>
    <n v="11.3"/>
    <n v="0"/>
    <n v="3.4"/>
    <s v="正常交付"/>
    <s v="true"/>
    <s v="土豆"/>
    <s v="散装鲜菜"/>
    <s v="模拟_溪桥医院食堂"/>
    <n v="38.42"/>
    <n v="0"/>
    <n v="38.42"/>
    <s v=""/>
    <s v=""/>
    <s v=""/>
    <s v=""/>
    <s v="通过"/>
  </r>
  <r>
    <s v="SIM-20260921-C006"/>
    <n v="3"/>
    <s v="C006"/>
    <x v="20"/>
    <s v="P009"/>
    <s v="公斤"/>
    <n v="5.6"/>
    <n v="5.6"/>
    <n v="0"/>
    <n v="4.8"/>
    <s v="正常交付"/>
    <s v="true"/>
    <s v="西红柿"/>
    <s v="散装鲜菜"/>
    <s v="模拟_溪桥医院食堂"/>
    <n v="26.88"/>
    <n v="0"/>
    <n v="26.88"/>
    <s v=""/>
    <s v=""/>
    <s v=""/>
    <s v=""/>
    <s v="通过"/>
  </r>
  <r>
    <s v="SIM-20260921-C006"/>
    <n v="4"/>
    <s v="C006"/>
    <x v="20"/>
    <s v="P013"/>
    <s v="公斤"/>
    <n v="5.6"/>
    <n v="5.6"/>
    <n v="0"/>
    <n v="6"/>
    <s v="正常交付"/>
    <s v="true"/>
    <s v="豇豆"/>
    <s v="散装鲜菜"/>
    <s v="模拟_溪桥医院食堂"/>
    <n v="33.6"/>
    <n v="0"/>
    <n v="33.6"/>
    <s v=""/>
    <s v=""/>
    <s v=""/>
    <s v=""/>
    <s v="通过"/>
  </r>
  <r>
    <s v="SIM-20260921-C006"/>
    <n v="5"/>
    <s v="C006"/>
    <x v="20"/>
    <s v="P007"/>
    <s v="公斤"/>
    <n v="7.2"/>
    <n v="7.2"/>
    <n v="0"/>
    <n v="5.25"/>
    <s v="正常交付"/>
    <s v="true"/>
    <s v="青椒"/>
    <s v="散装鲜菜"/>
    <s v="模拟_溪桥医院食堂"/>
    <n v="37.799999999999997"/>
    <n v="0"/>
    <n v="37.799999999999997"/>
    <s v=""/>
    <s v=""/>
    <s v=""/>
    <s v=""/>
    <s v="通过"/>
  </r>
  <r>
    <s v="SIM-20260921-C006"/>
    <n v="6"/>
    <s v="C006"/>
    <x v="20"/>
    <s v="P002"/>
    <s v="公斤"/>
    <n v="5.6"/>
    <n v="5.6"/>
    <n v="0"/>
    <n v="2.7"/>
    <s v="正常交付"/>
    <s v="true"/>
    <s v="白萝卜"/>
    <s v="散装鲜菜"/>
    <s v="模拟_溪桥医院食堂"/>
    <n v="15.12"/>
    <n v="0"/>
    <n v="15.12"/>
    <s v=""/>
    <s v=""/>
    <s v=""/>
    <s v=""/>
    <s v="通过"/>
  </r>
  <r>
    <s v="SIM-20260921-C006"/>
    <n v="7"/>
    <s v="C006"/>
    <x v="20"/>
    <s v="P016"/>
    <s v="公斤"/>
    <n v="9"/>
    <n v="9"/>
    <n v="0.1"/>
    <n v="10.199999999999999"/>
    <s v="正常交付；签收时破损退回"/>
    <s v="true"/>
    <s v="鸡蛋"/>
    <s v="普通鲜鸡蛋按净重"/>
    <s v="模拟_溪桥医院食堂"/>
    <n v="91.8"/>
    <n v="1.02"/>
    <n v="90.78"/>
    <s v=""/>
    <s v=""/>
    <s v=""/>
    <s v=""/>
    <s v="通过"/>
  </r>
  <r>
    <s v="SIM-20260921-C006"/>
    <n v="8"/>
    <s v="C006"/>
    <x v="20"/>
    <s v="P017"/>
    <s v="袋"/>
    <n v="4"/>
    <n v="4"/>
    <n v="0"/>
    <n v="119"/>
    <s v="正常交付"/>
    <s v="true"/>
    <s v="籼米"/>
    <s v="25公斤/袋普通籼米"/>
    <s v="模拟_溪桥医院食堂"/>
    <n v="476"/>
    <n v="0"/>
    <n v="476"/>
    <s v=""/>
    <s v=""/>
    <s v=""/>
    <s v=""/>
    <s v="通过"/>
  </r>
  <r>
    <s v="SIM-20260921-C006"/>
    <n v="9"/>
    <s v="C006"/>
    <x v="20"/>
    <s v="P020"/>
    <s v="桶"/>
    <n v="2"/>
    <n v="2"/>
    <n v="0"/>
    <n v="55"/>
    <s v="正常交付"/>
    <s v="true"/>
    <s v="大豆油"/>
    <s v="5升/桶普通大豆油"/>
    <s v="模拟_溪桥医院食堂"/>
    <n v="110"/>
    <n v="0"/>
    <n v="110"/>
    <s v=""/>
    <s v=""/>
    <s v=""/>
    <s v=""/>
    <s v="通过"/>
  </r>
  <r>
    <s v="SIM-20260922-C001"/>
    <n v="1"/>
    <s v="C001"/>
    <x v="21"/>
    <s v="P011"/>
    <s v="公斤"/>
    <n v="2.9"/>
    <n v="2.9"/>
    <n v="0"/>
    <n v="4.8"/>
    <s v="正常交付"/>
    <s v="true"/>
    <s v="红薯叶"/>
    <s v="散装鲜菜"/>
    <s v="模拟_榕树下粉面店"/>
    <n v="13.92"/>
    <n v="0"/>
    <n v="13.92"/>
    <s v=""/>
    <s v=""/>
    <s v=""/>
    <s v=""/>
    <s v="通过"/>
  </r>
  <r>
    <s v="SIM-20260922-C001"/>
    <n v="2"/>
    <s v="C001"/>
    <x v="21"/>
    <s v="P002"/>
    <s v="公斤"/>
    <n v="2.9"/>
    <n v="2.9"/>
    <n v="0"/>
    <n v="2.5"/>
    <s v="正常交付"/>
    <s v="true"/>
    <s v="白萝卜"/>
    <s v="散装鲜菜"/>
    <s v="模拟_榕树下粉面店"/>
    <n v="7.25"/>
    <n v="0"/>
    <n v="7.25"/>
    <s v=""/>
    <s v=""/>
    <s v=""/>
    <s v=""/>
    <s v="通过"/>
  </r>
  <r>
    <s v="SIM-20260922-C001"/>
    <n v="3"/>
    <s v="C001"/>
    <x v="21"/>
    <s v="P014"/>
    <s v="公斤"/>
    <n v="4.2"/>
    <n v="4.2"/>
    <n v="0"/>
    <n v="4.9000000000000004"/>
    <s v="正常交付"/>
    <s v="true"/>
    <s v="丝瓜"/>
    <s v="散装鲜菜"/>
    <s v="模拟_榕树下粉面店"/>
    <n v="20.58"/>
    <n v="0"/>
    <n v="20.58"/>
    <s v=""/>
    <s v=""/>
    <s v=""/>
    <s v=""/>
    <s v="通过"/>
  </r>
  <r>
    <s v="SIM-20260922-C001"/>
    <n v="4"/>
    <s v="C001"/>
    <x v="21"/>
    <s v="P005"/>
    <s v="公斤"/>
    <n v="3.2"/>
    <n v="3.2"/>
    <n v="0"/>
    <n v="2.7"/>
    <s v="正常交付"/>
    <s v="true"/>
    <s v="南瓜"/>
    <s v="散装鲜菜"/>
    <s v="模拟_榕树下粉面店"/>
    <n v="8.64"/>
    <n v="0"/>
    <n v="8.64"/>
    <s v=""/>
    <s v=""/>
    <s v=""/>
    <s v=""/>
    <s v="通过"/>
  </r>
  <r>
    <s v="SIM-20260922-C001"/>
    <n v="5"/>
    <s v="C001"/>
    <x v="21"/>
    <s v="P016"/>
    <s v="公斤"/>
    <n v="3"/>
    <n v="3"/>
    <n v="0"/>
    <n v="10.4"/>
    <s v="正常交付"/>
    <s v="true"/>
    <s v="鸡蛋"/>
    <s v="普通鲜鸡蛋按净重"/>
    <s v="模拟_榕树下粉面店"/>
    <n v="31.2"/>
    <n v="0"/>
    <n v="31.2"/>
    <s v=""/>
    <s v=""/>
    <s v=""/>
    <s v=""/>
    <s v="通过"/>
  </r>
  <r>
    <s v="SIM-20260922-C001"/>
    <n v="6"/>
    <s v="C001"/>
    <x v="21"/>
    <s v="P015"/>
    <s v="公斤"/>
    <n v="0.5"/>
    <n v="0.5"/>
    <n v="0"/>
    <n v="7.8"/>
    <s v="正常交付"/>
    <s v="true"/>
    <s v="小葱"/>
    <s v="散装鲜菜"/>
    <s v="模拟_榕树下粉面店"/>
    <n v="3.9"/>
    <n v="0"/>
    <n v="3.9"/>
    <s v=""/>
    <s v=""/>
    <s v=""/>
    <s v=""/>
    <s v="通过"/>
  </r>
  <r>
    <s v="SIM-20260922-C002"/>
    <n v="1"/>
    <s v="C002"/>
    <x v="21"/>
    <s v="P011"/>
    <s v="公斤"/>
    <n v="4.5999999999999996"/>
    <n v="4.5999999999999996"/>
    <n v="0.3"/>
    <n v="4.8"/>
    <s v="正常交付；签收时挑出黄叶退回"/>
    <s v="true"/>
    <s v="红薯叶"/>
    <s v="散装鲜菜"/>
    <s v="模拟_桥头家常菜馆"/>
    <n v="22.08"/>
    <n v="1.44"/>
    <n v="20.639999999999997"/>
    <s v=""/>
    <s v=""/>
    <s v=""/>
    <s v=""/>
    <s v="通过"/>
  </r>
  <r>
    <s v="SIM-20260922-C002"/>
    <n v="2"/>
    <s v="C002"/>
    <x v="21"/>
    <s v="P008"/>
    <s v="公斤"/>
    <n v="7.2"/>
    <n v="7.2"/>
    <n v="0"/>
    <n v="3.9"/>
    <s v="正常交付"/>
    <s v="true"/>
    <s v="黄瓜"/>
    <s v="散装鲜菜"/>
    <s v="模拟_桥头家常菜馆"/>
    <n v="28.08"/>
    <n v="0"/>
    <n v="28.08"/>
    <s v=""/>
    <s v=""/>
    <s v=""/>
    <s v=""/>
    <s v="通过"/>
  </r>
  <r>
    <s v="SIM-20260922-C002"/>
    <n v="3"/>
    <s v="C002"/>
    <x v="21"/>
    <s v="P014"/>
    <s v="公斤"/>
    <n v="8.1999999999999993"/>
    <n v="8.1999999999999993"/>
    <n v="0"/>
    <n v="4.9000000000000004"/>
    <s v="正常交付"/>
    <s v="true"/>
    <s v="丝瓜"/>
    <s v="散装鲜菜"/>
    <s v="模拟_桥头家常菜馆"/>
    <n v="40.18"/>
    <n v="0"/>
    <n v="40.18"/>
    <s v=""/>
    <s v=""/>
    <s v=""/>
    <s v=""/>
    <s v="通过"/>
  </r>
  <r>
    <s v="SIM-20260922-C002"/>
    <n v="4"/>
    <s v="C002"/>
    <x v="21"/>
    <s v="P005"/>
    <s v="公斤"/>
    <n v="4.0999999999999996"/>
    <n v="4.0999999999999996"/>
    <n v="0"/>
    <n v="2.7"/>
    <s v="正常交付"/>
    <s v="true"/>
    <s v="南瓜"/>
    <s v="散装鲜菜"/>
    <s v="模拟_桥头家常菜馆"/>
    <n v="11.07"/>
    <n v="0"/>
    <n v="11.07"/>
    <s v=""/>
    <s v=""/>
    <s v=""/>
    <s v=""/>
    <s v="通过"/>
  </r>
  <r>
    <s v="SIM-20260922-C002"/>
    <n v="5"/>
    <s v="C002"/>
    <x v="21"/>
    <s v="P001"/>
    <s v="公斤"/>
    <n v="3.6"/>
    <n v="3.6"/>
    <n v="0"/>
    <n v="3.5"/>
    <s v="正常交付"/>
    <s v="true"/>
    <s v="土豆"/>
    <s v="散装鲜菜"/>
    <s v="模拟_桥头家常菜馆"/>
    <n v="12.6"/>
    <n v="0"/>
    <n v="12.6"/>
    <s v=""/>
    <s v=""/>
    <s v=""/>
    <s v=""/>
    <s v="通过"/>
  </r>
  <r>
    <s v="SIM-20260922-C002"/>
    <n v="6"/>
    <s v="C002"/>
    <x v="21"/>
    <s v="P016"/>
    <s v="公斤"/>
    <n v="4"/>
    <n v="4"/>
    <n v="0"/>
    <n v="10.4"/>
    <s v="正常交付"/>
    <s v="true"/>
    <s v="鸡蛋"/>
    <s v="普通鲜鸡蛋按净重"/>
    <s v="模拟_桥头家常菜馆"/>
    <n v="41.6"/>
    <n v="0"/>
    <n v="41.6"/>
    <s v=""/>
    <s v=""/>
    <s v=""/>
    <s v=""/>
    <s v="通过"/>
  </r>
  <r>
    <s v="SIM-20260922-C002"/>
    <n v="7"/>
    <s v="C002"/>
    <x v="21"/>
    <s v="P015"/>
    <s v="公斤"/>
    <n v="1"/>
    <n v="1"/>
    <n v="0"/>
    <n v="7.8"/>
    <s v="正常交付"/>
    <s v="true"/>
    <s v="小葱"/>
    <s v="散装鲜菜"/>
    <s v="模拟_桥头家常菜馆"/>
    <n v="7.8"/>
    <n v="0"/>
    <n v="7.8"/>
    <s v=""/>
    <s v=""/>
    <s v=""/>
    <s v=""/>
    <s v="通过"/>
  </r>
  <r>
    <s v="SIM-20260922-C003"/>
    <n v="1"/>
    <s v="C003"/>
    <x v="21"/>
    <s v="P012"/>
    <s v="公斤"/>
    <n v="9.9"/>
    <n v="9.9"/>
    <n v="0"/>
    <n v="5"/>
    <s v="正常交付"/>
    <s v="true"/>
    <s v="小白菜"/>
    <s v="散装鲜菜"/>
    <s v="模拟_兴街快餐店"/>
    <n v="49.5"/>
    <n v="0"/>
    <n v="49.5"/>
    <s v=""/>
    <s v=""/>
    <s v=""/>
    <s v=""/>
    <s v="通过"/>
  </r>
  <r>
    <s v="SIM-20260922-C003"/>
    <n v="2"/>
    <s v="C003"/>
    <x v="21"/>
    <s v="P014"/>
    <s v="公斤"/>
    <n v="6"/>
    <n v="6"/>
    <n v="0"/>
    <n v="4.9000000000000004"/>
    <s v="正常交付"/>
    <s v="true"/>
    <s v="丝瓜"/>
    <s v="散装鲜菜"/>
    <s v="模拟_兴街快餐店"/>
    <n v="29.4"/>
    <n v="0"/>
    <n v="29.4"/>
    <s v=""/>
    <s v=""/>
    <s v=""/>
    <s v=""/>
    <s v="通过"/>
  </r>
  <r>
    <s v="SIM-20260922-C003"/>
    <n v="3"/>
    <s v="C003"/>
    <x v="21"/>
    <s v="P009"/>
    <s v="公斤"/>
    <n v="8.6"/>
    <n v="8.6"/>
    <n v="0"/>
    <n v="4.9000000000000004"/>
    <s v="正常交付"/>
    <s v="true"/>
    <s v="西红柿"/>
    <s v="散装鲜菜"/>
    <s v="模拟_兴街快餐店"/>
    <n v="42.14"/>
    <n v="0"/>
    <n v="42.14"/>
    <s v=""/>
    <s v=""/>
    <s v=""/>
    <s v=""/>
    <s v="通过"/>
  </r>
  <r>
    <s v="SIM-20260922-C003"/>
    <n v="4"/>
    <s v="C003"/>
    <x v="21"/>
    <s v="P005"/>
    <s v="公斤"/>
    <n v="8.6"/>
    <n v="8.6"/>
    <n v="0"/>
    <n v="2.7"/>
    <s v="正常交付"/>
    <s v="true"/>
    <s v="南瓜"/>
    <s v="散装鲜菜"/>
    <s v="模拟_兴街快餐店"/>
    <n v="23.22"/>
    <n v="0"/>
    <n v="23.22"/>
    <s v=""/>
    <s v=""/>
    <s v=""/>
    <s v=""/>
    <s v="通过"/>
  </r>
  <r>
    <s v="SIM-20260922-C003"/>
    <n v="5"/>
    <s v="C003"/>
    <x v="21"/>
    <s v="P002"/>
    <s v="公斤"/>
    <n v="6.6"/>
    <n v="6.3"/>
    <n v="0"/>
    <n v="2.5"/>
    <s v="到货不足；按实际交付计费"/>
    <s v="true"/>
    <s v="白萝卜"/>
    <s v="散装鲜菜"/>
    <s v="模拟_兴街快餐店"/>
    <n v="15.75"/>
    <n v="0"/>
    <n v="15.75"/>
    <s v=""/>
    <s v=""/>
    <s v=""/>
    <s v=""/>
    <s v="通过"/>
  </r>
  <r>
    <s v="SIM-20260922-C003"/>
    <n v="6"/>
    <s v="C003"/>
    <x v="21"/>
    <s v="P006"/>
    <s v="公斤"/>
    <n v="7.3"/>
    <n v="7.3"/>
    <n v="0"/>
    <n v="4.5999999999999996"/>
    <s v="正常交付"/>
    <s v="true"/>
    <s v="茄子"/>
    <s v="散装鲜菜"/>
    <s v="模拟_兴街快餐店"/>
    <n v="33.58"/>
    <n v="0"/>
    <n v="33.58"/>
    <s v=""/>
    <s v=""/>
    <s v=""/>
    <s v=""/>
    <s v="通过"/>
  </r>
  <r>
    <s v="SIM-20260922-C003"/>
    <n v="7"/>
    <s v="C003"/>
    <x v="21"/>
    <s v="P016"/>
    <s v="公斤"/>
    <n v="6"/>
    <n v="6"/>
    <n v="0"/>
    <n v="10.4"/>
    <s v="正常交付"/>
    <s v="true"/>
    <s v="鸡蛋"/>
    <s v="普通鲜鸡蛋按净重"/>
    <s v="模拟_兴街快餐店"/>
    <n v="62.4"/>
    <n v="0"/>
    <n v="62.4"/>
    <s v=""/>
    <s v=""/>
    <s v=""/>
    <s v=""/>
    <s v="通过"/>
  </r>
  <r>
    <s v="SIM-20260922-C003"/>
    <n v="8"/>
    <s v="C003"/>
    <x v="21"/>
    <s v="P015"/>
    <s v="公斤"/>
    <n v="1"/>
    <n v="1"/>
    <n v="0"/>
    <n v="7.8"/>
    <s v="正常交付"/>
    <s v="true"/>
    <s v="小葱"/>
    <s v="散装鲜菜"/>
    <s v="模拟_兴街快餐店"/>
    <n v="7.8"/>
    <n v="0"/>
    <n v="7.8"/>
    <s v=""/>
    <s v=""/>
    <s v=""/>
    <s v=""/>
    <s v="通过"/>
  </r>
  <r>
    <s v="SIM-20260922-C004"/>
    <n v="1"/>
    <s v="C004"/>
    <x v="21"/>
    <s v="P012"/>
    <s v="公斤"/>
    <n v="9"/>
    <n v="9"/>
    <n v="0"/>
    <n v="5"/>
    <s v="正常交付"/>
    <s v="true"/>
    <s v="小白菜"/>
    <s v="散装鲜菜"/>
    <s v="模拟_田畔饭店"/>
    <n v="45"/>
    <n v="0"/>
    <n v="45"/>
    <s v=""/>
    <s v=""/>
    <s v=""/>
    <s v=""/>
    <s v="通过"/>
  </r>
  <r>
    <s v="SIM-20260922-C004"/>
    <n v="2"/>
    <s v="C004"/>
    <x v="21"/>
    <s v="P014"/>
    <s v="公斤"/>
    <n v="7.3"/>
    <n v="7.3"/>
    <n v="0"/>
    <n v="4.9000000000000004"/>
    <s v="正常交付"/>
    <s v="true"/>
    <s v="丝瓜"/>
    <s v="散装鲜菜"/>
    <s v="模拟_田畔饭店"/>
    <n v="35.770000000000003"/>
    <n v="0"/>
    <n v="35.770000000000003"/>
    <s v=""/>
    <s v=""/>
    <s v=""/>
    <s v=""/>
    <s v="通过"/>
  </r>
  <r>
    <s v="SIM-20260922-C004"/>
    <n v="3"/>
    <s v="C004"/>
    <x v="21"/>
    <s v="P006"/>
    <s v="公斤"/>
    <n v="5.0999999999999996"/>
    <n v="5.0999999999999996"/>
    <n v="0"/>
    <n v="4.5999999999999996"/>
    <s v="正常交付"/>
    <s v="true"/>
    <s v="茄子"/>
    <s v="散装鲜菜"/>
    <s v="模拟_田畔饭店"/>
    <n v="23.46"/>
    <n v="0"/>
    <n v="23.46"/>
    <s v=""/>
    <s v=""/>
    <s v=""/>
    <s v=""/>
    <s v="通过"/>
  </r>
  <r>
    <s v="SIM-20260922-C004"/>
    <n v="4"/>
    <s v="C004"/>
    <x v="21"/>
    <s v="P004"/>
    <s v="公斤"/>
    <n v="6.2"/>
    <n v="6.2"/>
    <n v="0"/>
    <n v="2.2999999999999998"/>
    <s v="正常交付"/>
    <s v="true"/>
    <s v="冬瓜"/>
    <s v="散装鲜菜"/>
    <s v="模拟_田畔饭店"/>
    <n v="14.26"/>
    <n v="0"/>
    <n v="14.26"/>
    <s v=""/>
    <s v=""/>
    <s v=""/>
    <s v=""/>
    <s v="通过"/>
  </r>
  <r>
    <s v="SIM-20260922-C004"/>
    <n v="5"/>
    <s v="C004"/>
    <x v="21"/>
    <s v="P005"/>
    <s v="公斤"/>
    <n v="4"/>
    <n v="4"/>
    <n v="0"/>
    <n v="2.7"/>
    <s v="正常交付"/>
    <s v="true"/>
    <s v="南瓜"/>
    <s v="散装鲜菜"/>
    <s v="模拟_田畔饭店"/>
    <n v="10.8"/>
    <n v="0"/>
    <n v="10.8"/>
    <s v=""/>
    <s v=""/>
    <s v=""/>
    <s v=""/>
    <s v="通过"/>
  </r>
  <r>
    <s v="SIM-20260922-C004"/>
    <n v="6"/>
    <s v="C004"/>
    <x v="21"/>
    <s v="P009"/>
    <s v="公斤"/>
    <n v="6.8"/>
    <n v="6.8"/>
    <n v="0"/>
    <n v="4.9000000000000004"/>
    <s v="正常交付"/>
    <s v="true"/>
    <s v="西红柿"/>
    <s v="散装鲜菜"/>
    <s v="模拟_田畔饭店"/>
    <n v="33.32"/>
    <n v="0"/>
    <n v="33.32"/>
    <s v=""/>
    <s v=""/>
    <s v=""/>
    <s v=""/>
    <s v="通过"/>
  </r>
  <r>
    <s v="SIM-20260922-C004"/>
    <n v="7"/>
    <s v="C004"/>
    <x v="21"/>
    <s v="P015"/>
    <s v="公斤"/>
    <n v="1"/>
    <n v="1"/>
    <n v="0"/>
    <n v="7.8"/>
    <s v="正常交付"/>
    <s v="true"/>
    <s v="小葱"/>
    <s v="散装鲜菜"/>
    <s v="模拟_田畔饭店"/>
    <n v="7.8"/>
    <n v="0"/>
    <n v="7.8"/>
    <s v=""/>
    <s v=""/>
    <s v=""/>
    <s v=""/>
    <s v="通过"/>
  </r>
  <r>
    <s v="SIM-20260922-C005"/>
    <n v="1"/>
    <s v="C005"/>
    <x v="21"/>
    <s v="P012"/>
    <s v="公斤"/>
    <n v="12.1"/>
    <n v="12.1"/>
    <n v="0"/>
    <n v="5"/>
    <s v="正常交付"/>
    <s v="true"/>
    <s v="小白菜"/>
    <s v="散装鲜菜"/>
    <s v="模拟_青禾小学食堂"/>
    <n v="60.5"/>
    <n v="0"/>
    <n v="60.5"/>
    <s v=""/>
    <s v=""/>
    <s v=""/>
    <s v=""/>
    <s v="通过"/>
  </r>
  <r>
    <s v="SIM-20260922-C005"/>
    <n v="2"/>
    <s v="C005"/>
    <x v="21"/>
    <s v="P003"/>
    <s v="公斤"/>
    <n v="10.6"/>
    <n v="10.6"/>
    <n v="0"/>
    <n v="2.9"/>
    <s v="正常交付"/>
    <s v="true"/>
    <s v="包菜"/>
    <s v="散装鲜菜"/>
    <s v="模拟_青禾小学食堂"/>
    <n v="30.74"/>
    <n v="0"/>
    <n v="30.74"/>
    <s v=""/>
    <s v=""/>
    <s v=""/>
    <s v=""/>
    <s v="通过"/>
  </r>
  <r>
    <s v="SIM-20260922-C005"/>
    <n v="3"/>
    <s v="C005"/>
    <x v="21"/>
    <s v="P014"/>
    <s v="公斤"/>
    <n v="11.3"/>
    <n v="11.3"/>
    <n v="0"/>
    <n v="4.9000000000000004"/>
    <s v="正常交付"/>
    <s v="true"/>
    <s v="丝瓜"/>
    <s v="散装鲜菜"/>
    <s v="模拟_青禾小学食堂"/>
    <n v="55.37"/>
    <n v="0"/>
    <n v="55.37"/>
    <s v=""/>
    <s v=""/>
    <s v=""/>
    <s v=""/>
    <s v="通过"/>
  </r>
  <r>
    <s v="SIM-20260922-C005"/>
    <n v="4"/>
    <s v="C005"/>
    <x v="21"/>
    <s v="P006"/>
    <s v="公斤"/>
    <n v="5.3"/>
    <n v="5.3"/>
    <n v="0"/>
    <n v="4.5999999999999996"/>
    <s v="正常交付"/>
    <s v="true"/>
    <s v="茄子"/>
    <s v="散装鲜菜"/>
    <s v="模拟_青禾小学食堂"/>
    <n v="24.38"/>
    <n v="0"/>
    <n v="24.38"/>
    <s v=""/>
    <s v=""/>
    <s v=""/>
    <s v=""/>
    <s v="通过"/>
  </r>
  <r>
    <s v="SIM-20260922-C005"/>
    <n v="5"/>
    <s v="C005"/>
    <x v="21"/>
    <s v="P001"/>
    <s v="公斤"/>
    <n v="7.6"/>
    <n v="7.6"/>
    <n v="0"/>
    <n v="3.5"/>
    <s v="正常交付"/>
    <s v="true"/>
    <s v="土豆"/>
    <s v="散装鲜菜"/>
    <s v="模拟_青禾小学食堂"/>
    <n v="26.6"/>
    <n v="0"/>
    <n v="26.6"/>
    <s v=""/>
    <s v=""/>
    <s v=""/>
    <s v=""/>
    <s v="通过"/>
  </r>
  <r>
    <s v="SIM-20260922-C005"/>
    <n v="6"/>
    <s v="C005"/>
    <x v="21"/>
    <s v="P009"/>
    <s v="公斤"/>
    <n v="12.1"/>
    <n v="11.9"/>
    <n v="0"/>
    <n v="4.9000000000000004"/>
    <s v="到货不足；按实际交付计费"/>
    <s v="true"/>
    <s v="西红柿"/>
    <s v="散装鲜菜"/>
    <s v="模拟_青禾小学食堂"/>
    <n v="58.31"/>
    <n v="0"/>
    <n v="58.31"/>
    <s v=""/>
    <s v=""/>
    <s v=""/>
    <s v=""/>
    <s v="通过"/>
  </r>
  <r>
    <s v="SIM-20260922-C005"/>
    <n v="7"/>
    <s v="C005"/>
    <x v="21"/>
    <s v="P016"/>
    <s v="公斤"/>
    <n v="12"/>
    <n v="12"/>
    <n v="0"/>
    <n v="10.4"/>
    <s v="正常交付"/>
    <s v="true"/>
    <s v="鸡蛋"/>
    <s v="普通鲜鸡蛋按净重"/>
    <s v="模拟_青禾小学食堂"/>
    <n v="124.8"/>
    <n v="0"/>
    <n v="124.8"/>
    <s v=""/>
    <s v=""/>
    <s v=""/>
    <s v=""/>
    <s v="通过"/>
  </r>
  <r>
    <s v="SIM-20260922-C006"/>
    <n v="1"/>
    <s v="C006"/>
    <x v="21"/>
    <s v="P010"/>
    <s v="公斤"/>
    <n v="10.5"/>
    <n v="10.5"/>
    <n v="0"/>
    <n v="4.9000000000000004"/>
    <s v="正常交付"/>
    <s v="true"/>
    <s v="空心菜"/>
    <s v="散装鲜菜"/>
    <s v="模拟_溪桥医院食堂"/>
    <n v="51.45"/>
    <n v="0"/>
    <n v="51.45"/>
    <s v=""/>
    <s v=""/>
    <s v=""/>
    <s v=""/>
    <s v="通过"/>
  </r>
  <r>
    <s v="SIM-20260922-C006"/>
    <n v="2"/>
    <s v="C006"/>
    <x v="21"/>
    <s v="P004"/>
    <s v="公斤"/>
    <n v="9.1999999999999993"/>
    <n v="9.1999999999999993"/>
    <n v="0"/>
    <n v="2.2999999999999998"/>
    <s v="正常交付"/>
    <s v="true"/>
    <s v="冬瓜"/>
    <s v="散装鲜菜"/>
    <s v="模拟_溪桥医院食堂"/>
    <n v="21.16"/>
    <n v="0"/>
    <n v="21.16"/>
    <s v=""/>
    <s v=""/>
    <s v=""/>
    <s v=""/>
    <s v="通过"/>
  </r>
  <r>
    <s v="SIM-20260922-C006"/>
    <n v="3"/>
    <s v="C006"/>
    <x v="21"/>
    <s v="P013"/>
    <s v="公斤"/>
    <n v="6.6"/>
    <n v="6.6"/>
    <n v="0"/>
    <n v="6.1"/>
    <s v="正常交付"/>
    <s v="true"/>
    <s v="豇豆"/>
    <s v="散装鲜菜"/>
    <s v="模拟_溪桥医院食堂"/>
    <n v="40.26"/>
    <n v="0"/>
    <n v="40.26"/>
    <s v=""/>
    <s v=""/>
    <s v=""/>
    <s v=""/>
    <s v="通过"/>
  </r>
  <r>
    <s v="SIM-20260922-C006"/>
    <n v="4"/>
    <s v="C006"/>
    <x v="21"/>
    <s v="P001"/>
    <s v="公斤"/>
    <n v="7.9"/>
    <n v="7.9"/>
    <n v="0"/>
    <n v="3.5"/>
    <s v="正常交付"/>
    <s v="true"/>
    <s v="土豆"/>
    <s v="散装鲜菜"/>
    <s v="模拟_溪桥医院食堂"/>
    <n v="27.65"/>
    <n v="0"/>
    <n v="27.65"/>
    <s v=""/>
    <s v=""/>
    <s v=""/>
    <s v=""/>
    <s v="通过"/>
  </r>
  <r>
    <s v="SIM-20260922-C006"/>
    <n v="5"/>
    <s v="C006"/>
    <x v="21"/>
    <s v="P014"/>
    <s v="公斤"/>
    <n v="9.8000000000000007"/>
    <n v="9.8000000000000007"/>
    <n v="0"/>
    <n v="4.9000000000000004"/>
    <s v="正常交付"/>
    <s v="true"/>
    <s v="丝瓜"/>
    <s v="散装鲜菜"/>
    <s v="模拟_溪桥医院食堂"/>
    <n v="48.02"/>
    <n v="0"/>
    <n v="48.02"/>
    <s v=""/>
    <s v=""/>
    <s v=""/>
    <s v=""/>
    <s v="通过"/>
  </r>
  <r>
    <s v="SIM-20260922-C006"/>
    <n v="6"/>
    <s v="C006"/>
    <x v="21"/>
    <s v="P008"/>
    <s v="公斤"/>
    <n v="4.5999999999999996"/>
    <n v="4.5999999999999996"/>
    <n v="0"/>
    <n v="3.9"/>
    <s v="正常交付"/>
    <s v="true"/>
    <s v="黄瓜"/>
    <s v="散装鲜菜"/>
    <s v="模拟_溪桥医院食堂"/>
    <n v="17.940000000000001"/>
    <n v="0"/>
    <n v="17.940000000000001"/>
    <s v=""/>
    <s v=""/>
    <s v=""/>
    <s v=""/>
    <s v="通过"/>
  </r>
  <r>
    <s v="SIM-20260922-C006"/>
    <n v="7"/>
    <s v="C006"/>
    <x v="21"/>
    <s v="P015"/>
    <s v="公斤"/>
    <n v="1"/>
    <n v="1"/>
    <n v="0"/>
    <n v="7.8"/>
    <s v="正常交付"/>
    <s v="true"/>
    <s v="小葱"/>
    <s v="散装鲜菜"/>
    <s v="模拟_溪桥医院食堂"/>
    <n v="7.8"/>
    <n v="0"/>
    <n v="7.8"/>
    <s v=""/>
    <s v=""/>
    <s v=""/>
    <s v=""/>
    <s v="通过"/>
  </r>
  <r>
    <s v="SIM-20260923-C001"/>
    <n v="1"/>
    <s v="C001"/>
    <x v="22"/>
    <s v="P011"/>
    <s v="公斤"/>
    <n v="3.3"/>
    <n v="3.3"/>
    <n v="0.3"/>
    <n v="4.8"/>
    <s v="正常交付；签收时挑出黄叶退回"/>
    <s v="true"/>
    <s v="红薯叶"/>
    <s v="散装鲜菜"/>
    <s v="模拟_榕树下粉面店"/>
    <n v="15.84"/>
    <n v="1.44"/>
    <n v="14.4"/>
    <s v=""/>
    <s v=""/>
    <s v=""/>
    <s v=""/>
    <s v="通过"/>
  </r>
  <r>
    <s v="SIM-20260923-C001"/>
    <n v="2"/>
    <s v="C001"/>
    <x v="22"/>
    <s v="P008"/>
    <s v="公斤"/>
    <n v="2.5"/>
    <n v="2.5"/>
    <n v="0"/>
    <n v="3.9"/>
    <s v="正常交付"/>
    <s v="true"/>
    <s v="黄瓜"/>
    <s v="散装鲜菜"/>
    <s v="模拟_榕树下粉面店"/>
    <n v="9.75"/>
    <n v="0"/>
    <n v="9.75"/>
    <s v=""/>
    <s v=""/>
    <s v=""/>
    <s v=""/>
    <s v="通过"/>
  </r>
  <r>
    <s v="SIM-20260923-C001"/>
    <n v="3"/>
    <s v="C001"/>
    <x v="22"/>
    <s v="P006"/>
    <s v="公斤"/>
    <n v="3.3"/>
    <n v="3"/>
    <n v="0"/>
    <n v="4.5999999999999996"/>
    <s v="到货不足；按实际交付计费"/>
    <s v="true"/>
    <s v="茄子"/>
    <s v="散装鲜菜"/>
    <s v="模拟_榕树下粉面店"/>
    <n v="13.8"/>
    <n v="0"/>
    <n v="13.8"/>
    <s v=""/>
    <s v=""/>
    <s v=""/>
    <s v=""/>
    <s v="通过"/>
  </r>
  <r>
    <s v="SIM-20260923-C001"/>
    <n v="4"/>
    <s v="C001"/>
    <x v="22"/>
    <s v="P005"/>
    <s v="公斤"/>
    <n v="2.8"/>
    <n v="2.8"/>
    <n v="0"/>
    <n v="2.7"/>
    <s v="正常交付"/>
    <s v="true"/>
    <s v="南瓜"/>
    <s v="散装鲜菜"/>
    <s v="模拟_榕树下粉面店"/>
    <n v="7.56"/>
    <n v="0"/>
    <n v="7.56"/>
    <s v=""/>
    <s v=""/>
    <s v=""/>
    <s v=""/>
    <s v="通过"/>
  </r>
  <r>
    <s v="SIM-20260923-C002"/>
    <n v="1"/>
    <s v="C002"/>
    <x v="22"/>
    <s v="P011"/>
    <s v="公斤"/>
    <n v="7.5"/>
    <n v="7.5"/>
    <n v="0.2"/>
    <n v="4.8"/>
    <s v="正常交付；签收时挑出黄叶退回"/>
    <s v="true"/>
    <s v="红薯叶"/>
    <s v="散装鲜菜"/>
    <s v="模拟_桥头家常菜馆"/>
    <n v="36"/>
    <n v="0.96"/>
    <n v="35.04"/>
    <s v=""/>
    <s v=""/>
    <s v=""/>
    <s v=""/>
    <s v="通过"/>
  </r>
  <r>
    <s v="SIM-20260923-C002"/>
    <n v="2"/>
    <s v="C002"/>
    <x v="22"/>
    <s v="P008"/>
    <s v="公斤"/>
    <n v="3.8"/>
    <n v="3.8"/>
    <n v="0"/>
    <n v="3.9"/>
    <s v="正常交付"/>
    <s v="true"/>
    <s v="黄瓜"/>
    <s v="散装鲜菜"/>
    <s v="模拟_桥头家常菜馆"/>
    <n v="14.82"/>
    <n v="0"/>
    <n v="14.82"/>
    <s v=""/>
    <s v=""/>
    <s v=""/>
    <s v=""/>
    <s v="通过"/>
  </r>
  <r>
    <s v="SIM-20260923-C002"/>
    <n v="3"/>
    <s v="C002"/>
    <x v="22"/>
    <s v="P009"/>
    <s v="公斤"/>
    <n v="7.5"/>
    <n v="7.5"/>
    <n v="0"/>
    <n v="4.9000000000000004"/>
    <s v="正常交付"/>
    <s v="true"/>
    <s v="西红柿"/>
    <s v="散装鲜菜"/>
    <s v="模拟_桥头家常菜馆"/>
    <n v="36.75"/>
    <n v="0"/>
    <n v="36.75"/>
    <s v=""/>
    <s v=""/>
    <s v=""/>
    <s v=""/>
    <s v="通过"/>
  </r>
  <r>
    <s v="SIM-20260923-C002"/>
    <n v="4"/>
    <s v="C002"/>
    <x v="22"/>
    <s v="P004"/>
    <s v="公斤"/>
    <n v="7"/>
    <n v="7"/>
    <n v="0"/>
    <n v="2.2999999999999998"/>
    <s v="正常交付"/>
    <s v="true"/>
    <s v="冬瓜"/>
    <s v="散装鲜菜"/>
    <s v="模拟_桥头家常菜馆"/>
    <n v="16.100000000000001"/>
    <n v="0"/>
    <n v="16.100000000000001"/>
    <s v=""/>
    <s v=""/>
    <s v=""/>
    <s v=""/>
    <s v="通过"/>
  </r>
  <r>
    <s v="SIM-20260923-C002"/>
    <n v="5"/>
    <s v="C002"/>
    <x v="22"/>
    <s v="P006"/>
    <s v="公斤"/>
    <n v="3.3"/>
    <n v="3.3"/>
    <n v="0"/>
    <n v="4.5999999999999996"/>
    <s v="正常交付"/>
    <s v="true"/>
    <s v="茄子"/>
    <s v="散装鲜菜"/>
    <s v="模拟_桥头家常菜馆"/>
    <n v="15.18"/>
    <n v="0"/>
    <n v="15.18"/>
    <s v=""/>
    <s v=""/>
    <s v=""/>
    <s v=""/>
    <s v="通过"/>
  </r>
  <r>
    <s v="SIM-20260923-C003"/>
    <n v="1"/>
    <s v="C003"/>
    <x v="22"/>
    <s v="P011"/>
    <s v="公斤"/>
    <n v="7.3"/>
    <n v="7.3"/>
    <n v="0"/>
    <n v="4.8"/>
    <s v="正常交付"/>
    <s v="true"/>
    <s v="红薯叶"/>
    <s v="散装鲜菜"/>
    <s v="模拟_兴街快餐店"/>
    <n v="35.04"/>
    <n v="0"/>
    <n v="35.04"/>
    <s v=""/>
    <s v=""/>
    <s v=""/>
    <s v=""/>
    <s v="通过"/>
  </r>
  <r>
    <s v="SIM-20260923-C003"/>
    <n v="2"/>
    <s v="C003"/>
    <x v="22"/>
    <s v="P003"/>
    <s v="公斤"/>
    <n v="6.6"/>
    <n v="6.6"/>
    <n v="0"/>
    <n v="2.9"/>
    <s v="正常交付"/>
    <s v="true"/>
    <s v="包菜"/>
    <s v="散装鲜菜"/>
    <s v="模拟_兴街快餐店"/>
    <n v="19.14"/>
    <n v="0"/>
    <n v="19.14"/>
    <s v=""/>
    <s v=""/>
    <s v=""/>
    <s v=""/>
    <s v="通过"/>
  </r>
  <r>
    <s v="SIM-20260923-C003"/>
    <n v="3"/>
    <s v="C003"/>
    <x v="22"/>
    <s v="P007"/>
    <s v="公斤"/>
    <n v="7.3"/>
    <n v="7.3"/>
    <n v="0"/>
    <n v="4.95"/>
    <s v="正常交付"/>
    <s v="true"/>
    <s v="青椒"/>
    <s v="散装鲜菜"/>
    <s v="模拟_兴街快餐店"/>
    <n v="36.14"/>
    <n v="0"/>
    <n v="36.14"/>
    <s v=""/>
    <s v=""/>
    <s v=""/>
    <s v=""/>
    <s v="通过"/>
  </r>
  <r>
    <s v="SIM-20260923-C003"/>
    <n v="4"/>
    <s v="C003"/>
    <x v="22"/>
    <s v="P009"/>
    <s v="公斤"/>
    <n v="5.3"/>
    <n v="5.3"/>
    <n v="0"/>
    <n v="4.9000000000000004"/>
    <s v="正常交付"/>
    <s v="true"/>
    <s v="西红柿"/>
    <s v="散装鲜菜"/>
    <s v="模拟_兴街快餐店"/>
    <n v="25.97"/>
    <n v="0"/>
    <n v="25.97"/>
    <s v=""/>
    <s v=""/>
    <s v=""/>
    <s v=""/>
    <s v="通过"/>
  </r>
  <r>
    <s v="SIM-20260923-C003"/>
    <n v="5"/>
    <s v="C003"/>
    <x v="22"/>
    <s v="P006"/>
    <s v="公斤"/>
    <n v="8"/>
    <n v="8"/>
    <n v="0"/>
    <n v="4.5999999999999996"/>
    <s v="正常交付"/>
    <s v="true"/>
    <s v="茄子"/>
    <s v="散装鲜菜"/>
    <s v="模拟_兴街快餐店"/>
    <n v="36.799999999999997"/>
    <n v="0"/>
    <n v="36.799999999999997"/>
    <s v=""/>
    <s v=""/>
    <s v=""/>
    <s v=""/>
    <s v="通过"/>
  </r>
  <r>
    <s v="SIM-20260923-C003"/>
    <n v="6"/>
    <s v="C003"/>
    <x v="22"/>
    <s v="P002"/>
    <s v="公斤"/>
    <n v="8"/>
    <n v="8"/>
    <n v="0"/>
    <n v="2.5"/>
    <s v="正常交付"/>
    <s v="true"/>
    <s v="白萝卜"/>
    <s v="散装鲜菜"/>
    <s v="模拟_兴街快餐店"/>
    <n v="20"/>
    <n v="0"/>
    <n v="20"/>
    <s v=""/>
    <s v=""/>
    <s v=""/>
    <s v=""/>
    <s v="通过"/>
  </r>
  <r>
    <s v="SIM-20260923-C005"/>
    <n v="1"/>
    <s v="C005"/>
    <x v="22"/>
    <s v="P012"/>
    <s v="公斤"/>
    <n v="6.4"/>
    <n v="6.4"/>
    <n v="0"/>
    <n v="5"/>
    <s v="正常交付"/>
    <s v="true"/>
    <s v="小白菜"/>
    <s v="散装鲜菜"/>
    <s v="模拟_青禾小学食堂"/>
    <n v="32"/>
    <n v="0"/>
    <n v="32"/>
    <s v=""/>
    <s v=""/>
    <s v=""/>
    <s v=""/>
    <s v="通过"/>
  </r>
  <r>
    <s v="SIM-20260923-C005"/>
    <n v="2"/>
    <s v="C005"/>
    <x v="22"/>
    <s v="P014"/>
    <s v="公斤"/>
    <n v="8"/>
    <n v="8"/>
    <n v="0"/>
    <n v="4.9000000000000004"/>
    <s v="正常交付"/>
    <s v="true"/>
    <s v="丝瓜"/>
    <s v="散装鲜菜"/>
    <s v="模拟_青禾小学食堂"/>
    <n v="39.200000000000003"/>
    <n v="0"/>
    <n v="39.200000000000003"/>
    <s v=""/>
    <s v=""/>
    <s v=""/>
    <s v=""/>
    <s v="通过"/>
  </r>
  <r>
    <s v="SIM-20260923-C005"/>
    <n v="3"/>
    <s v="C005"/>
    <x v="22"/>
    <s v="P013"/>
    <s v="公斤"/>
    <n v="11.2"/>
    <n v="11.2"/>
    <n v="0"/>
    <n v="6.1"/>
    <s v="正常交付"/>
    <s v="true"/>
    <s v="豇豆"/>
    <s v="散装鲜菜"/>
    <s v="模拟_青禾小学食堂"/>
    <n v="68.319999999999993"/>
    <n v="0"/>
    <n v="68.319999999999993"/>
    <s v=""/>
    <s v=""/>
    <s v=""/>
    <s v=""/>
    <s v="通过"/>
  </r>
  <r>
    <s v="SIM-20260923-C005"/>
    <n v="4"/>
    <s v="C005"/>
    <x v="22"/>
    <s v="P007"/>
    <s v="公斤"/>
    <n v="8.8000000000000007"/>
    <n v="8.8000000000000007"/>
    <n v="0"/>
    <n v="4.95"/>
    <s v="正常交付"/>
    <s v="true"/>
    <s v="青椒"/>
    <s v="散装鲜菜"/>
    <s v="模拟_青禾小学食堂"/>
    <n v="43.56"/>
    <n v="0"/>
    <n v="43.56"/>
    <s v=""/>
    <s v=""/>
    <s v=""/>
    <s v=""/>
    <s v="通过"/>
  </r>
  <r>
    <s v="SIM-20260923-C005"/>
    <n v="5"/>
    <s v="C005"/>
    <x v="22"/>
    <s v="P008"/>
    <s v="公斤"/>
    <n v="12"/>
    <n v="12"/>
    <n v="0"/>
    <n v="3.9"/>
    <s v="正常交付"/>
    <s v="true"/>
    <s v="黄瓜"/>
    <s v="散装鲜菜"/>
    <s v="模拟_青禾小学食堂"/>
    <n v="46.8"/>
    <n v="0"/>
    <n v="46.8"/>
    <s v=""/>
    <s v=""/>
    <s v=""/>
    <s v=""/>
    <s v="通过"/>
  </r>
  <r>
    <s v="SIM-20260923-C005"/>
    <n v="6"/>
    <s v="C005"/>
    <x v="22"/>
    <s v="P003"/>
    <s v="公斤"/>
    <n v="8"/>
    <n v="8"/>
    <n v="0"/>
    <n v="2.9"/>
    <s v="正常交付"/>
    <s v="true"/>
    <s v="包菜"/>
    <s v="散装鲜菜"/>
    <s v="模拟_青禾小学食堂"/>
    <n v="23.2"/>
    <n v="0"/>
    <n v="23.2"/>
    <s v=""/>
    <s v=""/>
    <s v=""/>
    <s v=""/>
    <s v="通过"/>
  </r>
  <r>
    <s v="SIM-20260923-C006"/>
    <n v="1"/>
    <s v="C006"/>
    <x v="22"/>
    <s v="P010"/>
    <s v="公斤"/>
    <n v="6.2"/>
    <n v="6.2"/>
    <n v="0"/>
    <n v="4.9000000000000004"/>
    <s v="正常交付"/>
    <s v="true"/>
    <s v="空心菜"/>
    <s v="散装鲜菜"/>
    <s v="模拟_溪桥医院食堂"/>
    <n v="30.38"/>
    <n v="0"/>
    <n v="30.38"/>
    <s v=""/>
    <s v=""/>
    <s v=""/>
    <s v=""/>
    <s v="通过"/>
  </r>
  <r>
    <s v="SIM-20260923-C006"/>
    <n v="2"/>
    <s v="C006"/>
    <x v="22"/>
    <s v="P007"/>
    <s v="公斤"/>
    <n v="10.4"/>
    <n v="10.4"/>
    <n v="0"/>
    <n v="4.95"/>
    <s v="正常交付"/>
    <s v="true"/>
    <s v="青椒"/>
    <s v="散装鲜菜"/>
    <s v="模拟_溪桥医院食堂"/>
    <n v="51.48"/>
    <n v="0"/>
    <n v="51.48"/>
    <s v=""/>
    <s v=""/>
    <s v=""/>
    <s v=""/>
    <s v="通过"/>
  </r>
  <r>
    <s v="SIM-20260923-C006"/>
    <n v="3"/>
    <s v="C006"/>
    <x v="22"/>
    <s v="P006"/>
    <s v="公斤"/>
    <n v="8.3000000000000007"/>
    <n v="8.3000000000000007"/>
    <n v="0"/>
    <n v="4.5999999999999996"/>
    <s v="正常交付"/>
    <s v="true"/>
    <s v="茄子"/>
    <s v="散装鲜菜"/>
    <s v="模拟_溪桥医院食堂"/>
    <n v="38.18"/>
    <n v="0"/>
    <n v="38.18"/>
    <s v=""/>
    <s v=""/>
    <s v=""/>
    <s v=""/>
    <s v="通过"/>
  </r>
  <r>
    <s v="SIM-20260923-C006"/>
    <n v="4"/>
    <s v="C006"/>
    <x v="22"/>
    <s v="P013"/>
    <s v="公斤"/>
    <n v="4.9000000000000004"/>
    <n v="4.9000000000000004"/>
    <n v="0"/>
    <n v="6.1"/>
    <s v="正常交付"/>
    <s v="true"/>
    <s v="豇豆"/>
    <s v="散装鲜菜"/>
    <s v="模拟_溪桥医院食堂"/>
    <n v="29.89"/>
    <n v="0"/>
    <n v="29.89"/>
    <s v=""/>
    <s v=""/>
    <s v=""/>
    <s v=""/>
    <s v="通过"/>
  </r>
  <r>
    <s v="SIM-20260923-C006"/>
    <n v="5"/>
    <s v="C006"/>
    <x v="22"/>
    <s v="P005"/>
    <s v="公斤"/>
    <n v="5.5"/>
    <n v="5.5"/>
    <n v="0"/>
    <n v="2.7"/>
    <s v="正常交付"/>
    <s v="true"/>
    <s v="南瓜"/>
    <s v="散装鲜菜"/>
    <s v="模拟_溪桥医院食堂"/>
    <n v="14.85"/>
    <n v="0"/>
    <n v="14.85"/>
    <s v=""/>
    <s v=""/>
    <s v=""/>
    <s v=""/>
    <s v="通过"/>
  </r>
  <r>
    <s v="SIM-20260923-C006"/>
    <n v="6"/>
    <s v="C006"/>
    <x v="22"/>
    <s v="P009"/>
    <s v="公斤"/>
    <n v="8.3000000000000007"/>
    <n v="8.3000000000000007"/>
    <n v="0"/>
    <n v="4.9000000000000004"/>
    <s v="正常交付"/>
    <s v="true"/>
    <s v="西红柿"/>
    <s v="散装鲜菜"/>
    <s v="模拟_溪桥医院食堂"/>
    <n v="40.67"/>
    <n v="0"/>
    <n v="40.67"/>
    <s v=""/>
    <s v=""/>
    <s v=""/>
    <s v=""/>
    <s v="通过"/>
  </r>
  <r>
    <s v="SIM-20260923-C006"/>
    <n v="7"/>
    <s v="C006"/>
    <x v="22"/>
    <s v="P016"/>
    <s v="公斤"/>
    <n v="9"/>
    <n v="9"/>
    <n v="0"/>
    <n v="10.4"/>
    <s v="正常交付"/>
    <s v="true"/>
    <s v="鸡蛋"/>
    <s v="普通鲜鸡蛋按净重"/>
    <s v="模拟_溪桥医院食堂"/>
    <n v="93.6"/>
    <n v="0"/>
    <n v="93.6"/>
    <s v=""/>
    <s v=""/>
    <s v=""/>
    <s v=""/>
    <s v="通过"/>
  </r>
  <r>
    <s v="SIM-20260924-C001"/>
    <n v="1"/>
    <s v="C001"/>
    <x v="23"/>
    <s v="P010"/>
    <s v="公斤"/>
    <n v="2.8"/>
    <n v="2.8"/>
    <n v="0"/>
    <n v="4.9000000000000004"/>
    <s v="正常交付"/>
    <s v="true"/>
    <s v="空心菜"/>
    <s v="散装鲜菜"/>
    <s v="模拟_榕树下粉面店"/>
    <n v="13.72"/>
    <n v="0"/>
    <n v="13.72"/>
    <s v=""/>
    <s v=""/>
    <s v=""/>
    <s v=""/>
    <s v="通过"/>
  </r>
  <r>
    <s v="SIM-20260924-C001"/>
    <n v="2"/>
    <s v="C001"/>
    <x v="23"/>
    <s v="P001"/>
    <s v="公斤"/>
    <n v="2.8"/>
    <n v="2.8"/>
    <n v="0"/>
    <n v="3.5"/>
    <s v="正常交付"/>
    <s v="true"/>
    <s v="土豆"/>
    <s v="散装鲜菜"/>
    <s v="模拟_榕树下粉面店"/>
    <n v="9.8000000000000007"/>
    <n v="0"/>
    <n v="9.8000000000000007"/>
    <s v=""/>
    <s v=""/>
    <s v=""/>
    <s v=""/>
    <s v="通过"/>
  </r>
  <r>
    <s v="SIM-20260924-C001"/>
    <n v="3"/>
    <s v="C001"/>
    <x v="23"/>
    <s v="P007"/>
    <s v="公斤"/>
    <n v="2.6"/>
    <n v="2.6"/>
    <n v="0"/>
    <n v="4.95"/>
    <s v="正常交付"/>
    <s v="true"/>
    <s v="青椒"/>
    <s v="散装鲜菜"/>
    <s v="模拟_榕树下粉面店"/>
    <n v="12.87"/>
    <n v="0"/>
    <n v="12.87"/>
    <s v=""/>
    <s v=""/>
    <s v=""/>
    <s v=""/>
    <s v="通过"/>
  </r>
  <r>
    <s v="SIM-20260924-C001"/>
    <n v="4"/>
    <s v="C001"/>
    <x v="23"/>
    <s v="P009"/>
    <s v="公斤"/>
    <n v="2.6"/>
    <n v="2.6"/>
    <n v="0"/>
    <n v="4.9000000000000004"/>
    <s v="正常交付"/>
    <s v="true"/>
    <s v="西红柿"/>
    <s v="散装鲜菜"/>
    <s v="模拟_榕树下粉面店"/>
    <n v="12.74"/>
    <n v="0"/>
    <n v="12.74"/>
    <s v=""/>
    <s v=""/>
    <s v=""/>
    <s v=""/>
    <s v="通过"/>
  </r>
  <r>
    <s v="SIM-20260924-C001"/>
    <n v="5"/>
    <s v="C001"/>
    <x v="23"/>
    <s v="P016"/>
    <s v="公斤"/>
    <n v="3"/>
    <n v="3"/>
    <n v="0"/>
    <n v="10.4"/>
    <s v="正常交付"/>
    <s v="true"/>
    <s v="鸡蛋"/>
    <s v="普通鲜鸡蛋按净重"/>
    <s v="模拟_榕树下粉面店"/>
    <n v="31.2"/>
    <n v="0"/>
    <n v="31.2"/>
    <s v=""/>
    <s v=""/>
    <s v=""/>
    <s v=""/>
    <s v="通过"/>
  </r>
  <r>
    <s v="SIM-20260924-C001"/>
    <n v="6"/>
    <s v="C001"/>
    <x v="23"/>
    <s v="P019"/>
    <s v="桶"/>
    <n v="1"/>
    <n v="1"/>
    <n v="0"/>
    <n v="67"/>
    <s v="正常交付"/>
    <s v="true"/>
    <s v="菜籽油"/>
    <s v="5升/桶普通菜籽油"/>
    <s v="模拟_榕树下粉面店"/>
    <n v="67"/>
    <n v="0"/>
    <n v="67"/>
    <s v=""/>
    <s v=""/>
    <s v=""/>
    <s v=""/>
    <s v="通过"/>
  </r>
  <r>
    <s v="SIM-20260924-C001"/>
    <n v="7"/>
    <s v="C001"/>
    <x v="23"/>
    <s v="P018"/>
    <s v="袋"/>
    <n v="1"/>
    <n v="1"/>
    <n v="0"/>
    <n v="112"/>
    <s v="正常交付"/>
    <s v="true"/>
    <s v="小麦粉"/>
    <s v="25公斤/袋普通小麦粉"/>
    <s v="模拟_榕树下粉面店"/>
    <n v="112"/>
    <n v="0"/>
    <n v="112"/>
    <s v=""/>
    <s v=""/>
    <s v=""/>
    <s v=""/>
    <s v="通过"/>
  </r>
  <r>
    <s v="SIM-20260924-C002"/>
    <n v="1"/>
    <s v="C002"/>
    <x v="23"/>
    <s v="P011"/>
    <s v="公斤"/>
    <n v="4.5"/>
    <n v="4.5"/>
    <n v="0"/>
    <n v="4.8"/>
    <s v="正常交付"/>
    <s v="true"/>
    <s v="红薯叶"/>
    <s v="散装鲜菜"/>
    <s v="模拟_桥头家常菜馆"/>
    <n v="21.6"/>
    <n v="0"/>
    <n v="21.6"/>
    <s v=""/>
    <s v=""/>
    <s v=""/>
    <s v=""/>
    <s v="通过"/>
  </r>
  <r>
    <s v="SIM-20260924-C002"/>
    <n v="2"/>
    <s v="C002"/>
    <x v="23"/>
    <s v="P007"/>
    <s v="公斤"/>
    <n v="7.9"/>
    <n v="7.7"/>
    <n v="0"/>
    <n v="4.95"/>
    <s v="到货不足；按实际交付计费"/>
    <s v="true"/>
    <s v="青椒"/>
    <s v="散装鲜菜"/>
    <s v="模拟_桥头家常菜馆"/>
    <n v="38.119999999999997"/>
    <n v="0"/>
    <n v="38.119999999999997"/>
    <s v=""/>
    <s v=""/>
    <s v=""/>
    <s v=""/>
    <s v="通过"/>
  </r>
  <r>
    <s v="SIM-20260924-C002"/>
    <n v="3"/>
    <s v="C002"/>
    <x v="23"/>
    <s v="P008"/>
    <s v="公斤"/>
    <n v="6.4"/>
    <n v="6.4"/>
    <n v="0"/>
    <n v="3.9"/>
    <s v="正常交付"/>
    <s v="true"/>
    <s v="黄瓜"/>
    <s v="散装鲜菜"/>
    <s v="模拟_桥头家常菜馆"/>
    <n v="24.96"/>
    <n v="0"/>
    <n v="24.96"/>
    <s v=""/>
    <s v=""/>
    <s v=""/>
    <s v=""/>
    <s v="通过"/>
  </r>
  <r>
    <s v="SIM-20260924-C002"/>
    <n v="4"/>
    <s v="C002"/>
    <x v="23"/>
    <s v="P001"/>
    <s v="公斤"/>
    <n v="5.5"/>
    <n v="5.5"/>
    <n v="0"/>
    <n v="3.5"/>
    <s v="正常交付"/>
    <s v="true"/>
    <s v="土豆"/>
    <s v="散装鲜菜"/>
    <s v="模拟_桥头家常菜馆"/>
    <n v="19.25"/>
    <n v="0"/>
    <n v="19.25"/>
    <s v=""/>
    <s v=""/>
    <s v=""/>
    <s v=""/>
    <s v="通过"/>
  </r>
  <r>
    <s v="SIM-20260924-C002"/>
    <n v="5"/>
    <s v="C002"/>
    <x v="23"/>
    <s v="P003"/>
    <s v="公斤"/>
    <n v="4"/>
    <n v="4"/>
    <n v="0"/>
    <n v="2.9"/>
    <s v="正常交付"/>
    <s v="true"/>
    <s v="包菜"/>
    <s v="散装鲜菜"/>
    <s v="模拟_桥头家常菜馆"/>
    <n v="11.6"/>
    <n v="0"/>
    <n v="11.6"/>
    <s v=""/>
    <s v=""/>
    <s v=""/>
    <s v=""/>
    <s v="通过"/>
  </r>
  <r>
    <s v="SIM-20260924-C002"/>
    <n v="6"/>
    <s v="C002"/>
    <x v="23"/>
    <s v="P016"/>
    <s v="公斤"/>
    <n v="4"/>
    <n v="4"/>
    <n v="0"/>
    <n v="10.4"/>
    <s v="正常交付"/>
    <s v="true"/>
    <s v="鸡蛋"/>
    <s v="普通鲜鸡蛋按净重"/>
    <s v="模拟_桥头家常菜馆"/>
    <n v="41.6"/>
    <n v="0"/>
    <n v="41.6"/>
    <s v=""/>
    <s v=""/>
    <s v=""/>
    <s v=""/>
    <s v="通过"/>
  </r>
  <r>
    <s v="SIM-20260924-C002"/>
    <n v="7"/>
    <s v="C002"/>
    <x v="23"/>
    <s v="P017"/>
    <s v="袋"/>
    <n v="3"/>
    <n v="3"/>
    <n v="0"/>
    <n v="117"/>
    <s v="正常交付"/>
    <s v="true"/>
    <s v="籼米"/>
    <s v="25公斤/袋普通籼米"/>
    <s v="模拟_桥头家常菜馆"/>
    <n v="351"/>
    <n v="0"/>
    <n v="351"/>
    <s v=""/>
    <s v=""/>
    <s v=""/>
    <s v=""/>
    <s v="通过"/>
  </r>
  <r>
    <s v="SIM-20260924-C002"/>
    <n v="8"/>
    <s v="C002"/>
    <x v="23"/>
    <s v="P019"/>
    <s v="桶"/>
    <n v="1"/>
    <n v="1"/>
    <n v="0"/>
    <n v="67"/>
    <s v="正常交付"/>
    <s v="true"/>
    <s v="菜籽油"/>
    <s v="5升/桶普通菜籽油"/>
    <s v="模拟_桥头家常菜馆"/>
    <n v="67"/>
    <n v="0"/>
    <n v="67"/>
    <s v=""/>
    <s v=""/>
    <s v=""/>
    <s v=""/>
    <s v="通过"/>
  </r>
  <r>
    <s v="SIM-20260924-C003"/>
    <n v="1"/>
    <s v="C003"/>
    <x v="23"/>
    <s v="P010"/>
    <s v="公斤"/>
    <n v="8.4"/>
    <n v="8.4"/>
    <n v="0"/>
    <n v="4.9000000000000004"/>
    <s v="正常交付"/>
    <s v="true"/>
    <s v="空心菜"/>
    <s v="散装鲜菜"/>
    <s v="模拟_兴街快餐店"/>
    <n v="41.16"/>
    <n v="0"/>
    <n v="41.16"/>
    <s v=""/>
    <s v=""/>
    <s v=""/>
    <s v=""/>
    <s v="通过"/>
  </r>
  <r>
    <s v="SIM-20260924-C003"/>
    <n v="2"/>
    <s v="C003"/>
    <x v="23"/>
    <s v="P013"/>
    <s v="公斤"/>
    <n v="7.1"/>
    <n v="7.1"/>
    <n v="0"/>
    <n v="6.1"/>
    <s v="正常交付"/>
    <s v="true"/>
    <s v="豇豆"/>
    <s v="散装鲜菜"/>
    <s v="模拟_兴街快餐店"/>
    <n v="43.31"/>
    <n v="0"/>
    <n v="43.31"/>
    <s v=""/>
    <s v=""/>
    <s v=""/>
    <s v=""/>
    <s v="通过"/>
  </r>
  <r>
    <s v="SIM-20260924-C003"/>
    <n v="3"/>
    <s v="C003"/>
    <x v="23"/>
    <s v="P004"/>
    <s v="公斤"/>
    <n v="5.0999999999999996"/>
    <n v="5.0999999999999996"/>
    <n v="0"/>
    <n v="2.2999999999999998"/>
    <s v="正常交付"/>
    <s v="true"/>
    <s v="冬瓜"/>
    <s v="散装鲜菜"/>
    <s v="模拟_兴街快餐店"/>
    <n v="11.73"/>
    <n v="0"/>
    <n v="11.73"/>
    <s v=""/>
    <s v=""/>
    <s v=""/>
    <s v=""/>
    <s v="通过"/>
  </r>
  <r>
    <s v="SIM-20260924-C003"/>
    <n v="4"/>
    <s v="C003"/>
    <x v="23"/>
    <s v="P002"/>
    <s v="公斤"/>
    <n v="5.8"/>
    <n v="5.8"/>
    <n v="0"/>
    <n v="2.5"/>
    <s v="正常交付"/>
    <s v="true"/>
    <s v="白萝卜"/>
    <s v="散装鲜菜"/>
    <s v="模拟_兴街快餐店"/>
    <n v="14.5"/>
    <n v="0"/>
    <n v="14.5"/>
    <s v=""/>
    <s v=""/>
    <s v=""/>
    <s v=""/>
    <s v="通过"/>
  </r>
  <r>
    <s v="SIM-20260924-C003"/>
    <n v="5"/>
    <s v="C003"/>
    <x v="23"/>
    <s v="P014"/>
    <s v="公斤"/>
    <n v="9"/>
    <n v="9"/>
    <n v="0"/>
    <n v="4.9000000000000004"/>
    <s v="正常交付"/>
    <s v="true"/>
    <s v="丝瓜"/>
    <s v="散装鲜菜"/>
    <s v="模拟_兴街快餐店"/>
    <n v="44.1"/>
    <n v="0"/>
    <n v="44.1"/>
    <s v=""/>
    <s v=""/>
    <s v=""/>
    <s v=""/>
    <s v="通过"/>
  </r>
  <r>
    <s v="SIM-20260924-C003"/>
    <n v="6"/>
    <s v="C003"/>
    <x v="23"/>
    <s v="P006"/>
    <s v="公斤"/>
    <n v="5.8"/>
    <n v="5.8"/>
    <n v="0"/>
    <n v="4.5999999999999996"/>
    <s v="正常交付"/>
    <s v="true"/>
    <s v="茄子"/>
    <s v="散装鲜菜"/>
    <s v="模拟_兴街快餐店"/>
    <n v="26.68"/>
    <n v="0"/>
    <n v="26.68"/>
    <s v=""/>
    <s v=""/>
    <s v=""/>
    <s v=""/>
    <s v="通过"/>
  </r>
  <r>
    <s v="SIM-20260924-C003"/>
    <n v="7"/>
    <s v="C003"/>
    <x v="23"/>
    <s v="P016"/>
    <s v="公斤"/>
    <n v="6"/>
    <n v="6"/>
    <n v="0"/>
    <n v="10.4"/>
    <s v="正常交付"/>
    <s v="true"/>
    <s v="鸡蛋"/>
    <s v="普通鲜鸡蛋按净重"/>
    <s v="模拟_兴街快餐店"/>
    <n v="62.4"/>
    <n v="0"/>
    <n v="62.4"/>
    <s v=""/>
    <s v=""/>
    <s v=""/>
    <s v=""/>
    <s v="通过"/>
  </r>
  <r>
    <s v="SIM-20260924-C003"/>
    <n v="8"/>
    <s v="C003"/>
    <x v="23"/>
    <s v="P017"/>
    <s v="袋"/>
    <n v="5"/>
    <n v="5"/>
    <n v="0"/>
    <n v="117"/>
    <s v="正常交付"/>
    <s v="true"/>
    <s v="籼米"/>
    <s v="25公斤/袋普通籼米"/>
    <s v="模拟_兴街快餐店"/>
    <n v="585"/>
    <n v="0"/>
    <n v="585"/>
    <s v=""/>
    <s v=""/>
    <s v=""/>
    <s v=""/>
    <s v="通过"/>
  </r>
  <r>
    <s v="SIM-20260924-C003"/>
    <n v="9"/>
    <s v="C003"/>
    <x v="23"/>
    <s v="P020"/>
    <s v="桶"/>
    <n v="2"/>
    <n v="2"/>
    <n v="0"/>
    <n v="60"/>
    <s v="正常交付"/>
    <s v="true"/>
    <s v="大豆油"/>
    <s v="5升/桶普通大豆油"/>
    <s v="模拟_兴街快餐店"/>
    <n v="120"/>
    <n v="0"/>
    <n v="120"/>
    <s v=""/>
    <s v=""/>
    <s v=""/>
    <s v=""/>
    <s v="通过"/>
  </r>
  <r>
    <s v="SIM-20260924-C004"/>
    <n v="1"/>
    <s v="C004"/>
    <x v="23"/>
    <s v="P011"/>
    <s v="公斤"/>
    <n v="6.2"/>
    <n v="6.2"/>
    <n v="0"/>
    <n v="4.8"/>
    <s v="正常交付"/>
    <s v="true"/>
    <s v="红薯叶"/>
    <s v="散装鲜菜"/>
    <s v="模拟_田畔饭店"/>
    <n v="29.76"/>
    <n v="0"/>
    <n v="29.76"/>
    <s v=""/>
    <s v=""/>
    <s v=""/>
    <s v=""/>
    <s v="通过"/>
  </r>
  <r>
    <s v="SIM-20260924-C004"/>
    <n v="2"/>
    <s v="C004"/>
    <x v="23"/>
    <s v="P004"/>
    <s v="公斤"/>
    <n v="6.8"/>
    <n v="6.8"/>
    <n v="0"/>
    <n v="2.2999999999999998"/>
    <s v="正常交付"/>
    <s v="true"/>
    <s v="冬瓜"/>
    <s v="散装鲜菜"/>
    <s v="模拟_田畔饭店"/>
    <n v="15.64"/>
    <n v="0"/>
    <n v="15.64"/>
    <s v=""/>
    <s v=""/>
    <s v=""/>
    <s v=""/>
    <s v="通过"/>
  </r>
  <r>
    <s v="SIM-20260924-C004"/>
    <n v="3"/>
    <s v="C004"/>
    <x v="23"/>
    <s v="P009"/>
    <s v="公斤"/>
    <n v="10.9"/>
    <n v="10.9"/>
    <n v="0"/>
    <n v="4.9000000000000004"/>
    <s v="正常交付"/>
    <s v="true"/>
    <s v="西红柿"/>
    <s v="散装鲜菜"/>
    <s v="模拟_田畔饭店"/>
    <n v="53.41"/>
    <n v="0"/>
    <n v="53.41"/>
    <s v=""/>
    <s v=""/>
    <s v=""/>
    <s v=""/>
    <s v="通过"/>
  </r>
  <r>
    <s v="SIM-20260924-C004"/>
    <n v="4"/>
    <s v="C004"/>
    <x v="23"/>
    <s v="P001"/>
    <s v="公斤"/>
    <n v="5.5"/>
    <n v="5.5"/>
    <n v="0"/>
    <n v="3.5"/>
    <s v="正常交付"/>
    <s v="true"/>
    <s v="土豆"/>
    <s v="散装鲜菜"/>
    <s v="模拟_田畔饭店"/>
    <n v="19.25"/>
    <n v="0"/>
    <n v="19.25"/>
    <s v=""/>
    <s v=""/>
    <s v=""/>
    <s v=""/>
    <s v="通过"/>
  </r>
  <r>
    <s v="SIM-20260924-C004"/>
    <n v="5"/>
    <s v="C004"/>
    <x v="23"/>
    <s v="P008"/>
    <s v="公斤"/>
    <n v="6.8"/>
    <n v="6.8"/>
    <n v="0"/>
    <n v="3.9"/>
    <s v="正常交付"/>
    <s v="true"/>
    <s v="黄瓜"/>
    <s v="散装鲜菜"/>
    <s v="模拟_田畔饭店"/>
    <n v="26.52"/>
    <n v="0"/>
    <n v="26.52"/>
    <s v=""/>
    <s v=""/>
    <s v=""/>
    <s v=""/>
    <s v="通过"/>
  </r>
  <r>
    <s v="SIM-20260924-C004"/>
    <n v="6"/>
    <s v="C004"/>
    <x v="23"/>
    <s v="P014"/>
    <s v="公斤"/>
    <n v="4.8"/>
    <n v="4.8"/>
    <n v="0"/>
    <n v="4.9000000000000004"/>
    <s v="正常交付"/>
    <s v="true"/>
    <s v="丝瓜"/>
    <s v="散装鲜菜"/>
    <s v="模拟_田畔饭店"/>
    <n v="23.52"/>
    <n v="0"/>
    <n v="23.52"/>
    <s v=""/>
    <s v=""/>
    <s v=""/>
    <s v=""/>
    <s v="通过"/>
  </r>
  <r>
    <s v="SIM-20260924-C004"/>
    <n v="7"/>
    <s v="C004"/>
    <x v="23"/>
    <s v="P016"/>
    <s v="公斤"/>
    <n v="5"/>
    <n v="5"/>
    <n v="0"/>
    <n v="10.4"/>
    <s v="正常交付"/>
    <s v="true"/>
    <s v="鸡蛋"/>
    <s v="普通鲜鸡蛋按净重"/>
    <s v="模拟_田畔饭店"/>
    <n v="52"/>
    <n v="0"/>
    <n v="52"/>
    <s v=""/>
    <s v=""/>
    <s v=""/>
    <s v=""/>
    <s v="通过"/>
  </r>
  <r>
    <s v="SIM-20260924-C004"/>
    <n v="8"/>
    <s v="C004"/>
    <x v="23"/>
    <s v="P017"/>
    <s v="袋"/>
    <n v="3"/>
    <n v="3"/>
    <n v="0"/>
    <n v="117"/>
    <s v="正常交付"/>
    <s v="true"/>
    <s v="籼米"/>
    <s v="25公斤/袋普通籼米"/>
    <s v="模拟_田畔饭店"/>
    <n v="351"/>
    <n v="0"/>
    <n v="351"/>
    <s v=""/>
    <s v=""/>
    <s v=""/>
    <s v=""/>
    <s v="通过"/>
  </r>
  <r>
    <s v="SIM-20260924-C004"/>
    <n v="9"/>
    <s v="C004"/>
    <x v="23"/>
    <s v="P019"/>
    <s v="桶"/>
    <n v="1"/>
    <n v="1"/>
    <n v="0"/>
    <n v="67"/>
    <s v="正常交付"/>
    <s v="true"/>
    <s v="菜籽油"/>
    <s v="5升/桶普通菜籽油"/>
    <s v="模拟_田畔饭店"/>
    <n v="67"/>
    <n v="0"/>
    <n v="67"/>
    <s v=""/>
    <s v=""/>
    <s v=""/>
    <s v=""/>
    <s v="通过"/>
  </r>
  <r>
    <s v="SIM-20260924-C005"/>
    <n v="1"/>
    <s v="C005"/>
    <x v="23"/>
    <s v="P012"/>
    <s v="公斤"/>
    <n v="11.7"/>
    <n v="11.7"/>
    <n v="0"/>
    <n v="5"/>
    <s v="正常交付"/>
    <s v="true"/>
    <s v="小白菜"/>
    <s v="散装鲜菜"/>
    <s v="模拟_青禾小学食堂"/>
    <n v="58.5"/>
    <n v="0"/>
    <n v="58.5"/>
    <s v=""/>
    <s v=""/>
    <s v=""/>
    <s v=""/>
    <s v="通过"/>
  </r>
  <r>
    <s v="SIM-20260924-C005"/>
    <n v="2"/>
    <s v="C005"/>
    <x v="23"/>
    <s v="P013"/>
    <s v="公斤"/>
    <n v="10"/>
    <n v="10"/>
    <n v="0"/>
    <n v="6.1"/>
    <s v="正常交付"/>
    <s v="true"/>
    <s v="豇豆"/>
    <s v="散装鲜菜"/>
    <s v="模拟_青禾小学食堂"/>
    <n v="61"/>
    <n v="0"/>
    <n v="61"/>
    <s v=""/>
    <s v=""/>
    <s v=""/>
    <s v=""/>
    <s v="通过"/>
  </r>
  <r>
    <s v="SIM-20260924-C005"/>
    <n v="3"/>
    <s v="C005"/>
    <x v="23"/>
    <s v="P014"/>
    <s v="公斤"/>
    <n v="13.4"/>
    <n v="13.4"/>
    <n v="0"/>
    <n v="4.9000000000000004"/>
    <s v="正常交付"/>
    <s v="true"/>
    <s v="丝瓜"/>
    <s v="散装鲜菜"/>
    <s v="模拟_青禾小学食堂"/>
    <n v="65.66"/>
    <n v="0"/>
    <n v="65.66"/>
    <s v=""/>
    <s v=""/>
    <s v=""/>
    <s v=""/>
    <s v="通过"/>
  </r>
  <r>
    <s v="SIM-20260924-C005"/>
    <n v="4"/>
    <s v="C005"/>
    <x v="23"/>
    <s v="P003"/>
    <s v="公斤"/>
    <n v="10.9"/>
    <n v="10.9"/>
    <n v="0"/>
    <n v="2.9"/>
    <s v="正常交付"/>
    <s v="true"/>
    <s v="包菜"/>
    <s v="散装鲜菜"/>
    <s v="模拟_青禾小学食堂"/>
    <n v="31.61"/>
    <n v="0"/>
    <n v="31.61"/>
    <s v=""/>
    <s v=""/>
    <s v=""/>
    <s v=""/>
    <s v="通过"/>
  </r>
  <r>
    <s v="SIM-20260924-C005"/>
    <n v="5"/>
    <s v="C005"/>
    <x v="23"/>
    <s v="P004"/>
    <s v="公斤"/>
    <n v="10"/>
    <n v="10"/>
    <n v="0"/>
    <n v="2.2999999999999998"/>
    <s v="正常交付"/>
    <s v="true"/>
    <s v="冬瓜"/>
    <s v="散装鲜菜"/>
    <s v="模拟_青禾小学食堂"/>
    <n v="23"/>
    <n v="0"/>
    <n v="23"/>
    <s v=""/>
    <s v=""/>
    <s v=""/>
    <s v=""/>
    <s v="通过"/>
  </r>
  <r>
    <s v="SIM-20260924-C005"/>
    <n v="6"/>
    <s v="C005"/>
    <x v="23"/>
    <s v="P008"/>
    <s v="公斤"/>
    <n v="13.4"/>
    <n v="13.4"/>
    <n v="0"/>
    <n v="3.9"/>
    <s v="正常交付"/>
    <s v="true"/>
    <s v="黄瓜"/>
    <s v="散装鲜菜"/>
    <s v="模拟_青禾小学食堂"/>
    <n v="52.26"/>
    <n v="0"/>
    <n v="52.26"/>
    <s v=""/>
    <s v=""/>
    <s v=""/>
    <s v=""/>
    <s v="通过"/>
  </r>
  <r>
    <s v="SIM-20260924-C005"/>
    <n v="7"/>
    <s v="C005"/>
    <x v="23"/>
    <s v="P016"/>
    <s v="公斤"/>
    <n v="12"/>
    <n v="12"/>
    <n v="0"/>
    <n v="10.4"/>
    <s v="正常交付"/>
    <s v="true"/>
    <s v="鸡蛋"/>
    <s v="普通鲜鸡蛋按净重"/>
    <s v="模拟_青禾小学食堂"/>
    <n v="124.8"/>
    <n v="0"/>
    <n v="124.8"/>
    <s v=""/>
    <s v=""/>
    <s v=""/>
    <s v=""/>
    <s v="通过"/>
  </r>
  <r>
    <s v="SIM-20260924-C005"/>
    <n v="8"/>
    <s v="C005"/>
    <x v="23"/>
    <s v="P015"/>
    <s v="公斤"/>
    <n v="1"/>
    <n v="1"/>
    <n v="0"/>
    <n v="7.8"/>
    <s v="正常交付"/>
    <s v="true"/>
    <s v="小葱"/>
    <s v="散装鲜菜"/>
    <s v="模拟_青禾小学食堂"/>
    <n v="7.8"/>
    <n v="0"/>
    <n v="7.8"/>
    <s v=""/>
    <s v=""/>
    <s v=""/>
    <s v=""/>
    <s v="通过"/>
  </r>
  <r>
    <s v="SIM-20260924-C006"/>
    <n v="1"/>
    <s v="C006"/>
    <x v="23"/>
    <s v="P010"/>
    <s v="公斤"/>
    <n v="10.9"/>
    <n v="10.9"/>
    <n v="0"/>
    <n v="4.9000000000000004"/>
    <s v="正常交付"/>
    <s v="true"/>
    <s v="空心菜"/>
    <s v="散装鲜菜"/>
    <s v="模拟_溪桥医院食堂"/>
    <n v="53.41"/>
    <n v="0"/>
    <n v="53.41"/>
    <s v=""/>
    <s v=""/>
    <s v=""/>
    <s v=""/>
    <s v="通过"/>
  </r>
  <r>
    <s v="SIM-20260924-C006"/>
    <n v="2"/>
    <s v="C006"/>
    <x v="23"/>
    <s v="P008"/>
    <s v="公斤"/>
    <n v="6.2"/>
    <n v="6.2"/>
    <n v="0"/>
    <n v="3.9"/>
    <s v="正常交付"/>
    <s v="true"/>
    <s v="黄瓜"/>
    <s v="散装鲜菜"/>
    <s v="模拟_溪桥医院食堂"/>
    <n v="24.18"/>
    <n v="0"/>
    <n v="24.18"/>
    <s v=""/>
    <s v=""/>
    <s v=""/>
    <s v=""/>
    <s v="通过"/>
  </r>
  <r>
    <s v="SIM-20260924-C006"/>
    <n v="3"/>
    <s v="C006"/>
    <x v="23"/>
    <s v="P001"/>
    <s v="公斤"/>
    <n v="10.199999999999999"/>
    <n v="10.199999999999999"/>
    <n v="0"/>
    <n v="3.5"/>
    <s v="正常交付"/>
    <s v="true"/>
    <s v="土豆"/>
    <s v="散装鲜菜"/>
    <s v="模拟_溪桥医院食堂"/>
    <n v="35.700000000000003"/>
    <n v="0"/>
    <n v="35.700000000000003"/>
    <s v=""/>
    <s v=""/>
    <s v=""/>
    <s v=""/>
    <s v="通过"/>
  </r>
  <r>
    <s v="SIM-20260924-C006"/>
    <n v="4"/>
    <s v="C006"/>
    <x v="23"/>
    <s v="P006"/>
    <s v="公斤"/>
    <n v="7.8"/>
    <n v="7.8"/>
    <n v="0"/>
    <n v="4.5999999999999996"/>
    <s v="正常交付"/>
    <s v="true"/>
    <s v="茄子"/>
    <s v="散装鲜菜"/>
    <s v="模拟_溪桥医院食堂"/>
    <n v="35.880000000000003"/>
    <n v="0"/>
    <n v="35.880000000000003"/>
    <s v=""/>
    <s v=""/>
    <s v=""/>
    <s v=""/>
    <s v="通过"/>
  </r>
  <r>
    <s v="SIM-20260924-C006"/>
    <n v="5"/>
    <s v="C006"/>
    <x v="23"/>
    <s v="P007"/>
    <s v="公斤"/>
    <n v="5.5"/>
    <n v="5.5"/>
    <n v="0"/>
    <n v="4.95"/>
    <s v="正常交付"/>
    <s v="true"/>
    <s v="青椒"/>
    <s v="散装鲜菜"/>
    <s v="模拟_溪桥医院食堂"/>
    <n v="27.23"/>
    <n v="0"/>
    <n v="27.23"/>
    <s v=""/>
    <s v=""/>
    <s v=""/>
    <s v=""/>
    <s v="通过"/>
  </r>
  <r>
    <s v="SIM-20260924-C006"/>
    <n v="6"/>
    <s v="C006"/>
    <x v="23"/>
    <s v="P009"/>
    <s v="公斤"/>
    <n v="5.5"/>
    <n v="5.5"/>
    <n v="0"/>
    <n v="4.9000000000000004"/>
    <s v="正常交付"/>
    <s v="true"/>
    <s v="西红柿"/>
    <s v="散装鲜菜"/>
    <s v="模拟_溪桥医院食堂"/>
    <n v="26.95"/>
    <n v="0"/>
    <n v="26.95"/>
    <s v=""/>
    <s v=""/>
    <s v=""/>
    <s v=""/>
    <s v="通过"/>
  </r>
  <r>
    <s v="SIM-20260925-C001"/>
    <n v="1"/>
    <s v="C001"/>
    <x v="24"/>
    <s v="P011"/>
    <s v="公斤"/>
    <n v="3.1"/>
    <n v="3.1"/>
    <n v="0"/>
    <n v="4.8"/>
    <s v="正常交付"/>
    <s v="true"/>
    <s v="红薯叶"/>
    <s v="散装鲜菜"/>
    <s v="模拟_榕树下粉面店"/>
    <n v="14.88"/>
    <n v="0"/>
    <n v="14.88"/>
    <s v=""/>
    <s v=""/>
    <s v=""/>
    <s v=""/>
    <s v="通过"/>
  </r>
  <r>
    <s v="SIM-20260925-C001"/>
    <n v="2"/>
    <s v="C001"/>
    <x v="24"/>
    <s v="P002"/>
    <s v="公斤"/>
    <n v="2"/>
    <n v="2"/>
    <n v="0"/>
    <n v="2.5"/>
    <s v="正常交付"/>
    <s v="true"/>
    <s v="白萝卜"/>
    <s v="散装鲜菜"/>
    <s v="模拟_榕树下粉面店"/>
    <n v="5"/>
    <n v="0"/>
    <n v="5"/>
    <s v=""/>
    <s v=""/>
    <s v=""/>
    <s v=""/>
    <s v="通过"/>
  </r>
  <r>
    <s v="SIM-20260925-C001"/>
    <n v="3"/>
    <s v="C001"/>
    <x v="24"/>
    <s v="P004"/>
    <s v="公斤"/>
    <n v="3.1"/>
    <n v="3.1"/>
    <n v="0"/>
    <n v="2.2999999999999998"/>
    <s v="正常交付"/>
    <s v="true"/>
    <s v="冬瓜"/>
    <s v="散装鲜菜"/>
    <s v="模拟_榕树下粉面店"/>
    <n v="7.13"/>
    <n v="0"/>
    <n v="7.13"/>
    <s v=""/>
    <s v=""/>
    <s v=""/>
    <s v=""/>
    <s v="通过"/>
  </r>
  <r>
    <s v="SIM-20260925-C001"/>
    <n v="4"/>
    <s v="C001"/>
    <x v="24"/>
    <s v="P005"/>
    <s v="公斤"/>
    <n v="3.6"/>
    <n v="3.6"/>
    <n v="0"/>
    <n v="2.7"/>
    <s v="正常交付"/>
    <s v="true"/>
    <s v="南瓜"/>
    <s v="散装鲜菜"/>
    <s v="模拟_榕树下粉面店"/>
    <n v="9.7200000000000006"/>
    <n v="0"/>
    <n v="9.7200000000000006"/>
    <s v=""/>
    <s v=""/>
    <s v=""/>
    <s v=""/>
    <s v="通过"/>
  </r>
  <r>
    <s v="SIM-20260925-C001"/>
    <n v="5"/>
    <s v="C001"/>
    <x v="24"/>
    <s v="P015"/>
    <s v="公斤"/>
    <n v="0.5"/>
    <n v="0.3"/>
    <n v="0"/>
    <n v="7.8"/>
    <s v="到货不足；按实际交付计费"/>
    <s v="true"/>
    <s v="小葱"/>
    <s v="散装鲜菜"/>
    <s v="模拟_榕树下粉面店"/>
    <n v="2.34"/>
    <n v="0"/>
    <n v="2.34"/>
    <s v=""/>
    <s v=""/>
    <s v=""/>
    <s v=""/>
    <s v="通过"/>
  </r>
  <r>
    <s v="SIM-20260925-C002"/>
    <n v="1"/>
    <s v="C002"/>
    <x v="24"/>
    <s v="P012"/>
    <s v="公斤"/>
    <n v="4.2"/>
    <n v="4.2"/>
    <n v="0"/>
    <n v="5"/>
    <s v="正常交付"/>
    <s v="true"/>
    <s v="小白菜"/>
    <s v="散装鲜菜"/>
    <s v="模拟_桥头家常菜馆"/>
    <n v="21"/>
    <n v="0"/>
    <n v="21"/>
    <s v=""/>
    <s v=""/>
    <s v=""/>
    <s v=""/>
    <s v="通过"/>
  </r>
  <r>
    <s v="SIM-20260925-C002"/>
    <n v="2"/>
    <s v="C002"/>
    <x v="24"/>
    <s v="P002"/>
    <s v="公斤"/>
    <n v="6.1"/>
    <n v="6.1"/>
    <n v="0"/>
    <n v="2.5"/>
    <s v="正常交付"/>
    <s v="true"/>
    <s v="白萝卜"/>
    <s v="散装鲜菜"/>
    <s v="模拟_桥头家常菜馆"/>
    <n v="15.25"/>
    <n v="0"/>
    <n v="15.25"/>
    <s v=""/>
    <s v=""/>
    <s v=""/>
    <s v=""/>
    <s v="通过"/>
  </r>
  <r>
    <s v="SIM-20260925-C002"/>
    <n v="3"/>
    <s v="C002"/>
    <x v="24"/>
    <s v="P009"/>
    <s v="公斤"/>
    <n v="6.1"/>
    <n v="6.1"/>
    <n v="0"/>
    <n v="4.9000000000000004"/>
    <s v="正常交付"/>
    <s v="true"/>
    <s v="西红柿"/>
    <s v="散装鲜菜"/>
    <s v="模拟_桥头家常菜馆"/>
    <n v="29.89"/>
    <n v="0"/>
    <n v="29.89"/>
    <s v=""/>
    <s v=""/>
    <s v=""/>
    <s v=""/>
    <s v="通过"/>
  </r>
  <r>
    <s v="SIM-20260925-C002"/>
    <n v="4"/>
    <s v="C002"/>
    <x v="24"/>
    <s v="P013"/>
    <s v="公斤"/>
    <n v="9.6999999999999993"/>
    <n v="9.6999999999999993"/>
    <n v="0"/>
    <n v="6.1"/>
    <s v="正常交付"/>
    <s v="true"/>
    <s v="豇豆"/>
    <s v="散装鲜菜"/>
    <s v="模拟_桥头家常菜馆"/>
    <n v="59.17"/>
    <n v="0"/>
    <n v="59.17"/>
    <s v=""/>
    <s v=""/>
    <s v=""/>
    <s v=""/>
    <s v="通过"/>
  </r>
  <r>
    <s v="SIM-20260925-C002"/>
    <n v="5"/>
    <s v="C002"/>
    <x v="24"/>
    <s v="P001"/>
    <s v="公斤"/>
    <n v="5.5"/>
    <n v="5.5"/>
    <n v="0"/>
    <n v="3.5"/>
    <s v="正常交付"/>
    <s v="true"/>
    <s v="土豆"/>
    <s v="散装鲜菜"/>
    <s v="模拟_桥头家常菜馆"/>
    <n v="19.25"/>
    <n v="0"/>
    <n v="19.25"/>
    <s v=""/>
    <s v=""/>
    <s v=""/>
    <s v=""/>
    <s v="通过"/>
  </r>
  <r>
    <s v="SIM-20260925-C002"/>
    <n v="6"/>
    <s v="C002"/>
    <x v="24"/>
    <s v="P015"/>
    <s v="公斤"/>
    <n v="1"/>
    <n v="1"/>
    <n v="0"/>
    <n v="7.8"/>
    <s v="正常交付"/>
    <s v="true"/>
    <s v="小葱"/>
    <s v="散装鲜菜"/>
    <s v="模拟_桥头家常菜馆"/>
    <n v="7.8"/>
    <n v="0"/>
    <n v="7.8"/>
    <s v=""/>
    <s v=""/>
    <s v=""/>
    <s v=""/>
    <s v="通过"/>
  </r>
  <r>
    <s v="SIM-20260925-C003"/>
    <n v="1"/>
    <s v="C003"/>
    <x v="24"/>
    <s v="P010"/>
    <s v="公斤"/>
    <n v="4.5999999999999996"/>
    <n v="4.5999999999999996"/>
    <n v="0"/>
    <n v="4.9000000000000004"/>
    <s v="正常交付"/>
    <s v="true"/>
    <s v="空心菜"/>
    <s v="散装鲜菜"/>
    <s v="模拟_兴街快餐店"/>
    <n v="22.54"/>
    <n v="0"/>
    <n v="22.54"/>
    <s v=""/>
    <s v=""/>
    <s v=""/>
    <s v=""/>
    <s v="通过"/>
  </r>
  <r>
    <s v="SIM-20260925-C003"/>
    <n v="2"/>
    <s v="C003"/>
    <x v="24"/>
    <s v="P005"/>
    <s v="公斤"/>
    <n v="8.6"/>
    <n v="8.6"/>
    <n v="0"/>
    <n v="2.7"/>
    <s v="正常交付"/>
    <s v="true"/>
    <s v="南瓜"/>
    <s v="散装鲜菜"/>
    <s v="模拟_兴街快餐店"/>
    <n v="23.22"/>
    <n v="0"/>
    <n v="23.22"/>
    <s v=""/>
    <s v=""/>
    <s v=""/>
    <s v=""/>
    <s v="通过"/>
  </r>
  <r>
    <s v="SIM-20260925-C003"/>
    <n v="3"/>
    <s v="C003"/>
    <x v="24"/>
    <s v="P003"/>
    <s v="公斤"/>
    <n v="9.9"/>
    <n v="9.9"/>
    <n v="0"/>
    <n v="2.9"/>
    <s v="正常交付"/>
    <s v="true"/>
    <s v="包菜"/>
    <s v="散装鲜菜"/>
    <s v="模拟_兴街快餐店"/>
    <n v="28.71"/>
    <n v="0"/>
    <n v="28.71"/>
    <s v=""/>
    <s v=""/>
    <s v=""/>
    <s v=""/>
    <s v="通过"/>
  </r>
  <r>
    <s v="SIM-20260925-C003"/>
    <n v="4"/>
    <s v="C003"/>
    <x v="24"/>
    <s v="P013"/>
    <s v="公斤"/>
    <n v="6.6"/>
    <n v="6.6"/>
    <n v="0"/>
    <n v="6.1"/>
    <s v="正常交付"/>
    <s v="true"/>
    <s v="豇豆"/>
    <s v="散装鲜菜"/>
    <s v="模拟_兴街快餐店"/>
    <n v="40.26"/>
    <n v="0"/>
    <n v="40.26"/>
    <s v=""/>
    <s v=""/>
    <s v=""/>
    <s v=""/>
    <s v="通过"/>
  </r>
  <r>
    <s v="SIM-20260925-C003"/>
    <n v="5"/>
    <s v="C003"/>
    <x v="24"/>
    <s v="P006"/>
    <s v="公斤"/>
    <n v="9.1999999999999993"/>
    <n v="9.1999999999999993"/>
    <n v="0"/>
    <n v="4.5999999999999996"/>
    <s v="正常交付"/>
    <s v="true"/>
    <s v="茄子"/>
    <s v="散装鲜菜"/>
    <s v="模拟_兴街快餐店"/>
    <n v="42.32"/>
    <n v="0"/>
    <n v="42.32"/>
    <s v=""/>
    <s v=""/>
    <s v=""/>
    <s v=""/>
    <s v="通过"/>
  </r>
  <r>
    <s v="SIM-20260925-C003"/>
    <n v="6"/>
    <s v="C003"/>
    <x v="24"/>
    <s v="P014"/>
    <s v="公斤"/>
    <n v="7.3"/>
    <n v="7.3"/>
    <n v="0"/>
    <n v="4.9000000000000004"/>
    <s v="正常交付"/>
    <s v="true"/>
    <s v="丝瓜"/>
    <s v="散装鲜菜"/>
    <s v="模拟_兴街快餐店"/>
    <n v="35.770000000000003"/>
    <n v="0"/>
    <n v="35.770000000000003"/>
    <s v=""/>
    <s v=""/>
    <s v=""/>
    <s v=""/>
    <s v="通过"/>
  </r>
  <r>
    <s v="SIM-20260925-C003"/>
    <n v="7"/>
    <s v="C003"/>
    <x v="24"/>
    <s v="P015"/>
    <s v="公斤"/>
    <n v="1"/>
    <n v="1"/>
    <n v="0"/>
    <n v="7.8"/>
    <s v="正常交付"/>
    <s v="true"/>
    <s v="小葱"/>
    <s v="散装鲜菜"/>
    <s v="模拟_兴街快餐店"/>
    <n v="7.8"/>
    <n v="0"/>
    <n v="7.8"/>
    <s v=""/>
    <s v=""/>
    <s v=""/>
    <s v=""/>
    <s v="通过"/>
  </r>
  <r>
    <s v="SIM-20260925-C006"/>
    <n v="1"/>
    <s v="C006"/>
    <x v="24"/>
    <s v="P012"/>
    <s v="公斤"/>
    <n v="9.1"/>
    <n v="9.1"/>
    <n v="0"/>
    <n v="5"/>
    <s v="正常交付"/>
    <s v="true"/>
    <s v="小白菜"/>
    <s v="散装鲜菜"/>
    <s v="模拟_溪桥医院食堂"/>
    <n v="45.5"/>
    <n v="0"/>
    <n v="45.5"/>
    <s v=""/>
    <s v=""/>
    <s v=""/>
    <s v=""/>
    <s v="通过"/>
  </r>
  <r>
    <s v="SIM-20260925-C006"/>
    <n v="2"/>
    <s v="C006"/>
    <x v="24"/>
    <s v="P009"/>
    <s v="公斤"/>
    <n v="5.9"/>
    <n v="5.9"/>
    <n v="0"/>
    <n v="4.9000000000000004"/>
    <s v="正常交付"/>
    <s v="true"/>
    <s v="西红柿"/>
    <s v="散装鲜菜"/>
    <s v="模拟_溪桥医院食堂"/>
    <n v="28.91"/>
    <n v="0"/>
    <n v="28.91"/>
    <s v=""/>
    <s v=""/>
    <s v=""/>
    <s v=""/>
    <s v="通过"/>
  </r>
  <r>
    <s v="SIM-20260925-C006"/>
    <n v="3"/>
    <s v="C006"/>
    <x v="24"/>
    <s v="P008"/>
    <s v="公斤"/>
    <n v="10.4"/>
    <n v="10.4"/>
    <n v="0"/>
    <n v="3.9"/>
    <s v="正常交付"/>
    <s v="true"/>
    <s v="黄瓜"/>
    <s v="散装鲜菜"/>
    <s v="模拟_溪桥医院食堂"/>
    <n v="40.56"/>
    <n v="0"/>
    <n v="40.56"/>
    <s v=""/>
    <s v=""/>
    <s v=""/>
    <s v=""/>
    <s v="通过"/>
  </r>
  <r>
    <s v="SIM-20260925-C006"/>
    <n v="4"/>
    <s v="C006"/>
    <x v="24"/>
    <s v="P006"/>
    <s v="公斤"/>
    <n v="9.1"/>
    <n v="9.1"/>
    <n v="0"/>
    <n v="4.5999999999999996"/>
    <s v="正常交付"/>
    <s v="true"/>
    <s v="茄子"/>
    <s v="散装鲜菜"/>
    <s v="模拟_溪桥医院食堂"/>
    <n v="41.86"/>
    <n v="0"/>
    <n v="41.86"/>
    <s v=""/>
    <s v=""/>
    <s v=""/>
    <s v=""/>
    <s v="通过"/>
  </r>
  <r>
    <s v="SIM-20260925-C006"/>
    <n v="5"/>
    <s v="C006"/>
    <x v="24"/>
    <s v="P007"/>
    <s v="公斤"/>
    <n v="7.8"/>
    <n v="7.8"/>
    <n v="0"/>
    <n v="4.95"/>
    <s v="正常交付"/>
    <s v="true"/>
    <s v="青椒"/>
    <s v="散装鲜菜"/>
    <s v="模拟_溪桥医院食堂"/>
    <n v="38.61"/>
    <n v="0"/>
    <n v="38.61"/>
    <s v=""/>
    <s v=""/>
    <s v=""/>
    <s v=""/>
    <s v="通过"/>
  </r>
  <r>
    <s v="SIM-20260925-C006"/>
    <n v="6"/>
    <s v="C006"/>
    <x v="24"/>
    <s v="P005"/>
    <s v="公斤"/>
    <n v="5.2"/>
    <n v="5.2"/>
    <n v="0"/>
    <n v="2.7"/>
    <s v="正常交付"/>
    <s v="true"/>
    <s v="南瓜"/>
    <s v="散装鲜菜"/>
    <s v="模拟_溪桥医院食堂"/>
    <n v="14.04"/>
    <n v="0"/>
    <n v="14.04"/>
    <s v=""/>
    <s v=""/>
    <s v=""/>
    <s v=""/>
    <s v="通过"/>
  </r>
  <r>
    <s v="SIM-20260925-C006"/>
    <n v="7"/>
    <s v="C006"/>
    <x v="24"/>
    <s v="P016"/>
    <s v="公斤"/>
    <n v="9"/>
    <n v="9"/>
    <n v="0"/>
    <n v="10.4"/>
    <s v="正常交付"/>
    <s v="true"/>
    <s v="鸡蛋"/>
    <s v="普通鲜鸡蛋按净重"/>
    <s v="模拟_溪桥医院食堂"/>
    <n v="93.6"/>
    <n v="0"/>
    <n v="93.6"/>
    <s v=""/>
    <s v=""/>
    <s v=""/>
    <s v=""/>
    <s v="通过"/>
  </r>
  <r>
    <s v="SIM-20260925-C006"/>
    <n v="8"/>
    <s v="C006"/>
    <x v="24"/>
    <s v="P015"/>
    <s v="公斤"/>
    <n v="1"/>
    <n v="1"/>
    <n v="0"/>
    <n v="7.8"/>
    <s v="正常交付"/>
    <s v="true"/>
    <s v="小葱"/>
    <s v="散装鲜菜"/>
    <s v="模拟_溪桥医院食堂"/>
    <n v="7.8"/>
    <n v="0"/>
    <n v="7.8"/>
    <s v=""/>
    <s v=""/>
    <s v=""/>
    <s v=""/>
    <s v="通过"/>
  </r>
  <r>
    <s v="SIM-20260926-C001"/>
    <n v="1"/>
    <s v="C001"/>
    <x v="25"/>
    <s v="P011"/>
    <s v="公斤"/>
    <n v="2.5"/>
    <n v="2.5"/>
    <n v="0"/>
    <n v="4.8"/>
    <s v="正常交付"/>
    <s v="true"/>
    <s v="红薯叶"/>
    <s v="散装鲜菜"/>
    <s v="模拟_榕树下粉面店"/>
    <n v="12"/>
    <n v="0"/>
    <n v="12"/>
    <s v=""/>
    <s v=""/>
    <s v=""/>
    <s v=""/>
    <s v="通过"/>
  </r>
  <r>
    <s v="SIM-20260926-C001"/>
    <n v="2"/>
    <s v="C001"/>
    <x v="25"/>
    <s v="P009"/>
    <s v="公斤"/>
    <n v="4"/>
    <n v="4"/>
    <n v="0"/>
    <n v="4.9000000000000004"/>
    <s v="正常交付"/>
    <s v="true"/>
    <s v="西红柿"/>
    <s v="散装鲜菜"/>
    <s v="模拟_榕树下粉面店"/>
    <n v="19.600000000000001"/>
    <n v="0"/>
    <n v="19.600000000000001"/>
    <s v=""/>
    <s v=""/>
    <s v=""/>
    <s v=""/>
    <s v="通过"/>
  </r>
  <r>
    <s v="SIM-20260926-C001"/>
    <n v="3"/>
    <s v="C001"/>
    <x v="25"/>
    <s v="P005"/>
    <s v="公斤"/>
    <n v="3"/>
    <n v="3"/>
    <n v="0"/>
    <n v="2.7"/>
    <s v="正常交付"/>
    <s v="true"/>
    <s v="南瓜"/>
    <s v="散装鲜菜"/>
    <s v="模拟_榕树下粉面店"/>
    <n v="8.1"/>
    <n v="0"/>
    <n v="8.1"/>
    <s v=""/>
    <s v=""/>
    <s v=""/>
    <s v=""/>
    <s v="通过"/>
  </r>
  <r>
    <s v="SIM-20260926-C001"/>
    <n v="4"/>
    <s v="C001"/>
    <x v="25"/>
    <s v="P006"/>
    <s v="公斤"/>
    <n v="2"/>
    <n v="2"/>
    <n v="0"/>
    <n v="4.5999999999999996"/>
    <s v="正常交付"/>
    <s v="true"/>
    <s v="茄子"/>
    <s v="散装鲜菜"/>
    <s v="模拟_榕树下粉面店"/>
    <n v="9.1999999999999993"/>
    <n v="0"/>
    <n v="9.1999999999999993"/>
    <s v=""/>
    <s v=""/>
    <s v=""/>
    <s v=""/>
    <s v="通过"/>
  </r>
  <r>
    <s v="SIM-20260926-C001"/>
    <n v="5"/>
    <s v="C001"/>
    <x v="25"/>
    <s v="P016"/>
    <s v="公斤"/>
    <n v="3"/>
    <n v="3"/>
    <n v="0.1"/>
    <n v="10.4"/>
    <s v="正常交付；签收时破损退回"/>
    <s v="true"/>
    <s v="鸡蛋"/>
    <s v="普通鲜鸡蛋按净重"/>
    <s v="模拟_榕树下粉面店"/>
    <n v="31.2"/>
    <n v="1.04"/>
    <n v="30.16"/>
    <s v=""/>
    <s v=""/>
    <s v=""/>
    <s v=""/>
    <s v="通过"/>
  </r>
  <r>
    <s v="SIM-20260926-C002"/>
    <n v="1"/>
    <s v="C002"/>
    <x v="25"/>
    <s v="P011"/>
    <s v="公斤"/>
    <n v="6.4"/>
    <n v="6.4"/>
    <n v="0"/>
    <n v="4.8"/>
    <s v="正常交付"/>
    <s v="true"/>
    <s v="红薯叶"/>
    <s v="散装鲜菜"/>
    <s v="模拟_桥头家常菜馆"/>
    <n v="30.72"/>
    <n v="0"/>
    <n v="30.72"/>
    <s v=""/>
    <s v=""/>
    <s v=""/>
    <s v=""/>
    <s v="通过"/>
  </r>
  <r>
    <s v="SIM-20260926-C002"/>
    <n v="2"/>
    <s v="C002"/>
    <x v="25"/>
    <s v="P001"/>
    <s v="公斤"/>
    <n v="6.4"/>
    <n v="6.4"/>
    <n v="0"/>
    <n v="3.5"/>
    <s v="正常交付"/>
    <s v="true"/>
    <s v="土豆"/>
    <s v="散装鲜菜"/>
    <s v="模拟_桥头家常菜馆"/>
    <n v="22.4"/>
    <n v="0"/>
    <n v="22.4"/>
    <s v=""/>
    <s v=""/>
    <s v=""/>
    <s v=""/>
    <s v="通过"/>
  </r>
  <r>
    <s v="SIM-20260926-C002"/>
    <n v="3"/>
    <s v="C002"/>
    <x v="25"/>
    <s v="P002"/>
    <s v="公斤"/>
    <n v="5.7"/>
    <n v="5.7"/>
    <n v="0"/>
    <n v="2.5"/>
    <s v="正常交付"/>
    <s v="true"/>
    <s v="白萝卜"/>
    <s v="散装鲜菜"/>
    <s v="模拟_桥头家常菜馆"/>
    <n v="14.25"/>
    <n v="0"/>
    <n v="14.25"/>
    <s v=""/>
    <s v=""/>
    <s v=""/>
    <s v=""/>
    <s v="通过"/>
  </r>
  <r>
    <s v="SIM-20260926-C002"/>
    <n v="4"/>
    <s v="C002"/>
    <x v="25"/>
    <s v="P006"/>
    <s v="公斤"/>
    <n v="7.8"/>
    <n v="7.8"/>
    <n v="0"/>
    <n v="4.5999999999999996"/>
    <s v="正常交付"/>
    <s v="true"/>
    <s v="茄子"/>
    <s v="散装鲜菜"/>
    <s v="模拟_桥头家常菜馆"/>
    <n v="35.880000000000003"/>
    <n v="0"/>
    <n v="35.880000000000003"/>
    <s v=""/>
    <s v=""/>
    <s v=""/>
    <s v=""/>
    <s v="通过"/>
  </r>
  <r>
    <s v="SIM-20260926-C002"/>
    <n v="5"/>
    <s v="C002"/>
    <x v="25"/>
    <s v="P007"/>
    <s v="公斤"/>
    <n v="10.7"/>
    <n v="10.7"/>
    <n v="0"/>
    <n v="4.95"/>
    <s v="正常交付"/>
    <s v="true"/>
    <s v="青椒"/>
    <s v="散装鲜菜"/>
    <s v="模拟_桥头家常菜馆"/>
    <n v="52.97"/>
    <n v="0"/>
    <n v="52.97"/>
    <s v=""/>
    <s v=""/>
    <s v=""/>
    <s v=""/>
    <s v="通过"/>
  </r>
  <r>
    <s v="SIM-20260926-C002"/>
    <n v="6"/>
    <s v="C002"/>
    <x v="25"/>
    <s v="P016"/>
    <s v="公斤"/>
    <n v="4"/>
    <n v="4"/>
    <n v="0"/>
    <n v="10.4"/>
    <s v="正常交付"/>
    <s v="true"/>
    <s v="鸡蛋"/>
    <s v="普通鲜鸡蛋按净重"/>
    <s v="模拟_桥头家常菜馆"/>
    <n v="41.6"/>
    <n v="0"/>
    <n v="41.6"/>
    <s v=""/>
    <s v=""/>
    <s v=""/>
    <s v=""/>
    <s v="通过"/>
  </r>
  <r>
    <s v="SIM-20260926-C003"/>
    <n v="1"/>
    <s v="C003"/>
    <x v="25"/>
    <s v="P011"/>
    <s v="公斤"/>
    <n v="9.6"/>
    <n v="9.6"/>
    <n v="0"/>
    <n v="4.8"/>
    <s v="正常交付"/>
    <s v="true"/>
    <s v="红薯叶"/>
    <s v="散装鲜菜"/>
    <s v="模拟_兴街快餐店"/>
    <n v="46.08"/>
    <n v="0"/>
    <n v="46.08"/>
    <s v=""/>
    <s v=""/>
    <s v=""/>
    <s v=""/>
    <s v="通过"/>
  </r>
  <r>
    <s v="SIM-20260926-C003"/>
    <n v="2"/>
    <s v="C003"/>
    <x v="25"/>
    <s v="P006"/>
    <s v="公斤"/>
    <n v="7.7"/>
    <n v="7.7"/>
    <n v="0"/>
    <n v="4.5999999999999996"/>
    <s v="正常交付"/>
    <s v="true"/>
    <s v="茄子"/>
    <s v="散装鲜菜"/>
    <s v="模拟_兴街快餐店"/>
    <n v="35.42"/>
    <n v="0"/>
    <n v="35.42"/>
    <s v=""/>
    <s v=""/>
    <s v=""/>
    <s v=""/>
    <s v="通过"/>
  </r>
  <r>
    <s v="SIM-20260926-C003"/>
    <n v="3"/>
    <s v="C003"/>
    <x v="25"/>
    <s v="P007"/>
    <s v="公斤"/>
    <n v="7"/>
    <n v="7"/>
    <n v="0"/>
    <n v="4.95"/>
    <s v="正常交付"/>
    <s v="true"/>
    <s v="青椒"/>
    <s v="散装鲜菜"/>
    <s v="模拟_兴街快餐店"/>
    <n v="34.65"/>
    <n v="0"/>
    <n v="34.65"/>
    <s v=""/>
    <s v=""/>
    <s v=""/>
    <s v=""/>
    <s v="通过"/>
  </r>
  <r>
    <s v="SIM-20260926-C003"/>
    <n v="4"/>
    <s v="C003"/>
    <x v="25"/>
    <s v="P013"/>
    <s v="公斤"/>
    <n v="7"/>
    <n v="7"/>
    <n v="0"/>
    <n v="6.1"/>
    <s v="正常交付"/>
    <s v="true"/>
    <s v="豇豆"/>
    <s v="散装鲜菜"/>
    <s v="模拟_兴街快餐店"/>
    <n v="42.7"/>
    <n v="0"/>
    <n v="42.7"/>
    <s v=""/>
    <s v=""/>
    <s v=""/>
    <s v=""/>
    <s v="通过"/>
  </r>
  <r>
    <s v="SIM-20260926-C003"/>
    <n v="5"/>
    <s v="C003"/>
    <x v="25"/>
    <s v="P004"/>
    <s v="公斤"/>
    <n v="6.4"/>
    <n v="6.4"/>
    <n v="0"/>
    <n v="2.2999999999999998"/>
    <s v="正常交付"/>
    <s v="true"/>
    <s v="冬瓜"/>
    <s v="散装鲜菜"/>
    <s v="模拟_兴街快餐店"/>
    <n v="14.72"/>
    <n v="0"/>
    <n v="14.72"/>
    <s v=""/>
    <s v=""/>
    <s v=""/>
    <s v=""/>
    <s v="通过"/>
  </r>
  <r>
    <s v="SIM-20260926-C003"/>
    <n v="6"/>
    <s v="C003"/>
    <x v="25"/>
    <s v="P001"/>
    <s v="公斤"/>
    <n v="6.4"/>
    <n v="6.4"/>
    <n v="0"/>
    <n v="3.5"/>
    <s v="正常交付"/>
    <s v="true"/>
    <s v="土豆"/>
    <s v="散装鲜菜"/>
    <s v="模拟_兴街快餐店"/>
    <n v="22.4"/>
    <n v="0"/>
    <n v="22.4"/>
    <s v=""/>
    <s v=""/>
    <s v=""/>
    <s v=""/>
    <s v="通过"/>
  </r>
  <r>
    <s v="SIM-20260926-C003"/>
    <n v="7"/>
    <s v="C003"/>
    <x v="25"/>
    <s v="P016"/>
    <s v="公斤"/>
    <n v="6"/>
    <n v="5.7"/>
    <n v="0"/>
    <n v="10.4"/>
    <s v="到货不足；按实际交付计费"/>
    <s v="true"/>
    <s v="鸡蛋"/>
    <s v="普通鲜鸡蛋按净重"/>
    <s v="模拟_兴街快餐店"/>
    <n v="59.28"/>
    <n v="0"/>
    <n v="59.28"/>
    <s v=""/>
    <s v=""/>
    <s v=""/>
    <s v=""/>
    <s v="通过"/>
  </r>
  <r>
    <s v="SIM-20260926-C004"/>
    <n v="1"/>
    <s v="C004"/>
    <x v="25"/>
    <s v="P010"/>
    <s v="公斤"/>
    <n v="9.1"/>
    <n v="9.1"/>
    <n v="0"/>
    <n v="4.9000000000000004"/>
    <s v="正常交付"/>
    <s v="true"/>
    <s v="空心菜"/>
    <s v="散装鲜菜"/>
    <s v="模拟_田畔饭店"/>
    <n v="44.59"/>
    <n v="0"/>
    <n v="44.59"/>
    <s v=""/>
    <s v=""/>
    <s v=""/>
    <s v=""/>
    <s v="通过"/>
  </r>
  <r>
    <s v="SIM-20260926-C004"/>
    <n v="2"/>
    <s v="C004"/>
    <x v="25"/>
    <s v="P008"/>
    <s v="公斤"/>
    <n v="9.1"/>
    <n v="9.1"/>
    <n v="0"/>
    <n v="3.9"/>
    <s v="正常交付"/>
    <s v="true"/>
    <s v="黄瓜"/>
    <s v="散装鲜菜"/>
    <s v="模拟_田畔饭店"/>
    <n v="35.49"/>
    <n v="0"/>
    <n v="35.49"/>
    <s v=""/>
    <s v=""/>
    <s v=""/>
    <s v=""/>
    <s v="通过"/>
  </r>
  <r>
    <s v="SIM-20260926-C004"/>
    <n v="3"/>
    <s v="C004"/>
    <x v="25"/>
    <s v="P003"/>
    <s v="公斤"/>
    <n v="9.1"/>
    <n v="9.1"/>
    <n v="0"/>
    <n v="2.9"/>
    <s v="正常交付"/>
    <s v="true"/>
    <s v="包菜"/>
    <s v="散装鲜菜"/>
    <s v="模拟_田畔饭店"/>
    <n v="26.39"/>
    <n v="0"/>
    <n v="26.39"/>
    <s v=""/>
    <s v=""/>
    <s v=""/>
    <s v=""/>
    <s v="通过"/>
  </r>
  <r>
    <s v="SIM-20260926-C004"/>
    <n v="4"/>
    <s v="C004"/>
    <x v="25"/>
    <s v="P007"/>
    <s v="公斤"/>
    <n v="6.6"/>
    <n v="6.6"/>
    <n v="0"/>
    <n v="4.95"/>
    <s v="正常交付"/>
    <s v="true"/>
    <s v="青椒"/>
    <s v="散装鲜菜"/>
    <s v="模拟_田畔饭店"/>
    <n v="32.67"/>
    <n v="0"/>
    <n v="32.67"/>
    <s v=""/>
    <s v=""/>
    <s v=""/>
    <s v=""/>
    <s v="通过"/>
  </r>
  <r>
    <s v="SIM-20260926-C004"/>
    <n v="5"/>
    <s v="C004"/>
    <x v="25"/>
    <s v="P002"/>
    <s v="公斤"/>
    <n v="12.4"/>
    <n v="12.4"/>
    <n v="0"/>
    <n v="2.5"/>
    <s v="正常交付"/>
    <s v="true"/>
    <s v="白萝卜"/>
    <s v="散装鲜菜"/>
    <s v="模拟_田畔饭店"/>
    <n v="31"/>
    <n v="0"/>
    <n v="31"/>
    <s v=""/>
    <s v=""/>
    <s v=""/>
    <s v=""/>
    <s v="通过"/>
  </r>
  <r>
    <s v="SIM-20260926-C004"/>
    <n v="6"/>
    <s v="C004"/>
    <x v="25"/>
    <s v="P001"/>
    <s v="公斤"/>
    <n v="5.8"/>
    <n v="5.8"/>
    <n v="0"/>
    <n v="3.5"/>
    <s v="正常交付"/>
    <s v="true"/>
    <s v="土豆"/>
    <s v="散装鲜菜"/>
    <s v="模拟_田畔饭店"/>
    <n v="20.3"/>
    <n v="0"/>
    <n v="20.3"/>
    <s v=""/>
    <s v=""/>
    <s v=""/>
    <s v=""/>
    <s v="通过"/>
  </r>
  <r>
    <s v="SIM-20260926-C006"/>
    <n v="1"/>
    <s v="C006"/>
    <x v="25"/>
    <s v="P010"/>
    <s v="公斤"/>
    <n v="8.9"/>
    <n v="8.9"/>
    <n v="0"/>
    <n v="4.9000000000000004"/>
    <s v="正常交付"/>
    <s v="true"/>
    <s v="空心菜"/>
    <s v="散装鲜菜"/>
    <s v="模拟_溪桥医院食堂"/>
    <n v="43.61"/>
    <n v="0"/>
    <n v="43.61"/>
    <s v=""/>
    <s v=""/>
    <s v=""/>
    <s v=""/>
    <s v="通过"/>
  </r>
  <r>
    <s v="SIM-20260926-C006"/>
    <n v="2"/>
    <s v="C006"/>
    <x v="25"/>
    <s v="P008"/>
    <s v="公斤"/>
    <n v="10.199999999999999"/>
    <n v="10.199999999999999"/>
    <n v="0"/>
    <n v="3.9"/>
    <s v="正常交付"/>
    <s v="true"/>
    <s v="黄瓜"/>
    <s v="散装鲜菜"/>
    <s v="模拟_溪桥医院食堂"/>
    <n v="39.78"/>
    <n v="0"/>
    <n v="39.78"/>
    <s v=""/>
    <s v=""/>
    <s v=""/>
    <s v=""/>
    <s v="通过"/>
  </r>
  <r>
    <s v="SIM-20260926-C006"/>
    <n v="3"/>
    <s v="C006"/>
    <x v="25"/>
    <s v="P003"/>
    <s v="公斤"/>
    <n v="9.5"/>
    <n v="9.5"/>
    <n v="0"/>
    <n v="2.9"/>
    <s v="正常交付"/>
    <s v="true"/>
    <s v="包菜"/>
    <s v="散装鲜菜"/>
    <s v="模拟_溪桥医院食堂"/>
    <n v="27.55"/>
    <n v="0"/>
    <n v="27.55"/>
    <s v=""/>
    <s v=""/>
    <s v=""/>
    <s v=""/>
    <s v="通过"/>
  </r>
  <r>
    <s v="SIM-20260926-C006"/>
    <n v="4"/>
    <s v="C006"/>
    <x v="25"/>
    <s v="P007"/>
    <s v="公斤"/>
    <n v="4.4000000000000004"/>
    <n v="4.4000000000000004"/>
    <n v="0"/>
    <n v="4.95"/>
    <s v="正常交付"/>
    <s v="true"/>
    <s v="青椒"/>
    <s v="散装鲜菜"/>
    <s v="模拟_溪桥医院食堂"/>
    <n v="21.78"/>
    <n v="0"/>
    <n v="21.78"/>
    <s v=""/>
    <s v=""/>
    <s v=""/>
    <s v=""/>
    <s v="通过"/>
  </r>
  <r>
    <s v="SIM-20260926-C006"/>
    <n v="5"/>
    <s v="C006"/>
    <x v="25"/>
    <s v="P004"/>
    <s v="公斤"/>
    <n v="4.4000000000000004"/>
    <n v="4.4000000000000004"/>
    <n v="0"/>
    <n v="2.2999999999999998"/>
    <s v="正常交付"/>
    <s v="true"/>
    <s v="冬瓜"/>
    <s v="散装鲜菜"/>
    <s v="模拟_溪桥医院食堂"/>
    <n v="10.119999999999999"/>
    <n v="0"/>
    <n v="10.119999999999999"/>
    <s v=""/>
    <s v=""/>
    <s v=""/>
    <s v=""/>
    <s v="通过"/>
  </r>
  <r>
    <s v="SIM-20260926-C006"/>
    <n v="6"/>
    <s v="C006"/>
    <x v="25"/>
    <s v="P001"/>
    <s v="公斤"/>
    <n v="5.7"/>
    <n v="5.7"/>
    <n v="0"/>
    <n v="3.5"/>
    <s v="正常交付"/>
    <s v="true"/>
    <s v="土豆"/>
    <s v="散装鲜菜"/>
    <s v="模拟_溪桥医院食堂"/>
    <n v="19.95"/>
    <n v="0"/>
    <n v="19.95"/>
    <s v=""/>
    <s v=""/>
    <s v=""/>
    <s v=""/>
    <s v="通过"/>
  </r>
  <r>
    <s v="SIM-20260926-C006"/>
    <n v="7"/>
    <s v="C006"/>
    <x v="25"/>
    <s v="P017"/>
    <s v="袋"/>
    <n v="4"/>
    <n v="4"/>
    <n v="0"/>
    <n v="117"/>
    <s v="正常交付"/>
    <s v="true"/>
    <s v="籼米"/>
    <s v="25公斤/袋普通籼米"/>
    <s v="模拟_溪桥医院食堂"/>
    <n v="468"/>
    <n v="0"/>
    <n v="468"/>
    <s v=""/>
    <s v=""/>
    <s v=""/>
    <s v=""/>
    <s v="通过"/>
  </r>
  <r>
    <s v="SIM-20260926-C006"/>
    <n v="8"/>
    <s v="C006"/>
    <x v="25"/>
    <s v="P020"/>
    <s v="桶"/>
    <n v="2"/>
    <n v="2"/>
    <n v="0"/>
    <n v="60"/>
    <s v="正常交付"/>
    <s v="true"/>
    <s v="大豆油"/>
    <s v="5升/桶普通大豆油"/>
    <s v="模拟_溪桥医院食堂"/>
    <n v="120"/>
    <n v="0"/>
    <n v="120"/>
    <s v=""/>
    <s v=""/>
    <s v=""/>
    <s v=""/>
    <s v="通过"/>
  </r>
  <r>
    <s v="SIM-20260927-C002"/>
    <n v="1"/>
    <s v="C002"/>
    <x v="26"/>
    <s v="P011"/>
    <s v="公斤"/>
    <n v="6.4"/>
    <n v="6.4"/>
    <n v="0"/>
    <n v="4.8"/>
    <s v="正常交付"/>
    <s v="true"/>
    <s v="红薯叶"/>
    <s v="散装鲜菜"/>
    <s v="模拟_桥头家常菜馆"/>
    <n v="30.72"/>
    <n v="0"/>
    <n v="30.72"/>
    <s v=""/>
    <s v=""/>
    <s v=""/>
    <s v=""/>
    <s v="通过"/>
  </r>
  <r>
    <s v="SIM-20260927-C002"/>
    <n v="2"/>
    <s v="C002"/>
    <x v="26"/>
    <s v="P013"/>
    <s v="公斤"/>
    <n v="6.4"/>
    <n v="6.4"/>
    <n v="0"/>
    <n v="6.1"/>
    <s v="正常交付"/>
    <s v="true"/>
    <s v="豇豆"/>
    <s v="散装鲜菜"/>
    <s v="模拟_桥头家常菜馆"/>
    <n v="39.04"/>
    <n v="0"/>
    <n v="39.04"/>
    <s v=""/>
    <s v=""/>
    <s v=""/>
    <s v=""/>
    <s v="通过"/>
  </r>
  <r>
    <s v="SIM-20260927-C002"/>
    <n v="3"/>
    <s v="C002"/>
    <x v="26"/>
    <s v="P006"/>
    <s v="公斤"/>
    <n v="9.1999999999999993"/>
    <n v="9.1999999999999993"/>
    <n v="0"/>
    <n v="4.5999999999999996"/>
    <s v="正常交付"/>
    <s v="true"/>
    <s v="茄子"/>
    <s v="散装鲜菜"/>
    <s v="模拟_桥头家常菜馆"/>
    <n v="42.32"/>
    <n v="0"/>
    <n v="42.32"/>
    <s v=""/>
    <s v=""/>
    <s v=""/>
    <s v=""/>
    <s v="通过"/>
  </r>
  <r>
    <s v="SIM-20260927-C002"/>
    <n v="4"/>
    <s v="C002"/>
    <x v="26"/>
    <s v="P005"/>
    <s v="公斤"/>
    <n v="8.5"/>
    <n v="8.5"/>
    <n v="0"/>
    <n v="2.7"/>
    <s v="正常交付"/>
    <s v="true"/>
    <s v="南瓜"/>
    <s v="散装鲜菜"/>
    <s v="模拟_桥头家常菜馆"/>
    <n v="22.95"/>
    <n v="0"/>
    <n v="22.95"/>
    <s v=""/>
    <s v=""/>
    <s v=""/>
    <s v=""/>
    <s v="通过"/>
  </r>
  <r>
    <s v="SIM-20260927-C002"/>
    <n v="5"/>
    <s v="C002"/>
    <x v="26"/>
    <s v="P009"/>
    <s v="公斤"/>
    <n v="7.8"/>
    <n v="7.8"/>
    <n v="0"/>
    <n v="4.9000000000000004"/>
    <s v="正常交付"/>
    <s v="true"/>
    <s v="西红柿"/>
    <s v="散装鲜菜"/>
    <s v="模拟_桥头家常菜馆"/>
    <n v="38.22"/>
    <n v="0"/>
    <n v="38.22"/>
    <s v=""/>
    <s v=""/>
    <s v=""/>
    <s v=""/>
    <s v="通过"/>
  </r>
  <r>
    <s v="SIM-20260927-C006"/>
    <n v="1"/>
    <s v="C006"/>
    <x v="26"/>
    <s v="P010"/>
    <s v="公斤"/>
    <n v="6.3"/>
    <n v="6.3"/>
    <n v="0"/>
    <n v="4.9000000000000004"/>
    <s v="正常交付"/>
    <s v="true"/>
    <s v="空心菜"/>
    <s v="散装鲜菜"/>
    <s v="模拟_溪桥医院食堂"/>
    <n v="30.87"/>
    <n v="0"/>
    <n v="30.87"/>
    <s v=""/>
    <s v=""/>
    <s v=""/>
    <s v=""/>
    <s v="通过"/>
  </r>
  <r>
    <s v="SIM-20260927-C006"/>
    <n v="2"/>
    <s v="C006"/>
    <x v="26"/>
    <s v="P002"/>
    <s v="公斤"/>
    <n v="9.4"/>
    <n v="9.4"/>
    <n v="0"/>
    <n v="2.5"/>
    <s v="正常交付"/>
    <s v="true"/>
    <s v="白萝卜"/>
    <s v="散装鲜菜"/>
    <s v="模拟_溪桥医院食堂"/>
    <n v="23.5"/>
    <n v="0"/>
    <n v="23.5"/>
    <s v=""/>
    <s v=""/>
    <s v=""/>
    <s v=""/>
    <s v="通过"/>
  </r>
  <r>
    <s v="SIM-20260927-C006"/>
    <n v="3"/>
    <s v="C006"/>
    <x v="26"/>
    <s v="P013"/>
    <s v="公斤"/>
    <n v="8.8000000000000007"/>
    <n v="8.8000000000000007"/>
    <n v="0"/>
    <n v="6.1"/>
    <s v="正常交付"/>
    <s v="true"/>
    <s v="豇豆"/>
    <s v="散装鲜菜"/>
    <s v="模拟_溪桥医院食堂"/>
    <n v="53.68"/>
    <n v="0"/>
    <n v="53.68"/>
    <s v=""/>
    <s v=""/>
    <s v=""/>
    <s v=""/>
    <s v="通过"/>
  </r>
  <r>
    <s v="SIM-20260927-C006"/>
    <n v="4"/>
    <s v="C006"/>
    <x v="26"/>
    <s v="P007"/>
    <s v="公斤"/>
    <n v="6.3"/>
    <n v="6.3"/>
    <n v="0"/>
    <n v="4.95"/>
    <s v="正常交付"/>
    <s v="true"/>
    <s v="青椒"/>
    <s v="散装鲜菜"/>
    <s v="模拟_溪桥医院食堂"/>
    <n v="31.19"/>
    <n v="0"/>
    <n v="31.19"/>
    <s v=""/>
    <s v=""/>
    <s v=""/>
    <s v=""/>
    <s v="通过"/>
  </r>
  <r>
    <s v="SIM-20260927-C006"/>
    <n v="5"/>
    <s v="C006"/>
    <x v="26"/>
    <s v="P004"/>
    <s v="公斤"/>
    <n v="8.1999999999999993"/>
    <n v="8.1999999999999993"/>
    <n v="0"/>
    <n v="2.2999999999999998"/>
    <s v="正常交付"/>
    <s v="true"/>
    <s v="冬瓜"/>
    <s v="散装鲜菜"/>
    <s v="模拟_溪桥医院食堂"/>
    <n v="18.86"/>
    <n v="0"/>
    <n v="18.86"/>
    <s v=""/>
    <s v=""/>
    <s v=""/>
    <s v=""/>
    <s v="通过"/>
  </r>
  <r>
    <s v="SIM-20260927-C006"/>
    <n v="6"/>
    <s v="C006"/>
    <x v="26"/>
    <s v="P005"/>
    <s v="公斤"/>
    <n v="7.6"/>
    <n v="7.6"/>
    <n v="0"/>
    <n v="2.7"/>
    <s v="正常交付"/>
    <s v="true"/>
    <s v="南瓜"/>
    <s v="散装鲜菜"/>
    <s v="模拟_溪桥医院食堂"/>
    <n v="20.52"/>
    <n v="0"/>
    <n v="20.52"/>
    <s v=""/>
    <s v=""/>
    <s v=""/>
    <s v=""/>
    <s v="通过"/>
  </r>
  <r>
    <s v="SIM-20260927-C006"/>
    <n v="7"/>
    <s v="C006"/>
    <x v="26"/>
    <s v="P016"/>
    <s v="公斤"/>
    <n v="9"/>
    <n v="9"/>
    <n v="0"/>
    <n v="10.4"/>
    <s v="正常交付"/>
    <s v="true"/>
    <s v="鸡蛋"/>
    <s v="普通鲜鸡蛋按净重"/>
    <s v="模拟_溪桥医院食堂"/>
    <n v="93.6"/>
    <n v="0"/>
    <n v="93.6"/>
    <s v=""/>
    <s v=""/>
    <s v=""/>
    <s v=""/>
    <s v="通过"/>
  </r>
  <r>
    <s v="SIM-20260928-C001"/>
    <n v="1"/>
    <s v="C001"/>
    <x v="27"/>
    <s v="P012"/>
    <s v="公斤"/>
    <n v="1.8"/>
    <n v="1.8"/>
    <n v="0"/>
    <n v="5"/>
    <s v="正常交付"/>
    <s v="true"/>
    <s v="小白菜"/>
    <s v="散装鲜菜"/>
    <s v="模拟_榕树下粉面店"/>
    <n v="9"/>
    <n v="0"/>
    <n v="9"/>
    <s v=""/>
    <s v=""/>
    <s v=""/>
    <s v=""/>
    <s v="通过"/>
  </r>
  <r>
    <s v="SIM-20260928-C001"/>
    <n v="2"/>
    <s v="C001"/>
    <x v="27"/>
    <s v="P013"/>
    <s v="公斤"/>
    <n v="2.2999999999999998"/>
    <n v="2.2999999999999998"/>
    <n v="0"/>
    <n v="6.1"/>
    <s v="正常交付"/>
    <s v="true"/>
    <s v="豇豆"/>
    <s v="散装鲜菜"/>
    <s v="模拟_榕树下粉面店"/>
    <n v="14.03"/>
    <n v="0"/>
    <n v="14.03"/>
    <s v=""/>
    <s v=""/>
    <s v=""/>
    <s v=""/>
    <s v="通过"/>
  </r>
  <r>
    <s v="SIM-20260928-C001"/>
    <n v="3"/>
    <s v="C001"/>
    <x v="27"/>
    <s v="P002"/>
    <s v="公斤"/>
    <n v="3.4"/>
    <n v="3.4"/>
    <n v="0"/>
    <n v="2.5"/>
    <s v="正常交付"/>
    <s v="true"/>
    <s v="白萝卜"/>
    <s v="散装鲜菜"/>
    <s v="模拟_榕树下粉面店"/>
    <n v="8.5"/>
    <n v="0"/>
    <n v="8.5"/>
    <s v=""/>
    <s v=""/>
    <s v=""/>
    <s v=""/>
    <s v="通过"/>
  </r>
  <r>
    <s v="SIM-20260928-C001"/>
    <n v="4"/>
    <s v="C001"/>
    <x v="27"/>
    <s v="P007"/>
    <s v="公斤"/>
    <n v="3.6"/>
    <n v="3.6"/>
    <n v="0"/>
    <n v="4.95"/>
    <s v="正常交付"/>
    <s v="true"/>
    <s v="青椒"/>
    <s v="散装鲜菜"/>
    <s v="模拟_榕树下粉面店"/>
    <n v="17.82"/>
    <n v="0"/>
    <n v="17.82"/>
    <s v=""/>
    <s v=""/>
    <s v=""/>
    <s v=""/>
    <s v="通过"/>
  </r>
  <r>
    <s v="SIM-20260928-C003"/>
    <n v="1"/>
    <s v="C003"/>
    <x v="27"/>
    <s v="P012"/>
    <s v="公斤"/>
    <n v="8.1"/>
    <n v="8.1"/>
    <n v="0"/>
    <n v="5"/>
    <s v="正常交付"/>
    <s v="true"/>
    <s v="小白菜"/>
    <s v="散装鲜菜"/>
    <s v="模拟_兴街快餐店"/>
    <n v="40.5"/>
    <n v="0"/>
    <n v="40.5"/>
    <s v=""/>
    <s v=""/>
    <s v=""/>
    <s v=""/>
    <s v="通过"/>
  </r>
  <r>
    <s v="SIM-20260928-C003"/>
    <n v="2"/>
    <s v="C003"/>
    <x v="27"/>
    <s v="P005"/>
    <s v="公斤"/>
    <n v="8.1"/>
    <n v="8.1"/>
    <n v="0"/>
    <n v="2.7"/>
    <s v="正常交付"/>
    <s v="true"/>
    <s v="南瓜"/>
    <s v="散装鲜菜"/>
    <s v="模拟_兴街快餐店"/>
    <n v="21.87"/>
    <n v="0"/>
    <n v="21.87"/>
    <s v=""/>
    <s v=""/>
    <s v=""/>
    <s v=""/>
    <s v="通过"/>
  </r>
  <r>
    <s v="SIM-20260928-C003"/>
    <n v="3"/>
    <s v="C003"/>
    <x v="27"/>
    <s v="P009"/>
    <s v="公斤"/>
    <n v="4.4000000000000004"/>
    <n v="3.9"/>
    <n v="0"/>
    <n v="4.9000000000000004"/>
    <s v="到货不足；按实际交付计费"/>
    <s v="true"/>
    <s v="西红柿"/>
    <s v="散装鲜菜"/>
    <s v="模拟_兴街快餐店"/>
    <n v="19.11"/>
    <n v="0"/>
    <n v="19.11"/>
    <s v=""/>
    <s v=""/>
    <s v=""/>
    <s v=""/>
    <s v="通过"/>
  </r>
  <r>
    <s v="SIM-20260928-C003"/>
    <n v="4"/>
    <s v="C003"/>
    <x v="27"/>
    <s v="P001"/>
    <s v="公斤"/>
    <n v="5"/>
    <n v="5"/>
    <n v="0"/>
    <n v="3.5"/>
    <s v="正常交付"/>
    <s v="true"/>
    <s v="土豆"/>
    <s v="散装鲜菜"/>
    <s v="模拟_兴街快餐店"/>
    <n v="17.5"/>
    <n v="0"/>
    <n v="17.5"/>
    <s v=""/>
    <s v=""/>
    <s v=""/>
    <s v=""/>
    <s v="通过"/>
  </r>
  <r>
    <s v="SIM-20260928-C003"/>
    <n v="5"/>
    <s v="C003"/>
    <x v="27"/>
    <s v="P007"/>
    <s v="公斤"/>
    <n v="7.5"/>
    <n v="7.5"/>
    <n v="0"/>
    <n v="4.95"/>
    <s v="正常交付"/>
    <s v="true"/>
    <s v="青椒"/>
    <s v="散装鲜菜"/>
    <s v="模拟_兴街快餐店"/>
    <n v="37.130000000000003"/>
    <n v="0"/>
    <n v="37.130000000000003"/>
    <s v=""/>
    <s v=""/>
    <s v=""/>
    <s v=""/>
    <s v="通过"/>
  </r>
  <r>
    <s v="SIM-20260928-C003"/>
    <n v="6"/>
    <s v="C003"/>
    <x v="27"/>
    <s v="P008"/>
    <s v="公斤"/>
    <n v="7.5"/>
    <n v="7.5"/>
    <n v="0"/>
    <n v="3.9"/>
    <s v="正常交付"/>
    <s v="true"/>
    <s v="黄瓜"/>
    <s v="散装鲜菜"/>
    <s v="模拟_兴街快餐店"/>
    <n v="29.25"/>
    <n v="0"/>
    <n v="29.25"/>
    <s v=""/>
    <s v=""/>
    <s v=""/>
    <s v=""/>
    <s v="通过"/>
  </r>
  <r>
    <s v="SIM-20260928-C005"/>
    <n v="1"/>
    <s v="C005"/>
    <x v="27"/>
    <s v="P012"/>
    <s v="公斤"/>
    <n v="11.6"/>
    <n v="11.6"/>
    <n v="0"/>
    <n v="5"/>
    <s v="正常交付"/>
    <s v="true"/>
    <s v="小白菜"/>
    <s v="散装鲜菜"/>
    <s v="模拟_青禾小学食堂"/>
    <n v="58"/>
    <n v="0"/>
    <n v="58"/>
    <s v=""/>
    <s v=""/>
    <s v=""/>
    <s v=""/>
    <s v="通过"/>
  </r>
  <r>
    <s v="SIM-20260928-C005"/>
    <n v="2"/>
    <s v="C005"/>
    <x v="27"/>
    <s v="P007"/>
    <s v="公斤"/>
    <n v="9.3000000000000007"/>
    <n v="9.3000000000000007"/>
    <n v="0"/>
    <n v="4.95"/>
    <s v="正常交付"/>
    <s v="true"/>
    <s v="青椒"/>
    <s v="散装鲜菜"/>
    <s v="模拟_青禾小学食堂"/>
    <n v="46.04"/>
    <n v="0"/>
    <n v="46.04"/>
    <s v=""/>
    <s v=""/>
    <s v=""/>
    <s v=""/>
    <s v="通过"/>
  </r>
  <r>
    <s v="SIM-20260928-C005"/>
    <n v="3"/>
    <s v="C005"/>
    <x v="27"/>
    <s v="P008"/>
    <s v="公斤"/>
    <n v="8.5"/>
    <n v="8.5"/>
    <n v="0"/>
    <n v="3.9"/>
    <s v="正常交付"/>
    <s v="true"/>
    <s v="黄瓜"/>
    <s v="散装鲜菜"/>
    <s v="模拟_青禾小学食堂"/>
    <n v="33.15"/>
    <n v="0"/>
    <n v="33.15"/>
    <s v=""/>
    <s v=""/>
    <s v=""/>
    <s v=""/>
    <s v="通过"/>
  </r>
  <r>
    <s v="SIM-20260928-C005"/>
    <n v="4"/>
    <s v="C005"/>
    <x v="27"/>
    <s v="P009"/>
    <s v="公斤"/>
    <n v="7.7"/>
    <n v="7.7"/>
    <n v="0"/>
    <n v="4.9000000000000004"/>
    <s v="正常交付"/>
    <s v="true"/>
    <s v="西红柿"/>
    <s v="散装鲜菜"/>
    <s v="模拟_青禾小学食堂"/>
    <n v="37.729999999999997"/>
    <n v="0"/>
    <n v="37.729999999999997"/>
    <s v=""/>
    <s v=""/>
    <s v=""/>
    <s v=""/>
    <s v="通过"/>
  </r>
  <r>
    <s v="SIM-20260928-C005"/>
    <n v="5"/>
    <s v="C005"/>
    <x v="27"/>
    <s v="P013"/>
    <s v="公斤"/>
    <n v="10.8"/>
    <n v="10.8"/>
    <n v="0"/>
    <n v="6.1"/>
    <s v="正常交付"/>
    <s v="true"/>
    <s v="豇豆"/>
    <s v="散装鲜菜"/>
    <s v="模拟_青禾小学食堂"/>
    <n v="65.88"/>
    <n v="0"/>
    <n v="65.88"/>
    <s v=""/>
    <s v=""/>
    <s v=""/>
    <s v=""/>
    <s v="通过"/>
  </r>
  <r>
    <s v="SIM-20260928-C005"/>
    <n v="6"/>
    <s v="C005"/>
    <x v="27"/>
    <s v="P003"/>
    <s v="公斤"/>
    <n v="11.6"/>
    <n v="11.6"/>
    <n v="0"/>
    <n v="2.9"/>
    <s v="正常交付"/>
    <s v="true"/>
    <s v="包菜"/>
    <s v="散装鲜菜"/>
    <s v="模拟_青禾小学食堂"/>
    <n v="33.64"/>
    <n v="0"/>
    <n v="33.64"/>
    <s v=""/>
    <s v=""/>
    <s v=""/>
    <s v=""/>
    <s v="通过"/>
  </r>
  <r>
    <s v="SIM-20260928-C006"/>
    <n v="1"/>
    <s v="C006"/>
    <x v="27"/>
    <s v="P010"/>
    <s v="公斤"/>
    <n v="5"/>
    <n v="4.8"/>
    <n v="0"/>
    <n v="4.9000000000000004"/>
    <s v="到货不足；按实际交付计费"/>
    <s v="true"/>
    <s v="空心菜"/>
    <s v="散装鲜菜"/>
    <s v="模拟_溪桥医院食堂"/>
    <n v="23.52"/>
    <n v="0"/>
    <n v="23.52"/>
    <s v=""/>
    <s v=""/>
    <s v=""/>
    <s v=""/>
    <s v="通过"/>
  </r>
  <r>
    <s v="SIM-20260928-C006"/>
    <n v="2"/>
    <s v="C006"/>
    <x v="27"/>
    <s v="P007"/>
    <s v="公斤"/>
    <n v="9.1999999999999993"/>
    <n v="9.1999999999999993"/>
    <n v="0"/>
    <n v="4.95"/>
    <s v="正常交付"/>
    <s v="true"/>
    <s v="青椒"/>
    <s v="散装鲜菜"/>
    <s v="模拟_溪桥医院食堂"/>
    <n v="45.54"/>
    <n v="0"/>
    <n v="45.54"/>
    <s v=""/>
    <s v=""/>
    <s v=""/>
    <s v=""/>
    <s v="通过"/>
  </r>
  <r>
    <s v="SIM-20260928-C006"/>
    <n v="3"/>
    <s v="C006"/>
    <x v="27"/>
    <s v="P006"/>
    <s v="公斤"/>
    <n v="7.8"/>
    <n v="7.6"/>
    <n v="0"/>
    <n v="4.5999999999999996"/>
    <s v="到货不足；按实际交付计费"/>
    <s v="true"/>
    <s v="茄子"/>
    <s v="散装鲜菜"/>
    <s v="模拟_溪桥医院食堂"/>
    <n v="34.96"/>
    <n v="0"/>
    <n v="34.96"/>
    <s v=""/>
    <s v=""/>
    <s v=""/>
    <s v=""/>
    <s v="通过"/>
  </r>
  <r>
    <s v="SIM-20260928-C006"/>
    <n v="4"/>
    <s v="C006"/>
    <x v="27"/>
    <s v="P009"/>
    <s v="公斤"/>
    <n v="5.7"/>
    <n v="5.7"/>
    <n v="0"/>
    <n v="4.9000000000000004"/>
    <s v="正常交付"/>
    <s v="true"/>
    <s v="西红柿"/>
    <s v="散装鲜菜"/>
    <s v="模拟_溪桥医院食堂"/>
    <n v="27.93"/>
    <n v="0"/>
    <n v="27.93"/>
    <s v=""/>
    <s v=""/>
    <s v=""/>
    <s v=""/>
    <s v="通过"/>
  </r>
  <r>
    <s v="SIM-20260928-C006"/>
    <n v="5"/>
    <s v="C006"/>
    <x v="27"/>
    <s v="P003"/>
    <s v="公斤"/>
    <n v="7.1"/>
    <n v="7.1"/>
    <n v="0"/>
    <n v="2.9"/>
    <s v="正常交付"/>
    <s v="true"/>
    <s v="包菜"/>
    <s v="散装鲜菜"/>
    <s v="模拟_溪桥医院食堂"/>
    <n v="20.59"/>
    <n v="0"/>
    <n v="20.59"/>
    <s v=""/>
    <s v=""/>
    <s v=""/>
    <s v=""/>
    <s v="通过"/>
  </r>
  <r>
    <s v="SIM-20260928-C006"/>
    <n v="6"/>
    <s v="C006"/>
    <x v="27"/>
    <s v="P005"/>
    <s v="公斤"/>
    <n v="11.3"/>
    <n v="11.3"/>
    <n v="0"/>
    <n v="2.7"/>
    <s v="正常交付"/>
    <s v="true"/>
    <s v="南瓜"/>
    <s v="散装鲜菜"/>
    <s v="模拟_溪桥医院食堂"/>
    <n v="30.51"/>
    <n v="0"/>
    <n v="30.51"/>
    <s v=""/>
    <s v=""/>
    <s v=""/>
    <s v=""/>
    <s v="通过"/>
  </r>
  <r>
    <s v="SIM-20260928-C006"/>
    <n v="7"/>
    <s v="C006"/>
    <x v="27"/>
    <s v="P015"/>
    <s v="公斤"/>
    <n v="1"/>
    <n v="1"/>
    <n v="0"/>
    <n v="7.8"/>
    <s v="正常交付"/>
    <s v="true"/>
    <s v="小葱"/>
    <s v="散装鲜菜"/>
    <s v="模拟_溪桥医院食堂"/>
    <n v="7.8"/>
    <n v="0"/>
    <n v="7.8"/>
    <s v=""/>
    <s v=""/>
    <s v=""/>
    <s v=""/>
    <s v="通过"/>
  </r>
  <r>
    <s v="SIM-20260929-C001"/>
    <n v="1"/>
    <s v="C001"/>
    <x v="28"/>
    <s v="P012"/>
    <s v="公斤"/>
    <n v="3"/>
    <n v="3"/>
    <n v="0"/>
    <n v="5.2"/>
    <s v="正常交付"/>
    <s v="true"/>
    <s v="小白菜"/>
    <s v="散装鲜菜"/>
    <s v="模拟_榕树下粉面店"/>
    <n v="15.6"/>
    <n v="0"/>
    <n v="15.6"/>
    <s v=""/>
    <s v=""/>
    <s v=""/>
    <s v=""/>
    <s v="通过"/>
  </r>
  <r>
    <s v="SIM-20260929-C001"/>
    <n v="2"/>
    <s v="C001"/>
    <x v="28"/>
    <s v="P007"/>
    <s v="公斤"/>
    <n v="5"/>
    <n v="5"/>
    <n v="0"/>
    <n v="5.25"/>
    <s v="正常交付"/>
    <s v="true"/>
    <s v="青椒"/>
    <s v="散装鲜菜"/>
    <s v="模拟_榕树下粉面店"/>
    <n v="26.25"/>
    <n v="0"/>
    <n v="26.25"/>
    <s v=""/>
    <s v=""/>
    <s v=""/>
    <s v=""/>
    <s v="通过"/>
  </r>
  <r>
    <s v="SIM-20260929-C001"/>
    <n v="3"/>
    <s v="C001"/>
    <x v="28"/>
    <s v="P014"/>
    <s v="公斤"/>
    <n v="2.6"/>
    <n v="2.6"/>
    <n v="0"/>
    <n v="4.8"/>
    <s v="正常交付"/>
    <s v="true"/>
    <s v="丝瓜"/>
    <s v="散装鲜菜"/>
    <s v="模拟_榕树下粉面店"/>
    <n v="12.48"/>
    <n v="0"/>
    <n v="12.48"/>
    <s v=""/>
    <s v=""/>
    <s v=""/>
    <s v=""/>
    <s v="通过"/>
  </r>
  <r>
    <s v="SIM-20260929-C001"/>
    <n v="4"/>
    <s v="C001"/>
    <x v="28"/>
    <s v="P005"/>
    <s v="公斤"/>
    <n v="2.6"/>
    <n v="2.6"/>
    <n v="0"/>
    <n v="2.8"/>
    <s v="正常交付"/>
    <s v="true"/>
    <s v="南瓜"/>
    <s v="散装鲜菜"/>
    <s v="模拟_榕树下粉面店"/>
    <n v="7.28"/>
    <n v="0"/>
    <n v="7.28"/>
    <s v=""/>
    <s v=""/>
    <s v=""/>
    <s v=""/>
    <s v="通过"/>
  </r>
  <r>
    <s v="SIM-20260929-C001"/>
    <n v="5"/>
    <s v="C001"/>
    <x v="28"/>
    <s v="P016"/>
    <s v="公斤"/>
    <n v="3"/>
    <n v="3"/>
    <n v="0"/>
    <n v="10.3"/>
    <s v="正常交付"/>
    <s v="true"/>
    <s v="鸡蛋"/>
    <s v="普通鲜鸡蛋按净重"/>
    <s v="模拟_榕树下粉面店"/>
    <n v="30.9"/>
    <n v="0"/>
    <n v="30.9"/>
    <s v=""/>
    <s v=""/>
    <s v=""/>
    <s v=""/>
    <s v="通过"/>
  </r>
  <r>
    <s v="SIM-20260929-C001"/>
    <n v="6"/>
    <s v="C001"/>
    <x v="28"/>
    <s v="P015"/>
    <s v="公斤"/>
    <n v="0.5"/>
    <n v="0.5"/>
    <n v="0"/>
    <n v="7.7"/>
    <s v="正常交付"/>
    <s v="true"/>
    <s v="小葱"/>
    <s v="散装鲜菜"/>
    <s v="模拟_榕树下粉面店"/>
    <n v="3.85"/>
    <n v="0"/>
    <n v="3.85"/>
    <s v=""/>
    <s v=""/>
    <s v=""/>
    <s v=""/>
    <s v="通过"/>
  </r>
  <r>
    <s v="SIM-20260929-C002"/>
    <n v="1"/>
    <s v="C002"/>
    <x v="28"/>
    <s v="P010"/>
    <s v="公斤"/>
    <n v="6.1"/>
    <n v="6.1"/>
    <n v="0.5"/>
    <n v="4.8"/>
    <s v="正常交付；签收时挑出黄叶退回"/>
    <s v="true"/>
    <s v="空心菜"/>
    <s v="散装鲜菜"/>
    <s v="模拟_桥头家常菜馆"/>
    <n v="29.28"/>
    <n v="2.4"/>
    <n v="26.880000000000003"/>
    <s v=""/>
    <s v=""/>
    <s v=""/>
    <s v=""/>
    <s v="通过"/>
  </r>
  <r>
    <s v="SIM-20260929-C002"/>
    <n v="2"/>
    <s v="C002"/>
    <x v="28"/>
    <s v="P007"/>
    <s v="公斤"/>
    <n v="3.9"/>
    <n v="3.9"/>
    <n v="0"/>
    <n v="5.25"/>
    <s v="正常交付"/>
    <s v="true"/>
    <s v="青椒"/>
    <s v="散装鲜菜"/>
    <s v="模拟_桥头家常菜馆"/>
    <n v="20.48"/>
    <n v="0"/>
    <n v="20.48"/>
    <s v=""/>
    <s v=""/>
    <s v=""/>
    <s v=""/>
    <s v="通过"/>
  </r>
  <r>
    <s v="SIM-20260929-C002"/>
    <n v="3"/>
    <s v="C002"/>
    <x v="28"/>
    <s v="P006"/>
    <s v="公斤"/>
    <n v="7"/>
    <n v="7"/>
    <n v="0"/>
    <n v="4.5"/>
    <s v="正常交付"/>
    <s v="true"/>
    <s v="茄子"/>
    <s v="散装鲜菜"/>
    <s v="模拟_桥头家常菜馆"/>
    <n v="31.5"/>
    <n v="0"/>
    <n v="31.5"/>
    <s v=""/>
    <s v=""/>
    <s v=""/>
    <s v=""/>
    <s v="通过"/>
  </r>
  <r>
    <s v="SIM-20260929-C002"/>
    <n v="4"/>
    <s v="C002"/>
    <x v="28"/>
    <s v="P013"/>
    <s v="公斤"/>
    <n v="6.1"/>
    <n v="5.9"/>
    <n v="0"/>
    <n v="6.3"/>
    <s v="到货不足；按实际交付计费"/>
    <s v="true"/>
    <s v="豇豆"/>
    <s v="散装鲜菜"/>
    <s v="模拟_桥头家常菜馆"/>
    <n v="37.17"/>
    <n v="0"/>
    <n v="37.17"/>
    <s v=""/>
    <s v=""/>
    <s v=""/>
    <s v=""/>
    <s v="通过"/>
  </r>
  <r>
    <s v="SIM-20260929-C002"/>
    <n v="5"/>
    <s v="C002"/>
    <x v="28"/>
    <s v="P009"/>
    <s v="公斤"/>
    <n v="4.4000000000000004"/>
    <n v="4.4000000000000004"/>
    <n v="0"/>
    <n v="4.8"/>
    <s v="正常交付"/>
    <s v="true"/>
    <s v="西红柿"/>
    <s v="散装鲜菜"/>
    <s v="模拟_桥头家常菜馆"/>
    <n v="21.12"/>
    <n v="0"/>
    <n v="21.12"/>
    <s v=""/>
    <s v=""/>
    <s v=""/>
    <s v=""/>
    <s v="通过"/>
  </r>
  <r>
    <s v="SIM-20260929-C002"/>
    <n v="6"/>
    <s v="C002"/>
    <x v="28"/>
    <s v="P016"/>
    <s v="公斤"/>
    <n v="4"/>
    <n v="4"/>
    <n v="0"/>
    <n v="10.3"/>
    <s v="正常交付"/>
    <s v="true"/>
    <s v="鸡蛋"/>
    <s v="普通鲜鸡蛋按净重"/>
    <s v="模拟_桥头家常菜馆"/>
    <n v="41.2"/>
    <n v="0"/>
    <n v="41.2"/>
    <s v=""/>
    <s v=""/>
    <s v=""/>
    <s v=""/>
    <s v="通过"/>
  </r>
  <r>
    <s v="SIM-20260929-C002"/>
    <n v="7"/>
    <s v="C002"/>
    <x v="28"/>
    <s v="P015"/>
    <s v="公斤"/>
    <n v="1"/>
    <n v="1"/>
    <n v="0"/>
    <n v="7.7"/>
    <s v="正常交付"/>
    <s v="true"/>
    <s v="小葱"/>
    <s v="散装鲜菜"/>
    <s v="模拟_桥头家常菜馆"/>
    <n v="7.7"/>
    <n v="0"/>
    <n v="7.7"/>
    <s v=""/>
    <s v=""/>
    <s v=""/>
    <s v=""/>
    <s v="通过"/>
  </r>
  <r>
    <s v="SIM-20260929-C003"/>
    <n v="1"/>
    <s v="C003"/>
    <x v="28"/>
    <s v="P011"/>
    <s v="公斤"/>
    <n v="5.3"/>
    <n v="5.3"/>
    <n v="0"/>
    <n v="4.8"/>
    <s v="正常交付"/>
    <s v="true"/>
    <s v="红薯叶"/>
    <s v="散装鲜菜"/>
    <s v="模拟_兴街快餐店"/>
    <n v="25.44"/>
    <n v="0"/>
    <n v="25.44"/>
    <s v=""/>
    <s v=""/>
    <s v=""/>
    <s v=""/>
    <s v="通过"/>
  </r>
  <r>
    <s v="SIM-20260929-C003"/>
    <n v="2"/>
    <s v="C003"/>
    <x v="28"/>
    <s v="P014"/>
    <s v="公斤"/>
    <n v="10.5"/>
    <n v="10.199999999999999"/>
    <n v="0"/>
    <n v="4.8"/>
    <s v="到货不足；按实际交付计费"/>
    <s v="true"/>
    <s v="丝瓜"/>
    <s v="散装鲜菜"/>
    <s v="模拟_兴街快餐店"/>
    <n v="48.96"/>
    <n v="0"/>
    <n v="48.96"/>
    <s v=""/>
    <s v=""/>
    <s v=""/>
    <s v=""/>
    <s v="通过"/>
  </r>
  <r>
    <s v="SIM-20260929-C003"/>
    <n v="3"/>
    <s v="C003"/>
    <x v="28"/>
    <s v="P007"/>
    <s v="公斤"/>
    <n v="9.1999999999999993"/>
    <n v="9.1999999999999993"/>
    <n v="0"/>
    <n v="5.25"/>
    <s v="正常交付"/>
    <s v="true"/>
    <s v="青椒"/>
    <s v="散装鲜菜"/>
    <s v="模拟_兴街快餐店"/>
    <n v="48.3"/>
    <n v="0"/>
    <n v="48.3"/>
    <s v=""/>
    <s v=""/>
    <s v=""/>
    <s v=""/>
    <s v="通过"/>
  </r>
  <r>
    <s v="SIM-20260929-C003"/>
    <n v="4"/>
    <s v="C003"/>
    <x v="28"/>
    <s v="P003"/>
    <s v="公斤"/>
    <n v="4.5999999999999996"/>
    <n v="4.5999999999999996"/>
    <n v="0"/>
    <n v="3"/>
    <s v="正常交付"/>
    <s v="true"/>
    <s v="包菜"/>
    <s v="散装鲜菜"/>
    <s v="模拟_兴街快餐店"/>
    <n v="13.8"/>
    <n v="0"/>
    <n v="13.8"/>
    <s v=""/>
    <s v=""/>
    <s v=""/>
    <s v=""/>
    <s v="通过"/>
  </r>
  <r>
    <s v="SIM-20260929-C003"/>
    <n v="5"/>
    <s v="C003"/>
    <x v="28"/>
    <s v="P009"/>
    <s v="公斤"/>
    <n v="9.8000000000000007"/>
    <n v="9.8000000000000007"/>
    <n v="0"/>
    <n v="4.8"/>
    <s v="正常交付"/>
    <s v="true"/>
    <s v="西红柿"/>
    <s v="散装鲜菜"/>
    <s v="模拟_兴街快餐店"/>
    <n v="47.04"/>
    <n v="0"/>
    <n v="47.04"/>
    <s v=""/>
    <s v=""/>
    <s v=""/>
    <s v=""/>
    <s v="通过"/>
  </r>
  <r>
    <s v="SIM-20260929-C003"/>
    <n v="6"/>
    <s v="C003"/>
    <x v="28"/>
    <s v="P001"/>
    <s v="公斤"/>
    <n v="7.2"/>
    <n v="7.2"/>
    <n v="0"/>
    <n v="3.1"/>
    <s v="正常交付"/>
    <s v="true"/>
    <s v="土豆"/>
    <s v="散装鲜菜"/>
    <s v="模拟_兴街快餐店"/>
    <n v="22.32"/>
    <n v="0"/>
    <n v="22.32"/>
    <s v=""/>
    <s v=""/>
    <s v=""/>
    <s v=""/>
    <s v="通过"/>
  </r>
  <r>
    <s v="SIM-20260929-C003"/>
    <n v="7"/>
    <s v="C003"/>
    <x v="28"/>
    <s v="P016"/>
    <s v="公斤"/>
    <n v="6"/>
    <n v="6"/>
    <n v="0"/>
    <n v="10.3"/>
    <s v="正常交付"/>
    <s v="true"/>
    <s v="鸡蛋"/>
    <s v="普通鲜鸡蛋按净重"/>
    <s v="模拟_兴街快餐店"/>
    <n v="61.8"/>
    <n v="0"/>
    <n v="61.8"/>
    <s v=""/>
    <s v=""/>
    <s v=""/>
    <s v=""/>
    <s v="通过"/>
  </r>
  <r>
    <s v="SIM-20260929-C003"/>
    <n v="8"/>
    <s v="C003"/>
    <x v="28"/>
    <s v="P015"/>
    <s v="公斤"/>
    <n v="1"/>
    <n v="1"/>
    <n v="0"/>
    <n v="7.7"/>
    <s v="正常交付"/>
    <s v="true"/>
    <s v="小葱"/>
    <s v="散装鲜菜"/>
    <s v="模拟_兴街快餐店"/>
    <n v="7.7"/>
    <n v="0"/>
    <n v="7.7"/>
    <s v=""/>
    <s v=""/>
    <s v=""/>
    <s v=""/>
    <s v="通过"/>
  </r>
  <r>
    <s v="SIM-20260929-C004"/>
    <n v="1"/>
    <s v="C004"/>
    <x v="28"/>
    <s v="P011"/>
    <s v="公斤"/>
    <n v="7.5"/>
    <n v="7.5"/>
    <n v="0"/>
    <n v="4.8"/>
    <s v="正常交付"/>
    <s v="true"/>
    <s v="红薯叶"/>
    <s v="散装鲜菜"/>
    <s v="模拟_田畔饭店"/>
    <n v="36"/>
    <n v="0"/>
    <n v="36"/>
    <s v=""/>
    <s v=""/>
    <s v=""/>
    <s v=""/>
    <s v="通过"/>
  </r>
  <r>
    <s v="SIM-20260929-C004"/>
    <n v="2"/>
    <s v="C004"/>
    <x v="28"/>
    <s v="P006"/>
    <s v="公斤"/>
    <n v="8"/>
    <n v="8"/>
    <n v="0"/>
    <n v="4.5"/>
    <s v="正常交付"/>
    <s v="true"/>
    <s v="茄子"/>
    <s v="散装鲜菜"/>
    <s v="模拟_田畔饭店"/>
    <n v="36"/>
    <n v="0"/>
    <n v="36"/>
    <s v=""/>
    <s v=""/>
    <s v=""/>
    <s v=""/>
    <s v="通过"/>
  </r>
  <r>
    <s v="SIM-20260929-C004"/>
    <n v="3"/>
    <s v="C004"/>
    <x v="28"/>
    <s v="P014"/>
    <s v="公斤"/>
    <n v="6"/>
    <n v="6"/>
    <n v="0"/>
    <n v="4.8"/>
    <s v="正常交付"/>
    <s v="true"/>
    <s v="丝瓜"/>
    <s v="散装鲜菜"/>
    <s v="模拟_田畔饭店"/>
    <n v="28.8"/>
    <n v="0"/>
    <n v="28.8"/>
    <s v=""/>
    <s v=""/>
    <s v=""/>
    <s v=""/>
    <s v="通过"/>
  </r>
  <r>
    <s v="SIM-20260929-C004"/>
    <n v="4"/>
    <s v="C004"/>
    <x v="28"/>
    <s v="P013"/>
    <s v="公斤"/>
    <n v="7.5"/>
    <n v="7.5"/>
    <n v="0"/>
    <n v="6.3"/>
    <s v="正常交付"/>
    <s v="true"/>
    <s v="豇豆"/>
    <s v="散装鲜菜"/>
    <s v="模拟_田畔饭店"/>
    <n v="47.25"/>
    <n v="0"/>
    <n v="47.25"/>
    <s v=""/>
    <s v=""/>
    <s v=""/>
    <s v=""/>
    <s v="通过"/>
  </r>
  <r>
    <s v="SIM-20260929-C004"/>
    <n v="5"/>
    <s v="C004"/>
    <x v="28"/>
    <s v="P004"/>
    <s v="公斤"/>
    <n v="4"/>
    <n v="4"/>
    <n v="0"/>
    <n v="2.2000000000000002"/>
    <s v="正常交付"/>
    <s v="true"/>
    <s v="冬瓜"/>
    <s v="散装鲜菜"/>
    <s v="模拟_田畔饭店"/>
    <n v="8.8000000000000007"/>
    <n v="0"/>
    <n v="8.8000000000000007"/>
    <s v=""/>
    <s v=""/>
    <s v=""/>
    <s v=""/>
    <s v="通过"/>
  </r>
  <r>
    <s v="SIM-20260929-C004"/>
    <n v="6"/>
    <s v="C004"/>
    <x v="28"/>
    <s v="P001"/>
    <s v="公斤"/>
    <n v="4.5"/>
    <n v="4.5"/>
    <n v="0"/>
    <n v="3.1"/>
    <s v="正常交付"/>
    <s v="true"/>
    <s v="土豆"/>
    <s v="散装鲜菜"/>
    <s v="模拟_田畔饭店"/>
    <n v="13.95"/>
    <n v="0"/>
    <n v="13.95"/>
    <s v=""/>
    <s v=""/>
    <s v=""/>
    <s v=""/>
    <s v="通过"/>
  </r>
  <r>
    <s v="SIM-20260929-C004"/>
    <n v="7"/>
    <s v="C004"/>
    <x v="28"/>
    <s v="P016"/>
    <s v="公斤"/>
    <n v="5"/>
    <n v="5"/>
    <n v="0"/>
    <n v="10.3"/>
    <s v="正常交付"/>
    <s v="true"/>
    <s v="鸡蛋"/>
    <s v="普通鲜鸡蛋按净重"/>
    <s v="模拟_田畔饭店"/>
    <n v="51.5"/>
    <n v="0"/>
    <n v="51.5"/>
    <s v=""/>
    <s v=""/>
    <s v=""/>
    <s v=""/>
    <s v="通过"/>
  </r>
  <r>
    <s v="SIM-20260929-C004"/>
    <n v="8"/>
    <s v="C004"/>
    <x v="28"/>
    <s v="P015"/>
    <s v="公斤"/>
    <n v="1"/>
    <n v="1"/>
    <n v="0"/>
    <n v="7.7"/>
    <s v="正常交付"/>
    <s v="true"/>
    <s v="小葱"/>
    <s v="散装鲜菜"/>
    <s v="模拟_田畔饭店"/>
    <n v="7.7"/>
    <n v="0"/>
    <n v="7.7"/>
    <s v=""/>
    <s v=""/>
    <s v=""/>
    <s v=""/>
    <s v="通过"/>
  </r>
  <r>
    <s v="SIM-20260929-C005"/>
    <n v="1"/>
    <s v="C005"/>
    <x v="28"/>
    <s v="P010"/>
    <s v="公斤"/>
    <n v="15.5"/>
    <n v="15.5"/>
    <n v="0"/>
    <n v="4.8"/>
    <s v="正常交付"/>
    <s v="true"/>
    <s v="空心菜"/>
    <s v="散装鲜菜"/>
    <s v="模拟_青禾小学食堂"/>
    <n v="74.400000000000006"/>
    <n v="0"/>
    <n v="74.400000000000006"/>
    <s v=""/>
    <s v=""/>
    <s v=""/>
    <s v=""/>
    <s v="通过"/>
  </r>
  <r>
    <s v="SIM-20260929-C005"/>
    <n v="2"/>
    <s v="C005"/>
    <x v="28"/>
    <s v="P001"/>
    <s v="公斤"/>
    <n v="8.6999999999999993"/>
    <n v="8.6999999999999993"/>
    <n v="0"/>
    <n v="3.1"/>
    <s v="正常交付"/>
    <s v="true"/>
    <s v="土豆"/>
    <s v="散装鲜菜"/>
    <s v="模拟_青禾小学食堂"/>
    <n v="26.97"/>
    <n v="0"/>
    <n v="26.97"/>
    <s v=""/>
    <s v=""/>
    <s v=""/>
    <s v=""/>
    <s v="通过"/>
  </r>
  <r>
    <s v="SIM-20260929-C005"/>
    <n v="3"/>
    <s v="C005"/>
    <x v="28"/>
    <s v="P006"/>
    <s v="公斤"/>
    <n v="6.8"/>
    <n v="6.8"/>
    <n v="0"/>
    <n v="4.5"/>
    <s v="正常交付"/>
    <s v="true"/>
    <s v="茄子"/>
    <s v="散装鲜菜"/>
    <s v="模拟_青禾小学食堂"/>
    <n v="30.6"/>
    <n v="0"/>
    <n v="30.6"/>
    <s v=""/>
    <s v=""/>
    <s v=""/>
    <s v=""/>
    <s v="通过"/>
  </r>
  <r>
    <s v="SIM-20260929-C005"/>
    <n v="4"/>
    <s v="C005"/>
    <x v="28"/>
    <s v="P003"/>
    <s v="公斤"/>
    <n v="8.6999999999999993"/>
    <n v="8.6999999999999993"/>
    <n v="0"/>
    <n v="3"/>
    <s v="正常交付"/>
    <s v="true"/>
    <s v="包菜"/>
    <s v="散装鲜菜"/>
    <s v="模拟_青禾小学食堂"/>
    <n v="26.1"/>
    <n v="0"/>
    <n v="26.1"/>
    <s v=""/>
    <s v=""/>
    <s v=""/>
    <s v=""/>
    <s v="通过"/>
  </r>
  <r>
    <s v="SIM-20260929-C005"/>
    <n v="5"/>
    <s v="C005"/>
    <x v="28"/>
    <s v="P005"/>
    <s v="公斤"/>
    <n v="13.5"/>
    <n v="13.5"/>
    <n v="0"/>
    <n v="2.8"/>
    <s v="正常交付"/>
    <s v="true"/>
    <s v="南瓜"/>
    <s v="散装鲜菜"/>
    <s v="模拟_青禾小学食堂"/>
    <n v="37.799999999999997"/>
    <n v="0"/>
    <n v="37.799999999999997"/>
    <s v=""/>
    <s v=""/>
    <s v=""/>
    <s v=""/>
    <s v="通过"/>
  </r>
  <r>
    <s v="SIM-20260929-C005"/>
    <n v="6"/>
    <s v="C005"/>
    <x v="28"/>
    <s v="P013"/>
    <s v="公斤"/>
    <n v="10.6"/>
    <n v="10.6"/>
    <n v="0"/>
    <n v="6.3"/>
    <s v="正常交付"/>
    <s v="true"/>
    <s v="豇豆"/>
    <s v="散装鲜菜"/>
    <s v="模拟_青禾小学食堂"/>
    <n v="66.78"/>
    <n v="0"/>
    <n v="66.78"/>
    <s v=""/>
    <s v=""/>
    <s v=""/>
    <s v=""/>
    <s v="通过"/>
  </r>
  <r>
    <s v="SIM-20260929-C005"/>
    <n v="7"/>
    <s v="C005"/>
    <x v="28"/>
    <s v="P016"/>
    <s v="公斤"/>
    <n v="12"/>
    <n v="12"/>
    <n v="0"/>
    <n v="10.3"/>
    <s v="正常交付"/>
    <s v="true"/>
    <s v="鸡蛋"/>
    <s v="普通鲜鸡蛋按净重"/>
    <s v="模拟_青禾小学食堂"/>
    <n v="123.6"/>
    <n v="0"/>
    <n v="123.6"/>
    <s v=""/>
    <s v=""/>
    <s v=""/>
    <s v=""/>
    <s v="通过"/>
  </r>
  <r>
    <s v="SIM-20260929-C005"/>
    <n v="8"/>
    <s v="C005"/>
    <x v="28"/>
    <s v="P017"/>
    <s v="袋"/>
    <n v="6"/>
    <n v="6"/>
    <n v="0"/>
    <n v="119"/>
    <s v="正常交付"/>
    <s v="true"/>
    <s v="籼米"/>
    <s v="25公斤/袋普通籼米"/>
    <s v="模拟_青禾小学食堂"/>
    <n v="714"/>
    <n v="0"/>
    <n v="714"/>
    <s v=""/>
    <s v=""/>
    <s v=""/>
    <s v=""/>
    <s v="通过"/>
  </r>
  <r>
    <s v="SIM-20260929-C005"/>
    <n v="9"/>
    <s v="C005"/>
    <x v="28"/>
    <s v="P020"/>
    <s v="桶"/>
    <n v="2"/>
    <n v="2"/>
    <n v="0"/>
    <n v="59"/>
    <s v="正常交付"/>
    <s v="true"/>
    <s v="大豆油"/>
    <s v="5升/桶普通大豆油"/>
    <s v="模拟_青禾小学食堂"/>
    <n v="118"/>
    <n v="0"/>
    <n v="118"/>
    <s v=""/>
    <s v=""/>
    <s v=""/>
    <s v=""/>
    <s v="通过"/>
  </r>
  <r>
    <s v="SIM-20260929-C006"/>
    <n v="1"/>
    <s v="C006"/>
    <x v="28"/>
    <s v="P011"/>
    <s v="公斤"/>
    <n v="4.8"/>
    <n v="4.8"/>
    <n v="0"/>
    <n v="4.8"/>
    <s v="正常交付"/>
    <s v="true"/>
    <s v="红薯叶"/>
    <s v="散装鲜菜"/>
    <s v="模拟_溪桥医院食堂"/>
    <n v="23.04"/>
    <n v="0"/>
    <n v="23.04"/>
    <s v=""/>
    <s v=""/>
    <s v=""/>
    <s v=""/>
    <s v="通过"/>
  </r>
  <r>
    <s v="SIM-20260929-C006"/>
    <n v="2"/>
    <s v="C006"/>
    <x v="28"/>
    <s v="P005"/>
    <s v="公斤"/>
    <n v="6"/>
    <n v="6"/>
    <n v="0"/>
    <n v="2.8"/>
    <s v="正常交付"/>
    <s v="true"/>
    <s v="南瓜"/>
    <s v="散装鲜菜"/>
    <s v="模拟_溪桥医院食堂"/>
    <n v="16.8"/>
    <n v="0"/>
    <n v="16.8"/>
    <s v=""/>
    <s v=""/>
    <s v=""/>
    <s v=""/>
    <s v="通过"/>
  </r>
  <r>
    <s v="SIM-20260929-C006"/>
    <n v="3"/>
    <s v="C006"/>
    <x v="28"/>
    <s v="P001"/>
    <s v="公斤"/>
    <n v="9.6999999999999993"/>
    <n v="9.6999999999999993"/>
    <n v="0"/>
    <n v="3.1"/>
    <s v="正常交付"/>
    <s v="true"/>
    <s v="土豆"/>
    <s v="散装鲜菜"/>
    <s v="模拟_溪桥医院食堂"/>
    <n v="30.07"/>
    <n v="0"/>
    <n v="30.07"/>
    <s v=""/>
    <s v=""/>
    <s v=""/>
    <s v=""/>
    <s v="通过"/>
  </r>
  <r>
    <s v="SIM-20260929-C006"/>
    <n v="4"/>
    <s v="C006"/>
    <x v="28"/>
    <s v="P004"/>
    <s v="公斤"/>
    <n v="8.5"/>
    <n v="8.5"/>
    <n v="0"/>
    <n v="2.2000000000000002"/>
    <s v="正常交付"/>
    <s v="true"/>
    <s v="冬瓜"/>
    <s v="散装鲜菜"/>
    <s v="模拟_溪桥医院食堂"/>
    <n v="18.7"/>
    <n v="0"/>
    <n v="18.7"/>
    <s v=""/>
    <s v=""/>
    <s v=""/>
    <s v=""/>
    <s v="通过"/>
  </r>
  <r>
    <s v="SIM-20260929-C006"/>
    <n v="5"/>
    <s v="C006"/>
    <x v="28"/>
    <s v="P006"/>
    <s v="公斤"/>
    <n v="6.7"/>
    <n v="6.7"/>
    <n v="0"/>
    <n v="4.5"/>
    <s v="正常交付"/>
    <s v="true"/>
    <s v="茄子"/>
    <s v="散装鲜菜"/>
    <s v="模拟_溪桥医院食堂"/>
    <n v="30.15"/>
    <n v="0"/>
    <n v="30.15"/>
    <s v=""/>
    <s v=""/>
    <s v=""/>
    <s v=""/>
    <s v="通过"/>
  </r>
  <r>
    <s v="SIM-20260929-C006"/>
    <n v="6"/>
    <s v="C006"/>
    <x v="28"/>
    <s v="P007"/>
    <s v="公斤"/>
    <n v="8.5"/>
    <n v="8.5"/>
    <n v="0"/>
    <n v="5.25"/>
    <s v="正常交付"/>
    <s v="true"/>
    <s v="青椒"/>
    <s v="散装鲜菜"/>
    <s v="模拟_溪桥医院食堂"/>
    <n v="44.63"/>
    <n v="0"/>
    <n v="44.63"/>
    <s v=""/>
    <s v=""/>
    <s v=""/>
    <s v=""/>
    <s v="通过"/>
  </r>
  <r>
    <s v="SIM-20260929-C006"/>
    <n v="7"/>
    <s v="C006"/>
    <x v="28"/>
    <s v="P016"/>
    <s v="公斤"/>
    <n v="9"/>
    <n v="9"/>
    <n v="0"/>
    <n v="10.3"/>
    <s v="正常交付"/>
    <s v="true"/>
    <s v="鸡蛋"/>
    <s v="普通鲜鸡蛋按净重"/>
    <s v="模拟_溪桥医院食堂"/>
    <n v="92.7"/>
    <n v="0"/>
    <n v="92.7"/>
    <s v=""/>
    <s v=""/>
    <s v=""/>
    <s v=""/>
    <s v="通过"/>
  </r>
  <r>
    <s v="SIM-20260930-C001"/>
    <n v="1"/>
    <s v="C001"/>
    <x v="29"/>
    <s v="P010"/>
    <s v="公斤"/>
    <n v="1.6"/>
    <n v="1.6"/>
    <n v="0"/>
    <n v="4.8"/>
    <s v="正常交付"/>
    <s v="true"/>
    <s v="空心菜"/>
    <s v="散装鲜菜"/>
    <s v="模拟_榕树下粉面店"/>
    <n v="7.68"/>
    <n v="0"/>
    <n v="7.68"/>
    <s v=""/>
    <s v=""/>
    <s v=""/>
    <s v=""/>
    <s v="通过"/>
  </r>
  <r>
    <s v="SIM-20260930-C001"/>
    <n v="2"/>
    <s v="C001"/>
    <x v="29"/>
    <s v="P007"/>
    <s v="公斤"/>
    <n v="3.2"/>
    <n v="3.2"/>
    <n v="0"/>
    <n v="5.25"/>
    <s v="正常交付"/>
    <s v="true"/>
    <s v="青椒"/>
    <s v="散装鲜菜"/>
    <s v="模拟_榕树下粉面店"/>
    <n v="16.8"/>
    <n v="0"/>
    <n v="16.8"/>
    <s v=""/>
    <s v=""/>
    <s v=""/>
    <s v=""/>
    <s v="通过"/>
  </r>
  <r>
    <s v="SIM-20260930-C001"/>
    <n v="3"/>
    <s v="C001"/>
    <x v="29"/>
    <s v="P008"/>
    <s v="公斤"/>
    <n v="3"/>
    <n v="3"/>
    <n v="0"/>
    <n v="4.3"/>
    <s v="正常交付"/>
    <s v="true"/>
    <s v="黄瓜"/>
    <s v="散装鲜菜"/>
    <s v="模拟_榕树下粉面店"/>
    <n v="12.9"/>
    <n v="0"/>
    <n v="12.9"/>
    <s v=""/>
    <s v=""/>
    <s v=""/>
    <s v=""/>
    <s v="通过"/>
  </r>
  <r>
    <s v="SIM-20260930-C001"/>
    <n v="4"/>
    <s v="C001"/>
    <x v="29"/>
    <s v="P001"/>
    <s v="公斤"/>
    <n v="3"/>
    <n v="3"/>
    <n v="0"/>
    <n v="3.1"/>
    <s v="正常交付"/>
    <s v="true"/>
    <s v="土豆"/>
    <s v="散装鲜菜"/>
    <s v="模拟_榕树下粉面店"/>
    <n v="9.3000000000000007"/>
    <n v="0"/>
    <n v="9.3000000000000007"/>
    <s v=""/>
    <s v=""/>
    <s v=""/>
    <s v=""/>
    <s v="通过"/>
  </r>
  <r>
    <s v="SIM-20260930-C001"/>
    <n v="5"/>
    <s v="C001"/>
    <x v="29"/>
    <s v="P019"/>
    <s v="桶"/>
    <n v="1"/>
    <n v="1"/>
    <n v="0"/>
    <n v="69"/>
    <s v="正常交付"/>
    <s v="true"/>
    <s v="菜籽油"/>
    <s v="5升/桶普通菜籽油"/>
    <s v="模拟_榕树下粉面店"/>
    <n v="69"/>
    <n v="0"/>
    <n v="69"/>
    <s v=""/>
    <s v=""/>
    <s v=""/>
    <s v=""/>
    <s v="通过"/>
  </r>
  <r>
    <s v="SIM-20260930-C001"/>
    <n v="6"/>
    <s v="C001"/>
    <x v="29"/>
    <s v="P018"/>
    <s v="袋"/>
    <n v="1"/>
    <n v="1"/>
    <n v="0"/>
    <n v="107"/>
    <s v="正常交付"/>
    <s v="true"/>
    <s v="小麦粉"/>
    <s v="25公斤/袋普通小麦粉"/>
    <s v="模拟_榕树下粉面店"/>
    <n v="107"/>
    <n v="0"/>
    <n v="107"/>
    <s v=""/>
    <s v=""/>
    <s v=""/>
    <s v=""/>
    <s v="通过"/>
  </r>
  <r>
    <s v="SIM-20260930-C002"/>
    <n v="1"/>
    <s v="C002"/>
    <x v="29"/>
    <s v="P011"/>
    <s v="公斤"/>
    <n v="3.4"/>
    <n v="3.4"/>
    <n v="0"/>
    <n v="4.8"/>
    <s v="正常交付"/>
    <s v="true"/>
    <s v="红薯叶"/>
    <s v="散装鲜菜"/>
    <s v="模拟_桥头家常菜馆"/>
    <n v="16.32"/>
    <n v="0"/>
    <n v="16.32"/>
    <s v=""/>
    <s v=""/>
    <s v=""/>
    <s v=""/>
    <s v="通过"/>
  </r>
  <r>
    <s v="SIM-20260930-C002"/>
    <n v="2"/>
    <s v="C002"/>
    <x v="29"/>
    <s v="P008"/>
    <s v="公斤"/>
    <n v="6.8"/>
    <n v="6.8"/>
    <n v="0"/>
    <n v="4.3"/>
    <s v="正常交付"/>
    <s v="true"/>
    <s v="黄瓜"/>
    <s v="散装鲜菜"/>
    <s v="模拟_桥头家常菜馆"/>
    <n v="29.24"/>
    <n v="0"/>
    <n v="29.24"/>
    <s v=""/>
    <s v=""/>
    <s v=""/>
    <s v=""/>
    <s v="通过"/>
  </r>
  <r>
    <s v="SIM-20260930-C002"/>
    <n v="3"/>
    <s v="C002"/>
    <x v="29"/>
    <s v="P006"/>
    <s v="公斤"/>
    <n v="6.4"/>
    <n v="6.4"/>
    <n v="0"/>
    <n v="4.5"/>
    <s v="正常交付"/>
    <s v="true"/>
    <s v="茄子"/>
    <s v="散装鲜菜"/>
    <s v="模拟_桥头家常菜馆"/>
    <n v="28.8"/>
    <n v="0"/>
    <n v="28.8"/>
    <s v=""/>
    <s v=""/>
    <s v=""/>
    <s v=""/>
    <s v="通过"/>
  </r>
  <r>
    <s v="SIM-20260930-C002"/>
    <n v="4"/>
    <s v="C002"/>
    <x v="29"/>
    <s v="P003"/>
    <s v="公斤"/>
    <n v="6.4"/>
    <n v="6.4"/>
    <n v="0"/>
    <n v="3"/>
    <s v="正常交付"/>
    <s v="true"/>
    <s v="包菜"/>
    <s v="散装鲜菜"/>
    <s v="模拟_桥头家常菜馆"/>
    <n v="19.2"/>
    <n v="0"/>
    <n v="19.2"/>
    <s v=""/>
    <s v=""/>
    <s v=""/>
    <s v=""/>
    <s v="通过"/>
  </r>
  <r>
    <s v="SIM-20260930-C002"/>
    <n v="5"/>
    <s v="C002"/>
    <x v="29"/>
    <s v="P004"/>
    <s v="公斤"/>
    <n v="3.9"/>
    <n v="3.9"/>
    <n v="0"/>
    <n v="2.2000000000000002"/>
    <s v="正常交付"/>
    <s v="true"/>
    <s v="冬瓜"/>
    <s v="散装鲜菜"/>
    <s v="模拟_桥头家常菜馆"/>
    <n v="8.58"/>
    <n v="0"/>
    <n v="8.58"/>
    <s v=""/>
    <s v=""/>
    <s v=""/>
    <s v=""/>
    <s v="通过"/>
  </r>
  <r>
    <s v="SIM-20260930-C002"/>
    <n v="6"/>
    <s v="C002"/>
    <x v="29"/>
    <s v="P017"/>
    <s v="袋"/>
    <n v="3"/>
    <n v="3"/>
    <n v="0"/>
    <n v="119"/>
    <s v="正常交付"/>
    <s v="true"/>
    <s v="籼米"/>
    <s v="25公斤/袋普通籼米"/>
    <s v="模拟_桥头家常菜馆"/>
    <n v="357"/>
    <n v="0"/>
    <n v="357"/>
    <s v=""/>
    <s v=""/>
    <s v=""/>
    <s v=""/>
    <s v="通过"/>
  </r>
  <r>
    <s v="SIM-20260930-C002"/>
    <n v="7"/>
    <s v="C002"/>
    <x v="29"/>
    <s v="P019"/>
    <s v="桶"/>
    <n v="1"/>
    <n v="1"/>
    <n v="0"/>
    <n v="69"/>
    <s v="正常交付"/>
    <s v="true"/>
    <s v="菜籽油"/>
    <s v="5升/桶普通菜籽油"/>
    <s v="模拟_桥头家常菜馆"/>
    <n v="69"/>
    <n v="0"/>
    <n v="69"/>
    <s v=""/>
    <s v=""/>
    <s v=""/>
    <s v=""/>
    <s v="通过"/>
  </r>
  <r>
    <s v="SIM-20260930-C003"/>
    <n v="1"/>
    <s v="C003"/>
    <x v="29"/>
    <s v="P011"/>
    <s v="公斤"/>
    <n v="5.6"/>
    <n v="5.6"/>
    <n v="0.3"/>
    <n v="4.8"/>
    <s v="正常交付；签收时挑出黄叶退回"/>
    <s v="true"/>
    <s v="红薯叶"/>
    <s v="散装鲜菜"/>
    <s v="模拟_兴街快餐店"/>
    <n v="26.88"/>
    <n v="1.44"/>
    <n v="25.439999999999998"/>
    <s v=""/>
    <s v=""/>
    <s v=""/>
    <s v=""/>
    <s v="通过"/>
  </r>
  <r>
    <s v="SIM-20260930-C003"/>
    <n v="2"/>
    <s v="C003"/>
    <x v="29"/>
    <s v="P004"/>
    <s v="公斤"/>
    <n v="7.5"/>
    <n v="7.5"/>
    <n v="0"/>
    <n v="2.2000000000000002"/>
    <s v="正常交付"/>
    <s v="true"/>
    <s v="冬瓜"/>
    <s v="散装鲜菜"/>
    <s v="模拟_兴街快餐店"/>
    <n v="16.5"/>
    <n v="0"/>
    <n v="16.5"/>
    <s v=""/>
    <s v=""/>
    <s v=""/>
    <s v=""/>
    <s v="通过"/>
  </r>
  <r>
    <s v="SIM-20260930-C003"/>
    <n v="3"/>
    <s v="C003"/>
    <x v="29"/>
    <s v="P001"/>
    <s v="公斤"/>
    <n v="6.1"/>
    <n v="6.1"/>
    <n v="0"/>
    <n v="3.1"/>
    <s v="正常交付"/>
    <s v="true"/>
    <s v="土豆"/>
    <s v="散装鲜菜"/>
    <s v="模拟_兴街快餐店"/>
    <n v="18.91"/>
    <n v="0"/>
    <n v="18.91"/>
    <s v=""/>
    <s v=""/>
    <s v=""/>
    <s v=""/>
    <s v="通过"/>
  </r>
  <r>
    <s v="SIM-20260930-C003"/>
    <n v="4"/>
    <s v="C003"/>
    <x v="29"/>
    <s v="P013"/>
    <s v="公斤"/>
    <n v="7"/>
    <n v="6.5"/>
    <n v="0"/>
    <n v="6.3"/>
    <s v="到货不足；按实际交付计费"/>
    <s v="true"/>
    <s v="豇豆"/>
    <s v="散装鲜菜"/>
    <s v="模拟_兴街快餐店"/>
    <n v="40.950000000000003"/>
    <n v="0"/>
    <n v="40.950000000000003"/>
    <s v=""/>
    <s v=""/>
    <s v=""/>
    <s v=""/>
    <s v="通过"/>
  </r>
  <r>
    <s v="SIM-20260930-C003"/>
    <n v="5"/>
    <s v="C003"/>
    <x v="29"/>
    <s v="P008"/>
    <s v="公斤"/>
    <n v="7"/>
    <n v="7"/>
    <n v="0"/>
    <n v="4.3"/>
    <s v="正常交付"/>
    <s v="true"/>
    <s v="黄瓜"/>
    <s v="散装鲜菜"/>
    <s v="模拟_兴街快餐店"/>
    <n v="30.1"/>
    <n v="0"/>
    <n v="30.1"/>
    <s v=""/>
    <s v=""/>
    <s v=""/>
    <s v=""/>
    <s v="通过"/>
  </r>
  <r>
    <s v="SIM-20260930-C003"/>
    <n v="6"/>
    <s v="C003"/>
    <x v="29"/>
    <s v="P002"/>
    <s v="公斤"/>
    <n v="5.0999999999999996"/>
    <n v="5.0999999999999996"/>
    <n v="0"/>
    <n v="2.7"/>
    <s v="正常交付"/>
    <s v="true"/>
    <s v="白萝卜"/>
    <s v="散装鲜菜"/>
    <s v="模拟_兴街快餐店"/>
    <n v="13.77"/>
    <n v="0"/>
    <n v="13.77"/>
    <s v=""/>
    <s v=""/>
    <s v=""/>
    <s v=""/>
    <s v="通过"/>
  </r>
  <r>
    <s v="SIM-20260930-C003"/>
    <n v="7"/>
    <s v="C003"/>
    <x v="29"/>
    <s v="P017"/>
    <s v="袋"/>
    <n v="5"/>
    <n v="5"/>
    <n v="0"/>
    <n v="119"/>
    <s v="正常交付"/>
    <s v="true"/>
    <s v="籼米"/>
    <s v="25公斤/袋普通籼米"/>
    <s v="模拟_兴街快餐店"/>
    <n v="595"/>
    <n v="0"/>
    <n v="595"/>
    <s v=""/>
    <s v=""/>
    <s v=""/>
    <s v=""/>
    <s v="通过"/>
  </r>
  <r>
    <s v="SIM-20260930-C003"/>
    <n v="8"/>
    <s v="C003"/>
    <x v="29"/>
    <s v="P020"/>
    <s v="桶"/>
    <n v="2"/>
    <n v="2"/>
    <n v="0"/>
    <n v="59"/>
    <s v="正常交付"/>
    <s v="true"/>
    <s v="大豆油"/>
    <s v="5升/桶普通大豆油"/>
    <s v="模拟_兴街快餐店"/>
    <n v="118"/>
    <n v="0"/>
    <n v="118"/>
    <s v=""/>
    <s v=""/>
    <s v=""/>
    <s v=""/>
    <s v="通过"/>
  </r>
  <r>
    <s v="SIM-20260930-C005"/>
    <n v="1"/>
    <s v="C005"/>
    <x v="29"/>
    <s v="P011"/>
    <s v="公斤"/>
    <n v="8.3000000000000007"/>
    <n v="8.3000000000000007"/>
    <n v="0"/>
    <n v="4.8"/>
    <s v="正常交付"/>
    <s v="true"/>
    <s v="红薯叶"/>
    <s v="散装鲜菜"/>
    <s v="模拟_青禾小学食堂"/>
    <n v="39.840000000000003"/>
    <n v="0"/>
    <n v="39.840000000000003"/>
    <s v=""/>
    <s v=""/>
    <s v=""/>
    <s v=""/>
    <s v="通过"/>
  </r>
  <r>
    <s v="SIM-20260930-C005"/>
    <n v="2"/>
    <s v="C005"/>
    <x v="29"/>
    <s v="P014"/>
    <s v="公斤"/>
    <n v="6.4"/>
    <n v="6.4"/>
    <n v="0"/>
    <n v="4.8"/>
    <s v="正常交付"/>
    <s v="true"/>
    <s v="丝瓜"/>
    <s v="散装鲜菜"/>
    <s v="模拟_青禾小学食堂"/>
    <n v="30.72"/>
    <n v="0"/>
    <n v="30.72"/>
    <s v=""/>
    <s v=""/>
    <s v=""/>
    <s v=""/>
    <s v="通过"/>
  </r>
  <r>
    <s v="SIM-20260930-C005"/>
    <n v="3"/>
    <s v="C005"/>
    <x v="29"/>
    <s v="P013"/>
    <s v="公斤"/>
    <n v="6.4"/>
    <n v="6.4"/>
    <n v="0"/>
    <n v="6.3"/>
    <s v="正常交付"/>
    <s v="true"/>
    <s v="豇豆"/>
    <s v="散装鲜菜"/>
    <s v="模拟_青禾小学食堂"/>
    <n v="40.32"/>
    <n v="0"/>
    <n v="40.32"/>
    <s v=""/>
    <s v=""/>
    <s v=""/>
    <s v=""/>
    <s v="通过"/>
  </r>
  <r>
    <s v="SIM-20260930-C005"/>
    <n v="4"/>
    <s v="C005"/>
    <x v="29"/>
    <s v="P009"/>
    <s v="公斤"/>
    <n v="8.3000000000000007"/>
    <n v="7.8"/>
    <n v="0"/>
    <n v="4.8"/>
    <s v="到货不足；按实际交付计费"/>
    <s v="true"/>
    <s v="西红柿"/>
    <s v="散装鲜菜"/>
    <s v="模拟_青禾小学食堂"/>
    <n v="37.44"/>
    <n v="0"/>
    <n v="37.44"/>
    <s v=""/>
    <s v=""/>
    <s v=""/>
    <s v=""/>
    <s v="通过"/>
  </r>
  <r>
    <s v="SIM-20260930-C005"/>
    <n v="5"/>
    <s v="C005"/>
    <x v="29"/>
    <s v="P002"/>
    <s v="公斤"/>
    <n v="12.9"/>
    <n v="12.9"/>
    <n v="0"/>
    <n v="2.7"/>
    <s v="正常交付"/>
    <s v="true"/>
    <s v="白萝卜"/>
    <s v="散装鲜菜"/>
    <s v="模拟_青禾小学食堂"/>
    <n v="34.83"/>
    <n v="0"/>
    <n v="34.83"/>
    <s v=""/>
    <s v=""/>
    <s v=""/>
    <s v=""/>
    <s v="通过"/>
  </r>
  <r>
    <s v="SIM-20260930-C005"/>
    <n v="6"/>
    <s v="C005"/>
    <x v="29"/>
    <s v="P005"/>
    <s v="公斤"/>
    <n v="14.7"/>
    <n v="14.7"/>
    <n v="0"/>
    <n v="2.8"/>
    <s v="正常交付"/>
    <s v="true"/>
    <s v="南瓜"/>
    <s v="散装鲜菜"/>
    <s v="模拟_青禾小学食堂"/>
    <n v="41.16"/>
    <n v="0"/>
    <n v="41.16"/>
    <s v=""/>
    <s v=""/>
    <s v=""/>
    <s v=""/>
    <s v="通过"/>
  </r>
  <r>
    <s v="SIM-20260930-C005"/>
    <n v="7"/>
    <s v="C005"/>
    <x v="29"/>
    <s v="P015"/>
    <s v="公斤"/>
    <n v="1"/>
    <n v="1"/>
    <n v="0"/>
    <n v="7.7"/>
    <s v="正常交付"/>
    <s v="true"/>
    <s v="小葱"/>
    <s v="散装鲜菜"/>
    <s v="模拟_青禾小学食堂"/>
    <n v="7.7"/>
    <n v="0"/>
    <n v="7.7"/>
    <s v=""/>
    <s v=""/>
    <s v=""/>
    <s v=""/>
    <s v="通过"/>
  </r>
  <r>
    <s v="SIM-20260930-C006"/>
    <n v="1"/>
    <s v="C006"/>
    <x v="29"/>
    <s v="P011"/>
    <s v="公斤"/>
    <n v="5.5"/>
    <n v="5.5"/>
    <n v="0"/>
    <n v="4.8"/>
    <s v="正常交付"/>
    <s v="true"/>
    <s v="红薯叶"/>
    <s v="散装鲜菜"/>
    <s v="模拟_溪桥医院食堂"/>
    <n v="26.4"/>
    <n v="0"/>
    <n v="26.4"/>
    <s v=""/>
    <s v=""/>
    <s v=""/>
    <s v=""/>
    <s v="通过"/>
  </r>
  <r>
    <s v="SIM-20260930-C006"/>
    <n v="2"/>
    <s v="C006"/>
    <x v="29"/>
    <s v="P002"/>
    <s v="公斤"/>
    <n v="7.1"/>
    <n v="7.1"/>
    <n v="0"/>
    <n v="2.7"/>
    <s v="正常交付"/>
    <s v="true"/>
    <s v="白萝卜"/>
    <s v="散装鲜菜"/>
    <s v="模拟_溪桥医院食堂"/>
    <n v="19.170000000000002"/>
    <n v="0"/>
    <n v="19.170000000000002"/>
    <s v=""/>
    <s v=""/>
    <s v=""/>
    <s v=""/>
    <s v="通过"/>
  </r>
  <r>
    <s v="SIM-20260930-C006"/>
    <n v="3"/>
    <s v="C006"/>
    <x v="29"/>
    <s v="P007"/>
    <s v="公斤"/>
    <n v="11.8"/>
    <n v="11.8"/>
    <n v="0"/>
    <n v="5.25"/>
    <s v="正常交付"/>
    <s v="true"/>
    <s v="青椒"/>
    <s v="散装鲜菜"/>
    <s v="模拟_溪桥医院食堂"/>
    <n v="61.95"/>
    <n v="0"/>
    <n v="61.95"/>
    <s v=""/>
    <s v=""/>
    <s v=""/>
    <s v=""/>
    <s v="通过"/>
  </r>
  <r>
    <s v="SIM-20260930-C006"/>
    <n v="4"/>
    <s v="C006"/>
    <x v="29"/>
    <s v="P013"/>
    <s v="公斤"/>
    <n v="7.9"/>
    <n v="7.9"/>
    <n v="0"/>
    <n v="6.3"/>
    <s v="正常交付"/>
    <s v="true"/>
    <s v="豇豆"/>
    <s v="散装鲜菜"/>
    <s v="模拟_溪桥医院食堂"/>
    <n v="49.77"/>
    <n v="0"/>
    <n v="49.77"/>
    <s v=""/>
    <s v=""/>
    <s v=""/>
    <s v=""/>
    <s v="通过"/>
  </r>
  <r>
    <s v="SIM-20260930-C006"/>
    <n v="5"/>
    <s v="C006"/>
    <x v="29"/>
    <s v="P008"/>
    <s v="公斤"/>
    <n v="12.6"/>
    <n v="12.6"/>
    <n v="0"/>
    <n v="4.3"/>
    <s v="正常交付"/>
    <s v="true"/>
    <s v="黄瓜"/>
    <s v="散装鲜菜"/>
    <s v="模拟_溪桥医院食堂"/>
    <n v="54.18"/>
    <n v="0"/>
    <n v="54.18"/>
    <s v=""/>
    <s v=""/>
    <s v=""/>
    <s v=""/>
    <s v="通过"/>
  </r>
  <r>
    <s v="SIM-20260930-C006"/>
    <n v="6"/>
    <s v="C006"/>
    <x v="29"/>
    <s v="P001"/>
    <s v="公斤"/>
    <n v="5.5"/>
    <n v="5.5"/>
    <n v="0"/>
    <n v="3.1"/>
    <s v="正常交付"/>
    <s v="true"/>
    <s v="土豆"/>
    <s v="散装鲜菜"/>
    <s v="模拟_溪桥医院食堂"/>
    <n v="17.05"/>
    <n v="0"/>
    <n v="17.05"/>
    <s v=""/>
    <s v=""/>
    <s v=""/>
    <s v=""/>
    <s v="通过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1BCCF-7E94-4DC6-910A-3F4091BF7A32}" name="DailyDeliveryPivot" cacheId="12" applyNumberFormats="0" applyBorderFormats="0" applyFontFormats="0" applyPatternFormats="0" applyAlignmentFormats="0" applyWidthHeightFormats="1" dataCaption="值" updatedVersion="8" minRefreshableVersion="3" showCalcMbrs="0" useAutoFormatting="1" itemPrintTitles="1" createdVersion="3" indent="0" outline="1" outlineData="1" multipleFieldFilters="0">
  <location ref="A25:C57" firstHeaderRow="1" firstDataRow="2" firstDataCol="1"/>
  <pivotFields count="23">
    <pivotField showAll="0"/>
    <pivotField showAll="0"/>
    <pivotField showAll="0"/>
    <pivotField axis="axisRow" numFmtId="176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dataField="1" numFmtId="177" showAll="0"/>
    <pivotField dataField="1" numFmtId="177" showAll="0"/>
    <pivotField numFmtId="177" showAll="0"/>
    <pivotField numFmtId="2"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ed quantity" fld="6" baseField="0" baseItem="0"/>
    <dataField name="Delivered quantity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72667-DF0E-4318-BF81-89B068EC510C}" name="ProductVolumePivot" cacheId="8" applyNumberFormats="0" applyBorderFormats="0" applyFontFormats="0" applyPatternFormats="0" applyAlignmentFormats="0" applyWidthHeightFormats="1" dataCaption="值" updatedVersion="8" minRefreshableVersion="3" showCalcMbrs="0" useAutoFormatting="1" itemPrintTitles="1" createdVersion="3" indent="0" outline="1" outlineData="1" multipleFieldFilters="0">
  <location ref="F4:H46" firstHeaderRow="1" firstDataRow="2" firstDataCol="1"/>
  <pivotFields count="23">
    <pivotField showAll="0"/>
    <pivotField showAll="0"/>
    <pivotField showAll="0"/>
    <pivotField numFmtId="176" showAll="0"/>
    <pivotField showAll="0"/>
    <pivotField axis="axisRow" showAll="0">
      <items count="4">
        <item x="2"/>
        <item x="0"/>
        <item x="1"/>
        <item t="default"/>
      </items>
    </pivotField>
    <pivotField numFmtId="177" showAll="0"/>
    <pivotField dataField="1" numFmtId="177" showAll="0"/>
    <pivotField dataField="1" numFmtId="177" showAll="0"/>
    <pivotField numFmtId="2" showAll="0"/>
    <pivotField showAll="0"/>
    <pivotField showAll="0"/>
    <pivotField axis="axisRow" showAll="0">
      <items count="21">
        <item x="2"/>
        <item x="12"/>
        <item x="6"/>
        <item x="15"/>
        <item x="3"/>
        <item x="8"/>
        <item x="14"/>
        <item x="4"/>
        <item x="11"/>
        <item x="16"/>
        <item x="1"/>
        <item x="10"/>
        <item x="18"/>
        <item x="19"/>
        <item x="9"/>
        <item x="17"/>
        <item x="13"/>
        <item x="0"/>
        <item x="5"/>
        <item x="7"/>
        <item t="default"/>
      </items>
    </pivotField>
    <pivotField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</pivotFields>
  <rowFields count="2">
    <field x="12"/>
    <field x="5"/>
  </rowFields>
  <rowItems count="41">
    <i>
      <x/>
    </i>
    <i r="1">
      <x v="1"/>
    </i>
    <i>
      <x v="1"/>
    </i>
    <i r="1">
      <x v="1"/>
    </i>
    <i>
      <x v="2"/>
    </i>
    <i r="1">
      <x v="2"/>
    </i>
    <i>
      <x v="3"/>
    </i>
    <i r="1">
      <x v="2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/>
    </i>
    <i>
      <x v="17"/>
    </i>
    <i r="1">
      <x v="1"/>
    </i>
    <i>
      <x v="18"/>
    </i>
    <i r="1">
      <x v="1"/>
    </i>
    <i>
      <x v="19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Delivered quantity" fld="7" baseField="0" baseItem="0"/>
    <dataField name="Returned quantity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3C486-D9B5-4C44-A054-667532778217}" name="CustomerReceivablePivot" cacheId="3" applyNumberFormats="0" applyBorderFormats="0" applyFontFormats="0" applyPatternFormats="0" applyAlignmentFormats="0" applyWidthHeightFormats="1" dataCaption="值" updatedVersion="8" minRefreshableVersion="3" showCalcMbrs="0" useAutoFormatting="1" itemPrintTitles="1" createdVersion="3" indent="0" outline="1" outlineData="1" multipleFieldFilters="0">
  <location ref="A4:C12" firstHeaderRow="1" firstDataRow="2" firstDataCol="1"/>
  <pivotFields count="23">
    <pivotField showAll="0"/>
    <pivotField showAll="0"/>
    <pivotField showAll="0"/>
    <pivotField numFmtId="176" showAll="0"/>
    <pivotField showAll="0"/>
    <pivotField showAll="0"/>
    <pivotField numFmtId="177" showAll="0"/>
    <pivotField numFmtId="177" showAll="0"/>
    <pivotField numFmtId="177" showAll="0"/>
    <pivotField numFmtId="2" showAll="0"/>
    <pivotField showAll="0"/>
    <pivotField showAll="0"/>
    <pivotField showAll="0"/>
    <pivotField showAll="0"/>
    <pivotField axis="axisRow" showAll="0">
      <items count="7">
        <item x="1"/>
        <item x="4"/>
        <item x="0"/>
        <item x="3"/>
        <item x="5"/>
        <item x="2"/>
        <item t="default"/>
      </items>
    </pivotField>
    <pivotField dataField="1" numFmtId="4" showAll="0"/>
    <pivotField numFmtId="4" showAll="0"/>
    <pivotField dataField="1" numFmtId="4"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Net receivable" fld="17" baseField="0" baseItem="0"/>
    <dataField name="Gross amount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CalcCustomers" displayName="CalcCustomers" ref="A1:G7" totalsRowShown="0">
  <autoFilter ref="A1:G7" xr:uid="{00000000-0009-0000-0100-000008000000}"/>
  <tableColumns count="7">
    <tableColumn id="1" xr3:uid="{00000000-0010-0000-0000-000001000000}" name="customer_id"/>
    <tableColumn id="2" xr3:uid="{00000000-0010-0000-0000-000002000000}" name="customer_name"/>
    <tableColumn id="3" xr3:uid="{00000000-0010-0000-0000-000003000000}" name="order_count"/>
    <tableColumn id="4" xr3:uid="{00000000-0010-0000-0000-000004000000}" name="net_receivable"/>
    <tableColumn id="5" xr3:uid="{00000000-0010-0000-0000-000005000000}" name="received"/>
    <tableColumn id="6" xr3:uid="{00000000-0010-0000-0000-000006000000}" name="balance"/>
    <tableColumn id="7" xr3:uid="{00000000-0010-0000-0000-000007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CalcOrders" displayName="CalcOrders" ref="A1:J144" totalsRowShown="0">
  <autoFilter ref="A1:J144" xr:uid="{00000000-0009-0000-0100-000007000000}"/>
  <tableColumns count="10">
    <tableColumn id="1" xr3:uid="{00000000-0010-0000-0100-000001000000}" name="order_id"/>
    <tableColumn id="2" xr3:uid="{00000000-0010-0000-0100-000002000000}" name="customer_id"/>
    <tableColumn id="3" xr3:uid="{00000000-0010-0000-0100-000003000000}" name="customer_name"/>
    <tableColumn id="4" xr3:uid="{00000000-0010-0000-0100-000004000000}" name="order_date"/>
    <tableColumn id="5" xr3:uid="{00000000-0010-0000-0100-000005000000}" name="line_count"/>
    <tableColumn id="6" xr3:uid="{00000000-0010-0000-0100-000006000000}" name="blocked_line_count"/>
    <tableColumn id="7" xr3:uid="{00000000-0010-0000-0100-000007000000}" name="net_receivable"/>
    <tableColumn id="8" xr3:uid="{00000000-0010-0000-0100-000008000000}" name="received"/>
    <tableColumn id="9" xr3:uid="{00000000-0010-0000-0100-000009000000}" name="balance"/>
    <tableColumn id="10" xr3:uid="{00000000-0010-0000-0100-00000A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CalcLines" displayName="CalcLines" ref="A1:W967" totalsRowShown="0">
  <autoFilter ref="A1:W967" xr:uid="{00000000-0009-0000-0100-000006000000}"/>
  <tableColumns count="23">
    <tableColumn id="1" xr3:uid="{00000000-0010-0000-0200-000001000000}" name="order_id"/>
    <tableColumn id="2" xr3:uid="{00000000-0010-0000-0200-000002000000}" name="line_no"/>
    <tableColumn id="3" xr3:uid="{00000000-0010-0000-0200-000003000000}" name="customer_id"/>
    <tableColumn id="4" xr3:uid="{00000000-0010-0000-0200-000004000000}" name="order_date"/>
    <tableColumn id="5" xr3:uid="{00000000-0010-0000-0200-000005000000}" name="product_id"/>
    <tableColumn id="6" xr3:uid="{00000000-0010-0000-0200-000006000000}" name="unit"/>
    <tableColumn id="7" xr3:uid="{00000000-0010-0000-0200-000007000000}" name="ordered_qty"/>
    <tableColumn id="8" xr3:uid="{00000000-0010-0000-0200-000008000000}" name="delivered_qty"/>
    <tableColumn id="9" xr3:uid="{00000000-0010-0000-0200-000009000000}" name="returned_qty"/>
    <tableColumn id="10" xr3:uid="{00000000-0010-0000-0200-00000A000000}" name="unit_price"/>
    <tableColumn id="11" xr3:uid="{00000000-0010-0000-0200-00000B000000}" name="delivery_note"/>
    <tableColumn id="12" xr3:uid="{00000000-0010-0000-0200-00000C000000}" name="is_simulated"/>
    <tableColumn id="13" xr3:uid="{00000000-0010-0000-0200-00000D000000}" name="product_name"/>
    <tableColumn id="14" xr3:uid="{00000000-0010-0000-0200-00000E000000}" name="specification"/>
    <tableColumn id="15" xr3:uid="{00000000-0010-0000-0200-00000F000000}" name="customer_name"/>
    <tableColumn id="16" xr3:uid="{00000000-0010-0000-0200-000010000000}" name="gross_amount"/>
    <tableColumn id="17" xr3:uid="{00000000-0010-0000-0200-000011000000}" name="return_amount"/>
    <tableColumn id="18" xr3:uid="{00000000-0010-0000-0200-000012000000}" name="net_amount"/>
    <tableColumn id="19" xr3:uid="{00000000-0010-0000-0200-000013000000}" name="quantity_exception"/>
    <tableColumn id="20" xr3:uid="{00000000-0010-0000-0200-000014000000}" name="unit_exception"/>
    <tableColumn id="21" xr3:uid="{00000000-0010-0000-0200-000015000000}" name="price_exception"/>
    <tableColumn id="22" xr3:uid="{00000000-0010-0000-0200-000016000000}" name="duplicate_key"/>
    <tableColumn id="23" xr3:uid="{00000000-0010-0000-0200-000017000000}" name="data_quality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RawOrderLines" displayName="RawOrderLines" ref="A1:L967" totalsRowShown="0">
  <autoFilter ref="A1:L967" xr:uid="{00000000-0009-0000-0100-000001000000}"/>
  <tableColumns count="12">
    <tableColumn id="1" xr3:uid="{00000000-0010-0000-0300-000001000000}" name="order_id"/>
    <tableColumn id="2" xr3:uid="{00000000-0010-0000-0300-000002000000}" name="line_no"/>
    <tableColumn id="3" xr3:uid="{00000000-0010-0000-0300-000003000000}" name="customer_id"/>
    <tableColumn id="4" xr3:uid="{00000000-0010-0000-0300-000004000000}" name="order_date"/>
    <tableColumn id="5" xr3:uid="{00000000-0010-0000-0300-000005000000}" name="product_id"/>
    <tableColumn id="6" xr3:uid="{00000000-0010-0000-0300-000006000000}" name="unit"/>
    <tableColumn id="7" xr3:uid="{00000000-0010-0000-0300-000007000000}" name="ordered_qty"/>
    <tableColumn id="8" xr3:uid="{00000000-0010-0000-0300-000008000000}" name="delivered_qty"/>
    <tableColumn id="9" xr3:uid="{00000000-0010-0000-0300-000009000000}" name="returned_qty"/>
    <tableColumn id="10" xr3:uid="{00000000-0010-0000-0300-00000A000000}" name="unit_price"/>
    <tableColumn id="11" xr3:uid="{00000000-0010-0000-0300-00000B000000}" name="delivery_note"/>
    <tableColumn id="12" xr3:uid="{00000000-0010-0000-0300-00000C000000}" name="is_simula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DimProducts" displayName="DimProducts" ref="A1:H21" totalsRowShown="0">
  <autoFilter ref="A1:H21" xr:uid="{00000000-0009-0000-0100-000002000000}"/>
  <tableColumns count="8">
    <tableColumn id="1" xr3:uid="{00000000-0010-0000-0400-000001000000}" name="product_id"/>
    <tableColumn id="2" xr3:uid="{00000000-0010-0000-0400-000002000000}" name="product_name"/>
    <tableColumn id="3" xr3:uid="{00000000-0010-0000-0400-000003000000}" name="specification"/>
    <tableColumn id="4" xr3:uid="{00000000-0010-0000-0400-000004000000}" name="unit"/>
    <tableColumn id="5" xr3:uid="{00000000-0010-0000-0400-000005000000}" name="category"/>
    <tableColumn id="6" xr3:uid="{00000000-0010-0000-0400-000006000000}" name="simulated_price_min"/>
    <tableColumn id="7" xr3:uid="{00000000-0010-0000-0400-000007000000}" name="simulated_price_max"/>
    <tableColumn id="8" xr3:uid="{00000000-0010-0000-0400-000008000000}" name="is_simulat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DimCustomers" displayName="DimCustomers" ref="A1:I7" totalsRowShown="0">
  <autoFilter ref="A1:I7" xr:uid="{00000000-0009-0000-0100-000003000000}"/>
  <tableColumns count="9">
    <tableColumn id="1" xr3:uid="{00000000-0010-0000-0500-000001000000}" name="customer_id"/>
    <tableColumn id="2" xr3:uid="{00000000-0010-0000-0500-000002000000}" name="customer_name"/>
    <tableColumn id="3" xr3:uid="{00000000-0010-0000-0500-000003000000}" name="customer_type"/>
    <tableColumn id="4" xr3:uid="{00000000-0010-0000-0500-000004000000}" name="service_area"/>
    <tableColumn id="5" xr3:uid="{00000000-0010-0000-0500-000005000000}" name="meal_scale_assumption"/>
    <tableColumn id="6" xr3:uid="{00000000-0010-0000-0500-000006000000}" name="delivery_schedule"/>
    <tableColumn id="7" xr3:uid="{00000000-0010-0000-0500-000007000000}" name="settlement_cycle"/>
    <tableColumn id="8" xr3:uid="{00000000-0010-0000-0500-000008000000}" name="payment_due_date"/>
    <tableColumn id="9" xr3:uid="{00000000-0010-0000-0500-000009000000}" name="is_simula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FactPayments" displayName="FactPayments" ref="A1:G101" totalsRowShown="0">
  <autoFilter ref="A1:G101" xr:uid="{00000000-0009-0000-0100-000004000000}"/>
  <tableColumns count="7">
    <tableColumn id="1" xr3:uid="{00000000-0010-0000-0600-000001000000}" name="payment_id"/>
    <tableColumn id="2" xr3:uid="{00000000-0010-0000-0600-000002000000}" name="order_id"/>
    <tableColumn id="3" xr3:uid="{00000000-0010-0000-0600-000003000000}" name="payment_date"/>
    <tableColumn id="4" xr3:uid="{00000000-0010-0000-0600-000004000000}" name="amount"/>
    <tableColumn id="5" xr3:uid="{00000000-0010-0000-0600-000005000000}" name="receipt_id"/>
    <tableColumn id="6" xr3:uid="{00000000-0010-0000-0600-000006000000}" name="allocation_rule"/>
    <tableColumn id="7" xr3:uid="{00000000-0010-0000-0600-000007000000}" name="is_simulat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FactReceipts" displayName="FactReceipts" ref="A1:H8" totalsRowShown="0">
  <autoFilter ref="A1:H8" xr:uid="{00000000-0009-0000-0100-000005000000}"/>
  <tableColumns count="8">
    <tableColumn id="1" xr3:uid="{00000000-0010-0000-0700-000001000000}" name="receipt_id"/>
    <tableColumn id="2" xr3:uid="{00000000-0010-0000-0700-000002000000}" name="customer_id"/>
    <tableColumn id="3" xr3:uid="{00000000-0010-0000-0700-000003000000}" name="payment_date"/>
    <tableColumn id="4" xr3:uid="{00000000-0010-0000-0700-000004000000}" name="amount"/>
    <tableColumn id="5" xr3:uid="{00000000-0010-0000-0700-000005000000}" name="payment_method"/>
    <tableColumn id="6" xr3:uid="{00000000-0010-0000-0700-000006000000}" name="settlement_month"/>
    <tableColumn id="7" xr3:uid="{00000000-0010-0000-0700-000007000000}" name="memo"/>
    <tableColumn id="8" xr3:uid="{00000000-0010-0000-0700-000008000000}" name="is_simul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A1D4-5EB5-4C09-B2D8-9DDC86591D9E}">
  <dimension ref="A1:H57"/>
  <sheetViews>
    <sheetView tabSelected="1" workbookViewId="0"/>
  </sheetViews>
  <sheetFormatPr defaultRowHeight="14.25"/>
  <cols>
    <col min="1" max="1" width="66.25" bestFit="1" customWidth="1"/>
    <col min="2" max="2" width="17.25" bestFit="1" customWidth="1"/>
    <col min="3" max="3" width="18.625" bestFit="1" customWidth="1"/>
    <col min="6" max="6" width="9.125" bestFit="1" customWidth="1"/>
    <col min="7" max="7" width="18.625" bestFit="1" customWidth="1"/>
    <col min="8" max="8" width="18.125" bestFit="1" customWidth="1"/>
  </cols>
  <sheetData>
    <row r="1" spans="1:8">
      <c r="A1" t="s">
        <v>444</v>
      </c>
    </row>
    <row r="2" spans="1:8">
      <c r="A2" t="s">
        <v>445</v>
      </c>
    </row>
    <row r="4" spans="1:8">
      <c r="B4" s="24" t="s">
        <v>449</v>
      </c>
      <c r="G4" s="24" t="s">
        <v>449</v>
      </c>
    </row>
    <row r="5" spans="1:8">
      <c r="A5" s="24" t="s">
        <v>446</v>
      </c>
      <c r="B5" t="s">
        <v>448</v>
      </c>
      <c r="C5" t="s">
        <v>450</v>
      </c>
      <c r="F5" s="24" t="s">
        <v>446</v>
      </c>
      <c r="G5" t="s">
        <v>451</v>
      </c>
      <c r="H5" t="s">
        <v>452</v>
      </c>
    </row>
    <row r="6" spans="1:8">
      <c r="A6" s="25" t="s">
        <v>304</v>
      </c>
      <c r="B6" s="26">
        <v>6594.5900000000029</v>
      </c>
      <c r="C6" s="26">
        <v>6605.220000000003</v>
      </c>
      <c r="F6" s="25" t="s">
        <v>259</v>
      </c>
      <c r="G6" s="26">
        <v>384.90000000000009</v>
      </c>
      <c r="H6" s="26">
        <v>0</v>
      </c>
    </row>
    <row r="7" spans="1:8">
      <c r="A7" s="25" t="s">
        <v>316</v>
      </c>
      <c r="B7" s="26">
        <v>11237.089999999997</v>
      </c>
      <c r="C7" s="26">
        <v>11237.949999999997</v>
      </c>
      <c r="F7" s="27" t="s">
        <v>225</v>
      </c>
      <c r="G7" s="26">
        <v>384.90000000000009</v>
      </c>
      <c r="H7" s="26">
        <v>0</v>
      </c>
    </row>
    <row r="8" spans="1:8">
      <c r="A8" s="25" t="s">
        <v>298</v>
      </c>
      <c r="B8" s="26">
        <v>2765.55</v>
      </c>
      <c r="C8" s="26">
        <v>2775.04</v>
      </c>
      <c r="F8" s="25" t="s">
        <v>260</v>
      </c>
      <c r="G8" s="26">
        <v>440</v>
      </c>
      <c r="H8" s="26">
        <v>0</v>
      </c>
    </row>
    <row r="9" spans="1:8">
      <c r="A9" s="25" t="s">
        <v>311</v>
      </c>
      <c r="B9" s="26">
        <v>3894.0100000000011</v>
      </c>
      <c r="C9" s="26">
        <v>3896.3400000000011</v>
      </c>
      <c r="F9" s="27" t="s">
        <v>225</v>
      </c>
      <c r="G9" s="26">
        <v>440</v>
      </c>
      <c r="H9" s="26">
        <v>0</v>
      </c>
    </row>
    <row r="10" spans="1:8">
      <c r="A10" s="25" t="s">
        <v>320</v>
      </c>
      <c r="B10" s="26">
        <v>10886.340000000007</v>
      </c>
      <c r="C10" s="26">
        <v>10892.400000000007</v>
      </c>
      <c r="F10" s="25" t="s">
        <v>287</v>
      </c>
      <c r="G10" s="26">
        <v>15</v>
      </c>
      <c r="H10" s="26">
        <v>0</v>
      </c>
    </row>
    <row r="11" spans="1:8">
      <c r="A11" s="25" t="s">
        <v>308</v>
      </c>
      <c r="B11" s="26">
        <v>9536.720000000003</v>
      </c>
      <c r="C11" s="26">
        <v>9545.090000000002</v>
      </c>
      <c r="F11" s="27" t="s">
        <v>234</v>
      </c>
      <c r="G11" s="26">
        <v>15</v>
      </c>
      <c r="H11" s="26">
        <v>0</v>
      </c>
    </row>
    <row r="12" spans="1:8">
      <c r="A12" s="25" t="s">
        <v>447</v>
      </c>
      <c r="B12" s="26">
        <v>44914.30000000001</v>
      </c>
      <c r="C12" s="26">
        <v>44952.040000000008</v>
      </c>
      <c r="F12" s="25" t="s">
        <v>290</v>
      </c>
      <c r="G12" s="26">
        <v>34</v>
      </c>
      <c r="H12" s="26">
        <v>0</v>
      </c>
    </row>
    <row r="13" spans="1:8">
      <c r="F13" s="27" t="s">
        <v>234</v>
      </c>
      <c r="G13" s="26">
        <v>34</v>
      </c>
      <c r="H13" s="26">
        <v>0</v>
      </c>
    </row>
    <row r="14" spans="1:8">
      <c r="F14" s="25" t="s">
        <v>262</v>
      </c>
      <c r="G14" s="26">
        <v>392.6</v>
      </c>
      <c r="H14" s="26">
        <v>0</v>
      </c>
    </row>
    <row r="15" spans="1:8">
      <c r="F15" s="27" t="s">
        <v>225</v>
      </c>
      <c r="G15" s="26">
        <v>392.6</v>
      </c>
      <c r="H15" s="26">
        <v>0</v>
      </c>
    </row>
    <row r="16" spans="1:8">
      <c r="F16" s="25" t="s">
        <v>272</v>
      </c>
      <c r="G16" s="26">
        <v>343.60000000000008</v>
      </c>
      <c r="H16" s="26">
        <v>3</v>
      </c>
    </row>
    <row r="17" spans="1:8">
      <c r="F17" s="27" t="s">
        <v>225</v>
      </c>
      <c r="G17" s="26">
        <v>343.60000000000008</v>
      </c>
      <c r="H17" s="26">
        <v>3</v>
      </c>
    </row>
    <row r="18" spans="1:8">
      <c r="F18" s="25" t="s">
        <v>268</v>
      </c>
      <c r="G18" s="26">
        <v>453.80000000000007</v>
      </c>
      <c r="H18" s="26">
        <v>0</v>
      </c>
    </row>
    <row r="19" spans="1:8">
      <c r="F19" s="27" t="s">
        <v>225</v>
      </c>
      <c r="G19" s="26">
        <v>453.80000000000007</v>
      </c>
      <c r="H19" s="26">
        <v>0</v>
      </c>
    </row>
    <row r="20" spans="1:8">
      <c r="F20" s="25" t="s">
        <v>279</v>
      </c>
      <c r="G20" s="26">
        <v>470.5</v>
      </c>
      <c r="H20" s="26">
        <v>0.4</v>
      </c>
    </row>
    <row r="21" spans="1:8">
      <c r="F21" s="27" t="s">
        <v>225</v>
      </c>
      <c r="G21" s="26">
        <v>470.5</v>
      </c>
      <c r="H21" s="26">
        <v>0.4</v>
      </c>
    </row>
    <row r="22" spans="1:8">
      <c r="F22" s="25" t="s">
        <v>274</v>
      </c>
      <c r="G22" s="26">
        <v>427.3</v>
      </c>
      <c r="H22" s="26">
        <v>0</v>
      </c>
    </row>
    <row r="23" spans="1:8">
      <c r="F23" s="27" t="s">
        <v>225</v>
      </c>
      <c r="G23" s="26">
        <v>427.3</v>
      </c>
      <c r="H23" s="26">
        <v>0</v>
      </c>
    </row>
    <row r="24" spans="1:8">
      <c r="F24" s="25" t="s">
        <v>270</v>
      </c>
      <c r="G24" s="26">
        <v>274.70000000000005</v>
      </c>
      <c r="H24" s="26">
        <v>1.2</v>
      </c>
    </row>
    <row r="25" spans="1:8">
      <c r="B25" s="24" t="s">
        <v>449</v>
      </c>
      <c r="F25" s="27" t="s">
        <v>225</v>
      </c>
      <c r="G25" s="26">
        <v>274.70000000000005</v>
      </c>
      <c r="H25" s="26">
        <v>1.2</v>
      </c>
    </row>
    <row r="26" spans="1:8">
      <c r="A26" s="24" t="s">
        <v>446</v>
      </c>
      <c r="B26" t="s">
        <v>453</v>
      </c>
      <c r="C26" t="s">
        <v>451</v>
      </c>
      <c r="F26" s="25" t="s">
        <v>264</v>
      </c>
      <c r="G26" s="26">
        <v>376.00000000000017</v>
      </c>
      <c r="H26" s="26">
        <v>0</v>
      </c>
    </row>
    <row r="27" spans="1:8">
      <c r="A27" s="28">
        <v>46266</v>
      </c>
      <c r="B27" s="26">
        <v>311.59999999999997</v>
      </c>
      <c r="C27" s="26">
        <v>310.59999999999997</v>
      </c>
      <c r="F27" s="27" t="s">
        <v>225</v>
      </c>
      <c r="G27" s="26">
        <v>376.00000000000017</v>
      </c>
      <c r="H27" s="26">
        <v>0</v>
      </c>
    </row>
    <row r="28" spans="1:8">
      <c r="A28" s="28">
        <v>46267</v>
      </c>
      <c r="B28" s="26">
        <v>190.50000000000006</v>
      </c>
      <c r="C28" s="26">
        <v>190.50000000000006</v>
      </c>
      <c r="F28" s="25" t="s">
        <v>265</v>
      </c>
      <c r="G28" s="26">
        <v>447.40000000000009</v>
      </c>
      <c r="H28" s="26">
        <v>0</v>
      </c>
    </row>
    <row r="29" spans="1:8">
      <c r="A29" s="28">
        <v>46268</v>
      </c>
      <c r="B29" s="26">
        <v>257.69999999999993</v>
      </c>
      <c r="C29" s="26">
        <v>256.29999999999995</v>
      </c>
      <c r="F29" s="27" t="s">
        <v>225</v>
      </c>
      <c r="G29" s="26">
        <v>447.40000000000009</v>
      </c>
      <c r="H29" s="26">
        <v>0</v>
      </c>
    </row>
    <row r="30" spans="1:8">
      <c r="A30" s="28">
        <v>46269</v>
      </c>
      <c r="B30" s="26">
        <v>204</v>
      </c>
      <c r="C30" s="26">
        <v>203.79999999999998</v>
      </c>
      <c r="F30" s="25" t="s">
        <v>267</v>
      </c>
      <c r="G30" s="26">
        <v>381.00000000000006</v>
      </c>
      <c r="H30" s="26">
        <v>0</v>
      </c>
    </row>
    <row r="31" spans="1:8">
      <c r="A31" s="28">
        <v>46270</v>
      </c>
      <c r="B31" s="26">
        <v>213.7</v>
      </c>
      <c r="C31" s="26">
        <v>212.7</v>
      </c>
      <c r="F31" s="27" t="s">
        <v>225</v>
      </c>
      <c r="G31" s="26">
        <v>381.00000000000006</v>
      </c>
      <c r="H31" s="26">
        <v>0</v>
      </c>
    </row>
    <row r="32" spans="1:8">
      <c r="A32" s="28">
        <v>46271</v>
      </c>
      <c r="B32" s="26">
        <v>88.6</v>
      </c>
      <c r="C32" s="26">
        <v>88.6</v>
      </c>
      <c r="F32" s="25" t="s">
        <v>276</v>
      </c>
      <c r="G32" s="26">
        <v>377.00000000000006</v>
      </c>
      <c r="H32" s="26">
        <v>0</v>
      </c>
    </row>
    <row r="33" spans="1:8">
      <c r="A33" s="28">
        <v>46272</v>
      </c>
      <c r="B33" s="26">
        <v>196.40000000000003</v>
      </c>
      <c r="C33" s="26">
        <v>195.90000000000003</v>
      </c>
      <c r="F33" s="27" t="s">
        <v>225</v>
      </c>
      <c r="G33" s="26">
        <v>377.00000000000006</v>
      </c>
      <c r="H33" s="26">
        <v>0</v>
      </c>
    </row>
    <row r="34" spans="1:8">
      <c r="A34" s="28">
        <v>46273</v>
      </c>
      <c r="B34" s="26">
        <v>247.60000000000002</v>
      </c>
      <c r="C34" s="26">
        <v>247.10000000000002</v>
      </c>
      <c r="F34" s="25" t="s">
        <v>256</v>
      </c>
      <c r="G34" s="26">
        <v>443</v>
      </c>
      <c r="H34" s="26">
        <v>0</v>
      </c>
    </row>
    <row r="35" spans="1:8">
      <c r="A35" s="28">
        <v>46274</v>
      </c>
      <c r="B35" s="26">
        <v>205.79999999999998</v>
      </c>
      <c r="C35" s="26">
        <v>205.59999999999997</v>
      </c>
      <c r="F35" s="27" t="s">
        <v>225</v>
      </c>
      <c r="G35" s="26">
        <v>443</v>
      </c>
      <c r="H35" s="26">
        <v>0</v>
      </c>
    </row>
    <row r="36" spans="1:8">
      <c r="A36" s="28">
        <v>46275</v>
      </c>
      <c r="B36" s="26">
        <v>235.7</v>
      </c>
      <c r="C36" s="26">
        <v>235</v>
      </c>
      <c r="F36" s="25" t="s">
        <v>269</v>
      </c>
      <c r="G36" s="26">
        <v>421.29999999999995</v>
      </c>
      <c r="H36" s="26">
        <v>0</v>
      </c>
    </row>
    <row r="37" spans="1:8">
      <c r="A37" s="28">
        <v>46276</v>
      </c>
      <c r="B37" s="26">
        <v>233.8</v>
      </c>
      <c r="C37" s="26">
        <v>233.50000000000003</v>
      </c>
      <c r="F37" s="27" t="s">
        <v>225</v>
      </c>
      <c r="G37" s="26">
        <v>421.29999999999995</v>
      </c>
      <c r="H37" s="26">
        <v>0</v>
      </c>
    </row>
    <row r="38" spans="1:8">
      <c r="A38" s="28">
        <v>46277</v>
      </c>
      <c r="B38" s="26">
        <v>200.30000000000004</v>
      </c>
      <c r="C38" s="26">
        <v>199.80000000000004</v>
      </c>
      <c r="F38" s="25" t="s">
        <v>282</v>
      </c>
      <c r="G38" s="26">
        <v>111</v>
      </c>
      <c r="H38" s="26">
        <v>0</v>
      </c>
    </row>
    <row r="39" spans="1:8">
      <c r="A39" s="28">
        <v>46278</v>
      </c>
      <c r="B39" s="26">
        <v>93.100000000000009</v>
      </c>
      <c r="C39" s="26">
        <v>92</v>
      </c>
      <c r="F39" s="27" t="s">
        <v>236</v>
      </c>
      <c r="G39" s="26">
        <v>111</v>
      </c>
      <c r="H39" s="26">
        <v>0</v>
      </c>
    </row>
    <row r="40" spans="1:8">
      <c r="A40" s="28">
        <v>46279</v>
      </c>
      <c r="B40" s="26">
        <v>158.39999999999998</v>
      </c>
      <c r="C40" s="26">
        <v>157.69999999999999</v>
      </c>
      <c r="F40" s="25" t="s">
        <v>273</v>
      </c>
      <c r="G40" s="26">
        <v>359.60000000000008</v>
      </c>
      <c r="H40" s="26">
        <v>2.9000000000000004</v>
      </c>
    </row>
    <row r="41" spans="1:8">
      <c r="A41" s="28">
        <v>46280</v>
      </c>
      <c r="B41" s="26">
        <v>291.50000000000006</v>
      </c>
      <c r="C41" s="26">
        <v>291.50000000000006</v>
      </c>
      <c r="F41" s="27" t="s">
        <v>225</v>
      </c>
      <c r="G41" s="26">
        <v>359.60000000000008</v>
      </c>
      <c r="H41" s="26">
        <v>2.9000000000000004</v>
      </c>
    </row>
    <row r="42" spans="1:8">
      <c r="A42" s="28">
        <v>46281</v>
      </c>
      <c r="B42" s="26">
        <v>195.29999999999995</v>
      </c>
      <c r="C42" s="26">
        <v>195.29999999999995</v>
      </c>
      <c r="F42" s="25" t="s">
        <v>277</v>
      </c>
      <c r="G42" s="26">
        <v>44.3</v>
      </c>
      <c r="H42" s="26">
        <v>0</v>
      </c>
    </row>
    <row r="43" spans="1:8">
      <c r="A43" s="28">
        <v>46282</v>
      </c>
      <c r="B43" s="26">
        <v>273.60000000000002</v>
      </c>
      <c r="C43" s="26">
        <v>271.8</v>
      </c>
      <c r="F43" s="27" t="s">
        <v>225</v>
      </c>
      <c r="G43" s="26">
        <v>44.3</v>
      </c>
      <c r="H43" s="26">
        <v>0</v>
      </c>
    </row>
    <row r="44" spans="1:8">
      <c r="A44" s="28">
        <v>46283</v>
      </c>
      <c r="B44" s="26">
        <v>216.2</v>
      </c>
      <c r="C44" s="26">
        <v>215.4</v>
      </c>
      <c r="F44" s="25" t="s">
        <v>285</v>
      </c>
      <c r="G44" s="26">
        <v>6</v>
      </c>
      <c r="H44" s="26">
        <v>0</v>
      </c>
    </row>
    <row r="45" spans="1:8">
      <c r="A45" s="28">
        <v>46284</v>
      </c>
      <c r="B45" s="26">
        <v>219.49999999999997</v>
      </c>
      <c r="C45" s="26">
        <v>218.49999999999997</v>
      </c>
      <c r="F45" s="27" t="s">
        <v>236</v>
      </c>
      <c r="G45" s="26">
        <v>6</v>
      </c>
      <c r="H45" s="26">
        <v>0</v>
      </c>
    </row>
    <row r="46" spans="1:8">
      <c r="A46" s="28">
        <v>46285</v>
      </c>
      <c r="B46" s="26">
        <v>171.39999999999998</v>
      </c>
      <c r="C46" s="26">
        <v>171.09999999999997</v>
      </c>
      <c r="F46" s="25" t="s">
        <v>447</v>
      </c>
      <c r="G46" s="26">
        <v>6203.0000000000018</v>
      </c>
      <c r="H46" s="26">
        <v>7.5</v>
      </c>
    </row>
    <row r="47" spans="1:8">
      <c r="A47" s="28">
        <v>46286</v>
      </c>
      <c r="B47" s="26">
        <v>187.39999999999998</v>
      </c>
      <c r="C47" s="26">
        <v>186.2</v>
      </c>
    </row>
    <row r="48" spans="1:8">
      <c r="A48" s="28">
        <v>46287</v>
      </c>
      <c r="B48" s="26">
        <v>263.39999999999998</v>
      </c>
      <c r="C48" s="26">
        <v>262.89999999999998</v>
      </c>
    </row>
    <row r="49" spans="1:3">
      <c r="A49" s="28">
        <v>46288</v>
      </c>
      <c r="B49" s="26">
        <v>190.50000000000003</v>
      </c>
      <c r="C49" s="26">
        <v>190.20000000000005</v>
      </c>
    </row>
    <row r="50" spans="1:3">
      <c r="A50" s="28">
        <v>46289</v>
      </c>
      <c r="B50" s="26">
        <v>284.8</v>
      </c>
      <c r="C50" s="26">
        <v>284.60000000000002</v>
      </c>
    </row>
    <row r="51" spans="1:3">
      <c r="A51" s="28">
        <v>46290</v>
      </c>
      <c r="B51" s="26">
        <v>149.6</v>
      </c>
      <c r="C51" s="26">
        <v>149.4</v>
      </c>
    </row>
    <row r="52" spans="1:3">
      <c r="A52" s="28">
        <v>46291</v>
      </c>
      <c r="B52" s="26">
        <v>206.8</v>
      </c>
      <c r="C52" s="26">
        <v>206.5</v>
      </c>
    </row>
    <row r="53" spans="1:3">
      <c r="A53" s="28">
        <v>46292</v>
      </c>
      <c r="B53" s="26">
        <v>93.899999999999991</v>
      </c>
      <c r="C53" s="26">
        <v>93.899999999999991</v>
      </c>
    </row>
    <row r="54" spans="1:3">
      <c r="A54" s="28">
        <v>46293</v>
      </c>
      <c r="B54" s="26">
        <v>158.29999999999998</v>
      </c>
      <c r="C54" s="26">
        <v>157.39999999999998</v>
      </c>
    </row>
    <row r="55" spans="1:3">
      <c r="A55" s="28">
        <v>46294</v>
      </c>
      <c r="B55" s="26">
        <v>283.3</v>
      </c>
      <c r="C55" s="26">
        <v>282.79999999999995</v>
      </c>
    </row>
    <row r="56" spans="1:3">
      <c r="A56" s="28">
        <v>46295</v>
      </c>
      <c r="B56" s="26">
        <v>197.4</v>
      </c>
      <c r="C56" s="26">
        <v>196.4</v>
      </c>
    </row>
    <row r="57" spans="1:3">
      <c r="A57" s="28" t="s">
        <v>447</v>
      </c>
      <c r="B57" s="26">
        <v>6220.0999999999995</v>
      </c>
      <c r="C57" s="26">
        <v>6202.9999999999982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</sheetPr>
  <dimension ref="A1:E19"/>
  <sheetViews>
    <sheetView showGridLines="0" workbookViewId="0">
      <pane ySplit="7" topLeftCell="A8" activePane="bottomLeft" state="frozen"/>
      <selection pane="bottomLeft" sqref="A1:E1"/>
    </sheetView>
  </sheetViews>
  <sheetFormatPr defaultRowHeight="14.25"/>
  <cols>
    <col min="1" max="1" width="28" customWidth="1"/>
    <col min="2" max="3" width="18" customWidth="1"/>
    <col min="4" max="4" width="14" customWidth="1"/>
    <col min="5" max="5" width="12" customWidth="1"/>
  </cols>
  <sheetData>
    <row r="1" spans="1:5" ht="19.149999999999999" customHeight="1">
      <c r="A1" s="21" t="s">
        <v>0</v>
      </c>
      <c r="B1" s="21"/>
      <c r="C1" s="21"/>
      <c r="D1" s="21"/>
      <c r="E1" s="21"/>
    </row>
    <row r="2" spans="1:5" ht="15" customHeight="1">
      <c r="A2" s="22" t="s">
        <v>1</v>
      </c>
      <c r="B2" s="22"/>
      <c r="C2" s="22"/>
      <c r="D2" s="22"/>
      <c r="E2" s="22"/>
    </row>
    <row r="3" spans="1:5" ht="15" customHeight="1">
      <c r="A3" s="10"/>
      <c r="B3" s="10"/>
      <c r="C3" s="10"/>
      <c r="D3" s="10"/>
      <c r="E3" s="10"/>
    </row>
    <row r="4" spans="1:5" ht="15" customHeight="1">
      <c r="A4" s="11" t="s">
        <v>2</v>
      </c>
      <c r="B4" s="12">
        <v>46301</v>
      </c>
      <c r="C4" s="10"/>
      <c r="D4" s="10"/>
      <c r="E4" s="10"/>
    </row>
    <row r="5" spans="1:5" ht="15" customHeight="1">
      <c r="A5" s="11" t="s">
        <v>3</v>
      </c>
      <c r="B5" s="10" t="s">
        <v>4</v>
      </c>
      <c r="C5" s="10"/>
      <c r="D5" s="10"/>
      <c r="E5" s="10"/>
    </row>
    <row r="6" spans="1:5" ht="15" customHeight="1">
      <c r="A6" s="10"/>
      <c r="B6" s="10"/>
      <c r="C6" s="10"/>
      <c r="D6" s="10"/>
      <c r="E6" s="10"/>
    </row>
    <row r="7" spans="1:5" ht="15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</row>
    <row r="8" spans="1:5" ht="15" customHeight="1">
      <c r="A8" s="13" t="s">
        <v>10</v>
      </c>
      <c r="B8" s="13">
        <f>COUNTA(calc_lines!$A$2:$A$967)</f>
        <v>966</v>
      </c>
      <c r="C8" s="13">
        <v>966</v>
      </c>
      <c r="D8" s="13">
        <f t="shared" ref="D8:D14" si="0">B8-C8</f>
        <v>0</v>
      </c>
      <c r="E8" s="13" t="str">
        <f t="shared" ref="E8:E14" si="1">IF(ABS(D8)&lt;0.005,"一致","差异")</f>
        <v>一致</v>
      </c>
    </row>
    <row r="9" spans="1:5" ht="15" customHeight="1">
      <c r="A9" s="13" t="s">
        <v>11</v>
      </c>
      <c r="B9" s="13">
        <f>COUNTIFS(calc_orders!$J$2:$J$144,"&lt;&gt;暂缓")</f>
        <v>143</v>
      </c>
      <c r="C9" s="13">
        <v>143</v>
      </c>
      <c r="D9" s="13">
        <f t="shared" si="0"/>
        <v>0</v>
      </c>
      <c r="E9" s="13" t="str">
        <f t="shared" si="1"/>
        <v>一致</v>
      </c>
    </row>
    <row r="10" spans="1:5" ht="15" customHeight="1">
      <c r="A10" s="13" t="s">
        <v>12</v>
      </c>
      <c r="B10" s="14">
        <f>SUM(calc_customers!$D$2:$D$7)</f>
        <v>44914.3</v>
      </c>
      <c r="C10" s="13">
        <v>44914.3</v>
      </c>
      <c r="D10" s="13">
        <f t="shared" si="0"/>
        <v>0</v>
      </c>
      <c r="E10" s="13" t="str">
        <f t="shared" si="1"/>
        <v>一致</v>
      </c>
    </row>
    <row r="11" spans="1:5" ht="15" customHeight="1">
      <c r="A11" s="13" t="s">
        <v>13</v>
      </c>
      <c r="B11" s="14">
        <f>SUM(calc_customers!$E$2:$E$7)</f>
        <v>26254.15</v>
      </c>
      <c r="C11" s="13">
        <v>26254.15</v>
      </c>
      <c r="D11" s="13">
        <f t="shared" si="0"/>
        <v>0</v>
      </c>
      <c r="E11" s="13" t="str">
        <f t="shared" si="1"/>
        <v>一致</v>
      </c>
    </row>
    <row r="12" spans="1:5" ht="15" customHeight="1">
      <c r="A12" s="13" t="s">
        <v>14</v>
      </c>
      <c r="B12" s="14">
        <f>SUM(calc_customers!$F$2:$F$7)</f>
        <v>18660.150000000001</v>
      </c>
      <c r="C12" s="13">
        <v>18660.150000000001</v>
      </c>
      <c r="D12" s="13">
        <f t="shared" si="0"/>
        <v>0</v>
      </c>
      <c r="E12" s="13" t="str">
        <f t="shared" si="1"/>
        <v>一致</v>
      </c>
    </row>
    <row r="13" spans="1:5" ht="15" customHeight="1">
      <c r="A13" s="13" t="s">
        <v>15</v>
      </c>
      <c r="B13" s="14">
        <f>SUMIFS(fact_payments!$D$2:$D$101,fact_payments!$C$2:$C$101,"&lt;="&amp;DATE(2026,9,30))</f>
        <v>6000</v>
      </c>
      <c r="C13" s="13">
        <v>6000</v>
      </c>
      <c r="D13" s="13">
        <f t="shared" si="0"/>
        <v>0</v>
      </c>
      <c r="E13" s="13" t="str">
        <f t="shared" si="1"/>
        <v>一致</v>
      </c>
    </row>
    <row r="14" spans="1:5" ht="15" customHeight="1">
      <c r="A14" s="13" t="s">
        <v>16</v>
      </c>
      <c r="B14" s="13">
        <f>COUNTIF(calc_lines!$W$2:$W$967,"阻断")+COUNTIF(calc_lines!$W$2:$W$967,"提示")</f>
        <v>0</v>
      </c>
      <c r="C14" s="13">
        <v>0</v>
      </c>
      <c r="D14" s="13">
        <f t="shared" si="0"/>
        <v>0</v>
      </c>
      <c r="E14" s="13" t="str">
        <f t="shared" si="1"/>
        <v>一致</v>
      </c>
    </row>
    <row r="15" spans="1:5" ht="15" customHeight="1">
      <c r="A15" s="10"/>
      <c r="B15" s="10"/>
      <c r="C15" s="10"/>
      <c r="D15" s="10"/>
      <c r="E15" s="10"/>
    </row>
    <row r="16" spans="1:5" ht="15" customHeight="1">
      <c r="A16" s="15" t="s">
        <v>17</v>
      </c>
      <c r="B16" s="16">
        <f>COUNTIF(fact_payments!$C$2:$C$101,"&gt;"&amp;$B$4)</f>
        <v>0</v>
      </c>
      <c r="C16" s="10"/>
      <c r="D16" s="10"/>
      <c r="E16" s="10"/>
    </row>
    <row r="17" spans="1:5" ht="15" customHeight="1">
      <c r="A17" s="15" t="s">
        <v>18</v>
      </c>
      <c r="B17" s="16">
        <f>COUNTIF(calc_orders!$J$2:$J$144,"暂缓")</f>
        <v>0</v>
      </c>
      <c r="C17" s="10"/>
      <c r="D17" s="10"/>
      <c r="E17" s="10"/>
    </row>
    <row r="18" spans="1:5" ht="15" customHeight="1">
      <c r="A18" s="15" t="s">
        <v>19</v>
      </c>
      <c r="B18" s="17">
        <f>INDEX(calc_orders!$G$2:$G$144,MATCH("SIM-20260901-C001",calc_orders!$A$2:$A$144,0))</f>
        <v>256.60000000000002</v>
      </c>
      <c r="C18" s="10"/>
      <c r="D18" s="10"/>
      <c r="E18" s="10"/>
    </row>
    <row r="19" spans="1:5" ht="15" customHeight="1">
      <c r="A19" s="15" t="s">
        <v>20</v>
      </c>
      <c r="B19" s="16" t="str">
        <f>INDEX(calc_orders!$J$2:$J$144,MATCH("SIM-20260901-C001",calc_orders!$A$2:$A$144,0))</f>
        <v>已结清</v>
      </c>
      <c r="C19" s="10"/>
      <c r="D19" s="10"/>
      <c r="E19" s="10"/>
    </row>
  </sheetData>
  <mergeCells count="2">
    <mergeCell ref="A1:E1"/>
    <mergeCell ref="A2:E2"/>
  </mergeCells>
  <phoneticPr fontId="8" type="noConversion"/>
  <conditionalFormatting sqref="E8:E14">
    <cfRule type="containsText" dxfId="6" priority="1" operator="containsText" text="差异"/>
    <cfRule type="containsText" dxfId="5" priority="2" operator="containsText" text="一致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G7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20" customWidth="1"/>
    <col min="3" max="3" width="12" customWidth="1"/>
    <col min="4" max="4" width="17" customWidth="1"/>
    <col min="5" max="6" width="16" customWidth="1"/>
    <col min="7" max="7" width="12" customWidth="1"/>
  </cols>
  <sheetData>
    <row r="1" spans="1:7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ht="15">
      <c r="A2" s="2" t="s">
        <v>28</v>
      </c>
      <c r="B2" s="2" t="str">
        <f>INDEX(dim_customers!$B$2:$B$7,MATCH($A2,dim_customers!$A$2:$A$7,0))</f>
        <v>模拟_榕树下粉面店</v>
      </c>
      <c r="C2" s="2">
        <f>COUNTIFS(calc_orders!$B$2:$B$144,$A2,calc_orders!$J$2:$J$144,"&lt;&gt;暂缓")</f>
        <v>26</v>
      </c>
      <c r="D2" s="6">
        <f>SUMIFS(calc_orders!$G$2:$G$144,calc_orders!$B$2:$B$144,$A2,calc_orders!$J$2:$J$144,"&lt;&gt;暂缓")</f>
        <v>2765.55</v>
      </c>
      <c r="E2" s="6">
        <f>SUMIFS(calc_orders!$H$2:$H$144,calc_orders!$B$2:$B$144,$A2,calc_orders!$J$2:$J$144,"&lt;&gt;暂缓")</f>
        <v>2765.55</v>
      </c>
      <c r="F2" s="6">
        <f t="shared" ref="F2:F7" si="0">$D2-$E2</f>
        <v>0</v>
      </c>
      <c r="G2" s="2" t="str">
        <f t="shared" ref="G2:G7" si="1">IF($F2=0,"已结清","未结清")</f>
        <v>已结清</v>
      </c>
    </row>
    <row r="3" spans="1:7" ht="15">
      <c r="A3" s="2" t="s">
        <v>29</v>
      </c>
      <c r="B3" s="2" t="str">
        <f>INDEX(dim_customers!$B$2:$B$7,MATCH($A3,dim_customers!$A$2:$A$7,0))</f>
        <v>模拟_桥头家常菜馆</v>
      </c>
      <c r="C3" s="2">
        <f>COUNTIFS(calc_orders!$B$2:$B$144,$A3,calc_orders!$J$2:$J$144,"&lt;&gt;暂缓")</f>
        <v>26</v>
      </c>
      <c r="D3" s="6">
        <f>SUMIFS(calc_orders!$G$2:$G$144,calc_orders!$B$2:$B$144,$A3,calc_orders!$J$2:$J$144,"&lt;&gt;暂缓")</f>
        <v>6594.5900000000011</v>
      </c>
      <c r="E3" s="6">
        <f>SUMIFS(calc_orders!$H$2:$H$144,calc_orders!$B$2:$B$144,$A3,calc_orders!$J$2:$J$144,"&lt;&gt;暂缓")</f>
        <v>6594.5900000000011</v>
      </c>
      <c r="F3" s="6">
        <f t="shared" si="0"/>
        <v>0</v>
      </c>
      <c r="G3" s="2" t="str">
        <f t="shared" si="1"/>
        <v>已结清</v>
      </c>
    </row>
    <row r="4" spans="1:7" ht="15">
      <c r="A4" s="2" t="s">
        <v>30</v>
      </c>
      <c r="B4" s="2" t="str">
        <f>INDEX(dim_customers!$B$2:$B$7,MATCH($A4,dim_customers!$A$2:$A$7,0))</f>
        <v>模拟_兴街快餐店</v>
      </c>
      <c r="C4" s="2">
        <f>COUNTIFS(calc_orders!$B$2:$B$144,$A4,calc_orders!$J$2:$J$144,"&lt;&gt;暂缓")</f>
        <v>26</v>
      </c>
      <c r="D4" s="6">
        <f>SUMIFS(calc_orders!$G$2:$G$144,calc_orders!$B$2:$B$144,$A4,calc_orders!$J$2:$J$144,"&lt;&gt;暂缓")</f>
        <v>9536.7200000000012</v>
      </c>
      <c r="E4" s="6">
        <f>SUMIFS(calc_orders!$H$2:$H$144,calc_orders!$B$2:$B$144,$A4,calc_orders!$J$2:$J$144,"&lt;&gt;暂缓")</f>
        <v>3000.0000000000005</v>
      </c>
      <c r="F4" s="6">
        <f t="shared" si="0"/>
        <v>6536.7200000000012</v>
      </c>
      <c r="G4" s="2" t="str">
        <f t="shared" si="1"/>
        <v>未结清</v>
      </c>
    </row>
    <row r="5" spans="1:7" ht="15">
      <c r="A5" s="2" t="s">
        <v>31</v>
      </c>
      <c r="B5" s="2" t="str">
        <f>INDEX(dim_customers!$B$2:$B$7,MATCH($A5,dim_customers!$A$2:$A$7,0))</f>
        <v>模拟_田畔饭店</v>
      </c>
      <c r="C5" s="2">
        <f>COUNTIFS(calc_orders!$B$2:$B$144,$A5,calc_orders!$J$2:$J$144,"&lt;&gt;暂缓")</f>
        <v>13</v>
      </c>
      <c r="D5" s="6">
        <f>SUMIFS(calc_orders!$G$2:$G$144,calc_orders!$B$2:$B$144,$A5,calc_orders!$J$2:$J$144,"&lt;&gt;暂缓")</f>
        <v>3894.0099999999993</v>
      </c>
      <c r="E5" s="6">
        <f>SUMIFS(calc_orders!$H$2:$H$144,calc_orders!$B$2:$B$144,$A5,calc_orders!$J$2:$J$144,"&lt;&gt;暂缓")</f>
        <v>3894.0099999999993</v>
      </c>
      <c r="F5" s="6">
        <f t="shared" si="0"/>
        <v>0</v>
      </c>
      <c r="G5" s="2" t="str">
        <f t="shared" si="1"/>
        <v>已结清</v>
      </c>
    </row>
    <row r="6" spans="1:7" ht="15">
      <c r="A6" s="2" t="s">
        <v>32</v>
      </c>
      <c r="B6" s="2" t="str">
        <f>INDEX(dim_customers!$B$2:$B$7,MATCH($A6,dim_customers!$A$2:$A$7,0))</f>
        <v>模拟_青禾小学食堂</v>
      </c>
      <c r="C6" s="2">
        <f>COUNTIFS(calc_orders!$B$2:$B$144,$A6,calc_orders!$J$2:$J$144,"&lt;&gt;暂缓")</f>
        <v>22</v>
      </c>
      <c r="D6" s="6">
        <f>SUMIFS(calc_orders!$G$2:$G$144,calc_orders!$B$2:$B$144,$A6,calc_orders!$J$2:$J$144,"&lt;&gt;暂缓")</f>
        <v>11237.09</v>
      </c>
      <c r="E6" s="6">
        <f>SUMIFS(calc_orders!$H$2:$H$144,calc_orders!$B$2:$B$144,$A6,calc_orders!$J$2:$J$144,"&lt;&gt;暂缓")</f>
        <v>5000</v>
      </c>
      <c r="F6" s="6">
        <f t="shared" si="0"/>
        <v>6237.09</v>
      </c>
      <c r="G6" s="2" t="str">
        <f t="shared" si="1"/>
        <v>未结清</v>
      </c>
    </row>
    <row r="7" spans="1:7" ht="15">
      <c r="A7" s="2" t="s">
        <v>33</v>
      </c>
      <c r="B7" s="2" t="str">
        <f>INDEX(dim_customers!$B$2:$B$7,MATCH($A7,dim_customers!$A$2:$A$7,0))</f>
        <v>模拟_溪桥医院食堂</v>
      </c>
      <c r="C7" s="2">
        <f>COUNTIFS(calc_orders!$B$2:$B$144,$A7,calc_orders!$J$2:$J$144,"&lt;&gt;暂缓")</f>
        <v>30</v>
      </c>
      <c r="D7" s="6">
        <f>SUMIFS(calc_orders!$G$2:$G$144,calc_orders!$B$2:$B$144,$A7,calc_orders!$J$2:$J$144,"&lt;&gt;暂缓")</f>
        <v>10886.34</v>
      </c>
      <c r="E7" s="6">
        <f>SUMIFS(calc_orders!$H$2:$H$144,calc_orders!$B$2:$B$144,$A7,calc_orders!$J$2:$J$144,"&lt;&gt;暂缓")</f>
        <v>5000</v>
      </c>
      <c r="F7" s="6">
        <f t="shared" si="0"/>
        <v>5886.34</v>
      </c>
      <c r="G7" s="2" t="str">
        <f t="shared" si="1"/>
        <v>未结清</v>
      </c>
    </row>
  </sheetData>
  <phoneticPr fontId="8" type="noConversion"/>
  <conditionalFormatting sqref="G2:G7">
    <cfRule type="containsText" dxfId="4" priority="1" operator="containsText" text="未结清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J144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4" customWidth="1"/>
    <col min="2" max="2" width="12" customWidth="1"/>
    <col min="3" max="3" width="18" customWidth="1"/>
    <col min="4" max="4" width="13" customWidth="1"/>
    <col min="5" max="5" width="11" customWidth="1"/>
    <col min="6" max="9" width="16" customWidth="1"/>
    <col min="10" max="10" width="12" customWidth="1"/>
  </cols>
  <sheetData>
    <row r="1" spans="1:10">
      <c r="A1" s="1" t="s">
        <v>34</v>
      </c>
      <c r="B1" s="1" t="s">
        <v>21</v>
      </c>
      <c r="C1" s="1" t="s">
        <v>22</v>
      </c>
      <c r="D1" s="1" t="s">
        <v>35</v>
      </c>
      <c r="E1" s="1" t="s">
        <v>36</v>
      </c>
      <c r="F1" s="1" t="s">
        <v>37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ht="15">
      <c r="A2" s="2" t="s">
        <v>38</v>
      </c>
      <c r="B2" s="2" t="str">
        <f>INDEX(calc_lines!$C$2:$C$967,MATCH($A2,calc_lines!$A$2:$A$967,0))</f>
        <v>C001</v>
      </c>
      <c r="C2" s="2" t="str">
        <f>INDEX(calc_lines!$O$2:$O$967,MATCH($A2,calc_lines!$A$2:$A$967,0))</f>
        <v>模拟_榕树下粉面店</v>
      </c>
      <c r="D2" s="3">
        <f>INDEX(calc_lines!$D$2:$D$967,MATCH($A2,calc_lines!$A$2:$A$967,0))</f>
        <v>46266</v>
      </c>
      <c r="E2" s="2">
        <f>COUNTIF(calc_lines!$A$2:$A$967,$A2)</f>
        <v>8</v>
      </c>
      <c r="F2" s="2">
        <f>COUNTIFS(calc_lines!$A$2:$A$967,$A2,calc_lines!$W$2:$W$967,"阻断")</f>
        <v>0</v>
      </c>
      <c r="G2" s="6">
        <f>IF($F2&gt;0,"",ROUND(SUMIF(calc_lines!$A$2:$A$967,$A2,calc_lines!$R$2:$R$967),2))</f>
        <v>256.60000000000002</v>
      </c>
      <c r="H2" s="6">
        <f>IF($F2&gt;0,"",ROUND(SUMIFS(fact_payments!$D$2:$D$101,fact_payments!$B$2:$B$101,$A2,fact_payments!$C$2:$C$101,"&lt;="&amp;checklist!$B$4),2))</f>
        <v>256.60000000000002</v>
      </c>
      <c r="I2" s="6">
        <f t="shared" ref="I2:I33" si="0">IF($F2&gt;0,"",$G2-$H2)</f>
        <v>0</v>
      </c>
      <c r="J2" s="2" t="str">
        <f t="shared" ref="J2:J33" si="1">IF($F2&gt;0,"暂缓",IF($I2=0,"已结清","未结清"))</f>
        <v>已结清</v>
      </c>
    </row>
    <row r="3" spans="1:10" ht="15">
      <c r="A3" s="2" t="s">
        <v>39</v>
      </c>
      <c r="B3" s="2" t="str">
        <f>INDEX(calc_lines!$C$2:$C$967,MATCH($A3,calc_lines!$A$2:$A$967,0))</f>
        <v>C002</v>
      </c>
      <c r="C3" s="2" t="str">
        <f>INDEX(calc_lines!$O$2:$O$967,MATCH($A3,calc_lines!$A$2:$A$967,0))</f>
        <v>模拟_桥头家常菜馆</v>
      </c>
      <c r="D3" s="3">
        <f>INDEX(calc_lines!$D$2:$D$967,MATCH($A3,calc_lines!$A$2:$A$967,0))</f>
        <v>46266</v>
      </c>
      <c r="E3" s="2">
        <f>COUNTIF(calc_lines!$A$2:$A$967,$A3)</f>
        <v>9</v>
      </c>
      <c r="F3" s="2">
        <f>COUNTIFS(calc_lines!$A$2:$A$967,$A3,calc_lines!$W$2:$W$967,"阻断")</f>
        <v>0</v>
      </c>
      <c r="G3" s="6">
        <f>IF($F3&gt;0,"",ROUND(SUMIF(calc_lines!$A$2:$A$967,$A3,calc_lines!$R$2:$R$967),2))</f>
        <v>598.22</v>
      </c>
      <c r="H3" s="6">
        <f>IF($F3&gt;0,"",ROUND(SUMIFS(fact_payments!$D$2:$D$101,fact_payments!$B$2:$B$101,$A3,fact_payments!$C$2:$C$101,"&lt;="&amp;checklist!$B$4),2))</f>
        <v>598.22</v>
      </c>
      <c r="I3" s="6">
        <f t="shared" si="0"/>
        <v>0</v>
      </c>
      <c r="J3" s="2" t="str">
        <f t="shared" si="1"/>
        <v>已结清</v>
      </c>
    </row>
    <row r="4" spans="1:10" ht="15">
      <c r="A4" s="2" t="s">
        <v>40</v>
      </c>
      <c r="B4" s="2" t="str">
        <f>INDEX(calc_lines!$C$2:$C$967,MATCH($A4,calc_lines!$A$2:$A$967,0))</f>
        <v>C003</v>
      </c>
      <c r="C4" s="2" t="str">
        <f>INDEX(calc_lines!$O$2:$O$967,MATCH($A4,calc_lines!$A$2:$A$967,0))</f>
        <v>模拟_兴街快餐店</v>
      </c>
      <c r="D4" s="3">
        <f>INDEX(calc_lines!$D$2:$D$967,MATCH($A4,calc_lines!$A$2:$A$967,0))</f>
        <v>46266</v>
      </c>
      <c r="E4" s="2">
        <f>COUNTIF(calc_lines!$A$2:$A$967,$A4)</f>
        <v>10</v>
      </c>
      <c r="F4" s="2">
        <f>COUNTIFS(calc_lines!$A$2:$A$967,$A4,calc_lines!$W$2:$W$967,"阻断")</f>
        <v>0</v>
      </c>
      <c r="G4" s="6">
        <f>IF($F4&gt;0,"",ROUND(SUMIF(calc_lines!$A$2:$A$967,$A4,calc_lines!$R$2:$R$967),2))</f>
        <v>901.28</v>
      </c>
      <c r="H4" s="6">
        <f>IF($F4&gt;0,"",ROUND(SUMIFS(fact_payments!$D$2:$D$101,fact_payments!$B$2:$B$101,$A4,fact_payments!$C$2:$C$101,"&lt;="&amp;checklist!$B$4),2))</f>
        <v>901.28</v>
      </c>
      <c r="I4" s="6">
        <f t="shared" si="0"/>
        <v>0</v>
      </c>
      <c r="J4" s="2" t="str">
        <f t="shared" si="1"/>
        <v>已结清</v>
      </c>
    </row>
    <row r="5" spans="1:10" ht="15">
      <c r="A5" s="2" t="s">
        <v>41</v>
      </c>
      <c r="B5" s="2" t="str">
        <f>INDEX(calc_lines!$C$2:$C$967,MATCH($A5,calc_lines!$A$2:$A$967,0))</f>
        <v>C004</v>
      </c>
      <c r="C5" s="2" t="str">
        <f>INDEX(calc_lines!$O$2:$O$967,MATCH($A5,calc_lines!$A$2:$A$967,0))</f>
        <v>模拟_田畔饭店</v>
      </c>
      <c r="D5" s="3">
        <f>INDEX(calc_lines!$D$2:$D$967,MATCH($A5,calc_lines!$A$2:$A$967,0))</f>
        <v>46266</v>
      </c>
      <c r="E5" s="2">
        <f>COUNTIF(calc_lines!$A$2:$A$967,$A5)</f>
        <v>10</v>
      </c>
      <c r="F5" s="2">
        <f>COUNTIFS(calc_lines!$A$2:$A$967,$A5,calc_lines!$W$2:$W$967,"阻断")</f>
        <v>0</v>
      </c>
      <c r="G5" s="6">
        <f>IF($F5&gt;0,"",ROUND(SUMIF(calc_lines!$A$2:$A$967,$A5,calc_lines!$R$2:$R$967),2))</f>
        <v>619.83000000000004</v>
      </c>
      <c r="H5" s="6">
        <f>IF($F5&gt;0,"",ROUND(SUMIFS(fact_payments!$D$2:$D$101,fact_payments!$B$2:$B$101,$A5,fact_payments!$C$2:$C$101,"&lt;="&amp;checklist!$B$4),2))</f>
        <v>619.83000000000004</v>
      </c>
      <c r="I5" s="6">
        <f t="shared" si="0"/>
        <v>0</v>
      </c>
      <c r="J5" s="2" t="str">
        <f t="shared" si="1"/>
        <v>已结清</v>
      </c>
    </row>
    <row r="6" spans="1:10" ht="15">
      <c r="A6" s="2" t="s">
        <v>42</v>
      </c>
      <c r="B6" s="2" t="str">
        <f>INDEX(calc_lines!$C$2:$C$967,MATCH($A6,calc_lines!$A$2:$A$967,0))</f>
        <v>C005</v>
      </c>
      <c r="C6" s="2" t="str">
        <f>INDEX(calc_lines!$O$2:$O$967,MATCH($A6,calc_lines!$A$2:$A$967,0))</f>
        <v>模拟_青禾小学食堂</v>
      </c>
      <c r="D6" s="3">
        <f>INDEX(calc_lines!$D$2:$D$967,MATCH($A6,calc_lines!$A$2:$A$967,0))</f>
        <v>46266</v>
      </c>
      <c r="E6" s="2">
        <f>COUNTIF(calc_lines!$A$2:$A$967,$A6)</f>
        <v>10</v>
      </c>
      <c r="F6" s="2">
        <f>COUNTIFS(calc_lines!$A$2:$A$967,$A6,calc_lines!$W$2:$W$967,"阻断")</f>
        <v>0</v>
      </c>
      <c r="G6" s="6">
        <f>IF($F6&gt;0,"",ROUND(SUMIF(calc_lines!$A$2:$A$967,$A6,calc_lines!$R$2:$R$967),2))</f>
        <v>1212.68</v>
      </c>
      <c r="H6" s="6">
        <f>IF($F6&gt;0,"",ROUND(SUMIFS(fact_payments!$D$2:$D$101,fact_payments!$B$2:$B$101,$A6,fact_payments!$C$2:$C$101,"&lt;="&amp;checklist!$B$4),2))</f>
        <v>1212.68</v>
      </c>
      <c r="I6" s="6">
        <f t="shared" si="0"/>
        <v>0</v>
      </c>
      <c r="J6" s="2" t="str">
        <f t="shared" si="1"/>
        <v>已结清</v>
      </c>
    </row>
    <row r="7" spans="1:10" ht="15">
      <c r="A7" s="2" t="s">
        <v>43</v>
      </c>
      <c r="B7" s="2" t="str">
        <f>INDEX(calc_lines!$C$2:$C$967,MATCH($A7,calc_lines!$A$2:$A$967,0))</f>
        <v>C006</v>
      </c>
      <c r="C7" s="2" t="str">
        <f>INDEX(calc_lines!$O$2:$O$967,MATCH($A7,calc_lines!$A$2:$A$967,0))</f>
        <v>模拟_溪桥医院食堂</v>
      </c>
      <c r="D7" s="3">
        <f>INDEX(calc_lines!$D$2:$D$967,MATCH($A7,calc_lines!$A$2:$A$967,0))</f>
        <v>46266</v>
      </c>
      <c r="E7" s="2">
        <f>COUNTIF(calc_lines!$A$2:$A$967,$A7)</f>
        <v>10</v>
      </c>
      <c r="F7" s="2">
        <f>COUNTIFS(calc_lines!$A$2:$A$967,$A7,calc_lines!$W$2:$W$967,"阻断")</f>
        <v>0</v>
      </c>
      <c r="G7" s="6">
        <f>IF($F7&gt;0,"",ROUND(SUMIF(calc_lines!$A$2:$A$967,$A7,calc_lines!$R$2:$R$967),2))</f>
        <v>926.26</v>
      </c>
      <c r="H7" s="6">
        <f>IF($F7&gt;0,"",ROUND(SUMIFS(fact_payments!$D$2:$D$101,fact_payments!$B$2:$B$101,$A7,fact_payments!$C$2:$C$101,"&lt;="&amp;checklist!$B$4),2))</f>
        <v>926.26</v>
      </c>
      <c r="I7" s="6">
        <f t="shared" si="0"/>
        <v>0</v>
      </c>
      <c r="J7" s="2" t="str">
        <f t="shared" si="1"/>
        <v>已结清</v>
      </c>
    </row>
    <row r="8" spans="1:10" ht="15">
      <c r="A8" s="2" t="s">
        <v>44</v>
      </c>
      <c r="B8" s="2" t="str">
        <f>INDEX(calc_lines!$C$2:$C$967,MATCH($A8,calc_lines!$A$2:$A$967,0))</f>
        <v>C001</v>
      </c>
      <c r="C8" s="2" t="str">
        <f>INDEX(calc_lines!$O$2:$O$967,MATCH($A8,calc_lines!$A$2:$A$967,0))</f>
        <v>模拟_榕树下粉面店</v>
      </c>
      <c r="D8" s="3">
        <f>INDEX(calc_lines!$D$2:$D$967,MATCH($A8,calc_lines!$A$2:$A$967,0))</f>
        <v>46267</v>
      </c>
      <c r="E8" s="2">
        <f>COUNTIF(calc_lines!$A$2:$A$967,$A8)</f>
        <v>4</v>
      </c>
      <c r="F8" s="2">
        <f>COUNTIFS(calc_lines!$A$2:$A$967,$A8,calc_lines!$W$2:$W$967,"阻断")</f>
        <v>0</v>
      </c>
      <c r="G8" s="6">
        <f>IF($F8&gt;0,"",ROUND(SUMIF(calc_lines!$A$2:$A$967,$A8,calc_lines!$R$2:$R$967),2))</f>
        <v>47.9</v>
      </c>
      <c r="H8" s="6">
        <f>IF($F8&gt;0,"",ROUND(SUMIFS(fact_payments!$D$2:$D$101,fact_payments!$B$2:$B$101,$A8,fact_payments!$C$2:$C$101,"&lt;="&amp;checklist!$B$4),2))</f>
        <v>47.9</v>
      </c>
      <c r="I8" s="6">
        <f t="shared" si="0"/>
        <v>0</v>
      </c>
      <c r="J8" s="2" t="str">
        <f t="shared" si="1"/>
        <v>已结清</v>
      </c>
    </row>
    <row r="9" spans="1:10" ht="15">
      <c r="A9" s="2" t="s">
        <v>45</v>
      </c>
      <c r="B9" s="2" t="str">
        <f>INDEX(calc_lines!$C$2:$C$967,MATCH($A9,calc_lines!$A$2:$A$967,0))</f>
        <v>C002</v>
      </c>
      <c r="C9" s="2" t="str">
        <f>INDEX(calc_lines!$O$2:$O$967,MATCH($A9,calc_lines!$A$2:$A$967,0))</f>
        <v>模拟_桥头家常菜馆</v>
      </c>
      <c r="D9" s="3">
        <f>INDEX(calc_lines!$D$2:$D$967,MATCH($A9,calc_lines!$A$2:$A$967,0))</f>
        <v>46267</v>
      </c>
      <c r="E9" s="2">
        <f>COUNTIF(calc_lines!$A$2:$A$967,$A9)</f>
        <v>5</v>
      </c>
      <c r="F9" s="2">
        <f>COUNTIFS(calc_lines!$A$2:$A$967,$A9,calc_lines!$W$2:$W$967,"阻断")</f>
        <v>0</v>
      </c>
      <c r="G9" s="6">
        <f>IF($F9&gt;0,"",ROUND(SUMIF(calc_lines!$A$2:$A$967,$A9,calc_lines!$R$2:$R$967),2))</f>
        <v>94.5</v>
      </c>
      <c r="H9" s="6">
        <f>IF($F9&gt;0,"",ROUND(SUMIFS(fact_payments!$D$2:$D$101,fact_payments!$B$2:$B$101,$A9,fact_payments!$C$2:$C$101,"&lt;="&amp;checklist!$B$4),2))</f>
        <v>94.5</v>
      </c>
      <c r="I9" s="6">
        <f t="shared" si="0"/>
        <v>0</v>
      </c>
      <c r="J9" s="2" t="str">
        <f t="shared" si="1"/>
        <v>已结清</v>
      </c>
    </row>
    <row r="10" spans="1:10" ht="15">
      <c r="A10" s="2" t="s">
        <v>46</v>
      </c>
      <c r="B10" s="2" t="str">
        <f>INDEX(calc_lines!$C$2:$C$967,MATCH($A10,calc_lines!$A$2:$A$967,0))</f>
        <v>C003</v>
      </c>
      <c r="C10" s="2" t="str">
        <f>INDEX(calc_lines!$O$2:$O$967,MATCH($A10,calc_lines!$A$2:$A$967,0))</f>
        <v>模拟_兴街快餐店</v>
      </c>
      <c r="D10" s="3">
        <f>INDEX(calc_lines!$D$2:$D$967,MATCH($A10,calc_lines!$A$2:$A$967,0))</f>
        <v>46267</v>
      </c>
      <c r="E10" s="2">
        <f>COUNTIF(calc_lines!$A$2:$A$967,$A10)</f>
        <v>6</v>
      </c>
      <c r="F10" s="2">
        <f>COUNTIFS(calc_lines!$A$2:$A$967,$A10,calc_lines!$W$2:$W$967,"阻断")</f>
        <v>0</v>
      </c>
      <c r="G10" s="6">
        <f>IF($F10&gt;0,"",ROUND(SUMIF(calc_lines!$A$2:$A$967,$A10,calc_lines!$R$2:$R$967),2))</f>
        <v>159.16</v>
      </c>
      <c r="H10" s="6">
        <f>IF($F10&gt;0,"",ROUND(SUMIFS(fact_payments!$D$2:$D$101,fact_payments!$B$2:$B$101,$A10,fact_payments!$C$2:$C$101,"&lt;="&amp;checklist!$B$4),2))</f>
        <v>159.16</v>
      </c>
      <c r="I10" s="6">
        <f t="shared" si="0"/>
        <v>0</v>
      </c>
      <c r="J10" s="2" t="str">
        <f t="shared" si="1"/>
        <v>已结清</v>
      </c>
    </row>
    <row r="11" spans="1:10" ht="15">
      <c r="A11" s="2" t="s">
        <v>47</v>
      </c>
      <c r="B11" s="2" t="str">
        <f>INDEX(calc_lines!$C$2:$C$967,MATCH($A11,calc_lines!$A$2:$A$967,0))</f>
        <v>C005</v>
      </c>
      <c r="C11" s="2" t="str">
        <f>INDEX(calc_lines!$O$2:$O$967,MATCH($A11,calc_lines!$A$2:$A$967,0))</f>
        <v>模拟_青禾小学食堂</v>
      </c>
      <c r="D11" s="3">
        <f>INDEX(calc_lines!$D$2:$D$967,MATCH($A11,calc_lines!$A$2:$A$967,0))</f>
        <v>46267</v>
      </c>
      <c r="E11" s="2">
        <f>COUNTIF(calc_lines!$A$2:$A$967,$A11)</f>
        <v>6</v>
      </c>
      <c r="F11" s="2">
        <f>COUNTIFS(calc_lines!$A$2:$A$967,$A11,calc_lines!$W$2:$W$967,"阻断")</f>
        <v>0</v>
      </c>
      <c r="G11" s="6">
        <f>IF($F11&gt;0,"",ROUND(SUMIF(calc_lines!$A$2:$A$967,$A11,calc_lines!$R$2:$R$967),2))</f>
        <v>253.19</v>
      </c>
      <c r="H11" s="6">
        <f>IF($F11&gt;0,"",ROUND(SUMIFS(fact_payments!$D$2:$D$101,fact_payments!$B$2:$B$101,$A11,fact_payments!$C$2:$C$101,"&lt;="&amp;checklist!$B$4),2))</f>
        <v>253.19</v>
      </c>
      <c r="I11" s="6">
        <f t="shared" si="0"/>
        <v>0</v>
      </c>
      <c r="J11" s="2" t="str">
        <f t="shared" si="1"/>
        <v>已结清</v>
      </c>
    </row>
    <row r="12" spans="1:10" ht="15">
      <c r="A12" s="2" t="s">
        <v>48</v>
      </c>
      <c r="B12" s="2" t="str">
        <f>INDEX(calc_lines!$C$2:$C$967,MATCH($A12,calc_lines!$A$2:$A$967,0))</f>
        <v>C006</v>
      </c>
      <c r="C12" s="2" t="str">
        <f>INDEX(calc_lines!$O$2:$O$967,MATCH($A12,calc_lines!$A$2:$A$967,0))</f>
        <v>模拟_溪桥医院食堂</v>
      </c>
      <c r="D12" s="3">
        <f>INDEX(calc_lines!$D$2:$D$967,MATCH($A12,calc_lines!$A$2:$A$967,0))</f>
        <v>46267</v>
      </c>
      <c r="E12" s="2">
        <f>COUNTIF(calc_lines!$A$2:$A$967,$A12)</f>
        <v>6</v>
      </c>
      <c r="F12" s="2">
        <f>COUNTIFS(calc_lines!$A$2:$A$967,$A12,calc_lines!$W$2:$W$967,"阻断")</f>
        <v>0</v>
      </c>
      <c r="G12" s="6">
        <f>IF($F12&gt;0,"",ROUND(SUMIF(calc_lines!$A$2:$A$967,$A12,calc_lines!$R$2:$R$967),2))</f>
        <v>221.72</v>
      </c>
      <c r="H12" s="6">
        <f>IF($F12&gt;0,"",ROUND(SUMIFS(fact_payments!$D$2:$D$101,fact_payments!$B$2:$B$101,$A12,fact_payments!$C$2:$C$101,"&lt;="&amp;checklist!$B$4),2))</f>
        <v>221.72</v>
      </c>
      <c r="I12" s="6">
        <f t="shared" si="0"/>
        <v>0</v>
      </c>
      <c r="J12" s="2" t="str">
        <f t="shared" si="1"/>
        <v>已结清</v>
      </c>
    </row>
    <row r="13" spans="1:10" ht="15">
      <c r="A13" s="2" t="s">
        <v>49</v>
      </c>
      <c r="B13" s="2" t="str">
        <f>INDEX(calc_lines!$C$2:$C$967,MATCH($A13,calc_lines!$A$2:$A$967,0))</f>
        <v>C001</v>
      </c>
      <c r="C13" s="2" t="str">
        <f>INDEX(calc_lines!$O$2:$O$967,MATCH($A13,calc_lines!$A$2:$A$967,0))</f>
        <v>模拟_榕树下粉面店</v>
      </c>
      <c r="D13" s="3">
        <f>INDEX(calc_lines!$D$2:$D$967,MATCH($A13,calc_lines!$A$2:$A$967,0))</f>
        <v>46268</v>
      </c>
      <c r="E13" s="2">
        <f>COUNTIF(calc_lines!$A$2:$A$967,$A13)</f>
        <v>5</v>
      </c>
      <c r="F13" s="2">
        <f>COUNTIFS(calc_lines!$A$2:$A$967,$A13,calc_lines!$W$2:$W$967,"阻断")</f>
        <v>0</v>
      </c>
      <c r="G13" s="6">
        <f>IF($F13&gt;0,"",ROUND(SUMIF(calc_lines!$A$2:$A$967,$A13,calc_lines!$R$2:$R$967),2))</f>
        <v>77.64</v>
      </c>
      <c r="H13" s="6">
        <f>IF($F13&gt;0,"",ROUND(SUMIFS(fact_payments!$D$2:$D$101,fact_payments!$B$2:$B$101,$A13,fact_payments!$C$2:$C$101,"&lt;="&amp;checklist!$B$4),2))</f>
        <v>77.64</v>
      </c>
      <c r="I13" s="6">
        <f t="shared" si="0"/>
        <v>0</v>
      </c>
      <c r="J13" s="2" t="str">
        <f t="shared" si="1"/>
        <v>已结清</v>
      </c>
    </row>
    <row r="14" spans="1:10" ht="15">
      <c r="A14" s="2" t="s">
        <v>50</v>
      </c>
      <c r="B14" s="2" t="str">
        <f>INDEX(calc_lines!$C$2:$C$967,MATCH($A14,calc_lines!$A$2:$A$967,0))</f>
        <v>C002</v>
      </c>
      <c r="C14" s="2" t="str">
        <f>INDEX(calc_lines!$O$2:$O$967,MATCH($A14,calc_lines!$A$2:$A$967,0))</f>
        <v>模拟_桥头家常菜馆</v>
      </c>
      <c r="D14" s="3">
        <f>INDEX(calc_lines!$D$2:$D$967,MATCH($A14,calc_lines!$A$2:$A$967,0))</f>
        <v>46268</v>
      </c>
      <c r="E14" s="2">
        <f>COUNTIF(calc_lines!$A$2:$A$967,$A14)</f>
        <v>6</v>
      </c>
      <c r="F14" s="2">
        <f>COUNTIFS(calc_lines!$A$2:$A$967,$A14,calc_lines!$W$2:$W$967,"阻断")</f>
        <v>0</v>
      </c>
      <c r="G14" s="6">
        <f>IF($F14&gt;0,"",ROUND(SUMIF(calc_lines!$A$2:$A$967,$A14,calc_lines!$R$2:$R$967),2))</f>
        <v>138</v>
      </c>
      <c r="H14" s="6">
        <f>IF($F14&gt;0,"",ROUND(SUMIFS(fact_payments!$D$2:$D$101,fact_payments!$B$2:$B$101,$A14,fact_payments!$C$2:$C$101,"&lt;="&amp;checklist!$B$4),2))</f>
        <v>138</v>
      </c>
      <c r="I14" s="6">
        <f t="shared" si="0"/>
        <v>0</v>
      </c>
      <c r="J14" s="2" t="str">
        <f t="shared" si="1"/>
        <v>已结清</v>
      </c>
    </row>
    <row r="15" spans="1:10" ht="15">
      <c r="A15" s="2" t="s">
        <v>51</v>
      </c>
      <c r="B15" s="2" t="str">
        <f>INDEX(calc_lines!$C$2:$C$967,MATCH($A15,calc_lines!$A$2:$A$967,0))</f>
        <v>C003</v>
      </c>
      <c r="C15" s="2" t="str">
        <f>INDEX(calc_lines!$O$2:$O$967,MATCH($A15,calc_lines!$A$2:$A$967,0))</f>
        <v>模拟_兴街快餐店</v>
      </c>
      <c r="D15" s="3">
        <f>INDEX(calc_lines!$D$2:$D$967,MATCH($A15,calc_lines!$A$2:$A$967,0))</f>
        <v>46268</v>
      </c>
      <c r="E15" s="2">
        <f>COUNTIF(calc_lines!$A$2:$A$967,$A15)</f>
        <v>7</v>
      </c>
      <c r="F15" s="2">
        <f>COUNTIFS(calc_lines!$A$2:$A$967,$A15,calc_lines!$W$2:$W$967,"阻断")</f>
        <v>0</v>
      </c>
      <c r="G15" s="6">
        <f>IF($F15&gt;0,"",ROUND(SUMIF(calc_lines!$A$2:$A$967,$A15,calc_lines!$R$2:$R$967),2))</f>
        <v>222.33</v>
      </c>
      <c r="H15" s="6">
        <f>IF($F15&gt;0,"",ROUND(SUMIFS(fact_payments!$D$2:$D$101,fact_payments!$B$2:$B$101,$A15,fact_payments!$C$2:$C$101,"&lt;="&amp;checklist!$B$4),2))</f>
        <v>222.33</v>
      </c>
      <c r="I15" s="6">
        <f t="shared" si="0"/>
        <v>0</v>
      </c>
      <c r="J15" s="2" t="str">
        <f t="shared" si="1"/>
        <v>已结清</v>
      </c>
    </row>
    <row r="16" spans="1:10" ht="15">
      <c r="A16" s="2" t="s">
        <v>52</v>
      </c>
      <c r="B16" s="2" t="str">
        <f>INDEX(calc_lines!$C$2:$C$967,MATCH($A16,calc_lines!$A$2:$A$967,0))</f>
        <v>C004</v>
      </c>
      <c r="C16" s="2" t="str">
        <f>INDEX(calc_lines!$O$2:$O$967,MATCH($A16,calc_lines!$A$2:$A$967,0))</f>
        <v>模拟_田畔饭店</v>
      </c>
      <c r="D16" s="3">
        <f>INDEX(calc_lines!$D$2:$D$967,MATCH($A16,calc_lines!$A$2:$A$967,0))</f>
        <v>46268</v>
      </c>
      <c r="E16" s="2">
        <f>COUNTIF(calc_lines!$A$2:$A$967,$A16)</f>
        <v>6</v>
      </c>
      <c r="F16" s="2">
        <f>COUNTIFS(calc_lines!$A$2:$A$967,$A16,calc_lines!$W$2:$W$967,"阻断")</f>
        <v>0</v>
      </c>
      <c r="G16" s="6">
        <f>IF($F16&gt;0,"",ROUND(SUMIF(calc_lines!$A$2:$A$967,$A16,calc_lines!$R$2:$R$967),2))</f>
        <v>191.89</v>
      </c>
      <c r="H16" s="6">
        <f>IF($F16&gt;0,"",ROUND(SUMIFS(fact_payments!$D$2:$D$101,fact_payments!$B$2:$B$101,$A16,fact_payments!$C$2:$C$101,"&lt;="&amp;checklist!$B$4),2))</f>
        <v>191.89</v>
      </c>
      <c r="I16" s="6">
        <f t="shared" si="0"/>
        <v>0</v>
      </c>
      <c r="J16" s="2" t="str">
        <f t="shared" si="1"/>
        <v>已结清</v>
      </c>
    </row>
    <row r="17" spans="1:10" ht="15">
      <c r="A17" s="2" t="s">
        <v>53</v>
      </c>
      <c r="B17" s="2" t="str">
        <f>INDEX(calc_lines!$C$2:$C$967,MATCH($A17,calc_lines!$A$2:$A$967,0))</f>
        <v>C005</v>
      </c>
      <c r="C17" s="2" t="str">
        <f>INDEX(calc_lines!$O$2:$O$967,MATCH($A17,calc_lines!$A$2:$A$967,0))</f>
        <v>模拟_青禾小学食堂</v>
      </c>
      <c r="D17" s="3">
        <f>INDEX(calc_lines!$D$2:$D$967,MATCH($A17,calc_lines!$A$2:$A$967,0))</f>
        <v>46268</v>
      </c>
      <c r="E17" s="2">
        <f>COUNTIF(calc_lines!$A$2:$A$967,$A17)</f>
        <v>7</v>
      </c>
      <c r="F17" s="2">
        <f>COUNTIFS(calc_lines!$A$2:$A$967,$A17,calc_lines!$W$2:$W$967,"阻断")</f>
        <v>0</v>
      </c>
      <c r="G17" s="6">
        <f>IF($F17&gt;0,"",ROUND(SUMIF(calc_lines!$A$2:$A$967,$A17,calc_lines!$R$2:$R$967),2))</f>
        <v>375.73</v>
      </c>
      <c r="H17" s="6">
        <f>IF($F17&gt;0,"",ROUND(SUMIFS(fact_payments!$D$2:$D$101,fact_payments!$B$2:$B$101,$A17,fact_payments!$C$2:$C$101,"&lt;="&amp;checklist!$B$4),2))</f>
        <v>375.73</v>
      </c>
      <c r="I17" s="6">
        <f t="shared" si="0"/>
        <v>0</v>
      </c>
      <c r="J17" s="2" t="str">
        <f t="shared" si="1"/>
        <v>已结清</v>
      </c>
    </row>
    <row r="18" spans="1:10" ht="15">
      <c r="A18" s="2" t="s">
        <v>54</v>
      </c>
      <c r="B18" s="2" t="str">
        <f>INDEX(calc_lines!$C$2:$C$967,MATCH($A18,calc_lines!$A$2:$A$967,0))</f>
        <v>C006</v>
      </c>
      <c r="C18" s="2" t="str">
        <f>INDEX(calc_lines!$O$2:$O$967,MATCH($A18,calc_lines!$A$2:$A$967,0))</f>
        <v>模拟_溪桥医院食堂</v>
      </c>
      <c r="D18" s="3">
        <f>INDEX(calc_lines!$D$2:$D$967,MATCH($A18,calc_lines!$A$2:$A$967,0))</f>
        <v>46268</v>
      </c>
      <c r="E18" s="2">
        <f>COUNTIF(calc_lines!$A$2:$A$967,$A18)</f>
        <v>7</v>
      </c>
      <c r="F18" s="2">
        <f>COUNTIFS(calc_lines!$A$2:$A$967,$A18,calc_lines!$W$2:$W$967,"阻断")</f>
        <v>0</v>
      </c>
      <c r="G18" s="6">
        <f>IF($F18&gt;0,"",ROUND(SUMIF(calc_lines!$A$2:$A$967,$A18,calc_lines!$R$2:$R$967),2))</f>
        <v>253.56</v>
      </c>
      <c r="H18" s="6">
        <f>IF($F18&gt;0,"",ROUND(SUMIFS(fact_payments!$D$2:$D$101,fact_payments!$B$2:$B$101,$A18,fact_payments!$C$2:$C$101,"&lt;="&amp;checklist!$B$4),2))</f>
        <v>253.56</v>
      </c>
      <c r="I18" s="6">
        <f t="shared" si="0"/>
        <v>0</v>
      </c>
      <c r="J18" s="2" t="str">
        <f t="shared" si="1"/>
        <v>已结清</v>
      </c>
    </row>
    <row r="19" spans="1:10" ht="15">
      <c r="A19" s="2" t="s">
        <v>55</v>
      </c>
      <c r="B19" s="2" t="str">
        <f>INDEX(calc_lines!$C$2:$C$967,MATCH($A19,calc_lines!$A$2:$A$967,0))</f>
        <v>C001</v>
      </c>
      <c r="C19" s="2" t="str">
        <f>INDEX(calc_lines!$O$2:$O$967,MATCH($A19,calc_lines!$A$2:$A$967,0))</f>
        <v>模拟_榕树下粉面店</v>
      </c>
      <c r="D19" s="3">
        <f>INDEX(calc_lines!$D$2:$D$967,MATCH($A19,calc_lines!$A$2:$A$967,0))</f>
        <v>46269</v>
      </c>
      <c r="E19" s="2">
        <f>COUNTIF(calc_lines!$A$2:$A$967,$A19)</f>
        <v>5</v>
      </c>
      <c r="F19" s="2">
        <f>COUNTIFS(calc_lines!$A$2:$A$967,$A19,calc_lines!$W$2:$W$967,"阻断")</f>
        <v>0</v>
      </c>
      <c r="G19" s="6">
        <f>IF($F19&gt;0,"",ROUND(SUMIF(calc_lines!$A$2:$A$967,$A19,calc_lines!$R$2:$R$967),2))</f>
        <v>52.82</v>
      </c>
      <c r="H19" s="6">
        <f>IF($F19&gt;0,"",ROUND(SUMIFS(fact_payments!$D$2:$D$101,fact_payments!$B$2:$B$101,$A19,fact_payments!$C$2:$C$101,"&lt;="&amp;checklist!$B$4),2))</f>
        <v>52.82</v>
      </c>
      <c r="I19" s="6">
        <f t="shared" si="0"/>
        <v>0</v>
      </c>
      <c r="J19" s="2" t="str">
        <f t="shared" si="1"/>
        <v>已结清</v>
      </c>
    </row>
    <row r="20" spans="1:10" ht="15">
      <c r="A20" s="2" t="s">
        <v>56</v>
      </c>
      <c r="B20" s="2" t="str">
        <f>INDEX(calc_lines!$C$2:$C$967,MATCH($A20,calc_lines!$A$2:$A$967,0))</f>
        <v>C002</v>
      </c>
      <c r="C20" s="2" t="str">
        <f>INDEX(calc_lines!$O$2:$O$967,MATCH($A20,calc_lines!$A$2:$A$967,0))</f>
        <v>模拟_桥头家常菜馆</v>
      </c>
      <c r="D20" s="3">
        <f>INDEX(calc_lines!$D$2:$D$967,MATCH($A20,calc_lines!$A$2:$A$967,0))</f>
        <v>46269</v>
      </c>
      <c r="E20" s="2">
        <f>COUNTIF(calc_lines!$A$2:$A$967,$A20)</f>
        <v>6</v>
      </c>
      <c r="F20" s="2">
        <f>COUNTIFS(calc_lines!$A$2:$A$967,$A20,calc_lines!$W$2:$W$967,"阻断")</f>
        <v>0</v>
      </c>
      <c r="G20" s="6">
        <f>IF($F20&gt;0,"",ROUND(SUMIF(calc_lines!$A$2:$A$967,$A20,calc_lines!$R$2:$R$967),2))</f>
        <v>155.78</v>
      </c>
      <c r="H20" s="6">
        <f>IF($F20&gt;0,"",ROUND(SUMIFS(fact_payments!$D$2:$D$101,fact_payments!$B$2:$B$101,$A20,fact_payments!$C$2:$C$101,"&lt;="&amp;checklist!$B$4),2))</f>
        <v>155.78</v>
      </c>
      <c r="I20" s="6">
        <f t="shared" si="0"/>
        <v>0</v>
      </c>
      <c r="J20" s="2" t="str">
        <f t="shared" si="1"/>
        <v>已结清</v>
      </c>
    </row>
    <row r="21" spans="1:10" ht="15">
      <c r="A21" s="2" t="s">
        <v>57</v>
      </c>
      <c r="B21" s="2" t="str">
        <f>INDEX(calc_lines!$C$2:$C$967,MATCH($A21,calc_lines!$A$2:$A$967,0))</f>
        <v>C003</v>
      </c>
      <c r="C21" s="2" t="str">
        <f>INDEX(calc_lines!$O$2:$O$967,MATCH($A21,calc_lines!$A$2:$A$967,0))</f>
        <v>模拟_兴街快餐店</v>
      </c>
      <c r="D21" s="3">
        <f>INDEX(calc_lines!$D$2:$D$967,MATCH($A21,calc_lines!$A$2:$A$967,0))</f>
        <v>46269</v>
      </c>
      <c r="E21" s="2">
        <f>COUNTIF(calc_lines!$A$2:$A$967,$A21)</f>
        <v>7</v>
      </c>
      <c r="F21" s="2">
        <f>COUNTIFS(calc_lines!$A$2:$A$967,$A21,calc_lines!$W$2:$W$967,"阻断")</f>
        <v>0</v>
      </c>
      <c r="G21" s="6">
        <f>IF($F21&gt;0,"",ROUND(SUMIF(calc_lines!$A$2:$A$967,$A21,calc_lines!$R$2:$R$967),2))</f>
        <v>204.38</v>
      </c>
      <c r="H21" s="6">
        <f>IF($F21&gt;0,"",ROUND(SUMIFS(fact_payments!$D$2:$D$101,fact_payments!$B$2:$B$101,$A21,fact_payments!$C$2:$C$101,"&lt;="&amp;checklist!$B$4),2))</f>
        <v>204.38</v>
      </c>
      <c r="I21" s="6">
        <f t="shared" si="0"/>
        <v>0</v>
      </c>
      <c r="J21" s="2" t="str">
        <f t="shared" si="1"/>
        <v>已结清</v>
      </c>
    </row>
    <row r="22" spans="1:10" ht="15">
      <c r="A22" s="2" t="s">
        <v>58</v>
      </c>
      <c r="B22" s="2" t="str">
        <f>INDEX(calc_lines!$C$2:$C$967,MATCH($A22,calc_lines!$A$2:$A$967,0))</f>
        <v>C005</v>
      </c>
      <c r="C22" s="2" t="str">
        <f>INDEX(calc_lines!$O$2:$O$967,MATCH($A22,calc_lines!$A$2:$A$967,0))</f>
        <v>模拟_青禾小学食堂</v>
      </c>
      <c r="D22" s="3">
        <f>INDEX(calc_lines!$D$2:$D$967,MATCH($A22,calc_lines!$A$2:$A$967,0))</f>
        <v>46269</v>
      </c>
      <c r="E22" s="2">
        <f>COUNTIF(calc_lines!$A$2:$A$967,$A22)</f>
        <v>7</v>
      </c>
      <c r="F22" s="2">
        <f>COUNTIFS(calc_lines!$A$2:$A$967,$A22,calc_lines!$W$2:$W$967,"阻断")</f>
        <v>0</v>
      </c>
      <c r="G22" s="6">
        <f>IF($F22&gt;0,"",ROUND(SUMIF(calc_lines!$A$2:$A$967,$A22,calc_lines!$R$2:$R$967),2))</f>
        <v>269.26</v>
      </c>
      <c r="H22" s="6">
        <f>IF($F22&gt;0,"",ROUND(SUMIFS(fact_payments!$D$2:$D$101,fact_payments!$B$2:$B$101,$A22,fact_payments!$C$2:$C$101,"&lt;="&amp;checklist!$B$4),2))</f>
        <v>269.26</v>
      </c>
      <c r="I22" s="6">
        <f t="shared" si="0"/>
        <v>0</v>
      </c>
      <c r="J22" s="2" t="str">
        <f t="shared" si="1"/>
        <v>已结清</v>
      </c>
    </row>
    <row r="23" spans="1:10" ht="15">
      <c r="A23" s="2" t="s">
        <v>59</v>
      </c>
      <c r="B23" s="2" t="str">
        <f>INDEX(calc_lines!$C$2:$C$967,MATCH($A23,calc_lines!$A$2:$A$967,0))</f>
        <v>C006</v>
      </c>
      <c r="C23" s="2" t="str">
        <f>INDEX(calc_lines!$O$2:$O$967,MATCH($A23,calc_lines!$A$2:$A$967,0))</f>
        <v>模拟_溪桥医院食堂</v>
      </c>
      <c r="D23" s="3">
        <f>INDEX(calc_lines!$D$2:$D$967,MATCH($A23,calc_lines!$A$2:$A$967,0))</f>
        <v>46269</v>
      </c>
      <c r="E23" s="2">
        <f>COUNTIF(calc_lines!$A$2:$A$967,$A23)</f>
        <v>7</v>
      </c>
      <c r="F23" s="2">
        <f>COUNTIFS(calc_lines!$A$2:$A$967,$A23,calc_lines!$W$2:$W$967,"阻断")</f>
        <v>0</v>
      </c>
      <c r="G23" s="6">
        <f>IF($F23&gt;0,"",ROUND(SUMIF(calc_lines!$A$2:$A$967,$A23,calc_lines!$R$2:$R$967),2))</f>
        <v>172.99</v>
      </c>
      <c r="H23" s="6">
        <f>IF($F23&gt;0,"",ROUND(SUMIFS(fact_payments!$D$2:$D$101,fact_payments!$B$2:$B$101,$A23,fact_payments!$C$2:$C$101,"&lt;="&amp;checklist!$B$4),2))</f>
        <v>172.99</v>
      </c>
      <c r="I23" s="6">
        <f t="shared" si="0"/>
        <v>0</v>
      </c>
      <c r="J23" s="2" t="str">
        <f t="shared" si="1"/>
        <v>已结清</v>
      </c>
    </row>
    <row r="24" spans="1:10" ht="15">
      <c r="A24" s="2" t="s">
        <v>60</v>
      </c>
      <c r="B24" s="2" t="str">
        <f>INDEX(calc_lines!$C$2:$C$967,MATCH($A24,calc_lines!$A$2:$A$967,0))</f>
        <v>C001</v>
      </c>
      <c r="C24" s="2" t="str">
        <f>INDEX(calc_lines!$O$2:$O$967,MATCH($A24,calc_lines!$A$2:$A$967,0))</f>
        <v>模拟_榕树下粉面店</v>
      </c>
      <c r="D24" s="3">
        <f>INDEX(calc_lines!$D$2:$D$967,MATCH($A24,calc_lines!$A$2:$A$967,0))</f>
        <v>46270</v>
      </c>
      <c r="E24" s="2">
        <f>COUNTIF(calc_lines!$A$2:$A$967,$A24)</f>
        <v>5</v>
      </c>
      <c r="F24" s="2">
        <f>COUNTIFS(calc_lines!$A$2:$A$967,$A24,calc_lines!$W$2:$W$967,"阻断")</f>
        <v>0</v>
      </c>
      <c r="G24" s="6">
        <f>IF($F24&gt;0,"",ROUND(SUMIF(calc_lines!$A$2:$A$967,$A24,calc_lines!$R$2:$R$967),2))</f>
        <v>82.25</v>
      </c>
      <c r="H24" s="6">
        <f>IF($F24&gt;0,"",ROUND(SUMIFS(fact_payments!$D$2:$D$101,fact_payments!$B$2:$B$101,$A24,fact_payments!$C$2:$C$101,"&lt;="&amp;checklist!$B$4),2))</f>
        <v>82.25</v>
      </c>
      <c r="I24" s="6">
        <f t="shared" si="0"/>
        <v>0</v>
      </c>
      <c r="J24" s="2" t="str">
        <f t="shared" si="1"/>
        <v>已结清</v>
      </c>
    </row>
    <row r="25" spans="1:10" ht="15">
      <c r="A25" s="2" t="s">
        <v>61</v>
      </c>
      <c r="B25" s="2" t="str">
        <f>INDEX(calc_lines!$C$2:$C$967,MATCH($A25,calc_lines!$A$2:$A$967,0))</f>
        <v>C002</v>
      </c>
      <c r="C25" s="2" t="str">
        <f>INDEX(calc_lines!$O$2:$O$967,MATCH($A25,calc_lines!$A$2:$A$967,0))</f>
        <v>模拟_桥头家常菜馆</v>
      </c>
      <c r="D25" s="3">
        <f>INDEX(calc_lines!$D$2:$D$967,MATCH($A25,calc_lines!$A$2:$A$967,0))</f>
        <v>46270</v>
      </c>
      <c r="E25" s="2">
        <f>COUNTIF(calc_lines!$A$2:$A$967,$A25)</f>
        <v>6</v>
      </c>
      <c r="F25" s="2">
        <f>COUNTIFS(calc_lines!$A$2:$A$967,$A25,calc_lines!$W$2:$W$967,"阻断")</f>
        <v>0</v>
      </c>
      <c r="G25" s="6">
        <f>IF($F25&gt;0,"",ROUND(SUMIF(calc_lines!$A$2:$A$967,$A25,calc_lines!$R$2:$R$967),2))</f>
        <v>225.21</v>
      </c>
      <c r="H25" s="6">
        <f>IF($F25&gt;0,"",ROUND(SUMIFS(fact_payments!$D$2:$D$101,fact_payments!$B$2:$B$101,$A25,fact_payments!$C$2:$C$101,"&lt;="&amp;checklist!$B$4),2))</f>
        <v>225.21</v>
      </c>
      <c r="I25" s="6">
        <f t="shared" si="0"/>
        <v>0</v>
      </c>
      <c r="J25" s="2" t="str">
        <f t="shared" si="1"/>
        <v>已结清</v>
      </c>
    </row>
    <row r="26" spans="1:10" ht="15">
      <c r="A26" s="2" t="s">
        <v>62</v>
      </c>
      <c r="B26" s="2" t="str">
        <f>INDEX(calc_lines!$C$2:$C$967,MATCH($A26,calc_lines!$A$2:$A$967,0))</f>
        <v>C003</v>
      </c>
      <c r="C26" s="2" t="str">
        <f>INDEX(calc_lines!$O$2:$O$967,MATCH($A26,calc_lines!$A$2:$A$967,0))</f>
        <v>模拟_兴街快餐店</v>
      </c>
      <c r="D26" s="3">
        <f>INDEX(calc_lines!$D$2:$D$967,MATCH($A26,calc_lines!$A$2:$A$967,0))</f>
        <v>46270</v>
      </c>
      <c r="E26" s="2">
        <f>COUNTIF(calc_lines!$A$2:$A$967,$A26)</f>
        <v>7</v>
      </c>
      <c r="F26" s="2">
        <f>COUNTIFS(calc_lines!$A$2:$A$967,$A26,calc_lines!$W$2:$W$967,"阻断")</f>
        <v>0</v>
      </c>
      <c r="G26" s="6">
        <f>IF($F26&gt;0,"",ROUND(SUMIF(calc_lines!$A$2:$A$967,$A26,calc_lines!$R$2:$R$967),2))</f>
        <v>201.52</v>
      </c>
      <c r="H26" s="6">
        <f>IF($F26&gt;0,"",ROUND(SUMIFS(fact_payments!$D$2:$D$101,fact_payments!$B$2:$B$101,$A26,fact_payments!$C$2:$C$101,"&lt;="&amp;checklist!$B$4),2))</f>
        <v>201.52</v>
      </c>
      <c r="I26" s="6">
        <f t="shared" si="0"/>
        <v>0</v>
      </c>
      <c r="J26" s="2" t="str">
        <f t="shared" si="1"/>
        <v>已结清</v>
      </c>
    </row>
    <row r="27" spans="1:10" ht="15">
      <c r="A27" s="2" t="s">
        <v>63</v>
      </c>
      <c r="B27" s="2" t="str">
        <f>INDEX(calc_lines!$C$2:$C$967,MATCH($A27,calc_lines!$A$2:$A$967,0))</f>
        <v>C004</v>
      </c>
      <c r="C27" s="2" t="str">
        <f>INDEX(calc_lines!$O$2:$O$967,MATCH($A27,calc_lines!$A$2:$A$967,0))</f>
        <v>模拟_田畔饭店</v>
      </c>
      <c r="D27" s="3">
        <f>INDEX(calc_lines!$D$2:$D$967,MATCH($A27,calc_lines!$A$2:$A$967,0))</f>
        <v>46270</v>
      </c>
      <c r="E27" s="2">
        <f>COUNTIF(calc_lines!$A$2:$A$967,$A27)</f>
        <v>7</v>
      </c>
      <c r="F27" s="2">
        <f>COUNTIFS(calc_lines!$A$2:$A$967,$A27,calc_lines!$W$2:$W$967,"阻断")</f>
        <v>0</v>
      </c>
      <c r="G27" s="6">
        <f>IF($F27&gt;0,"",ROUND(SUMIF(calc_lines!$A$2:$A$967,$A27,calc_lines!$R$2:$R$967),2))</f>
        <v>240.03</v>
      </c>
      <c r="H27" s="6">
        <f>IF($F27&gt;0,"",ROUND(SUMIFS(fact_payments!$D$2:$D$101,fact_payments!$B$2:$B$101,$A27,fact_payments!$C$2:$C$101,"&lt;="&amp;checklist!$B$4),2))</f>
        <v>240.03</v>
      </c>
      <c r="I27" s="6">
        <f t="shared" si="0"/>
        <v>0</v>
      </c>
      <c r="J27" s="2" t="str">
        <f t="shared" si="1"/>
        <v>已结清</v>
      </c>
    </row>
    <row r="28" spans="1:10" ht="15">
      <c r="A28" s="2" t="s">
        <v>64</v>
      </c>
      <c r="B28" s="2" t="str">
        <f>INDEX(calc_lines!$C$2:$C$967,MATCH($A28,calc_lines!$A$2:$A$967,0))</f>
        <v>C006</v>
      </c>
      <c r="C28" s="2" t="str">
        <f>INDEX(calc_lines!$O$2:$O$967,MATCH($A28,calc_lines!$A$2:$A$967,0))</f>
        <v>模拟_溪桥医院食堂</v>
      </c>
      <c r="D28" s="3">
        <f>INDEX(calc_lines!$D$2:$D$967,MATCH($A28,calc_lines!$A$2:$A$967,0))</f>
        <v>46270</v>
      </c>
      <c r="E28" s="2">
        <f>COUNTIF(calc_lines!$A$2:$A$967,$A28)</f>
        <v>7</v>
      </c>
      <c r="F28" s="2">
        <f>COUNTIFS(calc_lines!$A$2:$A$967,$A28,calc_lines!$W$2:$W$967,"阻断")</f>
        <v>0</v>
      </c>
      <c r="G28" s="6">
        <f>IF($F28&gt;0,"",ROUND(SUMIF(calc_lines!$A$2:$A$967,$A28,calc_lines!$R$2:$R$967),2))</f>
        <v>278.62</v>
      </c>
      <c r="H28" s="6">
        <f>IF($F28&gt;0,"",ROUND(SUMIFS(fact_payments!$D$2:$D$101,fact_payments!$B$2:$B$101,$A28,fact_payments!$C$2:$C$101,"&lt;="&amp;checklist!$B$4),2))</f>
        <v>278.62</v>
      </c>
      <c r="I28" s="6">
        <f t="shared" si="0"/>
        <v>0</v>
      </c>
      <c r="J28" s="2" t="str">
        <f t="shared" si="1"/>
        <v>已结清</v>
      </c>
    </row>
    <row r="29" spans="1:10" ht="15">
      <c r="A29" s="2" t="s">
        <v>65</v>
      </c>
      <c r="B29" s="2" t="str">
        <f>INDEX(calc_lines!$C$2:$C$967,MATCH($A29,calc_lines!$A$2:$A$967,0))</f>
        <v>C002</v>
      </c>
      <c r="C29" s="2" t="str">
        <f>INDEX(calc_lines!$O$2:$O$967,MATCH($A29,calc_lines!$A$2:$A$967,0))</f>
        <v>模拟_桥头家常菜馆</v>
      </c>
      <c r="D29" s="3">
        <f>INDEX(calc_lines!$D$2:$D$967,MATCH($A29,calc_lines!$A$2:$A$967,0))</f>
        <v>46271</v>
      </c>
      <c r="E29" s="2">
        <f>COUNTIF(calc_lines!$A$2:$A$967,$A29)</f>
        <v>7</v>
      </c>
      <c r="F29" s="2">
        <f>COUNTIFS(calc_lines!$A$2:$A$967,$A29,calc_lines!$W$2:$W$967,"阻断")</f>
        <v>0</v>
      </c>
      <c r="G29" s="6">
        <f>IF($F29&gt;0,"",ROUND(SUMIF(calc_lines!$A$2:$A$967,$A29,calc_lines!$R$2:$R$967),2))</f>
        <v>575.48</v>
      </c>
      <c r="H29" s="6">
        <f>IF($F29&gt;0,"",ROUND(SUMIFS(fact_payments!$D$2:$D$101,fact_payments!$B$2:$B$101,$A29,fact_payments!$C$2:$C$101,"&lt;="&amp;checklist!$B$4),2))</f>
        <v>575.48</v>
      </c>
      <c r="I29" s="6">
        <f t="shared" si="0"/>
        <v>0</v>
      </c>
      <c r="J29" s="2" t="str">
        <f t="shared" si="1"/>
        <v>已结清</v>
      </c>
    </row>
    <row r="30" spans="1:10" ht="15">
      <c r="A30" s="2" t="s">
        <v>66</v>
      </c>
      <c r="B30" s="2" t="str">
        <f>INDEX(calc_lines!$C$2:$C$967,MATCH($A30,calc_lines!$A$2:$A$967,0))</f>
        <v>C006</v>
      </c>
      <c r="C30" s="2" t="str">
        <f>INDEX(calc_lines!$O$2:$O$967,MATCH($A30,calc_lines!$A$2:$A$967,0))</f>
        <v>模拟_溪桥医院食堂</v>
      </c>
      <c r="D30" s="3">
        <f>INDEX(calc_lines!$D$2:$D$967,MATCH($A30,calc_lines!$A$2:$A$967,0))</f>
        <v>46271</v>
      </c>
      <c r="E30" s="2">
        <f>COUNTIF(calc_lines!$A$2:$A$967,$A30)</f>
        <v>8</v>
      </c>
      <c r="F30" s="2">
        <f>COUNTIFS(calc_lines!$A$2:$A$967,$A30,calc_lines!$W$2:$W$967,"阻断")</f>
        <v>0</v>
      </c>
      <c r="G30" s="6">
        <f>IF($F30&gt;0,"",ROUND(SUMIF(calc_lines!$A$2:$A$967,$A30,calc_lines!$R$2:$R$967),2))</f>
        <v>780.85</v>
      </c>
      <c r="H30" s="6">
        <f>IF($F30&gt;0,"",ROUND(SUMIFS(fact_payments!$D$2:$D$101,fact_payments!$B$2:$B$101,$A30,fact_payments!$C$2:$C$101,"&lt;="&amp;checklist!$B$4),2))</f>
        <v>780.85</v>
      </c>
      <c r="I30" s="6">
        <f t="shared" si="0"/>
        <v>0</v>
      </c>
      <c r="J30" s="2" t="str">
        <f t="shared" si="1"/>
        <v>已结清</v>
      </c>
    </row>
    <row r="31" spans="1:10" ht="15">
      <c r="A31" s="2" t="s">
        <v>67</v>
      </c>
      <c r="B31" s="2" t="str">
        <f>INDEX(calc_lines!$C$2:$C$967,MATCH($A31,calc_lines!$A$2:$A$967,0))</f>
        <v>C001</v>
      </c>
      <c r="C31" s="2" t="str">
        <f>INDEX(calc_lines!$O$2:$O$967,MATCH($A31,calc_lines!$A$2:$A$967,0))</f>
        <v>模拟_榕树下粉面店</v>
      </c>
      <c r="D31" s="3">
        <f>INDEX(calc_lines!$D$2:$D$967,MATCH($A31,calc_lines!$A$2:$A$967,0))</f>
        <v>46272</v>
      </c>
      <c r="E31" s="2">
        <f>COUNTIF(calc_lines!$A$2:$A$967,$A31)</f>
        <v>6</v>
      </c>
      <c r="F31" s="2">
        <f>COUNTIFS(calc_lines!$A$2:$A$967,$A31,calc_lines!$W$2:$W$967,"阻断")</f>
        <v>0</v>
      </c>
      <c r="G31" s="6">
        <f>IF($F31&gt;0,"",ROUND(SUMIF(calc_lines!$A$2:$A$967,$A31,calc_lines!$R$2:$R$967),2))</f>
        <v>230.64</v>
      </c>
      <c r="H31" s="6">
        <f>IF($F31&gt;0,"",ROUND(SUMIFS(fact_payments!$D$2:$D$101,fact_payments!$B$2:$B$101,$A31,fact_payments!$C$2:$C$101,"&lt;="&amp;checklist!$B$4),2))</f>
        <v>230.64</v>
      </c>
      <c r="I31" s="6">
        <f t="shared" si="0"/>
        <v>0</v>
      </c>
      <c r="J31" s="2" t="str">
        <f t="shared" si="1"/>
        <v>已结清</v>
      </c>
    </row>
    <row r="32" spans="1:10" ht="15">
      <c r="A32" s="2" t="s">
        <v>68</v>
      </c>
      <c r="B32" s="2" t="str">
        <f>INDEX(calc_lines!$C$2:$C$967,MATCH($A32,calc_lines!$A$2:$A$967,0))</f>
        <v>C003</v>
      </c>
      <c r="C32" s="2" t="str">
        <f>INDEX(calc_lines!$O$2:$O$967,MATCH($A32,calc_lines!$A$2:$A$967,0))</f>
        <v>模拟_兴街快餐店</v>
      </c>
      <c r="D32" s="3">
        <f>INDEX(calc_lines!$D$2:$D$967,MATCH($A32,calc_lines!$A$2:$A$967,0))</f>
        <v>46272</v>
      </c>
      <c r="E32" s="2">
        <f>COUNTIF(calc_lines!$A$2:$A$967,$A32)</f>
        <v>8</v>
      </c>
      <c r="F32" s="2">
        <f>COUNTIFS(calc_lines!$A$2:$A$967,$A32,calc_lines!$W$2:$W$967,"阻断")</f>
        <v>0</v>
      </c>
      <c r="G32" s="6">
        <f>IF($F32&gt;0,"",ROUND(SUMIF(calc_lines!$A$2:$A$967,$A32,calc_lines!$R$2:$R$967),2))</f>
        <v>886.02</v>
      </c>
      <c r="H32" s="6">
        <f>IF($F32&gt;0,"",ROUND(SUMIFS(fact_payments!$D$2:$D$101,fact_payments!$B$2:$B$101,$A32,fact_payments!$C$2:$C$101,"&lt;="&amp;checklist!$B$4),2))</f>
        <v>886.02</v>
      </c>
      <c r="I32" s="6">
        <f t="shared" si="0"/>
        <v>0</v>
      </c>
      <c r="J32" s="2" t="str">
        <f t="shared" si="1"/>
        <v>已结清</v>
      </c>
    </row>
    <row r="33" spans="1:10" ht="15">
      <c r="A33" s="2" t="s">
        <v>69</v>
      </c>
      <c r="B33" s="2" t="str">
        <f>INDEX(calc_lines!$C$2:$C$967,MATCH($A33,calc_lines!$A$2:$A$967,0))</f>
        <v>C005</v>
      </c>
      <c r="C33" s="2" t="str">
        <f>INDEX(calc_lines!$O$2:$O$967,MATCH($A33,calc_lines!$A$2:$A$967,0))</f>
        <v>模拟_青禾小学食堂</v>
      </c>
      <c r="D33" s="3">
        <f>INDEX(calc_lines!$D$2:$D$967,MATCH($A33,calc_lines!$A$2:$A$967,0))</f>
        <v>46272</v>
      </c>
      <c r="E33" s="2">
        <f>COUNTIF(calc_lines!$A$2:$A$967,$A33)</f>
        <v>7</v>
      </c>
      <c r="F33" s="2">
        <f>COUNTIFS(calc_lines!$A$2:$A$967,$A33,calc_lines!$W$2:$W$967,"阻断")</f>
        <v>0</v>
      </c>
      <c r="G33" s="6">
        <f>IF($F33&gt;0,"",ROUND(SUMIF(calc_lines!$A$2:$A$967,$A33,calc_lines!$R$2:$R$967),2))</f>
        <v>357</v>
      </c>
      <c r="H33" s="6">
        <f>IF($F33&gt;0,"",ROUND(SUMIFS(fact_payments!$D$2:$D$101,fact_payments!$B$2:$B$101,$A33,fact_payments!$C$2:$C$101,"&lt;="&amp;checklist!$B$4),2))</f>
        <v>357</v>
      </c>
      <c r="I33" s="6">
        <f t="shared" si="0"/>
        <v>0</v>
      </c>
      <c r="J33" s="2" t="str">
        <f t="shared" si="1"/>
        <v>已结清</v>
      </c>
    </row>
    <row r="34" spans="1:10" ht="15">
      <c r="A34" s="2" t="s">
        <v>70</v>
      </c>
      <c r="B34" s="2" t="str">
        <f>INDEX(calc_lines!$C$2:$C$967,MATCH($A34,calc_lines!$A$2:$A$967,0))</f>
        <v>C006</v>
      </c>
      <c r="C34" s="2" t="str">
        <f>INDEX(calc_lines!$O$2:$O$967,MATCH($A34,calc_lines!$A$2:$A$967,0))</f>
        <v>模拟_溪桥医院食堂</v>
      </c>
      <c r="D34" s="3">
        <f>INDEX(calc_lines!$D$2:$D$967,MATCH($A34,calc_lines!$A$2:$A$967,0))</f>
        <v>46272</v>
      </c>
      <c r="E34" s="2">
        <f>COUNTIF(calc_lines!$A$2:$A$967,$A34)</f>
        <v>8</v>
      </c>
      <c r="F34" s="2">
        <f>COUNTIFS(calc_lines!$A$2:$A$967,$A34,calc_lines!$W$2:$W$967,"阻断")</f>
        <v>0</v>
      </c>
      <c r="G34" s="6">
        <f>IF($F34&gt;0,"",ROUND(SUMIF(calc_lines!$A$2:$A$967,$A34,calc_lines!$R$2:$R$967),2))</f>
        <v>290.83999999999997</v>
      </c>
      <c r="H34" s="6">
        <f>IF($F34&gt;0,"",ROUND(SUMIFS(fact_payments!$D$2:$D$101,fact_payments!$B$2:$B$101,$A34,fact_payments!$C$2:$C$101,"&lt;="&amp;checklist!$B$4),2))</f>
        <v>290.83999999999997</v>
      </c>
      <c r="I34" s="6">
        <f t="shared" ref="I34:I65" si="2">IF($F34&gt;0,"",$G34-$H34)</f>
        <v>0</v>
      </c>
      <c r="J34" s="2" t="str">
        <f t="shared" ref="J34:J65" si="3">IF($F34&gt;0,"暂缓",IF($I34=0,"已结清","未结清"))</f>
        <v>已结清</v>
      </c>
    </row>
    <row r="35" spans="1:10" ht="15">
      <c r="A35" s="2" t="s">
        <v>71</v>
      </c>
      <c r="B35" s="2" t="str">
        <f>INDEX(calc_lines!$C$2:$C$967,MATCH($A35,calc_lines!$A$2:$A$967,0))</f>
        <v>C001</v>
      </c>
      <c r="C35" s="2" t="str">
        <f>INDEX(calc_lines!$O$2:$O$967,MATCH($A35,calc_lines!$A$2:$A$967,0))</f>
        <v>模拟_榕树下粉面店</v>
      </c>
      <c r="D35" s="3">
        <f>INDEX(calc_lines!$D$2:$D$967,MATCH($A35,calc_lines!$A$2:$A$967,0))</f>
        <v>46273</v>
      </c>
      <c r="E35" s="2">
        <f>COUNTIF(calc_lines!$A$2:$A$967,$A35)</f>
        <v>6</v>
      </c>
      <c r="F35" s="2">
        <f>COUNTIFS(calc_lines!$A$2:$A$967,$A35,calc_lines!$W$2:$W$967,"阻断")</f>
        <v>0</v>
      </c>
      <c r="G35" s="6">
        <f>IF($F35&gt;0,"",ROUND(SUMIF(calc_lines!$A$2:$A$967,$A35,calc_lines!$R$2:$R$967),2))</f>
        <v>82.71</v>
      </c>
      <c r="H35" s="6">
        <f>IF($F35&gt;0,"",ROUND(SUMIFS(fact_payments!$D$2:$D$101,fact_payments!$B$2:$B$101,$A35,fact_payments!$C$2:$C$101,"&lt;="&amp;checklist!$B$4),2))</f>
        <v>82.71</v>
      </c>
      <c r="I35" s="6">
        <f t="shared" si="2"/>
        <v>0</v>
      </c>
      <c r="J35" s="2" t="str">
        <f t="shared" si="3"/>
        <v>已结清</v>
      </c>
    </row>
    <row r="36" spans="1:10" ht="15">
      <c r="A36" s="2" t="s">
        <v>72</v>
      </c>
      <c r="B36" s="2" t="str">
        <f>INDEX(calc_lines!$C$2:$C$967,MATCH($A36,calc_lines!$A$2:$A$967,0))</f>
        <v>C002</v>
      </c>
      <c r="C36" s="2" t="str">
        <f>INDEX(calc_lines!$O$2:$O$967,MATCH($A36,calc_lines!$A$2:$A$967,0))</f>
        <v>模拟_桥头家常菜馆</v>
      </c>
      <c r="D36" s="3">
        <f>INDEX(calc_lines!$D$2:$D$967,MATCH($A36,calc_lines!$A$2:$A$967,0))</f>
        <v>46273</v>
      </c>
      <c r="E36" s="2">
        <f>COUNTIF(calc_lines!$A$2:$A$967,$A36)</f>
        <v>7</v>
      </c>
      <c r="F36" s="2">
        <f>COUNTIFS(calc_lines!$A$2:$A$967,$A36,calc_lines!$W$2:$W$967,"阻断")</f>
        <v>0</v>
      </c>
      <c r="G36" s="6">
        <f>IF($F36&gt;0,"",ROUND(SUMIF(calc_lines!$A$2:$A$967,$A36,calc_lines!$R$2:$R$967),2))</f>
        <v>177.44</v>
      </c>
      <c r="H36" s="6">
        <f>IF($F36&gt;0,"",ROUND(SUMIFS(fact_payments!$D$2:$D$101,fact_payments!$B$2:$B$101,$A36,fact_payments!$C$2:$C$101,"&lt;="&amp;checklist!$B$4),2))</f>
        <v>177.44</v>
      </c>
      <c r="I36" s="6">
        <f t="shared" si="2"/>
        <v>0</v>
      </c>
      <c r="J36" s="2" t="str">
        <f t="shared" si="3"/>
        <v>已结清</v>
      </c>
    </row>
    <row r="37" spans="1:10" ht="15">
      <c r="A37" s="2" t="s">
        <v>73</v>
      </c>
      <c r="B37" s="2" t="str">
        <f>INDEX(calc_lines!$C$2:$C$967,MATCH($A37,calc_lines!$A$2:$A$967,0))</f>
        <v>C003</v>
      </c>
      <c r="C37" s="2" t="str">
        <f>INDEX(calc_lines!$O$2:$O$967,MATCH($A37,calc_lines!$A$2:$A$967,0))</f>
        <v>模拟_兴街快餐店</v>
      </c>
      <c r="D37" s="3">
        <f>INDEX(calc_lines!$D$2:$D$967,MATCH($A37,calc_lines!$A$2:$A$967,0))</f>
        <v>46273</v>
      </c>
      <c r="E37" s="2">
        <f>COUNTIF(calc_lines!$A$2:$A$967,$A37)</f>
        <v>8</v>
      </c>
      <c r="F37" s="2">
        <f>COUNTIFS(calc_lines!$A$2:$A$967,$A37,calc_lines!$W$2:$W$967,"阻断")</f>
        <v>0</v>
      </c>
      <c r="G37" s="6">
        <f>IF($F37&gt;0,"",ROUND(SUMIF(calc_lines!$A$2:$A$967,$A37,calc_lines!$R$2:$R$967),2))</f>
        <v>246.88</v>
      </c>
      <c r="H37" s="6">
        <f>IF($F37&gt;0,"",ROUND(SUMIFS(fact_payments!$D$2:$D$101,fact_payments!$B$2:$B$101,$A37,fact_payments!$C$2:$C$101,"&lt;="&amp;checklist!$B$4),2))</f>
        <v>246.88</v>
      </c>
      <c r="I37" s="6">
        <f t="shared" si="2"/>
        <v>0</v>
      </c>
      <c r="J37" s="2" t="str">
        <f t="shared" si="3"/>
        <v>已结清</v>
      </c>
    </row>
    <row r="38" spans="1:10" ht="15">
      <c r="A38" s="2" t="s">
        <v>74</v>
      </c>
      <c r="B38" s="2" t="str">
        <f>INDEX(calc_lines!$C$2:$C$967,MATCH($A38,calc_lines!$A$2:$A$967,0))</f>
        <v>C004</v>
      </c>
      <c r="C38" s="2" t="str">
        <f>INDEX(calc_lines!$O$2:$O$967,MATCH($A38,calc_lines!$A$2:$A$967,0))</f>
        <v>模拟_田畔饭店</v>
      </c>
      <c r="D38" s="3">
        <f>INDEX(calc_lines!$D$2:$D$967,MATCH($A38,calc_lines!$A$2:$A$967,0))</f>
        <v>46273</v>
      </c>
      <c r="E38" s="2">
        <f>COUNTIF(calc_lines!$A$2:$A$967,$A38)</f>
        <v>7</v>
      </c>
      <c r="F38" s="2">
        <f>COUNTIFS(calc_lines!$A$2:$A$967,$A38,calc_lines!$W$2:$W$967,"阻断")</f>
        <v>0</v>
      </c>
      <c r="G38" s="6">
        <f>IF($F38&gt;0,"",ROUND(SUMIF(calc_lines!$A$2:$A$967,$A38,calc_lines!$R$2:$R$967),2))</f>
        <v>163.47999999999999</v>
      </c>
      <c r="H38" s="6">
        <f>IF($F38&gt;0,"",ROUND(SUMIFS(fact_payments!$D$2:$D$101,fact_payments!$B$2:$B$101,$A38,fact_payments!$C$2:$C$101,"&lt;="&amp;checklist!$B$4),2))</f>
        <v>163.47999999999999</v>
      </c>
      <c r="I38" s="6">
        <f t="shared" si="2"/>
        <v>0</v>
      </c>
      <c r="J38" s="2" t="str">
        <f t="shared" si="3"/>
        <v>已结清</v>
      </c>
    </row>
    <row r="39" spans="1:10" ht="15">
      <c r="A39" s="2" t="s">
        <v>75</v>
      </c>
      <c r="B39" s="2" t="str">
        <f>INDEX(calc_lines!$C$2:$C$967,MATCH($A39,calc_lines!$A$2:$A$967,0))</f>
        <v>C005</v>
      </c>
      <c r="C39" s="2" t="str">
        <f>INDEX(calc_lines!$O$2:$O$967,MATCH($A39,calc_lines!$A$2:$A$967,0))</f>
        <v>模拟_青禾小学食堂</v>
      </c>
      <c r="D39" s="3">
        <f>INDEX(calc_lines!$D$2:$D$967,MATCH($A39,calc_lines!$A$2:$A$967,0))</f>
        <v>46273</v>
      </c>
      <c r="E39" s="2">
        <f>COUNTIF(calc_lines!$A$2:$A$967,$A39)</f>
        <v>8</v>
      </c>
      <c r="F39" s="2">
        <f>COUNTIFS(calc_lines!$A$2:$A$967,$A39,calc_lines!$W$2:$W$967,"阻断")</f>
        <v>0</v>
      </c>
      <c r="G39" s="6">
        <f>IF($F39&gt;0,"",ROUND(SUMIF(calc_lines!$A$2:$A$967,$A39,calc_lines!$R$2:$R$967),2))</f>
        <v>1039.42</v>
      </c>
      <c r="H39" s="6">
        <f>IF($F39&gt;0,"",ROUND(SUMIFS(fact_payments!$D$2:$D$101,fact_payments!$B$2:$B$101,$A39,fact_payments!$C$2:$C$101,"&lt;="&amp;checklist!$B$4),2))</f>
        <v>1039.42</v>
      </c>
      <c r="I39" s="6">
        <f t="shared" si="2"/>
        <v>0</v>
      </c>
      <c r="J39" s="2" t="str">
        <f t="shared" si="3"/>
        <v>已结清</v>
      </c>
    </row>
    <row r="40" spans="1:10" ht="15">
      <c r="A40" s="2" t="s">
        <v>76</v>
      </c>
      <c r="B40" s="2" t="str">
        <f>INDEX(calc_lines!$C$2:$C$967,MATCH($A40,calc_lines!$A$2:$A$967,0))</f>
        <v>C006</v>
      </c>
      <c r="C40" s="2" t="str">
        <f>INDEX(calc_lines!$O$2:$O$967,MATCH($A40,calc_lines!$A$2:$A$967,0))</f>
        <v>模拟_溪桥医院食堂</v>
      </c>
      <c r="D40" s="3">
        <f>INDEX(calc_lines!$D$2:$D$967,MATCH($A40,calc_lines!$A$2:$A$967,0))</f>
        <v>46273</v>
      </c>
      <c r="E40" s="2">
        <f>COUNTIF(calc_lines!$A$2:$A$967,$A40)</f>
        <v>6</v>
      </c>
      <c r="F40" s="2">
        <f>COUNTIFS(calc_lines!$A$2:$A$967,$A40,calc_lines!$W$2:$W$967,"阻断")</f>
        <v>0</v>
      </c>
      <c r="G40" s="6">
        <f>IF($F40&gt;0,"",ROUND(SUMIF(calc_lines!$A$2:$A$967,$A40,calc_lines!$R$2:$R$967),2))</f>
        <v>188.22</v>
      </c>
      <c r="H40" s="6">
        <f>IF($F40&gt;0,"",ROUND(SUMIFS(fact_payments!$D$2:$D$101,fact_payments!$B$2:$B$101,$A40,fact_payments!$C$2:$C$101,"&lt;="&amp;checklist!$B$4),2))</f>
        <v>188.22</v>
      </c>
      <c r="I40" s="6">
        <f t="shared" si="2"/>
        <v>0</v>
      </c>
      <c r="J40" s="2" t="str">
        <f t="shared" si="3"/>
        <v>已结清</v>
      </c>
    </row>
    <row r="41" spans="1:10" ht="15">
      <c r="A41" s="2" t="s">
        <v>77</v>
      </c>
      <c r="B41" s="2" t="str">
        <f>INDEX(calc_lines!$C$2:$C$967,MATCH($A41,calc_lines!$A$2:$A$967,0))</f>
        <v>C001</v>
      </c>
      <c r="C41" s="2" t="str">
        <f>INDEX(calc_lines!$O$2:$O$967,MATCH($A41,calc_lines!$A$2:$A$967,0))</f>
        <v>模拟_榕树下粉面店</v>
      </c>
      <c r="D41" s="3">
        <f>INDEX(calc_lines!$D$2:$D$967,MATCH($A41,calc_lines!$A$2:$A$967,0))</f>
        <v>46274</v>
      </c>
      <c r="E41" s="2">
        <f>COUNTIF(calc_lines!$A$2:$A$967,$A41)</f>
        <v>4</v>
      </c>
      <c r="F41" s="2">
        <f>COUNTIFS(calc_lines!$A$2:$A$967,$A41,calc_lines!$W$2:$W$967,"阻断")</f>
        <v>0</v>
      </c>
      <c r="G41" s="6">
        <f>IF($F41&gt;0,"",ROUND(SUMIF(calc_lines!$A$2:$A$967,$A41,calc_lines!$R$2:$R$967),2))</f>
        <v>45.66</v>
      </c>
      <c r="H41" s="6">
        <f>IF($F41&gt;0,"",ROUND(SUMIFS(fact_payments!$D$2:$D$101,fact_payments!$B$2:$B$101,$A41,fact_payments!$C$2:$C$101,"&lt;="&amp;checklist!$B$4),2))</f>
        <v>45.66</v>
      </c>
      <c r="I41" s="6">
        <f t="shared" si="2"/>
        <v>0</v>
      </c>
      <c r="J41" s="2" t="str">
        <f t="shared" si="3"/>
        <v>已结清</v>
      </c>
    </row>
    <row r="42" spans="1:10" ht="15">
      <c r="A42" s="2" t="s">
        <v>78</v>
      </c>
      <c r="B42" s="2" t="str">
        <f>INDEX(calc_lines!$C$2:$C$967,MATCH($A42,calc_lines!$A$2:$A$967,0))</f>
        <v>C002</v>
      </c>
      <c r="C42" s="2" t="str">
        <f>INDEX(calc_lines!$O$2:$O$967,MATCH($A42,calc_lines!$A$2:$A$967,0))</f>
        <v>模拟_桥头家常菜馆</v>
      </c>
      <c r="D42" s="3">
        <f>INDEX(calc_lines!$D$2:$D$967,MATCH($A42,calc_lines!$A$2:$A$967,0))</f>
        <v>46274</v>
      </c>
      <c r="E42" s="2">
        <f>COUNTIF(calc_lines!$A$2:$A$967,$A42)</f>
        <v>5</v>
      </c>
      <c r="F42" s="2">
        <f>COUNTIFS(calc_lines!$A$2:$A$967,$A42,calc_lines!$W$2:$W$967,"阻断")</f>
        <v>0</v>
      </c>
      <c r="G42" s="6">
        <f>IF($F42&gt;0,"",ROUND(SUMIF(calc_lines!$A$2:$A$967,$A42,calc_lines!$R$2:$R$967),2))</f>
        <v>92.96</v>
      </c>
      <c r="H42" s="6">
        <f>IF($F42&gt;0,"",ROUND(SUMIFS(fact_payments!$D$2:$D$101,fact_payments!$B$2:$B$101,$A42,fact_payments!$C$2:$C$101,"&lt;="&amp;checklist!$B$4),2))</f>
        <v>92.96</v>
      </c>
      <c r="I42" s="6">
        <f t="shared" si="2"/>
        <v>0</v>
      </c>
      <c r="J42" s="2" t="str">
        <f t="shared" si="3"/>
        <v>已结清</v>
      </c>
    </row>
    <row r="43" spans="1:10" ht="15">
      <c r="A43" s="2" t="s">
        <v>79</v>
      </c>
      <c r="B43" s="2" t="str">
        <f>INDEX(calc_lines!$C$2:$C$967,MATCH($A43,calc_lines!$A$2:$A$967,0))</f>
        <v>C003</v>
      </c>
      <c r="C43" s="2" t="str">
        <f>INDEX(calc_lines!$O$2:$O$967,MATCH($A43,calc_lines!$A$2:$A$967,0))</f>
        <v>模拟_兴街快餐店</v>
      </c>
      <c r="D43" s="3">
        <f>INDEX(calc_lines!$D$2:$D$967,MATCH($A43,calc_lines!$A$2:$A$967,0))</f>
        <v>46274</v>
      </c>
      <c r="E43" s="2">
        <f>COUNTIF(calc_lines!$A$2:$A$967,$A43)</f>
        <v>6</v>
      </c>
      <c r="F43" s="2">
        <f>COUNTIFS(calc_lines!$A$2:$A$967,$A43,calc_lines!$W$2:$W$967,"阻断")</f>
        <v>0</v>
      </c>
      <c r="G43" s="6">
        <f>IF($F43&gt;0,"",ROUND(SUMIF(calc_lines!$A$2:$A$967,$A43,calc_lines!$R$2:$R$967),2))</f>
        <v>153.65</v>
      </c>
      <c r="H43" s="6">
        <f>IF($F43&gt;0,"",ROUND(SUMIFS(fact_payments!$D$2:$D$101,fact_payments!$B$2:$B$101,$A43,fact_payments!$C$2:$C$101,"&lt;="&amp;checklist!$B$4),2))</f>
        <v>153.65</v>
      </c>
      <c r="I43" s="6">
        <f t="shared" si="2"/>
        <v>0</v>
      </c>
      <c r="J43" s="2" t="str">
        <f t="shared" si="3"/>
        <v>已结清</v>
      </c>
    </row>
    <row r="44" spans="1:10" ht="15">
      <c r="A44" s="2" t="s">
        <v>80</v>
      </c>
      <c r="B44" s="2" t="str">
        <f>INDEX(calc_lines!$C$2:$C$967,MATCH($A44,calc_lines!$A$2:$A$967,0))</f>
        <v>C005</v>
      </c>
      <c r="C44" s="2" t="str">
        <f>INDEX(calc_lines!$O$2:$O$967,MATCH($A44,calc_lines!$A$2:$A$967,0))</f>
        <v>模拟_青禾小学食堂</v>
      </c>
      <c r="D44" s="3">
        <f>INDEX(calc_lines!$D$2:$D$967,MATCH($A44,calc_lines!$A$2:$A$967,0))</f>
        <v>46274</v>
      </c>
      <c r="E44" s="2">
        <f>COUNTIF(calc_lines!$A$2:$A$967,$A44)</f>
        <v>8</v>
      </c>
      <c r="F44" s="2">
        <f>COUNTIFS(calc_lines!$A$2:$A$967,$A44,calc_lines!$W$2:$W$967,"阻断")</f>
        <v>0</v>
      </c>
      <c r="G44" s="6">
        <f>IF($F44&gt;0,"",ROUND(SUMIF(calc_lines!$A$2:$A$967,$A44,calc_lines!$R$2:$R$967),2))</f>
        <v>411.04</v>
      </c>
      <c r="H44" s="6">
        <f>IF($F44&gt;0,"",ROUND(SUMIFS(fact_payments!$D$2:$D$101,fact_payments!$B$2:$B$101,$A44,fact_payments!$C$2:$C$101,"&lt;="&amp;checklist!$B$4),2))</f>
        <v>411.04</v>
      </c>
      <c r="I44" s="6">
        <f t="shared" si="2"/>
        <v>0</v>
      </c>
      <c r="J44" s="2" t="str">
        <f t="shared" si="3"/>
        <v>已结清</v>
      </c>
    </row>
    <row r="45" spans="1:10" ht="15">
      <c r="A45" s="2" t="s">
        <v>81</v>
      </c>
      <c r="B45" s="2" t="str">
        <f>INDEX(calc_lines!$C$2:$C$967,MATCH($A45,calc_lines!$A$2:$A$967,0))</f>
        <v>C006</v>
      </c>
      <c r="C45" s="2" t="str">
        <f>INDEX(calc_lines!$O$2:$O$967,MATCH($A45,calc_lines!$A$2:$A$967,0))</f>
        <v>模拟_溪桥医院食堂</v>
      </c>
      <c r="D45" s="3">
        <f>INDEX(calc_lines!$D$2:$D$967,MATCH($A45,calc_lines!$A$2:$A$967,0))</f>
        <v>46274</v>
      </c>
      <c r="E45" s="2">
        <f>COUNTIF(calc_lines!$A$2:$A$967,$A45)</f>
        <v>7</v>
      </c>
      <c r="F45" s="2">
        <f>COUNTIFS(calc_lines!$A$2:$A$967,$A45,calc_lines!$W$2:$W$967,"阻断")</f>
        <v>0</v>
      </c>
      <c r="G45" s="6">
        <f>IF($F45&gt;0,"",ROUND(SUMIF(calc_lines!$A$2:$A$967,$A45,calc_lines!$R$2:$R$967),2))</f>
        <v>278.36</v>
      </c>
      <c r="H45" s="6">
        <f>IF($F45&gt;0,"",ROUND(SUMIFS(fact_payments!$D$2:$D$101,fact_payments!$B$2:$B$101,$A45,fact_payments!$C$2:$C$101,"&lt;="&amp;checklist!$B$4),2))</f>
        <v>278.36</v>
      </c>
      <c r="I45" s="6">
        <f t="shared" si="2"/>
        <v>0</v>
      </c>
      <c r="J45" s="2" t="str">
        <f t="shared" si="3"/>
        <v>已结清</v>
      </c>
    </row>
    <row r="46" spans="1:10" ht="15">
      <c r="A46" s="2" t="s">
        <v>82</v>
      </c>
      <c r="B46" s="2" t="str">
        <f>INDEX(calc_lines!$C$2:$C$967,MATCH($A46,calc_lines!$A$2:$A$967,0))</f>
        <v>C001</v>
      </c>
      <c r="C46" s="2" t="str">
        <f>INDEX(calc_lines!$O$2:$O$967,MATCH($A46,calc_lines!$A$2:$A$967,0))</f>
        <v>模拟_榕树下粉面店</v>
      </c>
      <c r="D46" s="3">
        <f>INDEX(calc_lines!$D$2:$D$967,MATCH($A46,calc_lines!$A$2:$A$967,0))</f>
        <v>46275</v>
      </c>
      <c r="E46" s="2">
        <f>COUNTIF(calc_lines!$A$2:$A$967,$A46)</f>
        <v>5</v>
      </c>
      <c r="F46" s="2">
        <f>COUNTIFS(calc_lines!$A$2:$A$967,$A46,calc_lines!$W$2:$W$967,"阻断")</f>
        <v>0</v>
      </c>
      <c r="G46" s="6">
        <f>IF($F46&gt;0,"",ROUND(SUMIF(calc_lines!$A$2:$A$967,$A46,calc_lines!$R$2:$R$967),2))</f>
        <v>76.88</v>
      </c>
      <c r="H46" s="6">
        <f>IF($F46&gt;0,"",ROUND(SUMIFS(fact_payments!$D$2:$D$101,fact_payments!$B$2:$B$101,$A46,fact_payments!$C$2:$C$101,"&lt;="&amp;checklist!$B$4),2))</f>
        <v>76.88</v>
      </c>
      <c r="I46" s="6">
        <f t="shared" si="2"/>
        <v>0</v>
      </c>
      <c r="J46" s="2" t="str">
        <f t="shared" si="3"/>
        <v>已结清</v>
      </c>
    </row>
    <row r="47" spans="1:10" ht="15">
      <c r="A47" s="2" t="s">
        <v>83</v>
      </c>
      <c r="B47" s="2" t="str">
        <f>INDEX(calc_lines!$C$2:$C$967,MATCH($A47,calc_lines!$A$2:$A$967,0))</f>
        <v>C002</v>
      </c>
      <c r="C47" s="2" t="str">
        <f>INDEX(calc_lines!$O$2:$O$967,MATCH($A47,calc_lines!$A$2:$A$967,0))</f>
        <v>模拟_桥头家常菜馆</v>
      </c>
      <c r="D47" s="3">
        <f>INDEX(calc_lines!$D$2:$D$967,MATCH($A47,calc_lines!$A$2:$A$967,0))</f>
        <v>46275</v>
      </c>
      <c r="E47" s="2">
        <f>COUNTIF(calc_lines!$A$2:$A$967,$A47)</f>
        <v>6</v>
      </c>
      <c r="F47" s="2">
        <f>COUNTIFS(calc_lines!$A$2:$A$967,$A47,calc_lines!$W$2:$W$967,"阻断")</f>
        <v>0</v>
      </c>
      <c r="G47" s="6">
        <f>IF($F47&gt;0,"",ROUND(SUMIF(calc_lines!$A$2:$A$967,$A47,calc_lines!$R$2:$R$967),2))</f>
        <v>126.96</v>
      </c>
      <c r="H47" s="6">
        <f>IF($F47&gt;0,"",ROUND(SUMIFS(fact_payments!$D$2:$D$101,fact_payments!$B$2:$B$101,$A47,fact_payments!$C$2:$C$101,"&lt;="&amp;checklist!$B$4),2))</f>
        <v>126.96</v>
      </c>
      <c r="I47" s="6">
        <f t="shared" si="2"/>
        <v>0</v>
      </c>
      <c r="J47" s="2" t="str">
        <f t="shared" si="3"/>
        <v>已结清</v>
      </c>
    </row>
    <row r="48" spans="1:10" ht="15">
      <c r="A48" s="2" t="s">
        <v>84</v>
      </c>
      <c r="B48" s="2" t="str">
        <f>INDEX(calc_lines!$C$2:$C$967,MATCH($A48,calc_lines!$A$2:$A$967,0))</f>
        <v>C003</v>
      </c>
      <c r="C48" s="2" t="str">
        <f>INDEX(calc_lines!$O$2:$O$967,MATCH($A48,calc_lines!$A$2:$A$967,0))</f>
        <v>模拟_兴街快餐店</v>
      </c>
      <c r="D48" s="3">
        <f>INDEX(calc_lines!$D$2:$D$967,MATCH($A48,calc_lines!$A$2:$A$967,0))</f>
        <v>46275</v>
      </c>
      <c r="E48" s="2">
        <f>COUNTIF(calc_lines!$A$2:$A$967,$A48)</f>
        <v>7</v>
      </c>
      <c r="F48" s="2">
        <f>COUNTIFS(calc_lines!$A$2:$A$967,$A48,calc_lines!$W$2:$W$967,"阻断")</f>
        <v>0</v>
      </c>
      <c r="G48" s="6">
        <f>IF($F48&gt;0,"",ROUND(SUMIF(calc_lines!$A$2:$A$967,$A48,calc_lines!$R$2:$R$967),2))</f>
        <v>245.22</v>
      </c>
      <c r="H48" s="6">
        <f>IF($F48&gt;0,"",ROUND(SUMIFS(fact_payments!$D$2:$D$101,fact_payments!$B$2:$B$101,$A48,fact_payments!$C$2:$C$101,"&lt;="&amp;checklist!$B$4),2))</f>
        <v>24.78</v>
      </c>
      <c r="I48" s="6">
        <f t="shared" si="2"/>
        <v>220.44</v>
      </c>
      <c r="J48" s="2" t="str">
        <f t="shared" si="3"/>
        <v>未结清</v>
      </c>
    </row>
    <row r="49" spans="1:10" ht="15">
      <c r="A49" s="2" t="s">
        <v>85</v>
      </c>
      <c r="B49" s="2" t="str">
        <f>INDEX(calc_lines!$C$2:$C$967,MATCH($A49,calc_lines!$A$2:$A$967,0))</f>
        <v>C004</v>
      </c>
      <c r="C49" s="2" t="str">
        <f>INDEX(calc_lines!$O$2:$O$967,MATCH($A49,calc_lines!$A$2:$A$967,0))</f>
        <v>模拟_田畔饭店</v>
      </c>
      <c r="D49" s="3">
        <f>INDEX(calc_lines!$D$2:$D$967,MATCH($A49,calc_lines!$A$2:$A$967,0))</f>
        <v>46275</v>
      </c>
      <c r="E49" s="2">
        <f>COUNTIF(calc_lines!$A$2:$A$967,$A49)</f>
        <v>7</v>
      </c>
      <c r="F49" s="2">
        <f>COUNTIFS(calc_lines!$A$2:$A$967,$A49,calc_lines!$W$2:$W$967,"阻断")</f>
        <v>0</v>
      </c>
      <c r="G49" s="6">
        <f>IF($F49&gt;0,"",ROUND(SUMIF(calc_lines!$A$2:$A$967,$A49,calc_lines!$R$2:$R$967),2))</f>
        <v>203.8</v>
      </c>
      <c r="H49" s="6">
        <f>IF($F49&gt;0,"",ROUND(SUMIFS(fact_payments!$D$2:$D$101,fact_payments!$B$2:$B$101,$A49,fact_payments!$C$2:$C$101,"&lt;="&amp;checklist!$B$4),2))</f>
        <v>203.8</v>
      </c>
      <c r="I49" s="6">
        <f t="shared" si="2"/>
        <v>0</v>
      </c>
      <c r="J49" s="2" t="str">
        <f t="shared" si="3"/>
        <v>已结清</v>
      </c>
    </row>
    <row r="50" spans="1:10" ht="15">
      <c r="A50" s="2" t="s">
        <v>86</v>
      </c>
      <c r="B50" s="2" t="str">
        <f>INDEX(calc_lines!$C$2:$C$967,MATCH($A50,calc_lines!$A$2:$A$967,0))</f>
        <v>C005</v>
      </c>
      <c r="C50" s="2" t="str">
        <f>INDEX(calc_lines!$O$2:$O$967,MATCH($A50,calc_lines!$A$2:$A$967,0))</f>
        <v>模拟_青禾小学食堂</v>
      </c>
      <c r="D50" s="3">
        <f>INDEX(calc_lines!$D$2:$D$967,MATCH($A50,calc_lines!$A$2:$A$967,0))</f>
        <v>46275</v>
      </c>
      <c r="E50" s="2">
        <f>COUNTIF(calc_lines!$A$2:$A$967,$A50)</f>
        <v>6</v>
      </c>
      <c r="F50" s="2">
        <f>COUNTIFS(calc_lines!$A$2:$A$967,$A50,calc_lines!$W$2:$W$967,"阻断")</f>
        <v>0</v>
      </c>
      <c r="G50" s="6">
        <f>IF($F50&gt;0,"",ROUND(SUMIF(calc_lines!$A$2:$A$967,$A50,calc_lines!$R$2:$R$967),2))</f>
        <v>198.94</v>
      </c>
      <c r="H50" s="6">
        <f>IF($F50&gt;0,"",ROUND(SUMIFS(fact_payments!$D$2:$D$101,fact_payments!$B$2:$B$101,$A50,fact_payments!$C$2:$C$101,"&lt;="&amp;checklist!$B$4),2))</f>
        <v>198.94</v>
      </c>
      <c r="I50" s="6">
        <f t="shared" si="2"/>
        <v>0</v>
      </c>
      <c r="J50" s="2" t="str">
        <f t="shared" si="3"/>
        <v>已结清</v>
      </c>
    </row>
    <row r="51" spans="1:10" ht="15">
      <c r="A51" s="2" t="s">
        <v>87</v>
      </c>
      <c r="B51" s="2" t="str">
        <f>INDEX(calc_lines!$C$2:$C$967,MATCH($A51,calc_lines!$A$2:$A$967,0))</f>
        <v>C006</v>
      </c>
      <c r="C51" s="2" t="str">
        <f>INDEX(calc_lines!$O$2:$O$967,MATCH($A51,calc_lines!$A$2:$A$967,0))</f>
        <v>模拟_溪桥医院食堂</v>
      </c>
      <c r="D51" s="3">
        <f>INDEX(calc_lines!$D$2:$D$967,MATCH($A51,calc_lines!$A$2:$A$967,0))</f>
        <v>46275</v>
      </c>
      <c r="E51" s="2">
        <f>COUNTIF(calc_lines!$A$2:$A$967,$A51)</f>
        <v>7</v>
      </c>
      <c r="F51" s="2">
        <f>COUNTIFS(calc_lines!$A$2:$A$967,$A51,calc_lines!$W$2:$W$967,"阻断")</f>
        <v>0</v>
      </c>
      <c r="G51" s="6">
        <f>IF($F51&gt;0,"",ROUND(SUMIF(calc_lines!$A$2:$A$967,$A51,calc_lines!$R$2:$R$967),2))</f>
        <v>208.57</v>
      </c>
      <c r="H51" s="6">
        <f>IF($F51&gt;0,"",ROUND(SUMIFS(fact_payments!$D$2:$D$101,fact_payments!$B$2:$B$101,$A51,fact_payments!$C$2:$C$101,"&lt;="&amp;checklist!$B$4),2))</f>
        <v>208.57</v>
      </c>
      <c r="I51" s="6">
        <f t="shared" si="2"/>
        <v>0</v>
      </c>
      <c r="J51" s="2" t="str">
        <f t="shared" si="3"/>
        <v>已结清</v>
      </c>
    </row>
    <row r="52" spans="1:10" ht="15">
      <c r="A52" s="2" t="s">
        <v>88</v>
      </c>
      <c r="B52" s="2" t="str">
        <f>INDEX(calc_lines!$C$2:$C$967,MATCH($A52,calc_lines!$A$2:$A$967,0))</f>
        <v>C001</v>
      </c>
      <c r="C52" s="2" t="str">
        <f>INDEX(calc_lines!$O$2:$O$967,MATCH($A52,calc_lines!$A$2:$A$967,0))</f>
        <v>模拟_榕树下粉面店</v>
      </c>
      <c r="D52" s="3">
        <f>INDEX(calc_lines!$D$2:$D$967,MATCH($A52,calc_lines!$A$2:$A$967,0))</f>
        <v>46276</v>
      </c>
      <c r="E52" s="2">
        <f>COUNTIF(calc_lines!$A$2:$A$967,$A52)</f>
        <v>5</v>
      </c>
      <c r="F52" s="2">
        <f>COUNTIFS(calc_lines!$A$2:$A$967,$A52,calc_lines!$W$2:$W$967,"阻断")</f>
        <v>0</v>
      </c>
      <c r="G52" s="6">
        <f>IF($F52&gt;0,"",ROUND(SUMIF(calc_lines!$A$2:$A$967,$A52,calc_lines!$R$2:$R$967),2))</f>
        <v>43.03</v>
      </c>
      <c r="H52" s="6">
        <f>IF($F52&gt;0,"",ROUND(SUMIFS(fact_payments!$D$2:$D$101,fact_payments!$B$2:$B$101,$A52,fact_payments!$C$2:$C$101,"&lt;="&amp;checklist!$B$4),2))</f>
        <v>43.03</v>
      </c>
      <c r="I52" s="6">
        <f t="shared" si="2"/>
        <v>0</v>
      </c>
      <c r="J52" s="2" t="str">
        <f t="shared" si="3"/>
        <v>已结清</v>
      </c>
    </row>
    <row r="53" spans="1:10" ht="15">
      <c r="A53" s="2" t="s">
        <v>89</v>
      </c>
      <c r="B53" s="2" t="str">
        <f>INDEX(calc_lines!$C$2:$C$967,MATCH($A53,calc_lines!$A$2:$A$967,0))</f>
        <v>C002</v>
      </c>
      <c r="C53" s="2" t="str">
        <f>INDEX(calc_lines!$O$2:$O$967,MATCH($A53,calc_lines!$A$2:$A$967,0))</f>
        <v>模拟_桥头家常菜馆</v>
      </c>
      <c r="D53" s="3">
        <f>INDEX(calc_lines!$D$2:$D$967,MATCH($A53,calc_lines!$A$2:$A$967,0))</f>
        <v>46276</v>
      </c>
      <c r="E53" s="2">
        <f>COUNTIF(calc_lines!$A$2:$A$967,$A53)</f>
        <v>6</v>
      </c>
      <c r="F53" s="2">
        <f>COUNTIFS(calc_lines!$A$2:$A$967,$A53,calc_lines!$W$2:$W$967,"阻断")</f>
        <v>0</v>
      </c>
      <c r="G53" s="6">
        <f>IF($F53&gt;0,"",ROUND(SUMIF(calc_lines!$A$2:$A$967,$A53,calc_lines!$R$2:$R$967),2))</f>
        <v>158.78</v>
      </c>
      <c r="H53" s="6">
        <f>IF($F53&gt;0,"",ROUND(SUMIFS(fact_payments!$D$2:$D$101,fact_payments!$B$2:$B$101,$A53,fact_payments!$C$2:$C$101,"&lt;="&amp;checklist!$B$4),2))</f>
        <v>158.78</v>
      </c>
      <c r="I53" s="6">
        <f t="shared" si="2"/>
        <v>0</v>
      </c>
      <c r="J53" s="2" t="str">
        <f t="shared" si="3"/>
        <v>已结清</v>
      </c>
    </row>
    <row r="54" spans="1:10" ht="15">
      <c r="A54" s="2" t="s">
        <v>90</v>
      </c>
      <c r="B54" s="2" t="str">
        <f>INDEX(calc_lines!$C$2:$C$967,MATCH($A54,calc_lines!$A$2:$A$967,0))</f>
        <v>C003</v>
      </c>
      <c r="C54" s="2" t="str">
        <f>INDEX(calc_lines!$O$2:$O$967,MATCH($A54,calc_lines!$A$2:$A$967,0))</f>
        <v>模拟_兴街快餐店</v>
      </c>
      <c r="D54" s="3">
        <f>INDEX(calc_lines!$D$2:$D$967,MATCH($A54,calc_lines!$A$2:$A$967,0))</f>
        <v>46276</v>
      </c>
      <c r="E54" s="2">
        <f>COUNTIF(calc_lines!$A$2:$A$967,$A54)</f>
        <v>7</v>
      </c>
      <c r="F54" s="2">
        <f>COUNTIFS(calc_lines!$A$2:$A$967,$A54,calc_lines!$W$2:$W$967,"阻断")</f>
        <v>0</v>
      </c>
      <c r="G54" s="6">
        <f>IF($F54&gt;0,"",ROUND(SUMIF(calc_lines!$A$2:$A$967,$A54,calc_lines!$R$2:$R$967),2))</f>
        <v>166.82</v>
      </c>
      <c r="H54" s="6">
        <f>IF($F54&gt;0,"",ROUND(SUMIFS(fact_payments!$D$2:$D$101,fact_payments!$B$2:$B$101,$A54,fact_payments!$C$2:$C$101,"&lt;="&amp;checklist!$B$4),2))</f>
        <v>0</v>
      </c>
      <c r="I54" s="6">
        <f t="shared" si="2"/>
        <v>166.82</v>
      </c>
      <c r="J54" s="2" t="str">
        <f t="shared" si="3"/>
        <v>未结清</v>
      </c>
    </row>
    <row r="55" spans="1:10" ht="15">
      <c r="A55" s="2" t="s">
        <v>91</v>
      </c>
      <c r="B55" s="2" t="str">
        <f>INDEX(calc_lines!$C$2:$C$967,MATCH($A55,calc_lines!$A$2:$A$967,0))</f>
        <v>C005</v>
      </c>
      <c r="C55" s="2" t="str">
        <f>INDEX(calc_lines!$O$2:$O$967,MATCH($A55,calc_lines!$A$2:$A$967,0))</f>
        <v>模拟_青禾小学食堂</v>
      </c>
      <c r="D55" s="3">
        <f>INDEX(calc_lines!$D$2:$D$967,MATCH($A55,calc_lines!$A$2:$A$967,0))</f>
        <v>46276</v>
      </c>
      <c r="E55" s="2">
        <f>COUNTIF(calc_lines!$A$2:$A$967,$A55)</f>
        <v>7</v>
      </c>
      <c r="F55" s="2">
        <f>COUNTIFS(calc_lines!$A$2:$A$967,$A55,calc_lines!$W$2:$W$967,"阻断")</f>
        <v>0</v>
      </c>
      <c r="G55" s="6">
        <f>IF($F55&gt;0,"",ROUND(SUMIF(calc_lines!$A$2:$A$967,$A55,calc_lines!$R$2:$R$967),2))</f>
        <v>449.29</v>
      </c>
      <c r="H55" s="6">
        <f>IF($F55&gt;0,"",ROUND(SUMIFS(fact_payments!$D$2:$D$101,fact_payments!$B$2:$B$101,$A55,fact_payments!$C$2:$C$101,"&lt;="&amp;checklist!$B$4),2))</f>
        <v>449.29</v>
      </c>
      <c r="I55" s="6">
        <f t="shared" si="2"/>
        <v>0</v>
      </c>
      <c r="J55" s="2" t="str">
        <f t="shared" si="3"/>
        <v>已结清</v>
      </c>
    </row>
    <row r="56" spans="1:10" ht="15">
      <c r="A56" s="2" t="s">
        <v>92</v>
      </c>
      <c r="B56" s="2" t="str">
        <f>INDEX(calc_lines!$C$2:$C$967,MATCH($A56,calc_lines!$A$2:$A$967,0))</f>
        <v>C006</v>
      </c>
      <c r="C56" s="2" t="str">
        <f>INDEX(calc_lines!$O$2:$O$967,MATCH($A56,calc_lines!$A$2:$A$967,0))</f>
        <v>模拟_溪桥医院食堂</v>
      </c>
      <c r="D56" s="3">
        <f>INDEX(calc_lines!$D$2:$D$967,MATCH($A56,calc_lines!$A$2:$A$967,0))</f>
        <v>46276</v>
      </c>
      <c r="E56" s="2">
        <f>COUNTIF(calc_lines!$A$2:$A$967,$A56)</f>
        <v>9</v>
      </c>
      <c r="F56" s="2">
        <f>COUNTIFS(calc_lines!$A$2:$A$967,$A56,calc_lines!$W$2:$W$967,"阻断")</f>
        <v>0</v>
      </c>
      <c r="G56" s="6">
        <f>IF($F56&gt;0,"",ROUND(SUMIF(calc_lines!$A$2:$A$967,$A56,calc_lines!$R$2:$R$967),2))</f>
        <v>894.99</v>
      </c>
      <c r="H56" s="6">
        <f>IF($F56&gt;0,"",ROUND(SUMIFS(fact_payments!$D$2:$D$101,fact_payments!$B$2:$B$101,$A56,fact_payments!$C$2:$C$101,"&lt;="&amp;checklist!$B$4),2))</f>
        <v>894.99</v>
      </c>
      <c r="I56" s="6">
        <f t="shared" si="2"/>
        <v>0</v>
      </c>
      <c r="J56" s="2" t="str">
        <f t="shared" si="3"/>
        <v>已结清</v>
      </c>
    </row>
    <row r="57" spans="1:10" ht="15">
      <c r="A57" s="2" t="s">
        <v>93</v>
      </c>
      <c r="B57" s="2" t="str">
        <f>INDEX(calc_lines!$C$2:$C$967,MATCH($A57,calc_lines!$A$2:$A$967,0))</f>
        <v>C001</v>
      </c>
      <c r="C57" s="2" t="str">
        <f>INDEX(calc_lines!$O$2:$O$967,MATCH($A57,calc_lines!$A$2:$A$967,0))</f>
        <v>模拟_榕树下粉面店</v>
      </c>
      <c r="D57" s="3">
        <f>INDEX(calc_lines!$D$2:$D$967,MATCH($A57,calc_lines!$A$2:$A$967,0))</f>
        <v>46277</v>
      </c>
      <c r="E57" s="2">
        <f>COUNTIF(calc_lines!$A$2:$A$967,$A57)</f>
        <v>7</v>
      </c>
      <c r="F57" s="2">
        <f>COUNTIFS(calc_lines!$A$2:$A$967,$A57,calc_lines!$W$2:$W$967,"阻断")</f>
        <v>0</v>
      </c>
      <c r="G57" s="6">
        <f>IF($F57&gt;0,"",ROUND(SUMIF(calc_lines!$A$2:$A$967,$A57,calc_lines!$R$2:$R$967),2))</f>
        <v>269.64</v>
      </c>
      <c r="H57" s="6">
        <f>IF($F57&gt;0,"",ROUND(SUMIFS(fact_payments!$D$2:$D$101,fact_payments!$B$2:$B$101,$A57,fact_payments!$C$2:$C$101,"&lt;="&amp;checklist!$B$4),2))</f>
        <v>269.64</v>
      </c>
      <c r="I57" s="6">
        <f t="shared" si="2"/>
        <v>0</v>
      </c>
      <c r="J57" s="2" t="str">
        <f t="shared" si="3"/>
        <v>已结清</v>
      </c>
    </row>
    <row r="58" spans="1:10" ht="15">
      <c r="A58" s="2" t="s">
        <v>94</v>
      </c>
      <c r="B58" s="2" t="str">
        <f>INDEX(calc_lines!$C$2:$C$967,MATCH($A58,calc_lines!$A$2:$A$967,0))</f>
        <v>C002</v>
      </c>
      <c r="C58" s="2" t="str">
        <f>INDEX(calc_lines!$O$2:$O$967,MATCH($A58,calc_lines!$A$2:$A$967,0))</f>
        <v>模拟_桥头家常菜馆</v>
      </c>
      <c r="D58" s="3">
        <f>INDEX(calc_lines!$D$2:$D$967,MATCH($A58,calc_lines!$A$2:$A$967,0))</f>
        <v>46277</v>
      </c>
      <c r="E58" s="2">
        <f>COUNTIF(calc_lines!$A$2:$A$967,$A58)</f>
        <v>8</v>
      </c>
      <c r="F58" s="2">
        <f>COUNTIFS(calc_lines!$A$2:$A$967,$A58,calc_lines!$W$2:$W$967,"阻断")</f>
        <v>0</v>
      </c>
      <c r="G58" s="6">
        <f>IF($F58&gt;0,"",ROUND(SUMIF(calc_lines!$A$2:$A$967,$A58,calc_lines!$R$2:$R$967),2))</f>
        <v>571.46</v>
      </c>
      <c r="H58" s="6">
        <f>IF($F58&gt;0,"",ROUND(SUMIFS(fact_payments!$D$2:$D$101,fact_payments!$B$2:$B$101,$A58,fact_payments!$C$2:$C$101,"&lt;="&amp;checklist!$B$4),2))</f>
        <v>571.46</v>
      </c>
      <c r="I58" s="6">
        <f t="shared" si="2"/>
        <v>0</v>
      </c>
      <c r="J58" s="2" t="str">
        <f t="shared" si="3"/>
        <v>已结清</v>
      </c>
    </row>
    <row r="59" spans="1:10" ht="15">
      <c r="A59" s="2" t="s">
        <v>95</v>
      </c>
      <c r="B59" s="2" t="str">
        <f>INDEX(calc_lines!$C$2:$C$967,MATCH($A59,calc_lines!$A$2:$A$967,0))</f>
        <v>C003</v>
      </c>
      <c r="C59" s="2" t="str">
        <f>INDEX(calc_lines!$O$2:$O$967,MATCH($A59,calc_lines!$A$2:$A$967,0))</f>
        <v>模拟_兴街快餐店</v>
      </c>
      <c r="D59" s="3">
        <f>INDEX(calc_lines!$D$2:$D$967,MATCH($A59,calc_lines!$A$2:$A$967,0))</f>
        <v>46277</v>
      </c>
      <c r="E59" s="2">
        <f>COUNTIF(calc_lines!$A$2:$A$967,$A59)</f>
        <v>9</v>
      </c>
      <c r="F59" s="2">
        <f>COUNTIFS(calc_lines!$A$2:$A$967,$A59,calc_lines!$W$2:$W$967,"阻断")</f>
        <v>0</v>
      </c>
      <c r="G59" s="6">
        <f>IF($F59&gt;0,"",ROUND(SUMIF(calc_lines!$A$2:$A$967,$A59,calc_lines!$R$2:$R$967),2))</f>
        <v>911.38</v>
      </c>
      <c r="H59" s="6">
        <f>IF($F59&gt;0,"",ROUND(SUMIFS(fact_payments!$D$2:$D$101,fact_payments!$B$2:$B$101,$A59,fact_payments!$C$2:$C$101,"&lt;="&amp;checklist!$B$4),2))</f>
        <v>0</v>
      </c>
      <c r="I59" s="6">
        <f t="shared" si="2"/>
        <v>911.38</v>
      </c>
      <c r="J59" s="2" t="str">
        <f t="shared" si="3"/>
        <v>未结清</v>
      </c>
    </row>
    <row r="60" spans="1:10" ht="15">
      <c r="A60" s="2" t="s">
        <v>96</v>
      </c>
      <c r="B60" s="2" t="str">
        <f>INDEX(calc_lines!$C$2:$C$967,MATCH($A60,calc_lines!$A$2:$A$967,0))</f>
        <v>C004</v>
      </c>
      <c r="C60" s="2" t="str">
        <f>INDEX(calc_lines!$O$2:$O$967,MATCH($A60,calc_lines!$A$2:$A$967,0))</f>
        <v>模拟_田畔饭店</v>
      </c>
      <c r="D60" s="3">
        <f>INDEX(calc_lines!$D$2:$D$967,MATCH($A60,calc_lines!$A$2:$A$967,0))</f>
        <v>46277</v>
      </c>
      <c r="E60" s="2">
        <f>COUNTIF(calc_lines!$A$2:$A$967,$A60)</f>
        <v>8</v>
      </c>
      <c r="F60" s="2">
        <f>COUNTIFS(calc_lines!$A$2:$A$967,$A60,calc_lines!$W$2:$W$967,"阻断")</f>
        <v>0</v>
      </c>
      <c r="G60" s="6">
        <f>IF($F60&gt;0,"",ROUND(SUMIF(calc_lines!$A$2:$A$967,$A60,calc_lines!$R$2:$R$967),2))</f>
        <v>604.41999999999996</v>
      </c>
      <c r="H60" s="6">
        <f>IF($F60&gt;0,"",ROUND(SUMIFS(fact_payments!$D$2:$D$101,fact_payments!$B$2:$B$101,$A60,fact_payments!$C$2:$C$101,"&lt;="&amp;checklist!$B$4),2))</f>
        <v>604.41999999999996</v>
      </c>
      <c r="I60" s="6">
        <f t="shared" si="2"/>
        <v>0</v>
      </c>
      <c r="J60" s="2" t="str">
        <f t="shared" si="3"/>
        <v>已结清</v>
      </c>
    </row>
    <row r="61" spans="1:10" ht="15">
      <c r="A61" s="2" t="s">
        <v>97</v>
      </c>
      <c r="B61" s="2" t="str">
        <f>INDEX(calc_lines!$C$2:$C$967,MATCH($A61,calc_lines!$A$2:$A$967,0))</f>
        <v>C006</v>
      </c>
      <c r="C61" s="2" t="str">
        <f>INDEX(calc_lines!$O$2:$O$967,MATCH($A61,calc_lines!$A$2:$A$967,0))</f>
        <v>模拟_溪桥医院食堂</v>
      </c>
      <c r="D61" s="3">
        <f>INDEX(calc_lines!$D$2:$D$967,MATCH($A61,calc_lines!$A$2:$A$967,0))</f>
        <v>46277</v>
      </c>
      <c r="E61" s="2">
        <f>COUNTIF(calc_lines!$A$2:$A$967,$A61)</f>
        <v>6</v>
      </c>
      <c r="F61" s="2">
        <f>COUNTIFS(calc_lines!$A$2:$A$967,$A61,calc_lines!$W$2:$W$967,"阻断")</f>
        <v>0</v>
      </c>
      <c r="G61" s="6">
        <f>IF($F61&gt;0,"",ROUND(SUMIF(calc_lines!$A$2:$A$967,$A61,calc_lines!$R$2:$R$967),2))</f>
        <v>195.44</v>
      </c>
      <c r="H61" s="6">
        <f>IF($F61&gt;0,"",ROUND(SUMIFS(fact_payments!$D$2:$D$101,fact_payments!$B$2:$B$101,$A61,fact_payments!$C$2:$C$101,"&lt;="&amp;checklist!$B$4),2))</f>
        <v>195.44</v>
      </c>
      <c r="I61" s="6">
        <f t="shared" si="2"/>
        <v>0</v>
      </c>
      <c r="J61" s="2" t="str">
        <f t="shared" si="3"/>
        <v>已结清</v>
      </c>
    </row>
    <row r="62" spans="1:10" ht="15">
      <c r="A62" s="2" t="s">
        <v>98</v>
      </c>
      <c r="B62" s="2" t="str">
        <f>INDEX(calc_lines!$C$2:$C$967,MATCH($A62,calc_lines!$A$2:$A$967,0))</f>
        <v>C002</v>
      </c>
      <c r="C62" s="2" t="str">
        <f>INDEX(calc_lines!$O$2:$O$967,MATCH($A62,calc_lines!$A$2:$A$967,0))</f>
        <v>模拟_桥头家常菜馆</v>
      </c>
      <c r="D62" s="3">
        <f>INDEX(calc_lines!$D$2:$D$967,MATCH($A62,calc_lines!$A$2:$A$967,0))</f>
        <v>46278</v>
      </c>
      <c r="E62" s="2">
        <f>COUNTIF(calc_lines!$A$2:$A$967,$A62)</f>
        <v>5</v>
      </c>
      <c r="F62" s="2">
        <f>COUNTIFS(calc_lines!$A$2:$A$967,$A62,calc_lines!$W$2:$W$967,"阻断")</f>
        <v>0</v>
      </c>
      <c r="G62" s="6">
        <f>IF($F62&gt;0,"",ROUND(SUMIF(calc_lines!$A$2:$A$967,$A62,calc_lines!$R$2:$R$967),2))</f>
        <v>160.62</v>
      </c>
      <c r="H62" s="6">
        <f>IF($F62&gt;0,"",ROUND(SUMIFS(fact_payments!$D$2:$D$101,fact_payments!$B$2:$B$101,$A62,fact_payments!$C$2:$C$101,"&lt;="&amp;checklist!$B$4),2))</f>
        <v>160.62</v>
      </c>
      <c r="I62" s="6">
        <f t="shared" si="2"/>
        <v>0</v>
      </c>
      <c r="J62" s="2" t="str">
        <f t="shared" si="3"/>
        <v>已结清</v>
      </c>
    </row>
    <row r="63" spans="1:10" ht="15">
      <c r="A63" s="2" t="s">
        <v>99</v>
      </c>
      <c r="B63" s="2" t="str">
        <f>INDEX(calc_lines!$C$2:$C$967,MATCH($A63,calc_lines!$A$2:$A$967,0))</f>
        <v>C006</v>
      </c>
      <c r="C63" s="2" t="str">
        <f>INDEX(calc_lines!$O$2:$O$967,MATCH($A63,calc_lines!$A$2:$A$967,0))</f>
        <v>模拟_溪桥医院食堂</v>
      </c>
      <c r="D63" s="3">
        <f>INDEX(calc_lines!$D$2:$D$967,MATCH($A63,calc_lines!$A$2:$A$967,0))</f>
        <v>46278</v>
      </c>
      <c r="E63" s="2">
        <f>COUNTIF(calc_lines!$A$2:$A$967,$A63)</f>
        <v>8</v>
      </c>
      <c r="F63" s="2">
        <f>COUNTIFS(calc_lines!$A$2:$A$967,$A63,calc_lines!$W$2:$W$967,"阻断")</f>
        <v>0</v>
      </c>
      <c r="G63" s="6">
        <f>IF($F63&gt;0,"",ROUND(SUMIF(calc_lines!$A$2:$A$967,$A63,calc_lines!$R$2:$R$967),2))</f>
        <v>306.20999999999998</v>
      </c>
      <c r="H63" s="6">
        <f>IF($F63&gt;0,"",ROUND(SUMIFS(fact_payments!$D$2:$D$101,fact_payments!$B$2:$B$101,$A63,fact_payments!$C$2:$C$101,"&lt;="&amp;checklist!$B$4),2))</f>
        <v>306.20999999999998</v>
      </c>
      <c r="I63" s="6">
        <f t="shared" si="2"/>
        <v>0</v>
      </c>
      <c r="J63" s="2" t="str">
        <f t="shared" si="3"/>
        <v>已结清</v>
      </c>
    </row>
    <row r="64" spans="1:10" ht="15">
      <c r="A64" s="2" t="s">
        <v>100</v>
      </c>
      <c r="B64" s="2" t="str">
        <f>INDEX(calc_lines!$C$2:$C$967,MATCH($A64,calc_lines!$A$2:$A$967,0))</f>
        <v>C001</v>
      </c>
      <c r="C64" s="2" t="str">
        <f>INDEX(calc_lines!$O$2:$O$967,MATCH($A64,calc_lines!$A$2:$A$967,0))</f>
        <v>模拟_榕树下粉面店</v>
      </c>
      <c r="D64" s="3">
        <f>INDEX(calc_lines!$D$2:$D$967,MATCH($A64,calc_lines!$A$2:$A$967,0))</f>
        <v>46279</v>
      </c>
      <c r="E64" s="2">
        <f>COUNTIF(calc_lines!$A$2:$A$967,$A64)</f>
        <v>4</v>
      </c>
      <c r="F64" s="2">
        <f>COUNTIFS(calc_lines!$A$2:$A$967,$A64,calc_lines!$W$2:$W$967,"阻断")</f>
        <v>0</v>
      </c>
      <c r="G64" s="6">
        <f>IF($F64&gt;0,"",ROUND(SUMIF(calc_lines!$A$2:$A$967,$A64,calc_lines!$R$2:$R$967),2))</f>
        <v>48.77</v>
      </c>
      <c r="H64" s="6">
        <f>IF($F64&gt;0,"",ROUND(SUMIFS(fact_payments!$D$2:$D$101,fact_payments!$B$2:$B$101,$A64,fact_payments!$C$2:$C$101,"&lt;="&amp;checklist!$B$4),2))</f>
        <v>48.77</v>
      </c>
      <c r="I64" s="6">
        <f t="shared" si="2"/>
        <v>0</v>
      </c>
      <c r="J64" s="2" t="str">
        <f t="shared" si="3"/>
        <v>已结清</v>
      </c>
    </row>
    <row r="65" spans="1:10" ht="15">
      <c r="A65" s="2" t="s">
        <v>101</v>
      </c>
      <c r="B65" s="2" t="str">
        <f>INDEX(calc_lines!$C$2:$C$967,MATCH($A65,calc_lines!$A$2:$A$967,0))</f>
        <v>C003</v>
      </c>
      <c r="C65" s="2" t="str">
        <f>INDEX(calc_lines!$O$2:$O$967,MATCH($A65,calc_lines!$A$2:$A$967,0))</f>
        <v>模拟_兴街快餐店</v>
      </c>
      <c r="D65" s="3">
        <f>INDEX(calc_lines!$D$2:$D$967,MATCH($A65,calc_lines!$A$2:$A$967,0))</f>
        <v>46279</v>
      </c>
      <c r="E65" s="2">
        <f>COUNTIF(calc_lines!$A$2:$A$967,$A65)</f>
        <v>6</v>
      </c>
      <c r="F65" s="2">
        <f>COUNTIFS(calc_lines!$A$2:$A$967,$A65,calc_lines!$W$2:$W$967,"阻断")</f>
        <v>0</v>
      </c>
      <c r="G65" s="6">
        <f>IF($F65&gt;0,"",ROUND(SUMIF(calc_lines!$A$2:$A$967,$A65,calc_lines!$R$2:$R$967),2))</f>
        <v>182.3</v>
      </c>
      <c r="H65" s="6">
        <f>IF($F65&gt;0,"",ROUND(SUMIFS(fact_payments!$D$2:$D$101,fact_payments!$B$2:$B$101,$A65,fact_payments!$C$2:$C$101,"&lt;="&amp;checklist!$B$4),2))</f>
        <v>0</v>
      </c>
      <c r="I65" s="6">
        <f t="shared" si="2"/>
        <v>182.3</v>
      </c>
      <c r="J65" s="2" t="str">
        <f t="shared" si="3"/>
        <v>未结清</v>
      </c>
    </row>
    <row r="66" spans="1:10" ht="15">
      <c r="A66" s="2" t="s">
        <v>102</v>
      </c>
      <c r="B66" s="2" t="str">
        <f>INDEX(calc_lines!$C$2:$C$967,MATCH($A66,calc_lines!$A$2:$A$967,0))</f>
        <v>C005</v>
      </c>
      <c r="C66" s="2" t="str">
        <f>INDEX(calc_lines!$O$2:$O$967,MATCH($A66,calc_lines!$A$2:$A$967,0))</f>
        <v>模拟_青禾小学食堂</v>
      </c>
      <c r="D66" s="3">
        <f>INDEX(calc_lines!$D$2:$D$967,MATCH($A66,calc_lines!$A$2:$A$967,0))</f>
        <v>46279</v>
      </c>
      <c r="E66" s="2">
        <f>COUNTIF(calc_lines!$A$2:$A$967,$A66)</f>
        <v>7</v>
      </c>
      <c r="F66" s="2">
        <f>COUNTIFS(calc_lines!$A$2:$A$967,$A66,calc_lines!$W$2:$W$967,"阻断")</f>
        <v>0</v>
      </c>
      <c r="G66" s="6">
        <f>IF($F66&gt;0,"",ROUND(SUMIF(calc_lines!$A$2:$A$967,$A66,calc_lines!$R$2:$R$967),2))</f>
        <v>223.53</v>
      </c>
      <c r="H66" s="6">
        <f>IF($F66&gt;0,"",ROUND(SUMIFS(fact_payments!$D$2:$D$101,fact_payments!$B$2:$B$101,$A66,fact_payments!$C$2:$C$101,"&lt;="&amp;checklist!$B$4),2))</f>
        <v>223.53</v>
      </c>
      <c r="I66" s="6">
        <f t="shared" ref="I66:I97" si="4">IF($F66&gt;0,"",$G66-$H66)</f>
        <v>0</v>
      </c>
      <c r="J66" s="2" t="str">
        <f t="shared" ref="J66:J97" si="5">IF($F66&gt;0,"暂缓",IF($I66=0,"已结清","未结清"))</f>
        <v>已结清</v>
      </c>
    </row>
    <row r="67" spans="1:10" ht="15">
      <c r="A67" s="2" t="s">
        <v>103</v>
      </c>
      <c r="B67" s="2" t="str">
        <f>INDEX(calc_lines!$C$2:$C$967,MATCH($A67,calc_lines!$A$2:$A$967,0))</f>
        <v>C006</v>
      </c>
      <c r="C67" s="2" t="str">
        <f>INDEX(calc_lines!$O$2:$O$967,MATCH($A67,calc_lines!$A$2:$A$967,0))</f>
        <v>模拟_溪桥医院食堂</v>
      </c>
      <c r="D67" s="3">
        <f>INDEX(calc_lines!$D$2:$D$967,MATCH($A67,calc_lines!$A$2:$A$967,0))</f>
        <v>46279</v>
      </c>
      <c r="E67" s="2">
        <f>COUNTIF(calc_lines!$A$2:$A$967,$A67)</f>
        <v>6</v>
      </c>
      <c r="F67" s="2">
        <f>COUNTIFS(calc_lines!$A$2:$A$967,$A67,calc_lines!$W$2:$W$967,"阻断")</f>
        <v>0</v>
      </c>
      <c r="G67" s="6">
        <f>IF($F67&gt;0,"",ROUND(SUMIF(calc_lines!$A$2:$A$967,$A67,calc_lines!$R$2:$R$967),2))</f>
        <v>191.42</v>
      </c>
      <c r="H67" s="6">
        <f>IF($F67&gt;0,"",ROUND(SUMIFS(fact_payments!$D$2:$D$101,fact_payments!$B$2:$B$101,$A67,fact_payments!$C$2:$C$101,"&lt;="&amp;checklist!$B$4),2))</f>
        <v>3.37</v>
      </c>
      <c r="I67" s="6">
        <f t="shared" si="4"/>
        <v>188.04999999999998</v>
      </c>
      <c r="J67" s="2" t="str">
        <f t="shared" si="5"/>
        <v>未结清</v>
      </c>
    </row>
    <row r="68" spans="1:10" ht="15">
      <c r="A68" s="2" t="s">
        <v>104</v>
      </c>
      <c r="B68" s="2" t="str">
        <f>INDEX(calc_lines!$C$2:$C$967,MATCH($A68,calc_lines!$A$2:$A$967,0))</f>
        <v>C001</v>
      </c>
      <c r="C68" s="2" t="str">
        <f>INDEX(calc_lines!$O$2:$O$967,MATCH($A68,calc_lines!$A$2:$A$967,0))</f>
        <v>模拟_榕树下粉面店</v>
      </c>
      <c r="D68" s="3">
        <f>INDEX(calc_lines!$D$2:$D$967,MATCH($A68,calc_lines!$A$2:$A$967,0))</f>
        <v>46280</v>
      </c>
      <c r="E68" s="2">
        <f>COUNTIF(calc_lines!$A$2:$A$967,$A68)</f>
        <v>6</v>
      </c>
      <c r="F68" s="2">
        <f>COUNTIFS(calc_lines!$A$2:$A$967,$A68,calc_lines!$W$2:$W$967,"阻断")</f>
        <v>0</v>
      </c>
      <c r="G68" s="6">
        <f>IF($F68&gt;0,"",ROUND(SUMIF(calc_lines!$A$2:$A$967,$A68,calc_lines!$R$2:$R$967),2))</f>
        <v>76.59</v>
      </c>
      <c r="H68" s="6">
        <f>IF($F68&gt;0,"",ROUND(SUMIFS(fact_payments!$D$2:$D$101,fact_payments!$B$2:$B$101,$A68,fact_payments!$C$2:$C$101,"&lt;="&amp;checklist!$B$4),2))</f>
        <v>76.59</v>
      </c>
      <c r="I68" s="6">
        <f t="shared" si="4"/>
        <v>0</v>
      </c>
      <c r="J68" s="2" t="str">
        <f t="shared" si="5"/>
        <v>已结清</v>
      </c>
    </row>
    <row r="69" spans="1:10" ht="15">
      <c r="A69" s="2" t="s">
        <v>105</v>
      </c>
      <c r="B69" s="2" t="str">
        <f>INDEX(calc_lines!$C$2:$C$967,MATCH($A69,calc_lines!$A$2:$A$967,0))</f>
        <v>C002</v>
      </c>
      <c r="C69" s="2" t="str">
        <f>INDEX(calc_lines!$O$2:$O$967,MATCH($A69,calc_lines!$A$2:$A$967,0))</f>
        <v>模拟_桥头家常菜馆</v>
      </c>
      <c r="D69" s="3">
        <f>INDEX(calc_lines!$D$2:$D$967,MATCH($A69,calc_lines!$A$2:$A$967,0))</f>
        <v>46280</v>
      </c>
      <c r="E69" s="2">
        <f>COUNTIF(calc_lines!$A$2:$A$967,$A69)</f>
        <v>7</v>
      </c>
      <c r="F69" s="2">
        <f>COUNTIFS(calc_lines!$A$2:$A$967,$A69,calc_lines!$W$2:$W$967,"阻断")</f>
        <v>0</v>
      </c>
      <c r="G69" s="6">
        <f>IF($F69&gt;0,"",ROUND(SUMIF(calc_lines!$A$2:$A$967,$A69,calc_lines!$R$2:$R$967),2))</f>
        <v>198.04</v>
      </c>
      <c r="H69" s="6">
        <f>IF($F69&gt;0,"",ROUND(SUMIFS(fact_payments!$D$2:$D$101,fact_payments!$B$2:$B$101,$A69,fact_payments!$C$2:$C$101,"&lt;="&amp;checklist!$B$4),2))</f>
        <v>198.04</v>
      </c>
      <c r="I69" s="6">
        <f t="shared" si="4"/>
        <v>0</v>
      </c>
      <c r="J69" s="2" t="str">
        <f t="shared" si="5"/>
        <v>已结清</v>
      </c>
    </row>
    <row r="70" spans="1:10" ht="15">
      <c r="A70" s="2" t="s">
        <v>106</v>
      </c>
      <c r="B70" s="2" t="str">
        <f>INDEX(calc_lines!$C$2:$C$967,MATCH($A70,calc_lines!$A$2:$A$967,0))</f>
        <v>C003</v>
      </c>
      <c r="C70" s="2" t="str">
        <f>INDEX(calc_lines!$O$2:$O$967,MATCH($A70,calc_lines!$A$2:$A$967,0))</f>
        <v>模拟_兴街快餐店</v>
      </c>
      <c r="D70" s="3">
        <f>INDEX(calc_lines!$D$2:$D$967,MATCH($A70,calc_lines!$A$2:$A$967,0))</f>
        <v>46280</v>
      </c>
      <c r="E70" s="2">
        <f>COUNTIF(calc_lines!$A$2:$A$967,$A70)</f>
        <v>8</v>
      </c>
      <c r="F70" s="2">
        <f>COUNTIFS(calc_lines!$A$2:$A$967,$A70,calc_lines!$W$2:$W$967,"阻断")</f>
        <v>0</v>
      </c>
      <c r="G70" s="6">
        <f>IF($F70&gt;0,"",ROUND(SUMIF(calc_lines!$A$2:$A$967,$A70,calc_lines!$R$2:$R$967),2))</f>
        <v>243.45</v>
      </c>
      <c r="H70" s="6">
        <f>IF($F70&gt;0,"",ROUND(SUMIFS(fact_payments!$D$2:$D$101,fact_payments!$B$2:$B$101,$A70,fact_payments!$C$2:$C$101,"&lt;="&amp;checklist!$B$4),2))</f>
        <v>0</v>
      </c>
      <c r="I70" s="6">
        <f t="shared" si="4"/>
        <v>243.45</v>
      </c>
      <c r="J70" s="2" t="str">
        <f t="shared" si="5"/>
        <v>未结清</v>
      </c>
    </row>
    <row r="71" spans="1:10" ht="15">
      <c r="A71" s="2" t="s">
        <v>107</v>
      </c>
      <c r="B71" s="2" t="str">
        <f>INDEX(calc_lines!$C$2:$C$967,MATCH($A71,calc_lines!$A$2:$A$967,0))</f>
        <v>C004</v>
      </c>
      <c r="C71" s="2" t="str">
        <f>INDEX(calc_lines!$O$2:$O$967,MATCH($A71,calc_lines!$A$2:$A$967,0))</f>
        <v>模拟_田畔饭店</v>
      </c>
      <c r="D71" s="3">
        <f>INDEX(calc_lines!$D$2:$D$967,MATCH($A71,calc_lines!$A$2:$A$967,0))</f>
        <v>46280</v>
      </c>
      <c r="E71" s="2">
        <f>COUNTIF(calc_lines!$A$2:$A$967,$A71)</f>
        <v>8</v>
      </c>
      <c r="F71" s="2">
        <f>COUNTIFS(calc_lines!$A$2:$A$967,$A71,calc_lines!$W$2:$W$967,"阻断")</f>
        <v>0</v>
      </c>
      <c r="G71" s="6">
        <f>IF($F71&gt;0,"",ROUND(SUMIF(calc_lines!$A$2:$A$967,$A71,calc_lines!$R$2:$R$967),2))</f>
        <v>241.64</v>
      </c>
      <c r="H71" s="6">
        <f>IF($F71&gt;0,"",ROUND(SUMIFS(fact_payments!$D$2:$D$101,fact_payments!$B$2:$B$101,$A71,fact_payments!$C$2:$C$101,"&lt;="&amp;checklist!$B$4),2))</f>
        <v>241.64</v>
      </c>
      <c r="I71" s="6">
        <f t="shared" si="4"/>
        <v>0</v>
      </c>
      <c r="J71" s="2" t="str">
        <f t="shared" si="5"/>
        <v>已结清</v>
      </c>
    </row>
    <row r="72" spans="1:10" ht="15">
      <c r="A72" s="2" t="s">
        <v>108</v>
      </c>
      <c r="B72" s="2" t="str">
        <f>INDEX(calc_lines!$C$2:$C$967,MATCH($A72,calc_lines!$A$2:$A$967,0))</f>
        <v>C005</v>
      </c>
      <c r="C72" s="2" t="str">
        <f>INDEX(calc_lines!$O$2:$O$967,MATCH($A72,calc_lines!$A$2:$A$967,0))</f>
        <v>模拟_青禾小学食堂</v>
      </c>
      <c r="D72" s="3">
        <f>INDEX(calc_lines!$D$2:$D$967,MATCH($A72,calc_lines!$A$2:$A$967,0))</f>
        <v>46280</v>
      </c>
      <c r="E72" s="2">
        <f>COUNTIF(calc_lines!$A$2:$A$967,$A72)</f>
        <v>9</v>
      </c>
      <c r="F72" s="2">
        <f>COUNTIFS(calc_lines!$A$2:$A$967,$A72,calc_lines!$W$2:$W$967,"阻断")</f>
        <v>0</v>
      </c>
      <c r="G72" s="6">
        <f>IF($F72&gt;0,"",ROUND(SUMIF(calc_lines!$A$2:$A$967,$A72,calc_lines!$R$2:$R$967),2))</f>
        <v>1200.23</v>
      </c>
      <c r="H72" s="6">
        <f>IF($F72&gt;0,"",ROUND(SUMIFS(fact_payments!$D$2:$D$101,fact_payments!$B$2:$B$101,$A72,fact_payments!$C$2:$C$101,"&lt;="&amp;checklist!$B$4),2))</f>
        <v>209.92</v>
      </c>
      <c r="I72" s="6">
        <f t="shared" si="4"/>
        <v>990.31000000000006</v>
      </c>
      <c r="J72" s="2" t="str">
        <f t="shared" si="5"/>
        <v>未结清</v>
      </c>
    </row>
    <row r="73" spans="1:10" ht="15">
      <c r="A73" s="2" t="s">
        <v>109</v>
      </c>
      <c r="B73" s="2" t="str">
        <f>INDEX(calc_lines!$C$2:$C$967,MATCH($A73,calc_lines!$A$2:$A$967,0))</f>
        <v>C006</v>
      </c>
      <c r="C73" s="2" t="str">
        <f>INDEX(calc_lines!$O$2:$O$967,MATCH($A73,calc_lines!$A$2:$A$967,0))</f>
        <v>模拟_溪桥医院食堂</v>
      </c>
      <c r="D73" s="3">
        <f>INDEX(calc_lines!$D$2:$D$967,MATCH($A73,calc_lines!$A$2:$A$967,0))</f>
        <v>46280</v>
      </c>
      <c r="E73" s="2">
        <f>COUNTIF(calc_lines!$A$2:$A$967,$A73)</f>
        <v>7</v>
      </c>
      <c r="F73" s="2">
        <f>COUNTIFS(calc_lines!$A$2:$A$967,$A73,calc_lines!$W$2:$W$967,"阻断")</f>
        <v>0</v>
      </c>
      <c r="G73" s="6">
        <f>IF($F73&gt;0,"",ROUND(SUMIF(calc_lines!$A$2:$A$967,$A73,calc_lines!$R$2:$R$967),2))</f>
        <v>288.77</v>
      </c>
      <c r="H73" s="6">
        <f>IF($F73&gt;0,"",ROUND(SUMIFS(fact_payments!$D$2:$D$101,fact_payments!$B$2:$B$101,$A73,fact_payments!$C$2:$C$101,"&lt;="&amp;checklist!$B$4),2))</f>
        <v>0</v>
      </c>
      <c r="I73" s="6">
        <f t="shared" si="4"/>
        <v>288.77</v>
      </c>
      <c r="J73" s="2" t="str">
        <f t="shared" si="5"/>
        <v>未结清</v>
      </c>
    </row>
    <row r="74" spans="1:10" ht="15">
      <c r="A74" s="2" t="s">
        <v>110</v>
      </c>
      <c r="B74" s="2" t="str">
        <f>INDEX(calc_lines!$C$2:$C$967,MATCH($A74,calc_lines!$A$2:$A$967,0))</f>
        <v>C001</v>
      </c>
      <c r="C74" s="2" t="str">
        <f>INDEX(calc_lines!$O$2:$O$967,MATCH($A74,calc_lines!$A$2:$A$967,0))</f>
        <v>模拟_榕树下粉面店</v>
      </c>
      <c r="D74" s="3">
        <f>INDEX(calc_lines!$D$2:$D$967,MATCH($A74,calc_lines!$A$2:$A$967,0))</f>
        <v>46281</v>
      </c>
      <c r="E74" s="2">
        <f>COUNTIF(calc_lines!$A$2:$A$967,$A74)</f>
        <v>4</v>
      </c>
      <c r="F74" s="2">
        <f>COUNTIFS(calc_lines!$A$2:$A$967,$A74,calc_lines!$W$2:$W$967,"阻断")</f>
        <v>0</v>
      </c>
      <c r="G74" s="6">
        <f>IF($F74&gt;0,"",ROUND(SUMIF(calc_lines!$A$2:$A$967,$A74,calc_lines!$R$2:$R$967),2))</f>
        <v>51.11</v>
      </c>
      <c r="H74" s="6">
        <f>IF($F74&gt;0,"",ROUND(SUMIFS(fact_payments!$D$2:$D$101,fact_payments!$B$2:$B$101,$A74,fact_payments!$C$2:$C$101,"&lt;="&amp;checklist!$B$4),2))</f>
        <v>51.11</v>
      </c>
      <c r="I74" s="6">
        <f t="shared" si="4"/>
        <v>0</v>
      </c>
      <c r="J74" s="2" t="str">
        <f t="shared" si="5"/>
        <v>已结清</v>
      </c>
    </row>
    <row r="75" spans="1:10" ht="15">
      <c r="A75" s="2" t="s">
        <v>111</v>
      </c>
      <c r="B75" s="2" t="str">
        <f>INDEX(calc_lines!$C$2:$C$967,MATCH($A75,calc_lines!$A$2:$A$967,0))</f>
        <v>C002</v>
      </c>
      <c r="C75" s="2" t="str">
        <f>INDEX(calc_lines!$O$2:$O$967,MATCH($A75,calc_lines!$A$2:$A$967,0))</f>
        <v>模拟_桥头家常菜馆</v>
      </c>
      <c r="D75" s="3">
        <f>INDEX(calc_lines!$D$2:$D$967,MATCH($A75,calc_lines!$A$2:$A$967,0))</f>
        <v>46281</v>
      </c>
      <c r="E75" s="2">
        <f>COUNTIF(calc_lines!$A$2:$A$967,$A75)</f>
        <v>5</v>
      </c>
      <c r="F75" s="2">
        <f>COUNTIFS(calc_lines!$A$2:$A$967,$A75,calc_lines!$W$2:$W$967,"阻断")</f>
        <v>0</v>
      </c>
      <c r="G75" s="6">
        <f>IF($F75&gt;0,"",ROUND(SUMIF(calc_lines!$A$2:$A$967,$A75,calc_lines!$R$2:$R$967),2))</f>
        <v>111.5</v>
      </c>
      <c r="H75" s="6">
        <f>IF($F75&gt;0,"",ROUND(SUMIFS(fact_payments!$D$2:$D$101,fact_payments!$B$2:$B$101,$A75,fact_payments!$C$2:$C$101,"&lt;="&amp;checklist!$B$4),2))</f>
        <v>111.5</v>
      </c>
      <c r="I75" s="6">
        <f t="shared" si="4"/>
        <v>0</v>
      </c>
      <c r="J75" s="2" t="str">
        <f t="shared" si="5"/>
        <v>已结清</v>
      </c>
    </row>
    <row r="76" spans="1:10" ht="15">
      <c r="A76" s="2" t="s">
        <v>112</v>
      </c>
      <c r="B76" s="2" t="str">
        <f>INDEX(calc_lines!$C$2:$C$967,MATCH($A76,calc_lines!$A$2:$A$967,0))</f>
        <v>C003</v>
      </c>
      <c r="C76" s="2" t="str">
        <f>INDEX(calc_lines!$O$2:$O$967,MATCH($A76,calc_lines!$A$2:$A$967,0))</f>
        <v>模拟_兴街快餐店</v>
      </c>
      <c r="D76" s="3">
        <f>INDEX(calc_lines!$D$2:$D$967,MATCH($A76,calc_lines!$A$2:$A$967,0))</f>
        <v>46281</v>
      </c>
      <c r="E76" s="2">
        <f>COUNTIF(calc_lines!$A$2:$A$967,$A76)</f>
        <v>6</v>
      </c>
      <c r="F76" s="2">
        <f>COUNTIFS(calc_lines!$A$2:$A$967,$A76,calc_lines!$W$2:$W$967,"阻断")</f>
        <v>0</v>
      </c>
      <c r="G76" s="6">
        <f>IF($F76&gt;0,"",ROUND(SUMIF(calc_lines!$A$2:$A$967,$A76,calc_lines!$R$2:$R$967),2))</f>
        <v>151.65</v>
      </c>
      <c r="H76" s="6">
        <f>IF($F76&gt;0,"",ROUND(SUMIFS(fact_payments!$D$2:$D$101,fact_payments!$B$2:$B$101,$A76,fact_payments!$C$2:$C$101,"&lt;="&amp;checklist!$B$4),2))</f>
        <v>0</v>
      </c>
      <c r="I76" s="6">
        <f t="shared" si="4"/>
        <v>151.65</v>
      </c>
      <c r="J76" s="2" t="str">
        <f t="shared" si="5"/>
        <v>未结清</v>
      </c>
    </row>
    <row r="77" spans="1:10" ht="15">
      <c r="A77" s="2" t="s">
        <v>113</v>
      </c>
      <c r="B77" s="2" t="str">
        <f>INDEX(calc_lines!$C$2:$C$967,MATCH($A77,calc_lines!$A$2:$A$967,0))</f>
        <v>C005</v>
      </c>
      <c r="C77" s="2" t="str">
        <f>INDEX(calc_lines!$O$2:$O$967,MATCH($A77,calc_lines!$A$2:$A$967,0))</f>
        <v>模拟_青禾小学食堂</v>
      </c>
      <c r="D77" s="3">
        <f>INDEX(calc_lines!$D$2:$D$967,MATCH($A77,calc_lines!$A$2:$A$967,0))</f>
        <v>46281</v>
      </c>
      <c r="E77" s="2">
        <f>COUNTIF(calc_lines!$A$2:$A$967,$A77)</f>
        <v>6</v>
      </c>
      <c r="F77" s="2">
        <f>COUNTIFS(calc_lines!$A$2:$A$967,$A77,calc_lines!$W$2:$W$967,"阻断")</f>
        <v>0</v>
      </c>
      <c r="G77" s="6">
        <f>IF($F77&gt;0,"",ROUND(SUMIF(calc_lines!$A$2:$A$967,$A77,calc_lines!$R$2:$R$967),2))</f>
        <v>210.9</v>
      </c>
      <c r="H77" s="6">
        <f>IF($F77&gt;0,"",ROUND(SUMIFS(fact_payments!$D$2:$D$101,fact_payments!$B$2:$B$101,$A77,fact_payments!$C$2:$C$101,"&lt;="&amp;checklist!$B$4),2))</f>
        <v>0</v>
      </c>
      <c r="I77" s="6">
        <f t="shared" si="4"/>
        <v>210.9</v>
      </c>
      <c r="J77" s="2" t="str">
        <f t="shared" si="5"/>
        <v>未结清</v>
      </c>
    </row>
    <row r="78" spans="1:10" ht="15">
      <c r="A78" s="2" t="s">
        <v>114</v>
      </c>
      <c r="B78" s="2" t="str">
        <f>INDEX(calc_lines!$C$2:$C$967,MATCH($A78,calc_lines!$A$2:$A$967,0))</f>
        <v>C006</v>
      </c>
      <c r="C78" s="2" t="str">
        <f>INDEX(calc_lines!$O$2:$O$967,MATCH($A78,calc_lines!$A$2:$A$967,0))</f>
        <v>模拟_溪桥医院食堂</v>
      </c>
      <c r="D78" s="3">
        <f>INDEX(calc_lines!$D$2:$D$967,MATCH($A78,calc_lines!$A$2:$A$967,0))</f>
        <v>46281</v>
      </c>
      <c r="E78" s="2">
        <f>COUNTIF(calc_lines!$A$2:$A$967,$A78)</f>
        <v>9</v>
      </c>
      <c r="F78" s="2">
        <f>COUNTIFS(calc_lines!$A$2:$A$967,$A78,calc_lines!$W$2:$W$967,"阻断")</f>
        <v>0</v>
      </c>
      <c r="G78" s="6">
        <f>IF($F78&gt;0,"",ROUND(SUMIF(calc_lines!$A$2:$A$967,$A78,calc_lines!$R$2:$R$967),2))</f>
        <v>793.69</v>
      </c>
      <c r="H78" s="6">
        <f>IF($F78&gt;0,"",ROUND(SUMIFS(fact_payments!$D$2:$D$101,fact_payments!$B$2:$B$101,$A78,fact_payments!$C$2:$C$101,"&lt;="&amp;checklist!$B$4),2))</f>
        <v>0</v>
      </c>
      <c r="I78" s="6">
        <f t="shared" si="4"/>
        <v>793.69</v>
      </c>
      <c r="J78" s="2" t="str">
        <f t="shared" si="5"/>
        <v>未结清</v>
      </c>
    </row>
    <row r="79" spans="1:10" ht="15">
      <c r="A79" s="2" t="s">
        <v>115</v>
      </c>
      <c r="B79" s="2" t="str">
        <f>INDEX(calc_lines!$C$2:$C$967,MATCH($A79,calc_lines!$A$2:$A$967,0))</f>
        <v>C001</v>
      </c>
      <c r="C79" s="2" t="str">
        <f>INDEX(calc_lines!$O$2:$O$967,MATCH($A79,calc_lines!$A$2:$A$967,0))</f>
        <v>模拟_榕树下粉面店</v>
      </c>
      <c r="D79" s="3">
        <f>INDEX(calc_lines!$D$2:$D$967,MATCH($A79,calc_lines!$A$2:$A$967,0))</f>
        <v>46282</v>
      </c>
      <c r="E79" s="2">
        <f>COUNTIF(calc_lines!$A$2:$A$967,$A79)</f>
        <v>5</v>
      </c>
      <c r="F79" s="2">
        <f>COUNTIFS(calc_lines!$A$2:$A$967,$A79,calc_lines!$W$2:$W$967,"阻断")</f>
        <v>0</v>
      </c>
      <c r="G79" s="6">
        <f>IF($F79&gt;0,"",ROUND(SUMIF(calc_lines!$A$2:$A$967,$A79,calc_lines!$R$2:$R$967),2))</f>
        <v>84.88</v>
      </c>
      <c r="H79" s="6">
        <f>IF($F79&gt;0,"",ROUND(SUMIFS(fact_payments!$D$2:$D$101,fact_payments!$B$2:$B$101,$A79,fact_payments!$C$2:$C$101,"&lt;="&amp;checklist!$B$4),2))</f>
        <v>84.88</v>
      </c>
      <c r="I79" s="6">
        <f t="shared" si="4"/>
        <v>0</v>
      </c>
      <c r="J79" s="2" t="str">
        <f t="shared" si="5"/>
        <v>已结清</v>
      </c>
    </row>
    <row r="80" spans="1:10" ht="15">
      <c r="A80" s="2" t="s">
        <v>116</v>
      </c>
      <c r="B80" s="2" t="str">
        <f>INDEX(calc_lines!$C$2:$C$967,MATCH($A80,calc_lines!$A$2:$A$967,0))</f>
        <v>C002</v>
      </c>
      <c r="C80" s="2" t="str">
        <f>INDEX(calc_lines!$O$2:$O$967,MATCH($A80,calc_lines!$A$2:$A$967,0))</f>
        <v>模拟_桥头家常菜馆</v>
      </c>
      <c r="D80" s="3">
        <f>INDEX(calc_lines!$D$2:$D$967,MATCH($A80,calc_lines!$A$2:$A$967,0))</f>
        <v>46282</v>
      </c>
      <c r="E80" s="2">
        <f>COUNTIF(calc_lines!$A$2:$A$967,$A80)</f>
        <v>6</v>
      </c>
      <c r="F80" s="2">
        <f>COUNTIFS(calc_lines!$A$2:$A$967,$A80,calc_lines!$W$2:$W$967,"阻断")</f>
        <v>0</v>
      </c>
      <c r="G80" s="6">
        <f>IF($F80&gt;0,"",ROUND(SUMIF(calc_lines!$A$2:$A$967,$A80,calc_lines!$R$2:$R$967),2))</f>
        <v>157.94</v>
      </c>
      <c r="H80" s="6">
        <f>IF($F80&gt;0,"",ROUND(SUMIFS(fact_payments!$D$2:$D$101,fact_payments!$B$2:$B$101,$A80,fact_payments!$C$2:$C$101,"&lt;="&amp;checklist!$B$4),2))</f>
        <v>157.94</v>
      </c>
      <c r="I80" s="6">
        <f t="shared" si="4"/>
        <v>0</v>
      </c>
      <c r="J80" s="2" t="str">
        <f t="shared" si="5"/>
        <v>已结清</v>
      </c>
    </row>
    <row r="81" spans="1:10" ht="15">
      <c r="A81" s="2" t="s">
        <v>117</v>
      </c>
      <c r="B81" s="2" t="str">
        <f>INDEX(calc_lines!$C$2:$C$967,MATCH($A81,calc_lines!$A$2:$A$967,0))</f>
        <v>C003</v>
      </c>
      <c r="C81" s="2" t="str">
        <f>INDEX(calc_lines!$O$2:$O$967,MATCH($A81,calc_lines!$A$2:$A$967,0))</f>
        <v>模拟_兴街快餐店</v>
      </c>
      <c r="D81" s="3">
        <f>INDEX(calc_lines!$D$2:$D$967,MATCH($A81,calc_lines!$A$2:$A$967,0))</f>
        <v>46282</v>
      </c>
      <c r="E81" s="2">
        <f>COUNTIF(calc_lines!$A$2:$A$967,$A81)</f>
        <v>7</v>
      </c>
      <c r="F81" s="2">
        <f>COUNTIFS(calc_lines!$A$2:$A$967,$A81,calc_lines!$W$2:$W$967,"阻断")</f>
        <v>0</v>
      </c>
      <c r="G81" s="6">
        <f>IF($F81&gt;0,"",ROUND(SUMIF(calc_lines!$A$2:$A$967,$A81,calc_lines!$R$2:$R$967),2))</f>
        <v>252.22</v>
      </c>
      <c r="H81" s="6">
        <f>IF($F81&gt;0,"",ROUND(SUMIFS(fact_payments!$D$2:$D$101,fact_payments!$B$2:$B$101,$A81,fact_payments!$C$2:$C$101,"&lt;="&amp;checklist!$B$4),2))</f>
        <v>0</v>
      </c>
      <c r="I81" s="6">
        <f t="shared" si="4"/>
        <v>252.22</v>
      </c>
      <c r="J81" s="2" t="str">
        <f t="shared" si="5"/>
        <v>未结清</v>
      </c>
    </row>
    <row r="82" spans="1:10" ht="15">
      <c r="A82" s="2" t="s">
        <v>118</v>
      </c>
      <c r="B82" s="2" t="str">
        <f>INDEX(calc_lines!$C$2:$C$967,MATCH($A82,calc_lines!$A$2:$A$967,0))</f>
        <v>C004</v>
      </c>
      <c r="C82" s="2" t="str">
        <f>INDEX(calc_lines!$O$2:$O$967,MATCH($A82,calc_lines!$A$2:$A$967,0))</f>
        <v>模拟_田畔饭店</v>
      </c>
      <c r="D82" s="3">
        <f>INDEX(calc_lines!$D$2:$D$967,MATCH($A82,calc_lines!$A$2:$A$967,0))</f>
        <v>46282</v>
      </c>
      <c r="E82" s="2">
        <f>COUNTIF(calc_lines!$A$2:$A$967,$A82)</f>
        <v>6</v>
      </c>
      <c r="F82" s="2">
        <f>COUNTIFS(calc_lines!$A$2:$A$967,$A82,calc_lines!$W$2:$W$967,"阻断")</f>
        <v>0</v>
      </c>
      <c r="G82" s="6">
        <f>IF($F82&gt;0,"",ROUND(SUMIF(calc_lines!$A$2:$A$967,$A82,calc_lines!$R$2:$R$967),2))</f>
        <v>174.41</v>
      </c>
      <c r="H82" s="6">
        <f>IF($F82&gt;0,"",ROUND(SUMIFS(fact_payments!$D$2:$D$101,fact_payments!$B$2:$B$101,$A82,fact_payments!$C$2:$C$101,"&lt;="&amp;checklist!$B$4),2))</f>
        <v>174.41</v>
      </c>
      <c r="I82" s="6">
        <f t="shared" si="4"/>
        <v>0</v>
      </c>
      <c r="J82" s="2" t="str">
        <f t="shared" si="5"/>
        <v>已结清</v>
      </c>
    </row>
    <row r="83" spans="1:10" ht="15">
      <c r="A83" s="2" t="s">
        <v>119</v>
      </c>
      <c r="B83" s="2" t="str">
        <f>INDEX(calc_lines!$C$2:$C$967,MATCH($A83,calc_lines!$A$2:$A$967,0))</f>
        <v>C005</v>
      </c>
      <c r="C83" s="2" t="str">
        <f>INDEX(calc_lines!$O$2:$O$967,MATCH($A83,calc_lines!$A$2:$A$967,0))</f>
        <v>模拟_青禾小学食堂</v>
      </c>
      <c r="D83" s="3">
        <f>INDEX(calc_lines!$D$2:$D$967,MATCH($A83,calc_lines!$A$2:$A$967,0))</f>
        <v>46282</v>
      </c>
      <c r="E83" s="2">
        <f>COUNTIF(calc_lines!$A$2:$A$967,$A83)</f>
        <v>8</v>
      </c>
      <c r="F83" s="2">
        <f>COUNTIFS(calc_lines!$A$2:$A$967,$A83,calc_lines!$W$2:$W$967,"阻断")</f>
        <v>0</v>
      </c>
      <c r="G83" s="6">
        <f>IF($F83&gt;0,"",ROUND(SUMIF(calc_lines!$A$2:$A$967,$A83,calc_lines!$R$2:$R$967),2))</f>
        <v>450.38</v>
      </c>
      <c r="H83" s="6">
        <f>IF($F83&gt;0,"",ROUND(SUMIFS(fact_payments!$D$2:$D$101,fact_payments!$B$2:$B$101,$A83,fact_payments!$C$2:$C$101,"&lt;="&amp;checklist!$B$4),2))</f>
        <v>0</v>
      </c>
      <c r="I83" s="6">
        <f t="shared" si="4"/>
        <v>450.38</v>
      </c>
      <c r="J83" s="2" t="str">
        <f t="shared" si="5"/>
        <v>未结清</v>
      </c>
    </row>
    <row r="84" spans="1:10" ht="15">
      <c r="A84" s="2" t="s">
        <v>120</v>
      </c>
      <c r="B84" s="2" t="str">
        <f>INDEX(calc_lines!$C$2:$C$967,MATCH($A84,calc_lines!$A$2:$A$967,0))</f>
        <v>C006</v>
      </c>
      <c r="C84" s="2" t="str">
        <f>INDEX(calc_lines!$O$2:$O$967,MATCH($A84,calc_lines!$A$2:$A$967,0))</f>
        <v>模拟_溪桥医院食堂</v>
      </c>
      <c r="D84" s="3">
        <f>INDEX(calc_lines!$D$2:$D$967,MATCH($A84,calc_lines!$A$2:$A$967,0))</f>
        <v>46282</v>
      </c>
      <c r="E84" s="2">
        <f>COUNTIF(calc_lines!$A$2:$A$967,$A84)</f>
        <v>7</v>
      </c>
      <c r="F84" s="2">
        <f>COUNTIFS(calc_lines!$A$2:$A$967,$A84,calc_lines!$W$2:$W$967,"阻断")</f>
        <v>0</v>
      </c>
      <c r="G84" s="6">
        <f>IF($F84&gt;0,"",ROUND(SUMIF(calc_lines!$A$2:$A$967,$A84,calc_lines!$R$2:$R$967),2))</f>
        <v>271.04000000000002</v>
      </c>
      <c r="H84" s="6">
        <f>IF($F84&gt;0,"",ROUND(SUMIFS(fact_payments!$D$2:$D$101,fact_payments!$B$2:$B$101,$A84,fact_payments!$C$2:$C$101,"&lt;="&amp;checklist!$B$4),2))</f>
        <v>0</v>
      </c>
      <c r="I84" s="6">
        <f t="shared" si="4"/>
        <v>271.04000000000002</v>
      </c>
      <c r="J84" s="2" t="str">
        <f t="shared" si="5"/>
        <v>未结清</v>
      </c>
    </row>
    <row r="85" spans="1:10" ht="15">
      <c r="A85" s="2" t="s">
        <v>121</v>
      </c>
      <c r="B85" s="2" t="str">
        <f>INDEX(calc_lines!$C$2:$C$967,MATCH($A85,calc_lines!$A$2:$A$967,0))</f>
        <v>C001</v>
      </c>
      <c r="C85" s="2" t="str">
        <f>INDEX(calc_lines!$O$2:$O$967,MATCH($A85,calc_lines!$A$2:$A$967,0))</f>
        <v>模拟_榕树下粉面店</v>
      </c>
      <c r="D85" s="3">
        <f>INDEX(calc_lines!$D$2:$D$967,MATCH($A85,calc_lines!$A$2:$A$967,0))</f>
        <v>46283</v>
      </c>
      <c r="E85" s="2">
        <f>COUNTIF(calc_lines!$A$2:$A$967,$A85)</f>
        <v>7</v>
      </c>
      <c r="F85" s="2">
        <f>COUNTIFS(calc_lines!$A$2:$A$967,$A85,calc_lines!$W$2:$W$967,"阻断")</f>
        <v>0</v>
      </c>
      <c r="G85" s="6">
        <f>IF($F85&gt;0,"",ROUND(SUMIF(calc_lines!$A$2:$A$967,$A85,calc_lines!$R$2:$R$967),2))</f>
        <v>228.98</v>
      </c>
      <c r="H85" s="6">
        <f>IF($F85&gt;0,"",ROUND(SUMIFS(fact_payments!$D$2:$D$101,fact_payments!$B$2:$B$101,$A85,fact_payments!$C$2:$C$101,"&lt;="&amp;checklist!$B$4),2))</f>
        <v>228.98</v>
      </c>
      <c r="I85" s="6">
        <f t="shared" si="4"/>
        <v>0</v>
      </c>
      <c r="J85" s="2" t="str">
        <f t="shared" si="5"/>
        <v>已结清</v>
      </c>
    </row>
    <row r="86" spans="1:10" ht="15">
      <c r="A86" s="2" t="s">
        <v>122</v>
      </c>
      <c r="B86" s="2" t="str">
        <f>INDEX(calc_lines!$C$2:$C$967,MATCH($A86,calc_lines!$A$2:$A$967,0))</f>
        <v>C002</v>
      </c>
      <c r="C86" s="2" t="str">
        <f>INDEX(calc_lines!$O$2:$O$967,MATCH($A86,calc_lines!$A$2:$A$967,0))</f>
        <v>模拟_桥头家常菜馆</v>
      </c>
      <c r="D86" s="3">
        <f>INDEX(calc_lines!$D$2:$D$967,MATCH($A86,calc_lines!$A$2:$A$967,0))</f>
        <v>46283</v>
      </c>
      <c r="E86" s="2">
        <f>COUNTIF(calc_lines!$A$2:$A$967,$A86)</f>
        <v>8</v>
      </c>
      <c r="F86" s="2">
        <f>COUNTIFS(calc_lines!$A$2:$A$967,$A86,calc_lines!$W$2:$W$967,"阻断")</f>
        <v>0</v>
      </c>
      <c r="G86" s="6">
        <f>IF($F86&gt;0,"",ROUND(SUMIF(calc_lines!$A$2:$A$967,$A86,calc_lines!$R$2:$R$967),2))</f>
        <v>598.04999999999995</v>
      </c>
      <c r="H86" s="6">
        <f>IF($F86&gt;0,"",ROUND(SUMIFS(fact_payments!$D$2:$D$101,fact_payments!$B$2:$B$101,$A86,fact_payments!$C$2:$C$101,"&lt;="&amp;checklist!$B$4),2))</f>
        <v>598.04999999999995</v>
      </c>
      <c r="I86" s="6">
        <f t="shared" si="4"/>
        <v>0</v>
      </c>
      <c r="J86" s="2" t="str">
        <f t="shared" si="5"/>
        <v>已结清</v>
      </c>
    </row>
    <row r="87" spans="1:10" ht="15">
      <c r="A87" s="2" t="s">
        <v>123</v>
      </c>
      <c r="B87" s="2" t="str">
        <f>INDEX(calc_lines!$C$2:$C$967,MATCH($A87,calc_lines!$A$2:$A$967,0))</f>
        <v>C003</v>
      </c>
      <c r="C87" s="2" t="str">
        <f>INDEX(calc_lines!$O$2:$O$967,MATCH($A87,calc_lines!$A$2:$A$967,0))</f>
        <v>模拟_兴街快餐店</v>
      </c>
      <c r="D87" s="3">
        <f>INDEX(calc_lines!$D$2:$D$967,MATCH($A87,calc_lines!$A$2:$A$967,0))</f>
        <v>46283</v>
      </c>
      <c r="E87" s="2">
        <f>COUNTIF(calc_lines!$A$2:$A$967,$A87)</f>
        <v>9</v>
      </c>
      <c r="F87" s="2">
        <f>COUNTIFS(calc_lines!$A$2:$A$967,$A87,calc_lines!$W$2:$W$967,"阻断")</f>
        <v>0</v>
      </c>
      <c r="G87" s="6">
        <f>IF($F87&gt;0,"",ROUND(SUMIF(calc_lines!$A$2:$A$967,$A87,calc_lines!$R$2:$R$967),2))</f>
        <v>899.36</v>
      </c>
      <c r="H87" s="6">
        <f>IF($F87&gt;0,"",ROUND(SUMIFS(fact_payments!$D$2:$D$101,fact_payments!$B$2:$B$101,$A87,fact_payments!$C$2:$C$101,"&lt;="&amp;checklist!$B$4),2))</f>
        <v>0</v>
      </c>
      <c r="I87" s="6">
        <f t="shared" si="4"/>
        <v>899.36</v>
      </c>
      <c r="J87" s="2" t="str">
        <f t="shared" si="5"/>
        <v>未结清</v>
      </c>
    </row>
    <row r="88" spans="1:10" ht="15">
      <c r="A88" s="2" t="s">
        <v>124</v>
      </c>
      <c r="B88" s="2" t="str">
        <f>INDEX(calc_lines!$C$2:$C$967,MATCH($A88,calc_lines!$A$2:$A$967,0))</f>
        <v>C005</v>
      </c>
      <c r="C88" s="2" t="str">
        <f>INDEX(calc_lines!$O$2:$O$967,MATCH($A88,calc_lines!$A$2:$A$967,0))</f>
        <v>模拟_青禾小学食堂</v>
      </c>
      <c r="D88" s="3">
        <f>INDEX(calc_lines!$D$2:$D$967,MATCH($A88,calc_lines!$A$2:$A$967,0))</f>
        <v>46283</v>
      </c>
      <c r="E88" s="2">
        <f>COUNTIF(calc_lines!$A$2:$A$967,$A88)</f>
        <v>6</v>
      </c>
      <c r="F88" s="2">
        <f>COUNTIFS(calc_lines!$A$2:$A$967,$A88,calc_lines!$W$2:$W$967,"阻断")</f>
        <v>0</v>
      </c>
      <c r="G88" s="6">
        <f>IF($F88&gt;0,"",ROUND(SUMIF(calc_lines!$A$2:$A$967,$A88,calc_lines!$R$2:$R$967),2))</f>
        <v>254.35</v>
      </c>
      <c r="H88" s="6">
        <f>IF($F88&gt;0,"",ROUND(SUMIFS(fact_payments!$D$2:$D$101,fact_payments!$B$2:$B$101,$A88,fact_payments!$C$2:$C$101,"&lt;="&amp;checklist!$B$4),2))</f>
        <v>0</v>
      </c>
      <c r="I88" s="6">
        <f t="shared" si="4"/>
        <v>254.35</v>
      </c>
      <c r="J88" s="2" t="str">
        <f t="shared" si="5"/>
        <v>未结清</v>
      </c>
    </row>
    <row r="89" spans="1:10" ht="15">
      <c r="A89" s="2" t="s">
        <v>125</v>
      </c>
      <c r="B89" s="2" t="str">
        <f>INDEX(calc_lines!$C$2:$C$967,MATCH($A89,calc_lines!$A$2:$A$967,0))</f>
        <v>C006</v>
      </c>
      <c r="C89" s="2" t="str">
        <f>INDEX(calc_lines!$O$2:$O$967,MATCH($A89,calc_lines!$A$2:$A$967,0))</f>
        <v>模拟_溪桥医院食堂</v>
      </c>
      <c r="D89" s="3">
        <f>INDEX(calc_lines!$D$2:$D$967,MATCH($A89,calc_lines!$A$2:$A$967,0))</f>
        <v>46283</v>
      </c>
      <c r="E89" s="2">
        <f>COUNTIF(calc_lines!$A$2:$A$967,$A89)</f>
        <v>6</v>
      </c>
      <c r="F89" s="2">
        <f>COUNTIFS(calc_lines!$A$2:$A$967,$A89,calc_lines!$W$2:$W$967,"阻断")</f>
        <v>0</v>
      </c>
      <c r="G89" s="6">
        <f>IF($F89&gt;0,"",ROUND(SUMIF(calc_lines!$A$2:$A$967,$A89,calc_lines!$R$2:$R$967),2))</f>
        <v>206.86</v>
      </c>
      <c r="H89" s="6">
        <f>IF($F89&gt;0,"",ROUND(SUMIFS(fact_payments!$D$2:$D$101,fact_payments!$B$2:$B$101,$A89,fact_payments!$C$2:$C$101,"&lt;="&amp;checklist!$B$4),2))</f>
        <v>0</v>
      </c>
      <c r="I89" s="6">
        <f t="shared" si="4"/>
        <v>206.86</v>
      </c>
      <c r="J89" s="2" t="str">
        <f t="shared" si="5"/>
        <v>未结清</v>
      </c>
    </row>
    <row r="90" spans="1:10" ht="15">
      <c r="A90" s="2" t="s">
        <v>126</v>
      </c>
      <c r="B90" s="2" t="str">
        <f>INDEX(calc_lines!$C$2:$C$967,MATCH($A90,calc_lines!$A$2:$A$967,0))</f>
        <v>C001</v>
      </c>
      <c r="C90" s="2" t="str">
        <f>INDEX(calc_lines!$O$2:$O$967,MATCH($A90,calc_lines!$A$2:$A$967,0))</f>
        <v>模拟_榕树下粉面店</v>
      </c>
      <c r="D90" s="3">
        <f>INDEX(calc_lines!$D$2:$D$967,MATCH($A90,calc_lines!$A$2:$A$967,0))</f>
        <v>46284</v>
      </c>
      <c r="E90" s="2">
        <f>COUNTIF(calc_lines!$A$2:$A$967,$A90)</f>
        <v>5</v>
      </c>
      <c r="F90" s="2">
        <f>COUNTIFS(calc_lines!$A$2:$A$967,$A90,calc_lines!$W$2:$W$967,"阻断")</f>
        <v>0</v>
      </c>
      <c r="G90" s="6">
        <f>IF($F90&gt;0,"",ROUND(SUMIF(calc_lines!$A$2:$A$967,$A90,calc_lines!$R$2:$R$967),2))</f>
        <v>88.21</v>
      </c>
      <c r="H90" s="6">
        <f>IF($F90&gt;0,"",ROUND(SUMIFS(fact_payments!$D$2:$D$101,fact_payments!$B$2:$B$101,$A90,fact_payments!$C$2:$C$101,"&lt;="&amp;checklist!$B$4),2))</f>
        <v>88.21</v>
      </c>
      <c r="I90" s="6">
        <f t="shared" si="4"/>
        <v>0</v>
      </c>
      <c r="J90" s="2" t="str">
        <f t="shared" si="5"/>
        <v>已结清</v>
      </c>
    </row>
    <row r="91" spans="1:10" ht="15">
      <c r="A91" s="2" t="s">
        <v>127</v>
      </c>
      <c r="B91" s="2" t="str">
        <f>INDEX(calc_lines!$C$2:$C$967,MATCH($A91,calc_lines!$A$2:$A$967,0))</f>
        <v>C002</v>
      </c>
      <c r="C91" s="2" t="str">
        <f>INDEX(calc_lines!$O$2:$O$967,MATCH($A91,calc_lines!$A$2:$A$967,0))</f>
        <v>模拟_桥头家常菜馆</v>
      </c>
      <c r="D91" s="3">
        <f>INDEX(calc_lines!$D$2:$D$967,MATCH($A91,calc_lines!$A$2:$A$967,0))</f>
        <v>46284</v>
      </c>
      <c r="E91" s="2">
        <f>COUNTIF(calc_lines!$A$2:$A$967,$A91)</f>
        <v>6</v>
      </c>
      <c r="F91" s="2">
        <f>COUNTIFS(calc_lines!$A$2:$A$967,$A91,calc_lines!$W$2:$W$967,"阻断")</f>
        <v>0</v>
      </c>
      <c r="G91" s="6">
        <f>IF($F91&gt;0,"",ROUND(SUMIF(calc_lines!$A$2:$A$967,$A91,calc_lines!$R$2:$R$967),2))</f>
        <v>213.97</v>
      </c>
      <c r="H91" s="6">
        <f>IF($F91&gt;0,"",ROUND(SUMIFS(fact_payments!$D$2:$D$101,fact_payments!$B$2:$B$101,$A91,fact_payments!$C$2:$C$101,"&lt;="&amp;checklist!$B$4),2))</f>
        <v>213.97</v>
      </c>
      <c r="I91" s="6">
        <f t="shared" si="4"/>
        <v>0</v>
      </c>
      <c r="J91" s="2" t="str">
        <f t="shared" si="5"/>
        <v>已结清</v>
      </c>
    </row>
    <row r="92" spans="1:10" ht="15">
      <c r="A92" s="2" t="s">
        <v>128</v>
      </c>
      <c r="B92" s="2" t="str">
        <f>INDEX(calc_lines!$C$2:$C$967,MATCH($A92,calc_lines!$A$2:$A$967,0))</f>
        <v>C003</v>
      </c>
      <c r="C92" s="2" t="str">
        <f>INDEX(calc_lines!$O$2:$O$967,MATCH($A92,calc_lines!$A$2:$A$967,0))</f>
        <v>模拟_兴街快餐店</v>
      </c>
      <c r="D92" s="3">
        <f>INDEX(calc_lines!$D$2:$D$967,MATCH($A92,calc_lines!$A$2:$A$967,0))</f>
        <v>46284</v>
      </c>
      <c r="E92" s="2">
        <f>COUNTIF(calc_lines!$A$2:$A$967,$A92)</f>
        <v>7</v>
      </c>
      <c r="F92" s="2">
        <f>COUNTIFS(calc_lines!$A$2:$A$967,$A92,calc_lines!$W$2:$W$967,"阻断")</f>
        <v>0</v>
      </c>
      <c r="G92" s="6">
        <f>IF($F92&gt;0,"",ROUND(SUMIF(calc_lines!$A$2:$A$967,$A92,calc_lines!$R$2:$R$967),2))</f>
        <v>233.82</v>
      </c>
      <c r="H92" s="6">
        <f>IF($F92&gt;0,"",ROUND(SUMIFS(fact_payments!$D$2:$D$101,fact_payments!$B$2:$B$101,$A92,fact_payments!$C$2:$C$101,"&lt;="&amp;checklist!$B$4),2))</f>
        <v>0</v>
      </c>
      <c r="I92" s="6">
        <f t="shared" si="4"/>
        <v>233.82</v>
      </c>
      <c r="J92" s="2" t="str">
        <f t="shared" si="5"/>
        <v>未结清</v>
      </c>
    </row>
    <row r="93" spans="1:10" ht="15">
      <c r="A93" s="2" t="s">
        <v>129</v>
      </c>
      <c r="B93" s="2" t="str">
        <f>INDEX(calc_lines!$C$2:$C$967,MATCH($A93,calc_lines!$A$2:$A$967,0))</f>
        <v>C004</v>
      </c>
      <c r="C93" s="2" t="str">
        <f>INDEX(calc_lines!$O$2:$O$967,MATCH($A93,calc_lines!$A$2:$A$967,0))</f>
        <v>模拟_田畔饭店</v>
      </c>
      <c r="D93" s="3">
        <f>INDEX(calc_lines!$D$2:$D$967,MATCH($A93,calc_lines!$A$2:$A$967,0))</f>
        <v>46284</v>
      </c>
      <c r="E93" s="2">
        <f>COUNTIF(calc_lines!$A$2:$A$967,$A93)</f>
        <v>7</v>
      </c>
      <c r="F93" s="2">
        <f>COUNTIFS(calc_lines!$A$2:$A$967,$A93,calc_lines!$W$2:$W$967,"阻断")</f>
        <v>0</v>
      </c>
      <c r="G93" s="6">
        <f>IF($F93&gt;0,"",ROUND(SUMIF(calc_lines!$A$2:$A$967,$A93,calc_lines!$R$2:$R$967),2))</f>
        <v>225.56</v>
      </c>
      <c r="H93" s="6">
        <f>IF($F93&gt;0,"",ROUND(SUMIFS(fact_payments!$D$2:$D$101,fact_payments!$B$2:$B$101,$A93,fact_payments!$C$2:$C$101,"&lt;="&amp;checklist!$B$4),2))</f>
        <v>225.56</v>
      </c>
      <c r="I93" s="6">
        <f t="shared" si="4"/>
        <v>0</v>
      </c>
      <c r="J93" s="2" t="str">
        <f t="shared" si="5"/>
        <v>已结清</v>
      </c>
    </row>
    <row r="94" spans="1:10" ht="15">
      <c r="A94" s="2" t="s">
        <v>130</v>
      </c>
      <c r="B94" s="2" t="str">
        <f>INDEX(calc_lines!$C$2:$C$967,MATCH($A94,calc_lines!$A$2:$A$967,0))</f>
        <v>C006</v>
      </c>
      <c r="C94" s="2" t="str">
        <f>INDEX(calc_lines!$O$2:$O$967,MATCH($A94,calc_lines!$A$2:$A$967,0))</f>
        <v>模拟_溪桥医院食堂</v>
      </c>
      <c r="D94" s="3">
        <f>INDEX(calc_lines!$D$2:$D$967,MATCH($A94,calc_lines!$A$2:$A$967,0))</f>
        <v>46284</v>
      </c>
      <c r="E94" s="2">
        <f>COUNTIF(calc_lines!$A$2:$A$967,$A94)</f>
        <v>8</v>
      </c>
      <c r="F94" s="2">
        <f>COUNTIFS(calc_lines!$A$2:$A$967,$A94,calc_lines!$W$2:$W$967,"阻断")</f>
        <v>0</v>
      </c>
      <c r="G94" s="6">
        <f>IF($F94&gt;0,"",ROUND(SUMIF(calc_lines!$A$2:$A$967,$A94,calc_lines!$R$2:$R$967),2))</f>
        <v>305.63</v>
      </c>
      <c r="H94" s="6">
        <f>IF($F94&gt;0,"",ROUND(SUMIFS(fact_payments!$D$2:$D$101,fact_payments!$B$2:$B$101,$A94,fact_payments!$C$2:$C$101,"&lt;="&amp;checklist!$B$4),2))</f>
        <v>0</v>
      </c>
      <c r="I94" s="6">
        <f t="shared" si="4"/>
        <v>305.63</v>
      </c>
      <c r="J94" s="2" t="str">
        <f t="shared" si="5"/>
        <v>未结清</v>
      </c>
    </row>
    <row r="95" spans="1:10" ht="15">
      <c r="A95" s="2" t="s">
        <v>131</v>
      </c>
      <c r="B95" s="2" t="str">
        <f>INDEX(calc_lines!$C$2:$C$967,MATCH($A95,calc_lines!$A$2:$A$967,0))</f>
        <v>C002</v>
      </c>
      <c r="C95" s="2" t="str">
        <f>INDEX(calc_lines!$O$2:$O$967,MATCH($A95,calc_lines!$A$2:$A$967,0))</f>
        <v>模拟_桥头家常菜馆</v>
      </c>
      <c r="D95" s="3">
        <f>INDEX(calc_lines!$D$2:$D$967,MATCH($A95,calc_lines!$A$2:$A$967,0))</f>
        <v>46285</v>
      </c>
      <c r="E95" s="2">
        <f>COUNTIF(calc_lines!$A$2:$A$967,$A95)</f>
        <v>5</v>
      </c>
      <c r="F95" s="2">
        <f>COUNTIFS(calc_lines!$A$2:$A$967,$A95,calc_lines!$W$2:$W$967,"阻断")</f>
        <v>0</v>
      </c>
      <c r="G95" s="6">
        <f>IF($F95&gt;0,"",ROUND(SUMIF(calc_lines!$A$2:$A$967,$A95,calc_lines!$R$2:$R$967),2))</f>
        <v>147.07</v>
      </c>
      <c r="H95" s="6">
        <f>IF($F95&gt;0,"",ROUND(SUMIFS(fact_payments!$D$2:$D$101,fact_payments!$B$2:$B$101,$A95,fact_payments!$C$2:$C$101,"&lt;="&amp;checklist!$B$4),2))</f>
        <v>147.07</v>
      </c>
      <c r="I95" s="6">
        <f t="shared" si="4"/>
        <v>0</v>
      </c>
      <c r="J95" s="2" t="str">
        <f t="shared" si="5"/>
        <v>已结清</v>
      </c>
    </row>
    <row r="96" spans="1:10" ht="15">
      <c r="A96" s="2" t="s">
        <v>132</v>
      </c>
      <c r="B96" s="2" t="str">
        <f>INDEX(calc_lines!$C$2:$C$967,MATCH($A96,calc_lines!$A$2:$A$967,0))</f>
        <v>C005</v>
      </c>
      <c r="C96" s="2" t="str">
        <f>INDEX(calc_lines!$O$2:$O$967,MATCH($A96,calc_lines!$A$2:$A$967,0))</f>
        <v>模拟_青禾小学食堂</v>
      </c>
      <c r="D96" s="3">
        <f>INDEX(calc_lines!$D$2:$D$967,MATCH($A96,calc_lines!$A$2:$A$967,0))</f>
        <v>46285</v>
      </c>
      <c r="E96" s="2">
        <f>COUNTIF(calc_lines!$A$2:$A$967,$A96)</f>
        <v>7</v>
      </c>
      <c r="F96" s="2">
        <f>COUNTIFS(calc_lines!$A$2:$A$967,$A96,calc_lines!$W$2:$W$967,"阻断")</f>
        <v>0</v>
      </c>
      <c r="G96" s="6">
        <f>IF($F96&gt;0,"",ROUND(SUMIF(calc_lines!$A$2:$A$967,$A96,calc_lines!$R$2:$R$967),2))</f>
        <v>456.5</v>
      </c>
      <c r="H96" s="6">
        <f>IF($F96&gt;0,"",ROUND(SUMIFS(fact_payments!$D$2:$D$101,fact_payments!$B$2:$B$101,$A96,fact_payments!$C$2:$C$101,"&lt;="&amp;checklist!$B$4),2))</f>
        <v>0</v>
      </c>
      <c r="I96" s="6">
        <f t="shared" si="4"/>
        <v>456.5</v>
      </c>
      <c r="J96" s="2" t="str">
        <f t="shared" si="5"/>
        <v>未结清</v>
      </c>
    </row>
    <row r="97" spans="1:10" ht="15">
      <c r="A97" s="2" t="s">
        <v>133</v>
      </c>
      <c r="B97" s="2" t="str">
        <f>INDEX(calc_lines!$C$2:$C$967,MATCH($A97,calc_lines!$A$2:$A$967,0))</f>
        <v>C006</v>
      </c>
      <c r="C97" s="2" t="str">
        <f>INDEX(calc_lines!$O$2:$O$967,MATCH($A97,calc_lines!$A$2:$A$967,0))</f>
        <v>模拟_溪桥医院食堂</v>
      </c>
      <c r="D97" s="3">
        <f>INDEX(calc_lines!$D$2:$D$967,MATCH($A97,calc_lines!$A$2:$A$967,0))</f>
        <v>46285</v>
      </c>
      <c r="E97" s="2">
        <f>COUNTIF(calc_lines!$A$2:$A$967,$A97)</f>
        <v>6</v>
      </c>
      <c r="F97" s="2">
        <f>COUNTIFS(calc_lines!$A$2:$A$967,$A97,calc_lines!$W$2:$W$967,"阻断")</f>
        <v>0</v>
      </c>
      <c r="G97" s="6">
        <f>IF($F97&gt;0,"",ROUND(SUMIF(calc_lines!$A$2:$A$967,$A97,calc_lines!$R$2:$R$967),2))</f>
        <v>225.64</v>
      </c>
      <c r="H97" s="6">
        <f>IF($F97&gt;0,"",ROUND(SUMIFS(fact_payments!$D$2:$D$101,fact_payments!$B$2:$B$101,$A97,fact_payments!$C$2:$C$101,"&lt;="&amp;checklist!$B$4),2))</f>
        <v>0</v>
      </c>
      <c r="I97" s="6">
        <f t="shared" si="4"/>
        <v>225.64</v>
      </c>
      <c r="J97" s="2" t="str">
        <f t="shared" si="5"/>
        <v>未结清</v>
      </c>
    </row>
    <row r="98" spans="1:10" ht="15">
      <c r="A98" s="2" t="s">
        <v>134</v>
      </c>
      <c r="B98" s="2" t="str">
        <f>INDEX(calc_lines!$C$2:$C$967,MATCH($A98,calc_lines!$A$2:$A$967,0))</f>
        <v>C001</v>
      </c>
      <c r="C98" s="2" t="str">
        <f>INDEX(calc_lines!$O$2:$O$967,MATCH($A98,calc_lines!$A$2:$A$967,0))</f>
        <v>模拟_榕树下粉面店</v>
      </c>
      <c r="D98" s="3">
        <f>INDEX(calc_lines!$D$2:$D$967,MATCH($A98,calc_lines!$A$2:$A$967,0))</f>
        <v>46286</v>
      </c>
      <c r="E98" s="2">
        <f>COUNTIF(calc_lines!$A$2:$A$967,$A98)</f>
        <v>4</v>
      </c>
      <c r="F98" s="2">
        <f>COUNTIFS(calc_lines!$A$2:$A$967,$A98,calc_lines!$W$2:$W$967,"阻断")</f>
        <v>0</v>
      </c>
      <c r="G98" s="6">
        <f>IF($F98&gt;0,"",ROUND(SUMIF(calc_lines!$A$2:$A$967,$A98,calc_lines!$R$2:$R$967),2))</f>
        <v>44.39</v>
      </c>
      <c r="H98" s="6">
        <f>IF($F98&gt;0,"",ROUND(SUMIFS(fact_payments!$D$2:$D$101,fact_payments!$B$2:$B$101,$A98,fact_payments!$C$2:$C$101,"&lt;="&amp;checklist!$B$4),2))</f>
        <v>44.39</v>
      </c>
      <c r="I98" s="6">
        <f t="shared" ref="I98:I129" si="6">IF($F98&gt;0,"",$G98-$H98)</f>
        <v>0</v>
      </c>
      <c r="J98" s="2" t="str">
        <f t="shared" ref="J98:J129" si="7">IF($F98&gt;0,"暂缓",IF($I98=0,"已结清","未结清"))</f>
        <v>已结清</v>
      </c>
    </row>
    <row r="99" spans="1:10" ht="15">
      <c r="A99" s="2" t="s">
        <v>135</v>
      </c>
      <c r="B99" s="2" t="str">
        <f>INDEX(calc_lines!$C$2:$C$967,MATCH($A99,calc_lines!$A$2:$A$967,0))</f>
        <v>C003</v>
      </c>
      <c r="C99" s="2" t="str">
        <f>INDEX(calc_lines!$O$2:$O$967,MATCH($A99,calc_lines!$A$2:$A$967,0))</f>
        <v>模拟_兴街快餐店</v>
      </c>
      <c r="D99" s="3">
        <f>INDEX(calc_lines!$D$2:$D$967,MATCH($A99,calc_lines!$A$2:$A$967,0))</f>
        <v>46286</v>
      </c>
      <c r="E99" s="2">
        <f>COUNTIF(calc_lines!$A$2:$A$967,$A99)</f>
        <v>6</v>
      </c>
      <c r="F99" s="2">
        <f>COUNTIFS(calc_lines!$A$2:$A$967,$A99,calc_lines!$W$2:$W$967,"阻断")</f>
        <v>0</v>
      </c>
      <c r="G99" s="6">
        <f>IF($F99&gt;0,"",ROUND(SUMIF(calc_lines!$A$2:$A$967,$A99,calc_lines!$R$2:$R$967),2))</f>
        <v>134.26</v>
      </c>
      <c r="H99" s="6">
        <f>IF($F99&gt;0,"",ROUND(SUMIFS(fact_payments!$D$2:$D$101,fact_payments!$B$2:$B$101,$A99,fact_payments!$C$2:$C$101,"&lt;="&amp;checklist!$B$4),2))</f>
        <v>0</v>
      </c>
      <c r="I99" s="6">
        <f t="shared" si="6"/>
        <v>134.26</v>
      </c>
      <c r="J99" s="2" t="str">
        <f t="shared" si="7"/>
        <v>未结清</v>
      </c>
    </row>
    <row r="100" spans="1:10" ht="15">
      <c r="A100" s="2" t="s">
        <v>136</v>
      </c>
      <c r="B100" s="2" t="str">
        <f>INDEX(calc_lines!$C$2:$C$967,MATCH($A100,calc_lines!$A$2:$A$967,0))</f>
        <v>C005</v>
      </c>
      <c r="C100" s="2" t="str">
        <f>INDEX(calc_lines!$O$2:$O$967,MATCH($A100,calc_lines!$A$2:$A$967,0))</f>
        <v>模拟_青禾小学食堂</v>
      </c>
      <c r="D100" s="3">
        <f>INDEX(calc_lines!$D$2:$D$967,MATCH($A100,calc_lines!$A$2:$A$967,0))</f>
        <v>46286</v>
      </c>
      <c r="E100" s="2">
        <f>COUNTIF(calc_lines!$A$2:$A$967,$A100)</f>
        <v>9</v>
      </c>
      <c r="F100" s="2">
        <f>COUNTIFS(calc_lines!$A$2:$A$967,$A100,calc_lines!$W$2:$W$967,"阻断")</f>
        <v>0</v>
      </c>
      <c r="G100" s="6">
        <f>IF($F100&gt;0,"",ROUND(SUMIF(calc_lines!$A$2:$A$967,$A100,calc_lines!$R$2:$R$967),2))</f>
        <v>1091.54</v>
      </c>
      <c r="H100" s="6">
        <f>IF($F100&gt;0,"",ROUND(SUMIFS(fact_payments!$D$2:$D$101,fact_payments!$B$2:$B$101,$A100,fact_payments!$C$2:$C$101,"&lt;="&amp;checklist!$B$4),2))</f>
        <v>0</v>
      </c>
      <c r="I100" s="6">
        <f t="shared" si="6"/>
        <v>1091.54</v>
      </c>
      <c r="J100" s="2" t="str">
        <f t="shared" si="7"/>
        <v>未结清</v>
      </c>
    </row>
    <row r="101" spans="1:10" ht="15">
      <c r="A101" s="2" t="s">
        <v>137</v>
      </c>
      <c r="B101" s="2" t="str">
        <f>INDEX(calc_lines!$C$2:$C$967,MATCH($A101,calc_lines!$A$2:$A$967,0))</f>
        <v>C006</v>
      </c>
      <c r="C101" s="2" t="str">
        <f>INDEX(calc_lines!$O$2:$O$967,MATCH($A101,calc_lines!$A$2:$A$967,0))</f>
        <v>模拟_溪桥医院食堂</v>
      </c>
      <c r="D101" s="3">
        <f>INDEX(calc_lines!$D$2:$D$967,MATCH($A101,calc_lines!$A$2:$A$967,0))</f>
        <v>46286</v>
      </c>
      <c r="E101" s="2">
        <f>COUNTIF(calc_lines!$A$2:$A$967,$A101)</f>
        <v>9</v>
      </c>
      <c r="F101" s="2">
        <f>COUNTIFS(calc_lines!$A$2:$A$967,$A101,calc_lines!$W$2:$W$967,"阻断")</f>
        <v>0</v>
      </c>
      <c r="G101" s="6">
        <f>IF($F101&gt;0,"",ROUND(SUMIF(calc_lines!$A$2:$A$967,$A101,calc_lines!$R$2:$R$967),2))</f>
        <v>880.63</v>
      </c>
      <c r="H101" s="6">
        <f>IF($F101&gt;0,"",ROUND(SUMIFS(fact_payments!$D$2:$D$101,fact_payments!$B$2:$B$101,$A101,fact_payments!$C$2:$C$101,"&lt;="&amp;checklist!$B$4),2))</f>
        <v>0</v>
      </c>
      <c r="I101" s="6">
        <f t="shared" si="6"/>
        <v>880.63</v>
      </c>
      <c r="J101" s="2" t="str">
        <f t="shared" si="7"/>
        <v>未结清</v>
      </c>
    </row>
    <row r="102" spans="1:10" ht="15">
      <c r="A102" s="2" t="s">
        <v>138</v>
      </c>
      <c r="B102" s="2" t="str">
        <f>INDEX(calc_lines!$C$2:$C$967,MATCH($A102,calc_lines!$A$2:$A$967,0))</f>
        <v>C001</v>
      </c>
      <c r="C102" s="2" t="str">
        <f>INDEX(calc_lines!$O$2:$O$967,MATCH($A102,calc_lines!$A$2:$A$967,0))</f>
        <v>模拟_榕树下粉面店</v>
      </c>
      <c r="D102" s="3">
        <f>INDEX(calc_lines!$D$2:$D$967,MATCH($A102,calc_lines!$A$2:$A$967,0))</f>
        <v>46287</v>
      </c>
      <c r="E102" s="2">
        <f>COUNTIF(calc_lines!$A$2:$A$967,$A102)</f>
        <v>6</v>
      </c>
      <c r="F102" s="2">
        <f>COUNTIFS(calc_lines!$A$2:$A$967,$A102,calc_lines!$W$2:$W$967,"阻断")</f>
        <v>0</v>
      </c>
      <c r="G102" s="6">
        <f>IF($F102&gt;0,"",ROUND(SUMIF(calc_lines!$A$2:$A$967,$A102,calc_lines!$R$2:$R$967),2))</f>
        <v>85.49</v>
      </c>
      <c r="H102" s="6">
        <f>IF($F102&gt;0,"",ROUND(SUMIFS(fact_payments!$D$2:$D$101,fact_payments!$B$2:$B$101,$A102,fact_payments!$C$2:$C$101,"&lt;="&amp;checklist!$B$4),2))</f>
        <v>85.49</v>
      </c>
      <c r="I102" s="6">
        <f t="shared" si="6"/>
        <v>0</v>
      </c>
      <c r="J102" s="2" t="str">
        <f t="shared" si="7"/>
        <v>已结清</v>
      </c>
    </row>
    <row r="103" spans="1:10" ht="15">
      <c r="A103" s="2" t="s">
        <v>139</v>
      </c>
      <c r="B103" s="2" t="str">
        <f>INDEX(calc_lines!$C$2:$C$967,MATCH($A103,calc_lines!$A$2:$A$967,0))</f>
        <v>C002</v>
      </c>
      <c r="C103" s="2" t="str">
        <f>INDEX(calc_lines!$O$2:$O$967,MATCH($A103,calc_lines!$A$2:$A$967,0))</f>
        <v>模拟_桥头家常菜馆</v>
      </c>
      <c r="D103" s="3">
        <f>INDEX(calc_lines!$D$2:$D$967,MATCH($A103,calc_lines!$A$2:$A$967,0))</f>
        <v>46287</v>
      </c>
      <c r="E103" s="2">
        <f>COUNTIF(calc_lines!$A$2:$A$967,$A103)</f>
        <v>7</v>
      </c>
      <c r="F103" s="2">
        <f>COUNTIFS(calc_lines!$A$2:$A$967,$A103,calc_lines!$W$2:$W$967,"阻断")</f>
        <v>0</v>
      </c>
      <c r="G103" s="6">
        <f>IF($F103&gt;0,"",ROUND(SUMIF(calc_lines!$A$2:$A$967,$A103,calc_lines!$R$2:$R$967),2))</f>
        <v>161.97</v>
      </c>
      <c r="H103" s="6">
        <f>IF($F103&gt;0,"",ROUND(SUMIFS(fact_payments!$D$2:$D$101,fact_payments!$B$2:$B$101,$A103,fact_payments!$C$2:$C$101,"&lt;="&amp;checklist!$B$4),2))</f>
        <v>161.97</v>
      </c>
      <c r="I103" s="6">
        <f t="shared" si="6"/>
        <v>0</v>
      </c>
      <c r="J103" s="2" t="str">
        <f t="shared" si="7"/>
        <v>已结清</v>
      </c>
    </row>
    <row r="104" spans="1:10" ht="15">
      <c r="A104" s="2" t="s">
        <v>140</v>
      </c>
      <c r="B104" s="2" t="str">
        <f>INDEX(calc_lines!$C$2:$C$967,MATCH($A104,calc_lines!$A$2:$A$967,0))</f>
        <v>C003</v>
      </c>
      <c r="C104" s="2" t="str">
        <f>INDEX(calc_lines!$O$2:$O$967,MATCH($A104,calc_lines!$A$2:$A$967,0))</f>
        <v>模拟_兴街快餐店</v>
      </c>
      <c r="D104" s="3">
        <f>INDEX(calc_lines!$D$2:$D$967,MATCH($A104,calc_lines!$A$2:$A$967,0))</f>
        <v>46287</v>
      </c>
      <c r="E104" s="2">
        <f>COUNTIF(calc_lines!$A$2:$A$967,$A104)</f>
        <v>8</v>
      </c>
      <c r="F104" s="2">
        <f>COUNTIFS(calc_lines!$A$2:$A$967,$A104,calc_lines!$W$2:$W$967,"阻断")</f>
        <v>0</v>
      </c>
      <c r="G104" s="6">
        <f>IF($F104&gt;0,"",ROUND(SUMIF(calc_lines!$A$2:$A$967,$A104,calc_lines!$R$2:$R$967),2))</f>
        <v>263.79000000000002</v>
      </c>
      <c r="H104" s="6">
        <f>IF($F104&gt;0,"",ROUND(SUMIFS(fact_payments!$D$2:$D$101,fact_payments!$B$2:$B$101,$A104,fact_payments!$C$2:$C$101,"&lt;="&amp;checklist!$B$4),2))</f>
        <v>0</v>
      </c>
      <c r="I104" s="6">
        <f t="shared" si="6"/>
        <v>263.79000000000002</v>
      </c>
      <c r="J104" s="2" t="str">
        <f t="shared" si="7"/>
        <v>未结清</v>
      </c>
    </row>
    <row r="105" spans="1:10" ht="15">
      <c r="A105" s="2" t="s">
        <v>141</v>
      </c>
      <c r="B105" s="2" t="str">
        <f>INDEX(calc_lines!$C$2:$C$967,MATCH($A105,calc_lines!$A$2:$A$967,0))</f>
        <v>C004</v>
      </c>
      <c r="C105" s="2" t="str">
        <f>INDEX(calc_lines!$O$2:$O$967,MATCH($A105,calc_lines!$A$2:$A$967,0))</f>
        <v>模拟_田畔饭店</v>
      </c>
      <c r="D105" s="3">
        <f>INDEX(calc_lines!$D$2:$D$967,MATCH($A105,calc_lines!$A$2:$A$967,0))</f>
        <v>46287</v>
      </c>
      <c r="E105" s="2">
        <f>COUNTIF(calc_lines!$A$2:$A$967,$A105)</f>
        <v>7</v>
      </c>
      <c r="F105" s="2">
        <f>COUNTIFS(calc_lines!$A$2:$A$967,$A105,calc_lines!$W$2:$W$967,"阻断")</f>
        <v>0</v>
      </c>
      <c r="G105" s="6">
        <f>IF($F105&gt;0,"",ROUND(SUMIF(calc_lines!$A$2:$A$967,$A105,calc_lines!$R$2:$R$967),2))</f>
        <v>170.41</v>
      </c>
      <c r="H105" s="6">
        <f>IF($F105&gt;0,"",ROUND(SUMIFS(fact_payments!$D$2:$D$101,fact_payments!$B$2:$B$101,$A105,fact_payments!$C$2:$C$101,"&lt;="&amp;checklist!$B$4),2))</f>
        <v>170.41</v>
      </c>
      <c r="I105" s="6">
        <f t="shared" si="6"/>
        <v>0</v>
      </c>
      <c r="J105" s="2" t="str">
        <f t="shared" si="7"/>
        <v>已结清</v>
      </c>
    </row>
    <row r="106" spans="1:10" ht="15">
      <c r="A106" s="2" t="s">
        <v>142</v>
      </c>
      <c r="B106" s="2" t="str">
        <f>INDEX(calc_lines!$C$2:$C$967,MATCH($A106,calc_lines!$A$2:$A$967,0))</f>
        <v>C005</v>
      </c>
      <c r="C106" s="2" t="str">
        <f>INDEX(calc_lines!$O$2:$O$967,MATCH($A106,calc_lines!$A$2:$A$967,0))</f>
        <v>模拟_青禾小学食堂</v>
      </c>
      <c r="D106" s="3">
        <f>INDEX(calc_lines!$D$2:$D$967,MATCH($A106,calc_lines!$A$2:$A$967,0))</f>
        <v>46287</v>
      </c>
      <c r="E106" s="2">
        <f>COUNTIF(calc_lines!$A$2:$A$967,$A106)</f>
        <v>7</v>
      </c>
      <c r="F106" s="2">
        <f>COUNTIFS(calc_lines!$A$2:$A$967,$A106,calc_lines!$W$2:$W$967,"阻断")</f>
        <v>0</v>
      </c>
      <c r="G106" s="6">
        <f>IF($F106&gt;0,"",ROUND(SUMIF(calc_lines!$A$2:$A$967,$A106,calc_lines!$R$2:$R$967),2))</f>
        <v>380.7</v>
      </c>
      <c r="H106" s="6">
        <f>IF($F106&gt;0,"",ROUND(SUMIFS(fact_payments!$D$2:$D$101,fact_payments!$B$2:$B$101,$A106,fact_payments!$C$2:$C$101,"&lt;="&amp;checklist!$B$4),2))</f>
        <v>0</v>
      </c>
      <c r="I106" s="6">
        <f t="shared" si="6"/>
        <v>380.7</v>
      </c>
      <c r="J106" s="2" t="str">
        <f t="shared" si="7"/>
        <v>未结清</v>
      </c>
    </row>
    <row r="107" spans="1:10" ht="15">
      <c r="A107" s="2" t="s">
        <v>143</v>
      </c>
      <c r="B107" s="2" t="str">
        <f>INDEX(calc_lines!$C$2:$C$967,MATCH($A107,calc_lines!$A$2:$A$967,0))</f>
        <v>C006</v>
      </c>
      <c r="C107" s="2" t="str">
        <f>INDEX(calc_lines!$O$2:$O$967,MATCH($A107,calc_lines!$A$2:$A$967,0))</f>
        <v>模拟_溪桥医院食堂</v>
      </c>
      <c r="D107" s="3">
        <f>INDEX(calc_lines!$D$2:$D$967,MATCH($A107,calc_lines!$A$2:$A$967,0))</f>
        <v>46287</v>
      </c>
      <c r="E107" s="2">
        <f>COUNTIF(calc_lines!$A$2:$A$967,$A107)</f>
        <v>7</v>
      </c>
      <c r="F107" s="2">
        <f>COUNTIFS(calc_lines!$A$2:$A$967,$A107,calc_lines!$W$2:$W$967,"阻断")</f>
        <v>0</v>
      </c>
      <c r="G107" s="6">
        <f>IF($F107&gt;0,"",ROUND(SUMIF(calc_lines!$A$2:$A$967,$A107,calc_lines!$R$2:$R$967),2))</f>
        <v>214.28</v>
      </c>
      <c r="H107" s="6">
        <f>IF($F107&gt;0,"",ROUND(SUMIFS(fact_payments!$D$2:$D$101,fact_payments!$B$2:$B$101,$A107,fact_payments!$C$2:$C$101,"&lt;="&amp;checklist!$B$4),2))</f>
        <v>0</v>
      </c>
      <c r="I107" s="6">
        <f t="shared" si="6"/>
        <v>214.28</v>
      </c>
      <c r="J107" s="2" t="str">
        <f t="shared" si="7"/>
        <v>未结清</v>
      </c>
    </row>
    <row r="108" spans="1:10" ht="15">
      <c r="A108" s="2" t="s">
        <v>144</v>
      </c>
      <c r="B108" s="2" t="str">
        <f>INDEX(calc_lines!$C$2:$C$967,MATCH($A108,calc_lines!$A$2:$A$967,0))</f>
        <v>C001</v>
      </c>
      <c r="C108" s="2" t="str">
        <f>INDEX(calc_lines!$O$2:$O$967,MATCH($A108,calc_lines!$A$2:$A$967,0))</f>
        <v>模拟_榕树下粉面店</v>
      </c>
      <c r="D108" s="3">
        <f>INDEX(calc_lines!$D$2:$D$967,MATCH($A108,calc_lines!$A$2:$A$967,0))</f>
        <v>46288</v>
      </c>
      <c r="E108" s="2">
        <f>COUNTIF(calc_lines!$A$2:$A$967,$A108)</f>
        <v>4</v>
      </c>
      <c r="F108" s="2">
        <f>COUNTIFS(calc_lines!$A$2:$A$967,$A108,calc_lines!$W$2:$W$967,"阻断")</f>
        <v>0</v>
      </c>
      <c r="G108" s="6">
        <f>IF($F108&gt;0,"",ROUND(SUMIF(calc_lines!$A$2:$A$967,$A108,calc_lines!$R$2:$R$967),2))</f>
        <v>45.51</v>
      </c>
      <c r="H108" s="6">
        <f>IF($F108&gt;0,"",ROUND(SUMIFS(fact_payments!$D$2:$D$101,fact_payments!$B$2:$B$101,$A108,fact_payments!$C$2:$C$101,"&lt;="&amp;checklist!$B$4),2))</f>
        <v>45.51</v>
      </c>
      <c r="I108" s="6">
        <f t="shared" si="6"/>
        <v>0</v>
      </c>
      <c r="J108" s="2" t="str">
        <f t="shared" si="7"/>
        <v>已结清</v>
      </c>
    </row>
    <row r="109" spans="1:10" ht="15">
      <c r="A109" s="2" t="s">
        <v>145</v>
      </c>
      <c r="B109" s="2" t="str">
        <f>INDEX(calc_lines!$C$2:$C$967,MATCH($A109,calc_lines!$A$2:$A$967,0))</f>
        <v>C002</v>
      </c>
      <c r="C109" s="2" t="str">
        <f>INDEX(calc_lines!$O$2:$O$967,MATCH($A109,calc_lines!$A$2:$A$967,0))</f>
        <v>模拟_桥头家常菜馆</v>
      </c>
      <c r="D109" s="3">
        <f>INDEX(calc_lines!$D$2:$D$967,MATCH($A109,calc_lines!$A$2:$A$967,0))</f>
        <v>46288</v>
      </c>
      <c r="E109" s="2">
        <f>COUNTIF(calc_lines!$A$2:$A$967,$A109)</f>
        <v>5</v>
      </c>
      <c r="F109" s="2">
        <f>COUNTIFS(calc_lines!$A$2:$A$967,$A109,calc_lines!$W$2:$W$967,"阻断")</f>
        <v>0</v>
      </c>
      <c r="G109" s="6">
        <f>IF($F109&gt;0,"",ROUND(SUMIF(calc_lines!$A$2:$A$967,$A109,calc_lines!$R$2:$R$967),2))</f>
        <v>117.89</v>
      </c>
      <c r="H109" s="6">
        <f>IF($F109&gt;0,"",ROUND(SUMIFS(fact_payments!$D$2:$D$101,fact_payments!$B$2:$B$101,$A109,fact_payments!$C$2:$C$101,"&lt;="&amp;checklist!$B$4),2))</f>
        <v>117.89</v>
      </c>
      <c r="I109" s="6">
        <f t="shared" si="6"/>
        <v>0</v>
      </c>
      <c r="J109" s="2" t="str">
        <f t="shared" si="7"/>
        <v>已结清</v>
      </c>
    </row>
    <row r="110" spans="1:10" ht="15">
      <c r="A110" s="2" t="s">
        <v>146</v>
      </c>
      <c r="B110" s="2" t="str">
        <f>INDEX(calc_lines!$C$2:$C$967,MATCH($A110,calc_lines!$A$2:$A$967,0))</f>
        <v>C003</v>
      </c>
      <c r="C110" s="2" t="str">
        <f>INDEX(calc_lines!$O$2:$O$967,MATCH($A110,calc_lines!$A$2:$A$967,0))</f>
        <v>模拟_兴街快餐店</v>
      </c>
      <c r="D110" s="3">
        <f>INDEX(calc_lines!$D$2:$D$967,MATCH($A110,calc_lines!$A$2:$A$967,0))</f>
        <v>46288</v>
      </c>
      <c r="E110" s="2">
        <f>COUNTIF(calc_lines!$A$2:$A$967,$A110)</f>
        <v>6</v>
      </c>
      <c r="F110" s="2">
        <f>COUNTIFS(calc_lines!$A$2:$A$967,$A110,calc_lines!$W$2:$W$967,"阻断")</f>
        <v>0</v>
      </c>
      <c r="G110" s="6">
        <f>IF($F110&gt;0,"",ROUND(SUMIF(calc_lines!$A$2:$A$967,$A110,calc_lines!$R$2:$R$967),2))</f>
        <v>173.09</v>
      </c>
      <c r="H110" s="6">
        <f>IF($F110&gt;0,"",ROUND(SUMIFS(fact_payments!$D$2:$D$101,fact_payments!$B$2:$B$101,$A110,fact_payments!$C$2:$C$101,"&lt;="&amp;checklist!$B$4),2))</f>
        <v>0</v>
      </c>
      <c r="I110" s="6">
        <f t="shared" si="6"/>
        <v>173.09</v>
      </c>
      <c r="J110" s="2" t="str">
        <f t="shared" si="7"/>
        <v>未结清</v>
      </c>
    </row>
    <row r="111" spans="1:10" ht="15">
      <c r="A111" s="2" t="s">
        <v>147</v>
      </c>
      <c r="B111" s="2" t="str">
        <f>INDEX(calc_lines!$C$2:$C$967,MATCH($A111,calc_lines!$A$2:$A$967,0))</f>
        <v>C005</v>
      </c>
      <c r="C111" s="2" t="str">
        <f>INDEX(calc_lines!$O$2:$O$967,MATCH($A111,calc_lines!$A$2:$A$967,0))</f>
        <v>模拟_青禾小学食堂</v>
      </c>
      <c r="D111" s="3">
        <f>INDEX(calc_lines!$D$2:$D$967,MATCH($A111,calc_lines!$A$2:$A$967,0))</f>
        <v>46288</v>
      </c>
      <c r="E111" s="2">
        <f>COUNTIF(calc_lines!$A$2:$A$967,$A111)</f>
        <v>6</v>
      </c>
      <c r="F111" s="2">
        <f>COUNTIFS(calc_lines!$A$2:$A$967,$A111,calc_lines!$W$2:$W$967,"阻断")</f>
        <v>0</v>
      </c>
      <c r="G111" s="6">
        <f>IF($F111&gt;0,"",ROUND(SUMIF(calc_lines!$A$2:$A$967,$A111,calc_lines!$R$2:$R$967),2))</f>
        <v>253.08</v>
      </c>
      <c r="H111" s="6">
        <f>IF($F111&gt;0,"",ROUND(SUMIFS(fact_payments!$D$2:$D$101,fact_payments!$B$2:$B$101,$A111,fact_payments!$C$2:$C$101,"&lt;="&amp;checklist!$B$4),2))</f>
        <v>0</v>
      </c>
      <c r="I111" s="6">
        <f t="shared" si="6"/>
        <v>253.08</v>
      </c>
      <c r="J111" s="2" t="str">
        <f t="shared" si="7"/>
        <v>未结清</v>
      </c>
    </row>
    <row r="112" spans="1:10" ht="15">
      <c r="A112" s="2" t="s">
        <v>148</v>
      </c>
      <c r="B112" s="2" t="str">
        <f>INDEX(calc_lines!$C$2:$C$967,MATCH($A112,calc_lines!$A$2:$A$967,0))</f>
        <v>C006</v>
      </c>
      <c r="C112" s="2" t="str">
        <f>INDEX(calc_lines!$O$2:$O$967,MATCH($A112,calc_lines!$A$2:$A$967,0))</f>
        <v>模拟_溪桥医院食堂</v>
      </c>
      <c r="D112" s="3">
        <f>INDEX(calc_lines!$D$2:$D$967,MATCH($A112,calc_lines!$A$2:$A$967,0))</f>
        <v>46288</v>
      </c>
      <c r="E112" s="2">
        <f>COUNTIF(calc_lines!$A$2:$A$967,$A112)</f>
        <v>7</v>
      </c>
      <c r="F112" s="2">
        <f>COUNTIFS(calc_lines!$A$2:$A$967,$A112,calc_lines!$W$2:$W$967,"阻断")</f>
        <v>0</v>
      </c>
      <c r="G112" s="6">
        <f>IF($F112&gt;0,"",ROUND(SUMIF(calc_lines!$A$2:$A$967,$A112,calc_lines!$R$2:$R$967),2))</f>
        <v>299.05</v>
      </c>
      <c r="H112" s="6">
        <f>IF($F112&gt;0,"",ROUND(SUMIFS(fact_payments!$D$2:$D$101,fact_payments!$B$2:$B$101,$A112,fact_payments!$C$2:$C$101,"&lt;="&amp;checklist!$B$4),2))</f>
        <v>0</v>
      </c>
      <c r="I112" s="6">
        <f t="shared" si="6"/>
        <v>299.05</v>
      </c>
      <c r="J112" s="2" t="str">
        <f t="shared" si="7"/>
        <v>未结清</v>
      </c>
    </row>
    <row r="113" spans="1:10" ht="15">
      <c r="A113" s="2" t="s">
        <v>149</v>
      </c>
      <c r="B113" s="2" t="str">
        <f>INDEX(calc_lines!$C$2:$C$967,MATCH($A113,calc_lines!$A$2:$A$967,0))</f>
        <v>C001</v>
      </c>
      <c r="C113" s="2" t="str">
        <f>INDEX(calc_lines!$O$2:$O$967,MATCH($A113,calc_lines!$A$2:$A$967,0))</f>
        <v>模拟_榕树下粉面店</v>
      </c>
      <c r="D113" s="3">
        <f>INDEX(calc_lines!$D$2:$D$967,MATCH($A113,calc_lines!$A$2:$A$967,0))</f>
        <v>46289</v>
      </c>
      <c r="E113" s="2">
        <f>COUNTIF(calc_lines!$A$2:$A$967,$A113)</f>
        <v>7</v>
      </c>
      <c r="F113" s="2">
        <f>COUNTIFS(calc_lines!$A$2:$A$967,$A113,calc_lines!$W$2:$W$967,"阻断")</f>
        <v>0</v>
      </c>
      <c r="G113" s="6">
        <f>IF($F113&gt;0,"",ROUND(SUMIF(calc_lines!$A$2:$A$967,$A113,calc_lines!$R$2:$R$967),2))</f>
        <v>259.33</v>
      </c>
      <c r="H113" s="6">
        <f>IF($F113&gt;0,"",ROUND(SUMIFS(fact_payments!$D$2:$D$101,fact_payments!$B$2:$B$101,$A113,fact_payments!$C$2:$C$101,"&lt;="&amp;checklist!$B$4),2))</f>
        <v>259.33</v>
      </c>
      <c r="I113" s="6">
        <f t="shared" si="6"/>
        <v>0</v>
      </c>
      <c r="J113" s="2" t="str">
        <f t="shared" si="7"/>
        <v>已结清</v>
      </c>
    </row>
    <row r="114" spans="1:10" ht="15">
      <c r="A114" s="2" t="s">
        <v>150</v>
      </c>
      <c r="B114" s="2" t="str">
        <f>INDEX(calc_lines!$C$2:$C$967,MATCH($A114,calc_lines!$A$2:$A$967,0))</f>
        <v>C002</v>
      </c>
      <c r="C114" s="2" t="str">
        <f>INDEX(calc_lines!$O$2:$O$967,MATCH($A114,calc_lines!$A$2:$A$967,0))</f>
        <v>模拟_桥头家常菜馆</v>
      </c>
      <c r="D114" s="3">
        <f>INDEX(calc_lines!$D$2:$D$967,MATCH($A114,calc_lines!$A$2:$A$967,0))</f>
        <v>46289</v>
      </c>
      <c r="E114" s="2">
        <f>COUNTIF(calc_lines!$A$2:$A$967,$A114)</f>
        <v>8</v>
      </c>
      <c r="F114" s="2">
        <f>COUNTIFS(calc_lines!$A$2:$A$967,$A114,calc_lines!$W$2:$W$967,"阻断")</f>
        <v>0</v>
      </c>
      <c r="G114" s="6">
        <f>IF($F114&gt;0,"",ROUND(SUMIF(calc_lines!$A$2:$A$967,$A114,calc_lines!$R$2:$R$967),2))</f>
        <v>575.13</v>
      </c>
      <c r="H114" s="6">
        <f>IF($F114&gt;0,"",ROUND(SUMIFS(fact_payments!$D$2:$D$101,fact_payments!$B$2:$B$101,$A114,fact_payments!$C$2:$C$101,"&lt;="&amp;checklist!$B$4),2))</f>
        <v>575.13</v>
      </c>
      <c r="I114" s="6">
        <f t="shared" si="6"/>
        <v>0</v>
      </c>
      <c r="J114" s="2" t="str">
        <f t="shared" si="7"/>
        <v>已结清</v>
      </c>
    </row>
    <row r="115" spans="1:10" ht="15">
      <c r="A115" s="2" t="s">
        <v>151</v>
      </c>
      <c r="B115" s="2" t="str">
        <f>INDEX(calc_lines!$C$2:$C$967,MATCH($A115,calc_lines!$A$2:$A$967,0))</f>
        <v>C003</v>
      </c>
      <c r="C115" s="2" t="str">
        <f>INDEX(calc_lines!$O$2:$O$967,MATCH($A115,calc_lines!$A$2:$A$967,0))</f>
        <v>模拟_兴街快餐店</v>
      </c>
      <c r="D115" s="3">
        <f>INDEX(calc_lines!$D$2:$D$967,MATCH($A115,calc_lines!$A$2:$A$967,0))</f>
        <v>46289</v>
      </c>
      <c r="E115" s="2">
        <f>COUNTIF(calc_lines!$A$2:$A$967,$A115)</f>
        <v>9</v>
      </c>
      <c r="F115" s="2">
        <f>COUNTIFS(calc_lines!$A$2:$A$967,$A115,calc_lines!$W$2:$W$967,"阻断")</f>
        <v>0</v>
      </c>
      <c r="G115" s="6">
        <f>IF($F115&gt;0,"",ROUND(SUMIF(calc_lines!$A$2:$A$967,$A115,calc_lines!$R$2:$R$967),2))</f>
        <v>948.88</v>
      </c>
      <c r="H115" s="6">
        <f>IF($F115&gt;0,"",ROUND(SUMIFS(fact_payments!$D$2:$D$101,fact_payments!$B$2:$B$101,$A115,fact_payments!$C$2:$C$101,"&lt;="&amp;checklist!$B$4),2))</f>
        <v>0</v>
      </c>
      <c r="I115" s="6">
        <f t="shared" si="6"/>
        <v>948.88</v>
      </c>
      <c r="J115" s="2" t="str">
        <f t="shared" si="7"/>
        <v>未结清</v>
      </c>
    </row>
    <row r="116" spans="1:10" ht="15">
      <c r="A116" s="2" t="s">
        <v>152</v>
      </c>
      <c r="B116" s="2" t="str">
        <f>INDEX(calc_lines!$C$2:$C$967,MATCH($A116,calc_lines!$A$2:$A$967,0))</f>
        <v>C004</v>
      </c>
      <c r="C116" s="2" t="str">
        <f>INDEX(calc_lines!$O$2:$O$967,MATCH($A116,calc_lines!$A$2:$A$967,0))</f>
        <v>模拟_田畔饭店</v>
      </c>
      <c r="D116" s="3">
        <f>INDEX(calc_lines!$D$2:$D$967,MATCH($A116,calc_lines!$A$2:$A$967,0))</f>
        <v>46289</v>
      </c>
      <c r="E116" s="2">
        <f>COUNTIF(calc_lines!$A$2:$A$967,$A116)</f>
        <v>9</v>
      </c>
      <c r="F116" s="2">
        <f>COUNTIFS(calc_lines!$A$2:$A$967,$A116,calc_lines!$W$2:$W$967,"阻断")</f>
        <v>0</v>
      </c>
      <c r="G116" s="6">
        <f>IF($F116&gt;0,"",ROUND(SUMIF(calc_lines!$A$2:$A$967,$A116,calc_lines!$R$2:$R$967),2))</f>
        <v>638.1</v>
      </c>
      <c r="H116" s="6">
        <f>IF($F116&gt;0,"",ROUND(SUMIFS(fact_payments!$D$2:$D$101,fact_payments!$B$2:$B$101,$A116,fact_payments!$C$2:$C$101,"&lt;="&amp;checklist!$B$4),2))</f>
        <v>638.1</v>
      </c>
      <c r="I116" s="6">
        <f t="shared" si="6"/>
        <v>0</v>
      </c>
      <c r="J116" s="2" t="str">
        <f t="shared" si="7"/>
        <v>已结清</v>
      </c>
    </row>
    <row r="117" spans="1:10" ht="15">
      <c r="A117" s="2" t="s">
        <v>153</v>
      </c>
      <c r="B117" s="2" t="str">
        <f>INDEX(calc_lines!$C$2:$C$967,MATCH($A117,calc_lines!$A$2:$A$967,0))</f>
        <v>C005</v>
      </c>
      <c r="C117" s="2" t="str">
        <f>INDEX(calc_lines!$O$2:$O$967,MATCH($A117,calc_lines!$A$2:$A$967,0))</f>
        <v>模拟_青禾小学食堂</v>
      </c>
      <c r="D117" s="3">
        <f>INDEX(calc_lines!$D$2:$D$967,MATCH($A117,calc_lines!$A$2:$A$967,0))</f>
        <v>46289</v>
      </c>
      <c r="E117" s="2">
        <f>COUNTIF(calc_lines!$A$2:$A$967,$A117)</f>
        <v>8</v>
      </c>
      <c r="F117" s="2">
        <f>COUNTIFS(calc_lines!$A$2:$A$967,$A117,calc_lines!$W$2:$W$967,"阻断")</f>
        <v>0</v>
      </c>
      <c r="G117" s="6">
        <f>IF($F117&gt;0,"",ROUND(SUMIF(calc_lines!$A$2:$A$967,$A117,calc_lines!$R$2:$R$967),2))</f>
        <v>424.63</v>
      </c>
      <c r="H117" s="6">
        <f>IF($F117&gt;0,"",ROUND(SUMIFS(fact_payments!$D$2:$D$101,fact_payments!$B$2:$B$101,$A117,fact_payments!$C$2:$C$101,"&lt;="&amp;checklist!$B$4),2))</f>
        <v>0</v>
      </c>
      <c r="I117" s="6">
        <f t="shared" si="6"/>
        <v>424.63</v>
      </c>
      <c r="J117" s="2" t="str">
        <f t="shared" si="7"/>
        <v>未结清</v>
      </c>
    </row>
    <row r="118" spans="1:10" ht="15">
      <c r="A118" s="2" t="s">
        <v>154</v>
      </c>
      <c r="B118" s="2" t="str">
        <f>INDEX(calc_lines!$C$2:$C$967,MATCH($A118,calc_lines!$A$2:$A$967,0))</f>
        <v>C006</v>
      </c>
      <c r="C118" s="2" t="str">
        <f>INDEX(calc_lines!$O$2:$O$967,MATCH($A118,calc_lines!$A$2:$A$967,0))</f>
        <v>模拟_溪桥医院食堂</v>
      </c>
      <c r="D118" s="3">
        <f>INDEX(calc_lines!$D$2:$D$967,MATCH($A118,calc_lines!$A$2:$A$967,0))</f>
        <v>46289</v>
      </c>
      <c r="E118" s="2">
        <f>COUNTIF(calc_lines!$A$2:$A$967,$A118)</f>
        <v>6</v>
      </c>
      <c r="F118" s="2">
        <f>COUNTIFS(calc_lines!$A$2:$A$967,$A118,calc_lines!$W$2:$W$967,"阻断")</f>
        <v>0</v>
      </c>
      <c r="G118" s="6">
        <f>IF($F118&gt;0,"",ROUND(SUMIF(calc_lines!$A$2:$A$967,$A118,calc_lines!$R$2:$R$967),2))</f>
        <v>203.35</v>
      </c>
      <c r="H118" s="6">
        <f>IF($F118&gt;0,"",ROUND(SUMIFS(fact_payments!$D$2:$D$101,fact_payments!$B$2:$B$101,$A118,fact_payments!$C$2:$C$101,"&lt;="&amp;checklist!$B$4),2))</f>
        <v>0</v>
      </c>
      <c r="I118" s="6">
        <f t="shared" si="6"/>
        <v>203.35</v>
      </c>
      <c r="J118" s="2" t="str">
        <f t="shared" si="7"/>
        <v>未结清</v>
      </c>
    </row>
    <row r="119" spans="1:10" ht="15">
      <c r="A119" s="2" t="s">
        <v>155</v>
      </c>
      <c r="B119" s="2" t="str">
        <f>INDEX(calc_lines!$C$2:$C$967,MATCH($A119,calc_lines!$A$2:$A$967,0))</f>
        <v>C001</v>
      </c>
      <c r="C119" s="2" t="str">
        <f>INDEX(calc_lines!$O$2:$O$967,MATCH($A119,calc_lines!$A$2:$A$967,0))</f>
        <v>模拟_榕树下粉面店</v>
      </c>
      <c r="D119" s="3">
        <f>INDEX(calc_lines!$D$2:$D$967,MATCH($A119,calc_lines!$A$2:$A$967,0))</f>
        <v>46290</v>
      </c>
      <c r="E119" s="2">
        <f>COUNTIF(calc_lines!$A$2:$A$967,$A119)</f>
        <v>5</v>
      </c>
      <c r="F119" s="2">
        <f>COUNTIFS(calc_lines!$A$2:$A$967,$A119,calc_lines!$W$2:$W$967,"阻断")</f>
        <v>0</v>
      </c>
      <c r="G119" s="6">
        <f>IF($F119&gt;0,"",ROUND(SUMIF(calc_lines!$A$2:$A$967,$A119,calc_lines!$R$2:$R$967),2))</f>
        <v>39.07</v>
      </c>
      <c r="H119" s="6">
        <f>IF($F119&gt;0,"",ROUND(SUMIFS(fact_payments!$D$2:$D$101,fact_payments!$B$2:$B$101,$A119,fact_payments!$C$2:$C$101,"&lt;="&amp;checklist!$B$4),2))</f>
        <v>39.07</v>
      </c>
      <c r="I119" s="6">
        <f t="shared" si="6"/>
        <v>0</v>
      </c>
      <c r="J119" s="2" t="str">
        <f t="shared" si="7"/>
        <v>已结清</v>
      </c>
    </row>
    <row r="120" spans="1:10" ht="15">
      <c r="A120" s="2" t="s">
        <v>156</v>
      </c>
      <c r="B120" s="2" t="str">
        <f>INDEX(calc_lines!$C$2:$C$967,MATCH($A120,calc_lines!$A$2:$A$967,0))</f>
        <v>C002</v>
      </c>
      <c r="C120" s="2" t="str">
        <f>INDEX(calc_lines!$O$2:$O$967,MATCH($A120,calc_lines!$A$2:$A$967,0))</f>
        <v>模拟_桥头家常菜馆</v>
      </c>
      <c r="D120" s="3">
        <f>INDEX(calc_lines!$D$2:$D$967,MATCH($A120,calc_lines!$A$2:$A$967,0))</f>
        <v>46290</v>
      </c>
      <c r="E120" s="2">
        <f>COUNTIF(calc_lines!$A$2:$A$967,$A120)</f>
        <v>6</v>
      </c>
      <c r="F120" s="2">
        <f>COUNTIFS(calc_lines!$A$2:$A$967,$A120,calc_lines!$W$2:$W$967,"阻断")</f>
        <v>0</v>
      </c>
      <c r="G120" s="6">
        <f>IF($F120&gt;0,"",ROUND(SUMIF(calc_lines!$A$2:$A$967,$A120,calc_lines!$R$2:$R$967),2))</f>
        <v>152.36000000000001</v>
      </c>
      <c r="H120" s="6">
        <f>IF($F120&gt;0,"",ROUND(SUMIFS(fact_payments!$D$2:$D$101,fact_payments!$B$2:$B$101,$A120,fact_payments!$C$2:$C$101,"&lt;="&amp;checklist!$B$4),2))</f>
        <v>152.36000000000001</v>
      </c>
      <c r="I120" s="6">
        <f t="shared" si="6"/>
        <v>0</v>
      </c>
      <c r="J120" s="2" t="str">
        <f t="shared" si="7"/>
        <v>已结清</v>
      </c>
    </row>
    <row r="121" spans="1:10" ht="15">
      <c r="A121" s="2" t="s">
        <v>157</v>
      </c>
      <c r="B121" s="2" t="str">
        <f>INDEX(calc_lines!$C$2:$C$967,MATCH($A121,calc_lines!$A$2:$A$967,0))</f>
        <v>C003</v>
      </c>
      <c r="C121" s="2" t="str">
        <f>INDEX(calc_lines!$O$2:$O$967,MATCH($A121,calc_lines!$A$2:$A$967,0))</f>
        <v>模拟_兴街快餐店</v>
      </c>
      <c r="D121" s="3">
        <f>INDEX(calc_lines!$D$2:$D$967,MATCH($A121,calc_lines!$A$2:$A$967,0))</f>
        <v>46290</v>
      </c>
      <c r="E121" s="2">
        <f>COUNTIF(calc_lines!$A$2:$A$967,$A121)</f>
        <v>7</v>
      </c>
      <c r="F121" s="2">
        <f>COUNTIFS(calc_lines!$A$2:$A$967,$A121,calc_lines!$W$2:$W$967,"阻断")</f>
        <v>0</v>
      </c>
      <c r="G121" s="6">
        <f>IF($F121&gt;0,"",ROUND(SUMIF(calc_lines!$A$2:$A$967,$A121,calc_lines!$R$2:$R$967),2))</f>
        <v>200.62</v>
      </c>
      <c r="H121" s="6">
        <f>IF($F121&gt;0,"",ROUND(SUMIFS(fact_payments!$D$2:$D$101,fact_payments!$B$2:$B$101,$A121,fact_payments!$C$2:$C$101,"&lt;="&amp;checklist!$B$4),2))</f>
        <v>0</v>
      </c>
      <c r="I121" s="6">
        <f t="shared" si="6"/>
        <v>200.62</v>
      </c>
      <c r="J121" s="2" t="str">
        <f t="shared" si="7"/>
        <v>未结清</v>
      </c>
    </row>
    <row r="122" spans="1:10" ht="15">
      <c r="A122" s="2" t="s">
        <v>158</v>
      </c>
      <c r="B122" s="2" t="str">
        <f>INDEX(calc_lines!$C$2:$C$967,MATCH($A122,calc_lines!$A$2:$A$967,0))</f>
        <v>C006</v>
      </c>
      <c r="C122" s="2" t="str">
        <f>INDEX(calc_lines!$O$2:$O$967,MATCH($A122,calc_lines!$A$2:$A$967,0))</f>
        <v>模拟_溪桥医院食堂</v>
      </c>
      <c r="D122" s="3">
        <f>INDEX(calc_lines!$D$2:$D$967,MATCH($A122,calc_lines!$A$2:$A$967,0))</f>
        <v>46290</v>
      </c>
      <c r="E122" s="2">
        <f>COUNTIF(calc_lines!$A$2:$A$967,$A122)</f>
        <v>8</v>
      </c>
      <c r="F122" s="2">
        <f>COUNTIFS(calc_lines!$A$2:$A$967,$A122,calc_lines!$W$2:$W$967,"阻断")</f>
        <v>0</v>
      </c>
      <c r="G122" s="6">
        <f>IF($F122&gt;0,"",ROUND(SUMIF(calc_lines!$A$2:$A$967,$A122,calc_lines!$R$2:$R$967),2))</f>
        <v>310.88</v>
      </c>
      <c r="H122" s="6">
        <f>IF($F122&gt;0,"",ROUND(SUMIFS(fact_payments!$D$2:$D$101,fact_payments!$B$2:$B$101,$A122,fact_payments!$C$2:$C$101,"&lt;="&amp;checklist!$B$4),2))</f>
        <v>0</v>
      </c>
      <c r="I122" s="6">
        <f t="shared" si="6"/>
        <v>310.88</v>
      </c>
      <c r="J122" s="2" t="str">
        <f t="shared" si="7"/>
        <v>未结清</v>
      </c>
    </row>
    <row r="123" spans="1:10" ht="15">
      <c r="A123" s="2" t="s">
        <v>159</v>
      </c>
      <c r="B123" s="2" t="str">
        <f>INDEX(calc_lines!$C$2:$C$967,MATCH($A123,calc_lines!$A$2:$A$967,0))</f>
        <v>C001</v>
      </c>
      <c r="C123" s="2" t="str">
        <f>INDEX(calc_lines!$O$2:$O$967,MATCH($A123,calc_lines!$A$2:$A$967,0))</f>
        <v>模拟_榕树下粉面店</v>
      </c>
      <c r="D123" s="3">
        <f>INDEX(calc_lines!$D$2:$D$967,MATCH($A123,calc_lines!$A$2:$A$967,0))</f>
        <v>46291</v>
      </c>
      <c r="E123" s="2">
        <f>COUNTIF(calc_lines!$A$2:$A$967,$A123)</f>
        <v>5</v>
      </c>
      <c r="F123" s="2">
        <f>COUNTIFS(calc_lines!$A$2:$A$967,$A123,calc_lines!$W$2:$W$967,"阻断")</f>
        <v>0</v>
      </c>
      <c r="G123" s="6">
        <f>IF($F123&gt;0,"",ROUND(SUMIF(calc_lines!$A$2:$A$967,$A123,calc_lines!$R$2:$R$967),2))</f>
        <v>79.06</v>
      </c>
      <c r="H123" s="6">
        <f>IF($F123&gt;0,"",ROUND(SUMIFS(fact_payments!$D$2:$D$101,fact_payments!$B$2:$B$101,$A123,fact_payments!$C$2:$C$101,"&lt;="&amp;checklist!$B$4),2))</f>
        <v>79.06</v>
      </c>
      <c r="I123" s="6">
        <f t="shared" si="6"/>
        <v>0</v>
      </c>
      <c r="J123" s="2" t="str">
        <f t="shared" si="7"/>
        <v>已结清</v>
      </c>
    </row>
    <row r="124" spans="1:10" ht="15">
      <c r="A124" s="2" t="s">
        <v>160</v>
      </c>
      <c r="B124" s="2" t="str">
        <f>INDEX(calc_lines!$C$2:$C$967,MATCH($A124,calc_lines!$A$2:$A$967,0))</f>
        <v>C002</v>
      </c>
      <c r="C124" s="2" t="str">
        <f>INDEX(calc_lines!$O$2:$O$967,MATCH($A124,calc_lines!$A$2:$A$967,0))</f>
        <v>模拟_桥头家常菜馆</v>
      </c>
      <c r="D124" s="3">
        <f>INDEX(calc_lines!$D$2:$D$967,MATCH($A124,calc_lines!$A$2:$A$967,0))</f>
        <v>46291</v>
      </c>
      <c r="E124" s="2">
        <f>COUNTIF(calc_lines!$A$2:$A$967,$A124)</f>
        <v>6</v>
      </c>
      <c r="F124" s="2">
        <f>COUNTIFS(calc_lines!$A$2:$A$967,$A124,calc_lines!$W$2:$W$967,"阻断")</f>
        <v>0</v>
      </c>
      <c r="G124" s="6">
        <f>IF($F124&gt;0,"",ROUND(SUMIF(calc_lines!$A$2:$A$967,$A124,calc_lines!$R$2:$R$967),2))</f>
        <v>197.82</v>
      </c>
      <c r="H124" s="6">
        <f>IF($F124&gt;0,"",ROUND(SUMIFS(fact_payments!$D$2:$D$101,fact_payments!$B$2:$B$101,$A124,fact_payments!$C$2:$C$101,"&lt;="&amp;checklist!$B$4),2))</f>
        <v>197.82</v>
      </c>
      <c r="I124" s="6">
        <f t="shared" si="6"/>
        <v>0</v>
      </c>
      <c r="J124" s="2" t="str">
        <f t="shared" si="7"/>
        <v>已结清</v>
      </c>
    </row>
    <row r="125" spans="1:10" ht="15">
      <c r="A125" s="2" t="s">
        <v>161</v>
      </c>
      <c r="B125" s="2" t="str">
        <f>INDEX(calc_lines!$C$2:$C$967,MATCH($A125,calc_lines!$A$2:$A$967,0))</f>
        <v>C003</v>
      </c>
      <c r="C125" s="2" t="str">
        <f>INDEX(calc_lines!$O$2:$O$967,MATCH($A125,calc_lines!$A$2:$A$967,0))</f>
        <v>模拟_兴街快餐店</v>
      </c>
      <c r="D125" s="3">
        <f>INDEX(calc_lines!$D$2:$D$967,MATCH($A125,calc_lines!$A$2:$A$967,0))</f>
        <v>46291</v>
      </c>
      <c r="E125" s="2">
        <f>COUNTIF(calc_lines!$A$2:$A$967,$A125)</f>
        <v>7</v>
      </c>
      <c r="F125" s="2">
        <f>COUNTIFS(calc_lines!$A$2:$A$967,$A125,calc_lines!$W$2:$W$967,"阻断")</f>
        <v>0</v>
      </c>
      <c r="G125" s="6">
        <f>IF($F125&gt;0,"",ROUND(SUMIF(calc_lines!$A$2:$A$967,$A125,calc_lines!$R$2:$R$967),2))</f>
        <v>255.25</v>
      </c>
      <c r="H125" s="6">
        <f>IF($F125&gt;0,"",ROUND(SUMIFS(fact_payments!$D$2:$D$101,fact_payments!$B$2:$B$101,$A125,fact_payments!$C$2:$C$101,"&lt;="&amp;checklist!$B$4),2))</f>
        <v>0</v>
      </c>
      <c r="I125" s="6">
        <f t="shared" si="6"/>
        <v>255.25</v>
      </c>
      <c r="J125" s="2" t="str">
        <f t="shared" si="7"/>
        <v>未结清</v>
      </c>
    </row>
    <row r="126" spans="1:10" ht="15">
      <c r="A126" s="2" t="s">
        <v>162</v>
      </c>
      <c r="B126" s="2" t="str">
        <f>INDEX(calc_lines!$C$2:$C$967,MATCH($A126,calc_lines!$A$2:$A$967,0))</f>
        <v>C004</v>
      </c>
      <c r="C126" s="2" t="str">
        <f>INDEX(calc_lines!$O$2:$O$967,MATCH($A126,calc_lines!$A$2:$A$967,0))</f>
        <v>模拟_田畔饭店</v>
      </c>
      <c r="D126" s="3">
        <f>INDEX(calc_lines!$D$2:$D$967,MATCH($A126,calc_lines!$A$2:$A$967,0))</f>
        <v>46291</v>
      </c>
      <c r="E126" s="2">
        <f>COUNTIF(calc_lines!$A$2:$A$967,$A126)</f>
        <v>6</v>
      </c>
      <c r="F126" s="2">
        <f>COUNTIFS(calc_lines!$A$2:$A$967,$A126,calc_lines!$W$2:$W$967,"阻断")</f>
        <v>0</v>
      </c>
      <c r="G126" s="6">
        <f>IF($F126&gt;0,"",ROUND(SUMIF(calc_lines!$A$2:$A$967,$A126,calc_lines!$R$2:$R$967),2))</f>
        <v>190.44</v>
      </c>
      <c r="H126" s="6">
        <f>IF($F126&gt;0,"",ROUND(SUMIFS(fact_payments!$D$2:$D$101,fact_payments!$B$2:$B$101,$A126,fact_payments!$C$2:$C$101,"&lt;="&amp;checklist!$B$4),2))</f>
        <v>190.44</v>
      </c>
      <c r="I126" s="6">
        <f t="shared" si="6"/>
        <v>0</v>
      </c>
      <c r="J126" s="2" t="str">
        <f t="shared" si="7"/>
        <v>已结清</v>
      </c>
    </row>
    <row r="127" spans="1:10" ht="15">
      <c r="A127" s="2" t="s">
        <v>163</v>
      </c>
      <c r="B127" s="2" t="str">
        <f>INDEX(calc_lines!$C$2:$C$967,MATCH($A127,calc_lines!$A$2:$A$967,0))</f>
        <v>C006</v>
      </c>
      <c r="C127" s="2" t="str">
        <f>INDEX(calc_lines!$O$2:$O$967,MATCH($A127,calc_lines!$A$2:$A$967,0))</f>
        <v>模拟_溪桥医院食堂</v>
      </c>
      <c r="D127" s="3">
        <f>INDEX(calc_lines!$D$2:$D$967,MATCH($A127,calc_lines!$A$2:$A$967,0))</f>
        <v>46291</v>
      </c>
      <c r="E127" s="2">
        <f>COUNTIF(calc_lines!$A$2:$A$967,$A127)</f>
        <v>8</v>
      </c>
      <c r="F127" s="2">
        <f>COUNTIFS(calc_lines!$A$2:$A$967,$A127,calc_lines!$W$2:$W$967,"阻断")</f>
        <v>0</v>
      </c>
      <c r="G127" s="6">
        <f>IF($F127&gt;0,"",ROUND(SUMIF(calc_lines!$A$2:$A$967,$A127,calc_lines!$R$2:$R$967),2))</f>
        <v>750.79</v>
      </c>
      <c r="H127" s="6">
        <f>IF($F127&gt;0,"",ROUND(SUMIFS(fact_payments!$D$2:$D$101,fact_payments!$B$2:$B$101,$A127,fact_payments!$C$2:$C$101,"&lt;="&amp;checklist!$B$4),2))</f>
        <v>0</v>
      </c>
      <c r="I127" s="6">
        <f t="shared" si="6"/>
        <v>750.79</v>
      </c>
      <c r="J127" s="2" t="str">
        <f t="shared" si="7"/>
        <v>未结清</v>
      </c>
    </row>
    <row r="128" spans="1:10" ht="15">
      <c r="A128" s="2" t="s">
        <v>164</v>
      </c>
      <c r="B128" s="2" t="str">
        <f>INDEX(calc_lines!$C$2:$C$967,MATCH($A128,calc_lines!$A$2:$A$967,0))</f>
        <v>C002</v>
      </c>
      <c r="C128" s="2" t="str">
        <f>INDEX(calc_lines!$O$2:$O$967,MATCH($A128,calc_lines!$A$2:$A$967,0))</f>
        <v>模拟_桥头家常菜馆</v>
      </c>
      <c r="D128" s="3">
        <f>INDEX(calc_lines!$D$2:$D$967,MATCH($A128,calc_lines!$A$2:$A$967,0))</f>
        <v>46292</v>
      </c>
      <c r="E128" s="2">
        <f>COUNTIF(calc_lines!$A$2:$A$967,$A128)</f>
        <v>5</v>
      </c>
      <c r="F128" s="2">
        <f>COUNTIFS(calc_lines!$A$2:$A$967,$A128,calc_lines!$W$2:$W$967,"阻断")</f>
        <v>0</v>
      </c>
      <c r="G128" s="6">
        <f>IF($F128&gt;0,"",ROUND(SUMIF(calc_lines!$A$2:$A$967,$A128,calc_lines!$R$2:$R$967),2))</f>
        <v>173.25</v>
      </c>
      <c r="H128" s="6">
        <f>IF($F128&gt;0,"",ROUND(SUMIFS(fact_payments!$D$2:$D$101,fact_payments!$B$2:$B$101,$A128,fact_payments!$C$2:$C$101,"&lt;="&amp;checklist!$B$4),2))</f>
        <v>173.25</v>
      </c>
      <c r="I128" s="6">
        <f t="shared" si="6"/>
        <v>0</v>
      </c>
      <c r="J128" s="2" t="str">
        <f t="shared" si="7"/>
        <v>已结清</v>
      </c>
    </row>
    <row r="129" spans="1:10" ht="15">
      <c r="A129" s="2" t="s">
        <v>165</v>
      </c>
      <c r="B129" s="2" t="str">
        <f>INDEX(calc_lines!$C$2:$C$967,MATCH($A129,calc_lines!$A$2:$A$967,0))</f>
        <v>C006</v>
      </c>
      <c r="C129" s="2" t="str">
        <f>INDEX(calc_lines!$O$2:$O$967,MATCH($A129,calc_lines!$A$2:$A$967,0))</f>
        <v>模拟_溪桥医院食堂</v>
      </c>
      <c r="D129" s="3">
        <f>INDEX(calc_lines!$D$2:$D$967,MATCH($A129,calc_lines!$A$2:$A$967,0))</f>
        <v>46292</v>
      </c>
      <c r="E129" s="2">
        <f>COUNTIF(calc_lines!$A$2:$A$967,$A129)</f>
        <v>7</v>
      </c>
      <c r="F129" s="2">
        <f>COUNTIFS(calc_lines!$A$2:$A$967,$A129,calc_lines!$W$2:$W$967,"阻断")</f>
        <v>0</v>
      </c>
      <c r="G129" s="6">
        <f>IF($F129&gt;0,"",ROUND(SUMIF(calc_lines!$A$2:$A$967,$A129,calc_lines!$R$2:$R$967),2))</f>
        <v>272.22000000000003</v>
      </c>
      <c r="H129" s="6">
        <f>IF($F129&gt;0,"",ROUND(SUMIFS(fact_payments!$D$2:$D$101,fact_payments!$B$2:$B$101,$A129,fact_payments!$C$2:$C$101,"&lt;="&amp;checklist!$B$4),2))</f>
        <v>0</v>
      </c>
      <c r="I129" s="6">
        <f t="shared" si="6"/>
        <v>272.22000000000003</v>
      </c>
      <c r="J129" s="2" t="str">
        <f t="shared" si="7"/>
        <v>未结清</v>
      </c>
    </row>
    <row r="130" spans="1:10" ht="15">
      <c r="A130" s="2" t="s">
        <v>166</v>
      </c>
      <c r="B130" s="2" t="str">
        <f>INDEX(calc_lines!$C$2:$C$967,MATCH($A130,calc_lines!$A$2:$A$967,0))</f>
        <v>C001</v>
      </c>
      <c r="C130" s="2" t="str">
        <f>INDEX(calc_lines!$O$2:$O$967,MATCH($A130,calc_lines!$A$2:$A$967,0))</f>
        <v>模拟_榕树下粉面店</v>
      </c>
      <c r="D130" s="3">
        <f>INDEX(calc_lines!$D$2:$D$967,MATCH($A130,calc_lines!$A$2:$A$967,0))</f>
        <v>46293</v>
      </c>
      <c r="E130" s="2">
        <f>COUNTIF(calc_lines!$A$2:$A$967,$A130)</f>
        <v>4</v>
      </c>
      <c r="F130" s="2">
        <f>COUNTIFS(calc_lines!$A$2:$A$967,$A130,calc_lines!$W$2:$W$967,"阻断")</f>
        <v>0</v>
      </c>
      <c r="G130" s="6">
        <f>IF($F130&gt;0,"",ROUND(SUMIF(calc_lines!$A$2:$A$967,$A130,calc_lines!$R$2:$R$967),2))</f>
        <v>49.35</v>
      </c>
      <c r="H130" s="6">
        <f>IF($F130&gt;0,"",ROUND(SUMIFS(fact_payments!$D$2:$D$101,fact_payments!$B$2:$B$101,$A130,fact_payments!$C$2:$C$101,"&lt;="&amp;checklist!$B$4),2))</f>
        <v>49.35</v>
      </c>
      <c r="I130" s="6">
        <f t="shared" ref="I130:I144" si="8">IF($F130&gt;0,"",$G130-$H130)</f>
        <v>0</v>
      </c>
      <c r="J130" s="2" t="str">
        <f t="shared" ref="J130:J144" si="9">IF($F130&gt;0,"暂缓",IF($I130=0,"已结清","未结清"))</f>
        <v>已结清</v>
      </c>
    </row>
    <row r="131" spans="1:10" ht="15">
      <c r="A131" s="2" t="s">
        <v>167</v>
      </c>
      <c r="B131" s="2" t="str">
        <f>INDEX(calc_lines!$C$2:$C$967,MATCH($A131,calc_lines!$A$2:$A$967,0))</f>
        <v>C003</v>
      </c>
      <c r="C131" s="2" t="str">
        <f>INDEX(calc_lines!$O$2:$O$967,MATCH($A131,calc_lines!$A$2:$A$967,0))</f>
        <v>模拟_兴街快餐店</v>
      </c>
      <c r="D131" s="3">
        <f>INDEX(calc_lines!$D$2:$D$967,MATCH($A131,calc_lines!$A$2:$A$967,0))</f>
        <v>46293</v>
      </c>
      <c r="E131" s="2">
        <f>COUNTIF(calc_lines!$A$2:$A$967,$A131)</f>
        <v>6</v>
      </c>
      <c r="F131" s="2">
        <f>COUNTIFS(calc_lines!$A$2:$A$967,$A131,calc_lines!$W$2:$W$967,"阻断")</f>
        <v>0</v>
      </c>
      <c r="G131" s="6">
        <f>IF($F131&gt;0,"",ROUND(SUMIF(calc_lines!$A$2:$A$967,$A131,calc_lines!$R$2:$R$967),2))</f>
        <v>165.36</v>
      </c>
      <c r="H131" s="6">
        <f>IF($F131&gt;0,"",ROUND(SUMIFS(fact_payments!$D$2:$D$101,fact_payments!$B$2:$B$101,$A131,fact_payments!$C$2:$C$101,"&lt;="&amp;checklist!$B$4),2))</f>
        <v>0</v>
      </c>
      <c r="I131" s="6">
        <f t="shared" si="8"/>
        <v>165.36</v>
      </c>
      <c r="J131" s="2" t="str">
        <f t="shared" si="9"/>
        <v>未结清</v>
      </c>
    </row>
    <row r="132" spans="1:10" ht="15">
      <c r="A132" s="2" t="s">
        <v>168</v>
      </c>
      <c r="B132" s="2" t="str">
        <f>INDEX(calc_lines!$C$2:$C$967,MATCH($A132,calc_lines!$A$2:$A$967,0))</f>
        <v>C005</v>
      </c>
      <c r="C132" s="2" t="str">
        <f>INDEX(calc_lines!$O$2:$O$967,MATCH($A132,calc_lines!$A$2:$A$967,0))</f>
        <v>模拟_青禾小学食堂</v>
      </c>
      <c r="D132" s="3">
        <f>INDEX(calc_lines!$D$2:$D$967,MATCH($A132,calc_lines!$A$2:$A$967,0))</f>
        <v>46293</v>
      </c>
      <c r="E132" s="2">
        <f>COUNTIF(calc_lines!$A$2:$A$967,$A132)</f>
        <v>6</v>
      </c>
      <c r="F132" s="2">
        <f>COUNTIFS(calc_lines!$A$2:$A$967,$A132,calc_lines!$W$2:$W$967,"阻断")</f>
        <v>0</v>
      </c>
      <c r="G132" s="6">
        <f>IF($F132&gt;0,"",ROUND(SUMIF(calc_lines!$A$2:$A$967,$A132,calc_lines!$R$2:$R$967),2))</f>
        <v>274.44</v>
      </c>
      <c r="H132" s="6">
        <f>IF($F132&gt;0,"",ROUND(SUMIFS(fact_payments!$D$2:$D$101,fact_payments!$B$2:$B$101,$A132,fact_payments!$C$2:$C$101,"&lt;="&amp;checklist!$B$4),2))</f>
        <v>0</v>
      </c>
      <c r="I132" s="6">
        <f t="shared" si="8"/>
        <v>274.44</v>
      </c>
      <c r="J132" s="2" t="str">
        <f t="shared" si="9"/>
        <v>未结清</v>
      </c>
    </row>
    <row r="133" spans="1:10" ht="15">
      <c r="A133" s="2" t="s">
        <v>169</v>
      </c>
      <c r="B133" s="2" t="str">
        <f>INDEX(calc_lines!$C$2:$C$967,MATCH($A133,calc_lines!$A$2:$A$967,0))</f>
        <v>C006</v>
      </c>
      <c r="C133" s="2" t="str">
        <f>INDEX(calc_lines!$O$2:$O$967,MATCH($A133,calc_lines!$A$2:$A$967,0))</f>
        <v>模拟_溪桥医院食堂</v>
      </c>
      <c r="D133" s="3">
        <f>INDEX(calc_lines!$D$2:$D$967,MATCH($A133,calc_lines!$A$2:$A$967,0))</f>
        <v>46293</v>
      </c>
      <c r="E133" s="2">
        <f>COUNTIF(calc_lines!$A$2:$A$967,$A133)</f>
        <v>7</v>
      </c>
      <c r="F133" s="2">
        <f>COUNTIFS(calc_lines!$A$2:$A$967,$A133,calc_lines!$W$2:$W$967,"阻断")</f>
        <v>0</v>
      </c>
      <c r="G133" s="6">
        <f>IF($F133&gt;0,"",ROUND(SUMIF(calc_lines!$A$2:$A$967,$A133,calc_lines!$R$2:$R$967),2))</f>
        <v>190.85</v>
      </c>
      <c r="H133" s="6">
        <f>IF($F133&gt;0,"",ROUND(SUMIFS(fact_payments!$D$2:$D$101,fact_payments!$B$2:$B$101,$A133,fact_payments!$C$2:$C$101,"&lt;="&amp;checklist!$B$4),2))</f>
        <v>0</v>
      </c>
      <c r="I133" s="6">
        <f t="shared" si="8"/>
        <v>190.85</v>
      </c>
      <c r="J133" s="2" t="str">
        <f t="shared" si="9"/>
        <v>未结清</v>
      </c>
    </row>
    <row r="134" spans="1:10" ht="15">
      <c r="A134" s="2" t="s">
        <v>170</v>
      </c>
      <c r="B134" s="2" t="str">
        <f>INDEX(calc_lines!$C$2:$C$967,MATCH($A134,calc_lines!$A$2:$A$967,0))</f>
        <v>C001</v>
      </c>
      <c r="C134" s="2" t="str">
        <f>INDEX(calc_lines!$O$2:$O$967,MATCH($A134,calc_lines!$A$2:$A$967,0))</f>
        <v>模拟_榕树下粉面店</v>
      </c>
      <c r="D134" s="3">
        <f>INDEX(calc_lines!$D$2:$D$967,MATCH($A134,calc_lines!$A$2:$A$967,0))</f>
        <v>46294</v>
      </c>
      <c r="E134" s="2">
        <f>COUNTIF(calc_lines!$A$2:$A$967,$A134)</f>
        <v>6</v>
      </c>
      <c r="F134" s="2">
        <f>COUNTIFS(calc_lines!$A$2:$A$967,$A134,calc_lines!$W$2:$W$967,"阻断")</f>
        <v>0</v>
      </c>
      <c r="G134" s="6">
        <f>IF($F134&gt;0,"",ROUND(SUMIF(calc_lines!$A$2:$A$967,$A134,calc_lines!$R$2:$R$967),2))</f>
        <v>96.36</v>
      </c>
      <c r="H134" s="6">
        <f>IF($F134&gt;0,"",ROUND(SUMIFS(fact_payments!$D$2:$D$101,fact_payments!$B$2:$B$101,$A134,fact_payments!$C$2:$C$101,"&lt;="&amp;checklist!$B$4),2))</f>
        <v>96.36</v>
      </c>
      <c r="I134" s="6">
        <f t="shared" si="8"/>
        <v>0</v>
      </c>
      <c r="J134" s="2" t="str">
        <f t="shared" si="9"/>
        <v>已结清</v>
      </c>
    </row>
    <row r="135" spans="1:10" ht="15">
      <c r="A135" s="2" t="s">
        <v>171</v>
      </c>
      <c r="B135" s="2" t="str">
        <f>INDEX(calc_lines!$C$2:$C$967,MATCH($A135,calc_lines!$A$2:$A$967,0))</f>
        <v>C002</v>
      </c>
      <c r="C135" s="2" t="str">
        <f>INDEX(calc_lines!$O$2:$O$967,MATCH($A135,calc_lines!$A$2:$A$967,0))</f>
        <v>模拟_桥头家常菜馆</v>
      </c>
      <c r="D135" s="3">
        <f>INDEX(calc_lines!$D$2:$D$967,MATCH($A135,calc_lines!$A$2:$A$967,0))</f>
        <v>46294</v>
      </c>
      <c r="E135" s="2">
        <f>COUNTIF(calc_lines!$A$2:$A$967,$A135)</f>
        <v>7</v>
      </c>
      <c r="F135" s="2">
        <f>COUNTIFS(calc_lines!$A$2:$A$967,$A135,calc_lines!$W$2:$W$967,"阻断")</f>
        <v>0</v>
      </c>
      <c r="G135" s="6">
        <f>IF($F135&gt;0,"",ROUND(SUMIF(calc_lines!$A$2:$A$967,$A135,calc_lines!$R$2:$R$967),2))</f>
        <v>186.05</v>
      </c>
      <c r="H135" s="6">
        <f>IF($F135&gt;0,"",ROUND(SUMIFS(fact_payments!$D$2:$D$101,fact_payments!$B$2:$B$101,$A135,fact_payments!$C$2:$C$101,"&lt;="&amp;checklist!$B$4),2))</f>
        <v>186.05</v>
      </c>
      <c r="I135" s="6">
        <f t="shared" si="8"/>
        <v>0</v>
      </c>
      <c r="J135" s="2" t="str">
        <f t="shared" si="9"/>
        <v>已结清</v>
      </c>
    </row>
    <row r="136" spans="1:10" ht="15">
      <c r="A136" s="2" t="s">
        <v>172</v>
      </c>
      <c r="B136" s="2" t="str">
        <f>INDEX(calc_lines!$C$2:$C$967,MATCH($A136,calc_lines!$A$2:$A$967,0))</f>
        <v>C003</v>
      </c>
      <c r="C136" s="2" t="str">
        <f>INDEX(calc_lines!$O$2:$O$967,MATCH($A136,calc_lines!$A$2:$A$967,0))</f>
        <v>模拟_兴街快餐店</v>
      </c>
      <c r="D136" s="3">
        <f>INDEX(calc_lines!$D$2:$D$967,MATCH($A136,calc_lines!$A$2:$A$967,0))</f>
        <v>46294</v>
      </c>
      <c r="E136" s="2">
        <f>COUNTIF(calc_lines!$A$2:$A$967,$A136)</f>
        <v>8</v>
      </c>
      <c r="F136" s="2">
        <f>COUNTIFS(calc_lines!$A$2:$A$967,$A136,calc_lines!$W$2:$W$967,"阻断")</f>
        <v>0</v>
      </c>
      <c r="G136" s="6">
        <f>IF($F136&gt;0,"",ROUND(SUMIF(calc_lines!$A$2:$A$967,$A136,calc_lines!$R$2:$R$967),2))</f>
        <v>275.36</v>
      </c>
      <c r="H136" s="6">
        <f>IF($F136&gt;0,"",ROUND(SUMIFS(fact_payments!$D$2:$D$101,fact_payments!$B$2:$B$101,$A136,fact_payments!$C$2:$C$101,"&lt;="&amp;checklist!$B$4),2))</f>
        <v>0</v>
      </c>
      <c r="I136" s="6">
        <f t="shared" si="8"/>
        <v>275.36</v>
      </c>
      <c r="J136" s="2" t="str">
        <f t="shared" si="9"/>
        <v>未结清</v>
      </c>
    </row>
    <row r="137" spans="1:10" ht="15">
      <c r="A137" s="2" t="s">
        <v>173</v>
      </c>
      <c r="B137" s="2" t="str">
        <f>INDEX(calc_lines!$C$2:$C$967,MATCH($A137,calc_lines!$A$2:$A$967,0))</f>
        <v>C004</v>
      </c>
      <c r="C137" s="2" t="str">
        <f>INDEX(calc_lines!$O$2:$O$967,MATCH($A137,calc_lines!$A$2:$A$967,0))</f>
        <v>模拟_田畔饭店</v>
      </c>
      <c r="D137" s="3">
        <f>INDEX(calc_lines!$D$2:$D$967,MATCH($A137,calc_lines!$A$2:$A$967,0))</f>
        <v>46294</v>
      </c>
      <c r="E137" s="2">
        <f>COUNTIF(calc_lines!$A$2:$A$967,$A137)</f>
        <v>8</v>
      </c>
      <c r="F137" s="2">
        <f>COUNTIFS(calc_lines!$A$2:$A$967,$A137,calc_lines!$W$2:$W$967,"阻断")</f>
        <v>0</v>
      </c>
      <c r="G137" s="6">
        <f>IF($F137&gt;0,"",ROUND(SUMIF(calc_lines!$A$2:$A$967,$A137,calc_lines!$R$2:$R$967),2))</f>
        <v>230</v>
      </c>
      <c r="H137" s="6">
        <f>IF($F137&gt;0,"",ROUND(SUMIFS(fact_payments!$D$2:$D$101,fact_payments!$B$2:$B$101,$A137,fact_payments!$C$2:$C$101,"&lt;="&amp;checklist!$B$4),2))</f>
        <v>230</v>
      </c>
      <c r="I137" s="6">
        <f t="shared" si="8"/>
        <v>0</v>
      </c>
      <c r="J137" s="2" t="str">
        <f t="shared" si="9"/>
        <v>已结清</v>
      </c>
    </row>
    <row r="138" spans="1:10" ht="15">
      <c r="A138" s="2" t="s">
        <v>174</v>
      </c>
      <c r="B138" s="2" t="str">
        <f>INDEX(calc_lines!$C$2:$C$967,MATCH($A138,calc_lines!$A$2:$A$967,0))</f>
        <v>C005</v>
      </c>
      <c r="C138" s="2" t="str">
        <f>INDEX(calc_lines!$O$2:$O$967,MATCH($A138,calc_lines!$A$2:$A$967,0))</f>
        <v>模拟_青禾小学食堂</v>
      </c>
      <c r="D138" s="3">
        <f>INDEX(calc_lines!$D$2:$D$967,MATCH($A138,calc_lines!$A$2:$A$967,0))</f>
        <v>46294</v>
      </c>
      <c r="E138" s="2">
        <f>COUNTIF(calc_lines!$A$2:$A$967,$A138)</f>
        <v>9</v>
      </c>
      <c r="F138" s="2">
        <f>COUNTIFS(calc_lines!$A$2:$A$967,$A138,calc_lines!$W$2:$W$967,"阻断")</f>
        <v>0</v>
      </c>
      <c r="G138" s="6">
        <f>IF($F138&gt;0,"",ROUND(SUMIF(calc_lines!$A$2:$A$967,$A138,calc_lines!$R$2:$R$967),2))</f>
        <v>1218.25</v>
      </c>
      <c r="H138" s="6">
        <f>IF($F138&gt;0,"",ROUND(SUMIFS(fact_payments!$D$2:$D$101,fact_payments!$B$2:$B$101,$A138,fact_payments!$C$2:$C$101,"&lt;="&amp;checklist!$B$4),2))</f>
        <v>0</v>
      </c>
      <c r="I138" s="6">
        <f t="shared" si="8"/>
        <v>1218.25</v>
      </c>
      <c r="J138" s="2" t="str">
        <f t="shared" si="9"/>
        <v>未结清</v>
      </c>
    </row>
    <row r="139" spans="1:10" ht="15">
      <c r="A139" s="2" t="s">
        <v>175</v>
      </c>
      <c r="B139" s="2" t="str">
        <f>INDEX(calc_lines!$C$2:$C$967,MATCH($A139,calc_lines!$A$2:$A$967,0))</f>
        <v>C006</v>
      </c>
      <c r="C139" s="2" t="str">
        <f>INDEX(calc_lines!$O$2:$O$967,MATCH($A139,calc_lines!$A$2:$A$967,0))</f>
        <v>模拟_溪桥医院食堂</v>
      </c>
      <c r="D139" s="3">
        <f>INDEX(calc_lines!$D$2:$D$967,MATCH($A139,calc_lines!$A$2:$A$967,0))</f>
        <v>46294</v>
      </c>
      <c r="E139" s="2">
        <f>COUNTIF(calc_lines!$A$2:$A$967,$A139)</f>
        <v>7</v>
      </c>
      <c r="F139" s="2">
        <f>COUNTIFS(calc_lines!$A$2:$A$967,$A139,calc_lines!$W$2:$W$967,"阻断")</f>
        <v>0</v>
      </c>
      <c r="G139" s="6">
        <f>IF($F139&gt;0,"",ROUND(SUMIF(calc_lines!$A$2:$A$967,$A139,calc_lines!$R$2:$R$967),2))</f>
        <v>256.08999999999997</v>
      </c>
      <c r="H139" s="6">
        <f>IF($F139&gt;0,"",ROUND(SUMIFS(fact_payments!$D$2:$D$101,fact_payments!$B$2:$B$101,$A139,fact_payments!$C$2:$C$101,"&lt;="&amp;checklist!$B$4),2))</f>
        <v>0</v>
      </c>
      <c r="I139" s="6">
        <f t="shared" si="8"/>
        <v>256.08999999999997</v>
      </c>
      <c r="J139" s="2" t="str">
        <f t="shared" si="9"/>
        <v>未结清</v>
      </c>
    </row>
    <row r="140" spans="1:10" ht="15">
      <c r="A140" s="2" t="s">
        <v>176</v>
      </c>
      <c r="B140" s="2" t="str">
        <f>INDEX(calc_lines!$C$2:$C$967,MATCH($A140,calc_lines!$A$2:$A$967,0))</f>
        <v>C001</v>
      </c>
      <c r="C140" s="2" t="str">
        <f>INDEX(calc_lines!$O$2:$O$967,MATCH($A140,calc_lines!$A$2:$A$967,0))</f>
        <v>模拟_榕树下粉面店</v>
      </c>
      <c r="D140" s="3">
        <f>INDEX(calc_lines!$D$2:$D$967,MATCH($A140,calc_lines!$A$2:$A$967,0))</f>
        <v>46295</v>
      </c>
      <c r="E140" s="2">
        <f>COUNTIF(calc_lines!$A$2:$A$967,$A140)</f>
        <v>6</v>
      </c>
      <c r="F140" s="2">
        <f>COUNTIFS(calc_lines!$A$2:$A$967,$A140,calc_lines!$W$2:$W$967,"阻断")</f>
        <v>0</v>
      </c>
      <c r="G140" s="6">
        <f>IF($F140&gt;0,"",ROUND(SUMIF(calc_lines!$A$2:$A$967,$A140,calc_lines!$R$2:$R$967),2))</f>
        <v>222.68</v>
      </c>
      <c r="H140" s="6">
        <f>IF($F140&gt;0,"",ROUND(SUMIFS(fact_payments!$D$2:$D$101,fact_payments!$B$2:$B$101,$A140,fact_payments!$C$2:$C$101,"&lt;="&amp;checklist!$B$4),2))</f>
        <v>222.68</v>
      </c>
      <c r="I140" s="6">
        <f t="shared" si="8"/>
        <v>0</v>
      </c>
      <c r="J140" s="2" t="str">
        <f t="shared" si="9"/>
        <v>已结清</v>
      </c>
    </row>
    <row r="141" spans="1:10" ht="15">
      <c r="A141" s="2" t="s">
        <v>177</v>
      </c>
      <c r="B141" s="2" t="str">
        <f>INDEX(calc_lines!$C$2:$C$967,MATCH($A141,calc_lines!$A$2:$A$967,0))</f>
        <v>C002</v>
      </c>
      <c r="C141" s="2" t="str">
        <f>INDEX(calc_lines!$O$2:$O$967,MATCH($A141,calc_lines!$A$2:$A$967,0))</f>
        <v>模拟_桥头家常菜馆</v>
      </c>
      <c r="D141" s="3">
        <f>INDEX(calc_lines!$D$2:$D$967,MATCH($A141,calc_lines!$A$2:$A$967,0))</f>
        <v>46295</v>
      </c>
      <c r="E141" s="2">
        <f>COUNTIF(calc_lines!$A$2:$A$967,$A141)</f>
        <v>7</v>
      </c>
      <c r="F141" s="2">
        <f>COUNTIFS(calc_lines!$A$2:$A$967,$A141,calc_lines!$W$2:$W$967,"阻断")</f>
        <v>0</v>
      </c>
      <c r="G141" s="6">
        <f>IF($F141&gt;0,"",ROUND(SUMIF(calc_lines!$A$2:$A$967,$A141,calc_lines!$R$2:$R$967),2))</f>
        <v>528.14</v>
      </c>
      <c r="H141" s="6">
        <f>IF($F141&gt;0,"",ROUND(SUMIFS(fact_payments!$D$2:$D$101,fact_payments!$B$2:$B$101,$A141,fact_payments!$C$2:$C$101,"&lt;="&amp;checklist!$B$4),2))</f>
        <v>528.14</v>
      </c>
      <c r="I141" s="6">
        <f t="shared" si="8"/>
        <v>0</v>
      </c>
      <c r="J141" s="2" t="str">
        <f t="shared" si="9"/>
        <v>已结清</v>
      </c>
    </row>
    <row r="142" spans="1:10" ht="15">
      <c r="A142" s="2" t="s">
        <v>178</v>
      </c>
      <c r="B142" s="2" t="str">
        <f>INDEX(calc_lines!$C$2:$C$967,MATCH($A142,calc_lines!$A$2:$A$967,0))</f>
        <v>C003</v>
      </c>
      <c r="C142" s="2" t="str">
        <f>INDEX(calc_lines!$O$2:$O$967,MATCH($A142,calc_lines!$A$2:$A$967,0))</f>
        <v>模拟_兴街快餐店</v>
      </c>
      <c r="D142" s="3">
        <f>INDEX(calc_lines!$D$2:$D$967,MATCH($A142,calc_lines!$A$2:$A$967,0))</f>
        <v>46295</v>
      </c>
      <c r="E142" s="2">
        <f>COUNTIF(calc_lines!$A$2:$A$967,$A142)</f>
        <v>8</v>
      </c>
      <c r="F142" s="2">
        <f>COUNTIFS(calc_lines!$A$2:$A$967,$A142,calc_lines!$W$2:$W$967,"阻断")</f>
        <v>0</v>
      </c>
      <c r="G142" s="6">
        <f>IF($F142&gt;0,"",ROUND(SUMIF(calc_lines!$A$2:$A$967,$A142,calc_lines!$R$2:$R$967),2))</f>
        <v>858.67</v>
      </c>
      <c r="H142" s="6">
        <f>IF($F142&gt;0,"",ROUND(SUMIFS(fact_payments!$D$2:$D$101,fact_payments!$B$2:$B$101,$A142,fact_payments!$C$2:$C$101,"&lt;="&amp;checklist!$B$4),2))</f>
        <v>0</v>
      </c>
      <c r="I142" s="6">
        <f t="shared" si="8"/>
        <v>858.67</v>
      </c>
      <c r="J142" s="2" t="str">
        <f t="shared" si="9"/>
        <v>未结清</v>
      </c>
    </row>
    <row r="143" spans="1:10" ht="15">
      <c r="A143" s="2" t="s">
        <v>179</v>
      </c>
      <c r="B143" s="2" t="str">
        <f>INDEX(calc_lines!$C$2:$C$967,MATCH($A143,calc_lines!$A$2:$A$967,0))</f>
        <v>C005</v>
      </c>
      <c r="C143" s="2" t="str">
        <f>INDEX(calc_lines!$O$2:$O$967,MATCH($A143,calc_lines!$A$2:$A$967,0))</f>
        <v>模拟_青禾小学食堂</v>
      </c>
      <c r="D143" s="3">
        <f>INDEX(calc_lines!$D$2:$D$967,MATCH($A143,calc_lines!$A$2:$A$967,0))</f>
        <v>46295</v>
      </c>
      <c r="E143" s="2">
        <f>COUNTIF(calc_lines!$A$2:$A$967,$A143)</f>
        <v>7</v>
      </c>
      <c r="F143" s="2">
        <f>COUNTIFS(calc_lines!$A$2:$A$967,$A143,calc_lines!$W$2:$W$967,"阻断")</f>
        <v>0</v>
      </c>
      <c r="G143" s="6">
        <f>IF($F143&gt;0,"",ROUND(SUMIF(calc_lines!$A$2:$A$967,$A143,calc_lines!$R$2:$R$967),2))</f>
        <v>232.01</v>
      </c>
      <c r="H143" s="6">
        <f>IF($F143&gt;0,"",ROUND(SUMIFS(fact_payments!$D$2:$D$101,fact_payments!$B$2:$B$101,$A143,fact_payments!$C$2:$C$101,"&lt;="&amp;checklist!$B$4),2))</f>
        <v>0</v>
      </c>
      <c r="I143" s="6">
        <f t="shared" si="8"/>
        <v>232.01</v>
      </c>
      <c r="J143" s="2" t="str">
        <f t="shared" si="9"/>
        <v>未结清</v>
      </c>
    </row>
    <row r="144" spans="1:10" ht="15">
      <c r="A144" s="2" t="s">
        <v>180</v>
      </c>
      <c r="B144" s="2" t="str">
        <f>INDEX(calc_lines!$C$2:$C$967,MATCH($A144,calc_lines!$A$2:$A$967,0))</f>
        <v>C006</v>
      </c>
      <c r="C144" s="2" t="str">
        <f>INDEX(calc_lines!$O$2:$O$967,MATCH($A144,calc_lines!$A$2:$A$967,0))</f>
        <v>模拟_溪桥医院食堂</v>
      </c>
      <c r="D144" s="3">
        <f>INDEX(calc_lines!$D$2:$D$967,MATCH($A144,calc_lines!$A$2:$A$967,0))</f>
        <v>46295</v>
      </c>
      <c r="E144" s="2">
        <f>COUNTIF(calc_lines!$A$2:$A$967,$A144)</f>
        <v>6</v>
      </c>
      <c r="F144" s="2">
        <f>COUNTIFS(calc_lines!$A$2:$A$967,$A144,calc_lines!$W$2:$W$967,"阻断")</f>
        <v>0</v>
      </c>
      <c r="G144" s="6">
        <f>IF($F144&gt;0,"",ROUND(SUMIF(calc_lines!$A$2:$A$967,$A144,calc_lines!$R$2:$R$967),2))</f>
        <v>228.52</v>
      </c>
      <c r="H144" s="6">
        <f>IF($F144&gt;0,"",ROUND(SUMIFS(fact_payments!$D$2:$D$101,fact_payments!$B$2:$B$101,$A144,fact_payments!$C$2:$C$101,"&lt;="&amp;checklist!$B$4),2))</f>
        <v>0</v>
      </c>
      <c r="I144" s="6">
        <f t="shared" si="8"/>
        <v>228.52</v>
      </c>
      <c r="J144" s="2" t="str">
        <f t="shared" si="9"/>
        <v>未结清</v>
      </c>
    </row>
  </sheetData>
  <phoneticPr fontId="8" type="noConversion"/>
  <conditionalFormatting sqref="J2:J144">
    <cfRule type="containsText" dxfId="3" priority="1" operator="containsText" text="未结清"/>
    <cfRule type="containsText" dxfId="2" priority="2" operator="containsText" text="暂缓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W967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4" customWidth="1"/>
    <col min="2" max="2" width="8" customWidth="1"/>
    <col min="3" max="3" width="12" customWidth="1"/>
    <col min="4" max="4" width="13" customWidth="1"/>
    <col min="5" max="5" width="12" customWidth="1"/>
    <col min="6" max="6" width="9" customWidth="1"/>
    <col min="7" max="10" width="12" customWidth="1"/>
    <col min="11" max="11" width="24" customWidth="1"/>
    <col min="12" max="12" width="12" customWidth="1"/>
    <col min="13" max="14" width="16" customWidth="1"/>
    <col min="15" max="15" width="18" customWidth="1"/>
    <col min="16" max="18" width="14" customWidth="1"/>
    <col min="19" max="19" width="16" customWidth="1"/>
    <col min="20" max="21" width="14" customWidth="1"/>
    <col min="22" max="22" width="12" customWidth="1"/>
    <col min="23" max="23" width="16" customWidth="1"/>
  </cols>
  <sheetData>
    <row r="1" spans="1:23">
      <c r="A1" s="1" t="s">
        <v>34</v>
      </c>
      <c r="B1" s="1" t="s">
        <v>181</v>
      </c>
      <c r="C1" s="1" t="s">
        <v>21</v>
      </c>
      <c r="D1" s="1" t="s">
        <v>35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22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</row>
    <row r="2" spans="1:23" ht="15">
      <c r="A2" s="2" t="str">
        <f>raw_order_lines!A2</f>
        <v>SIM-20260901-C001</v>
      </c>
      <c r="B2" s="2">
        <f>raw_order_lines!B2</f>
        <v>1</v>
      </c>
      <c r="C2" s="2" t="str">
        <f>raw_order_lines!C2</f>
        <v>C001</v>
      </c>
      <c r="D2" s="3">
        <f>raw_order_lines!D2</f>
        <v>46266</v>
      </c>
      <c r="E2" s="2" t="str">
        <f>raw_order_lines!E2</f>
        <v>P012</v>
      </c>
      <c r="F2" s="2" t="str">
        <f>raw_order_lines!F2</f>
        <v>公斤</v>
      </c>
      <c r="G2" s="4">
        <f>raw_order_lines!G2</f>
        <v>4.0999999999999996</v>
      </c>
      <c r="H2" s="4">
        <f>raw_order_lines!H2</f>
        <v>4.0999999999999996</v>
      </c>
      <c r="I2" s="4">
        <f>raw_order_lines!I2</f>
        <v>0</v>
      </c>
      <c r="J2" s="5">
        <f>raw_order_lines!J2</f>
        <v>4.5999999999999996</v>
      </c>
      <c r="K2" s="2" t="str">
        <f>raw_order_lines!K2</f>
        <v>正常交付</v>
      </c>
      <c r="L2" s="2" t="str">
        <f>raw_order_lines!L2</f>
        <v>true</v>
      </c>
      <c r="M2" s="2" t="str">
        <f>INDEX(dim_products!$B$2:$B$21,MATCH($E2,dim_products!$A$2:$A$21,0))</f>
        <v>小白菜</v>
      </c>
      <c r="N2" s="2" t="str">
        <f>INDEX(dim_products!$C$2:$C$21,MATCH($E2,dim_products!$A$2:$A$21,0))</f>
        <v>散装鲜菜</v>
      </c>
      <c r="O2" s="2" t="str">
        <f>INDEX(dim_customers!$B$2:$B$7,MATCH($C2,dim_customers!$A$2:$A$7,0))</f>
        <v>模拟_榕树下粉面店</v>
      </c>
      <c r="P2" s="6">
        <f>INT((ROUND(raw_order_lines!H2*10,0)*ROUND(raw_order_lines!J2*100,0)+5)/10)/100</f>
        <v>18.86</v>
      </c>
      <c r="Q2" s="6">
        <f>INT((ROUND(raw_order_lines!I2*10,0)*ROUND(raw_order_lines!J2*100,0)+5)/10)/100</f>
        <v>0</v>
      </c>
      <c r="R2" s="6">
        <f t="shared" ref="R2:R65" si="0">$P2-$Q2</f>
        <v>18.86</v>
      </c>
      <c r="S2" s="2" t="str">
        <f>IF(OR(ROUND(raw_order_lines!I2*10,0)&gt;ROUND(raw_order_lines!H2*10,0),ROUND(raw_order_lines!H2*10,0)&gt;ROUND(raw_order_lines!G2*10,0),ROUND(raw_order_lines!G2*10,0)&lt;=0),"数量关系异常","")</f>
        <v/>
      </c>
      <c r="T2" s="2" t="str">
        <f>IF($F2&lt;&gt;INDEX(dim_products!$D$2:$D$21,MATCH($E2,dim_products!$A$2:$A$21,0)),"单位不一致","")</f>
        <v/>
      </c>
      <c r="U2" s="2" t="str">
        <f>IF(OR(ROUND(raw_order_lines!J2*100,0)&lt;ROUND(INDEX(dim_products!$F$2:$F$21,MATCH($E2,dim_products!$A$2:$A$21,0))*100,0),ROUND(raw_order_lines!J2*100,0)&gt;ROUND(INDEX(dim_products!$G$2:$G$21,MATCH($E2,dim_products!$A$2:$A$21,0))*100,0)),"单价越界","")</f>
        <v/>
      </c>
      <c r="V2" s="2" t="str">
        <f t="shared" ref="V2:V65" si="1">IF(COUNTIFS($A$2:$A$967,$A2,$B$2:$B$967,$B2)&gt;1,"主键重复","")</f>
        <v/>
      </c>
      <c r="W2" s="2" t="str">
        <f t="shared" ref="W2:W65" si="2">IF(COUNTIF($S2:$T2,"?*")+COUNTIF($V2:$V2,"?*")&gt;0,"阻断",IF(COUNTIF($U2:$U2,"?*")&gt;0,"提示","通过"))</f>
        <v>通过</v>
      </c>
    </row>
    <row r="3" spans="1:23" ht="15">
      <c r="A3" s="2" t="str">
        <f>raw_order_lines!A3</f>
        <v>SIM-20260901-C001</v>
      </c>
      <c r="B3" s="2">
        <f>raw_order_lines!B3</f>
        <v>2</v>
      </c>
      <c r="C3" s="2" t="str">
        <f>raw_order_lines!C3</f>
        <v>C001</v>
      </c>
      <c r="D3" s="3">
        <f>raw_order_lines!D3</f>
        <v>46266</v>
      </c>
      <c r="E3" s="2" t="str">
        <f>raw_order_lines!E3</f>
        <v>P005</v>
      </c>
      <c r="F3" s="2" t="str">
        <f>raw_order_lines!F3</f>
        <v>公斤</v>
      </c>
      <c r="G3" s="4">
        <f>raw_order_lines!G3</f>
        <v>3.3</v>
      </c>
      <c r="H3" s="4">
        <f>raw_order_lines!H3</f>
        <v>3.3</v>
      </c>
      <c r="I3" s="4">
        <f>raw_order_lines!I3</f>
        <v>0</v>
      </c>
      <c r="J3" s="5">
        <f>raw_order_lines!J3</f>
        <v>2.7</v>
      </c>
      <c r="K3" s="2" t="str">
        <f>raw_order_lines!K3</f>
        <v>正常交付</v>
      </c>
      <c r="L3" s="2" t="str">
        <f>raw_order_lines!L3</f>
        <v>true</v>
      </c>
      <c r="M3" s="2" t="str">
        <f>INDEX(dim_products!$B$2:$B$21,MATCH($E3,dim_products!$A$2:$A$21,0))</f>
        <v>南瓜</v>
      </c>
      <c r="N3" s="2" t="str">
        <f>INDEX(dim_products!$C$2:$C$21,MATCH($E3,dim_products!$A$2:$A$21,0))</f>
        <v>散装鲜菜</v>
      </c>
      <c r="O3" s="2" t="str">
        <f>INDEX(dim_customers!$B$2:$B$7,MATCH($C3,dim_customers!$A$2:$A$7,0))</f>
        <v>模拟_榕树下粉面店</v>
      </c>
      <c r="P3" s="6">
        <f>INT((ROUND(raw_order_lines!H3*10,0)*ROUND(raw_order_lines!J3*100,0)+5)/10)/100</f>
        <v>8.91</v>
      </c>
      <c r="Q3" s="6">
        <f>INT((ROUND(raw_order_lines!I3*10,0)*ROUND(raw_order_lines!J3*100,0)+5)/10)/100</f>
        <v>0</v>
      </c>
      <c r="R3" s="6">
        <f t="shared" si="0"/>
        <v>8.91</v>
      </c>
      <c r="S3" s="2" t="str">
        <f>IF(OR(ROUND(raw_order_lines!I3*10,0)&gt;ROUND(raw_order_lines!H3*10,0),ROUND(raw_order_lines!H3*10,0)&gt;ROUND(raw_order_lines!G3*10,0),ROUND(raw_order_lines!G3*10,0)&lt;=0),"数量关系异常","")</f>
        <v/>
      </c>
      <c r="T3" s="2" t="str">
        <f>IF($F3&lt;&gt;INDEX(dim_products!$D$2:$D$21,MATCH($E3,dim_products!$A$2:$A$21,0)),"单位不一致","")</f>
        <v/>
      </c>
      <c r="U3" s="2" t="str">
        <f>IF(OR(ROUND(raw_order_lines!J3*100,0)&lt;ROUND(INDEX(dim_products!$F$2:$F$21,MATCH($E3,dim_products!$A$2:$A$21,0))*100,0),ROUND(raw_order_lines!J3*100,0)&gt;ROUND(INDEX(dim_products!$G$2:$G$21,MATCH($E3,dim_products!$A$2:$A$21,0))*100,0)),"单价越界","")</f>
        <v/>
      </c>
      <c r="V3" s="2" t="str">
        <f t="shared" si="1"/>
        <v/>
      </c>
      <c r="W3" s="2" t="str">
        <f t="shared" si="2"/>
        <v>通过</v>
      </c>
    </row>
    <row r="4" spans="1:23" ht="15">
      <c r="A4" s="2" t="str">
        <f>raw_order_lines!A4</f>
        <v>SIM-20260901-C001</v>
      </c>
      <c r="B4" s="2">
        <f>raw_order_lines!B4</f>
        <v>3</v>
      </c>
      <c r="C4" s="2" t="str">
        <f>raw_order_lines!C4</f>
        <v>C001</v>
      </c>
      <c r="D4" s="3">
        <f>raw_order_lines!D4</f>
        <v>46266</v>
      </c>
      <c r="E4" s="2" t="str">
        <f>raw_order_lines!E4</f>
        <v>P002</v>
      </c>
      <c r="F4" s="2" t="str">
        <f>raw_order_lines!F4</f>
        <v>公斤</v>
      </c>
      <c r="G4" s="4">
        <f>raw_order_lines!G4</f>
        <v>2.6</v>
      </c>
      <c r="H4" s="4">
        <f>raw_order_lines!H4</f>
        <v>2.6</v>
      </c>
      <c r="I4" s="4">
        <f>raw_order_lines!I4</f>
        <v>0</v>
      </c>
      <c r="J4" s="5">
        <f>raw_order_lines!J4</f>
        <v>2.2999999999999998</v>
      </c>
      <c r="K4" s="2" t="str">
        <f>raw_order_lines!K4</f>
        <v>正常交付</v>
      </c>
      <c r="L4" s="2" t="str">
        <f>raw_order_lines!L4</f>
        <v>true</v>
      </c>
      <c r="M4" s="2" t="str">
        <f>INDEX(dim_products!$B$2:$B$21,MATCH($E4,dim_products!$A$2:$A$21,0))</f>
        <v>白萝卜</v>
      </c>
      <c r="N4" s="2" t="str">
        <f>INDEX(dim_products!$C$2:$C$21,MATCH($E4,dim_products!$A$2:$A$21,0))</f>
        <v>散装鲜菜</v>
      </c>
      <c r="O4" s="2" t="str">
        <f>INDEX(dim_customers!$B$2:$B$7,MATCH($C4,dim_customers!$A$2:$A$7,0))</f>
        <v>模拟_榕树下粉面店</v>
      </c>
      <c r="P4" s="6">
        <f>INT((ROUND(raw_order_lines!H4*10,0)*ROUND(raw_order_lines!J4*100,0)+5)/10)/100</f>
        <v>5.98</v>
      </c>
      <c r="Q4" s="6">
        <f>INT((ROUND(raw_order_lines!I4*10,0)*ROUND(raw_order_lines!J4*100,0)+5)/10)/100</f>
        <v>0</v>
      </c>
      <c r="R4" s="6">
        <f t="shared" si="0"/>
        <v>5.98</v>
      </c>
      <c r="S4" s="2" t="str">
        <f>IF(OR(ROUND(raw_order_lines!I4*10,0)&gt;ROUND(raw_order_lines!H4*10,0),ROUND(raw_order_lines!H4*10,0)&gt;ROUND(raw_order_lines!G4*10,0),ROUND(raw_order_lines!G4*10,0)&lt;=0),"数量关系异常","")</f>
        <v/>
      </c>
      <c r="T4" s="2" t="str">
        <f>IF($F4&lt;&gt;INDEX(dim_products!$D$2:$D$21,MATCH($E4,dim_products!$A$2:$A$21,0)),"单位不一致","")</f>
        <v/>
      </c>
      <c r="U4" s="2" t="str">
        <f>IF(OR(ROUND(raw_order_lines!J4*100,0)&lt;ROUND(INDEX(dim_products!$F$2:$F$21,MATCH($E4,dim_products!$A$2:$A$21,0))*100,0),ROUND(raw_order_lines!J4*100,0)&gt;ROUND(INDEX(dim_products!$G$2:$G$21,MATCH($E4,dim_products!$A$2:$A$21,0))*100,0)),"单价越界","")</f>
        <v/>
      </c>
      <c r="V4" s="2" t="str">
        <f t="shared" si="1"/>
        <v/>
      </c>
      <c r="W4" s="2" t="str">
        <f t="shared" si="2"/>
        <v>通过</v>
      </c>
    </row>
    <row r="5" spans="1:23" ht="15">
      <c r="A5" s="2" t="str">
        <f>raw_order_lines!A5</f>
        <v>SIM-20260901-C001</v>
      </c>
      <c r="B5" s="2">
        <f>raw_order_lines!B5</f>
        <v>4</v>
      </c>
      <c r="C5" s="2" t="str">
        <f>raw_order_lines!C5</f>
        <v>C001</v>
      </c>
      <c r="D5" s="3">
        <f>raw_order_lines!D5</f>
        <v>46266</v>
      </c>
      <c r="E5" s="2" t="str">
        <f>raw_order_lines!E5</f>
        <v>P004</v>
      </c>
      <c r="F5" s="2" t="str">
        <f>raw_order_lines!F5</f>
        <v>公斤</v>
      </c>
      <c r="G5" s="4">
        <f>raw_order_lines!G5</f>
        <v>3</v>
      </c>
      <c r="H5" s="4">
        <f>raw_order_lines!H5</f>
        <v>3</v>
      </c>
      <c r="I5" s="4">
        <f>raw_order_lines!I5</f>
        <v>0</v>
      </c>
      <c r="J5" s="5">
        <f>raw_order_lines!J5</f>
        <v>2.2999999999999998</v>
      </c>
      <c r="K5" s="2" t="str">
        <f>raw_order_lines!K5</f>
        <v>正常交付</v>
      </c>
      <c r="L5" s="2" t="str">
        <f>raw_order_lines!L5</f>
        <v>true</v>
      </c>
      <c r="M5" s="2" t="str">
        <f>INDEX(dim_products!$B$2:$B$21,MATCH($E5,dim_products!$A$2:$A$21,0))</f>
        <v>冬瓜</v>
      </c>
      <c r="N5" s="2" t="str">
        <f>INDEX(dim_products!$C$2:$C$21,MATCH($E5,dim_products!$A$2:$A$21,0))</f>
        <v>散装鲜菜</v>
      </c>
      <c r="O5" s="2" t="str">
        <f>INDEX(dim_customers!$B$2:$B$7,MATCH($C5,dim_customers!$A$2:$A$7,0))</f>
        <v>模拟_榕树下粉面店</v>
      </c>
      <c r="P5" s="6">
        <f>INT((ROUND(raw_order_lines!H5*10,0)*ROUND(raw_order_lines!J5*100,0)+5)/10)/100</f>
        <v>6.9</v>
      </c>
      <c r="Q5" s="6">
        <f>INT((ROUND(raw_order_lines!I5*10,0)*ROUND(raw_order_lines!J5*100,0)+5)/10)/100</f>
        <v>0</v>
      </c>
      <c r="R5" s="6">
        <f t="shared" si="0"/>
        <v>6.9</v>
      </c>
      <c r="S5" s="2" t="str">
        <f>IF(OR(ROUND(raw_order_lines!I5*10,0)&gt;ROUND(raw_order_lines!H5*10,0),ROUND(raw_order_lines!H5*10,0)&gt;ROUND(raw_order_lines!G5*10,0),ROUND(raw_order_lines!G5*10,0)&lt;=0),"数量关系异常","")</f>
        <v/>
      </c>
      <c r="T5" s="2" t="str">
        <f>IF($F5&lt;&gt;INDEX(dim_products!$D$2:$D$21,MATCH($E5,dim_products!$A$2:$A$21,0)),"单位不一致","")</f>
        <v/>
      </c>
      <c r="U5" s="2" t="str">
        <f>IF(OR(ROUND(raw_order_lines!J5*100,0)&lt;ROUND(INDEX(dim_products!$F$2:$F$21,MATCH($E5,dim_products!$A$2:$A$21,0))*100,0),ROUND(raw_order_lines!J5*100,0)&gt;ROUND(INDEX(dim_products!$G$2:$G$21,MATCH($E5,dim_products!$A$2:$A$21,0))*100,0)),"单价越界","")</f>
        <v/>
      </c>
      <c r="V5" s="2" t="str">
        <f t="shared" si="1"/>
        <v/>
      </c>
      <c r="W5" s="2" t="str">
        <f t="shared" si="2"/>
        <v>通过</v>
      </c>
    </row>
    <row r="6" spans="1:23" ht="15">
      <c r="A6" s="2" t="str">
        <f>raw_order_lines!A6</f>
        <v>SIM-20260901-C001</v>
      </c>
      <c r="B6" s="2">
        <f>raw_order_lines!B6</f>
        <v>5</v>
      </c>
      <c r="C6" s="2" t="str">
        <f>raw_order_lines!C6</f>
        <v>C001</v>
      </c>
      <c r="D6" s="3">
        <f>raw_order_lines!D6</f>
        <v>46266</v>
      </c>
      <c r="E6" s="2" t="str">
        <f>raw_order_lines!E6</f>
        <v>P016</v>
      </c>
      <c r="F6" s="2" t="str">
        <f>raw_order_lines!F6</f>
        <v>公斤</v>
      </c>
      <c r="G6" s="4">
        <f>raw_order_lines!G6</f>
        <v>3</v>
      </c>
      <c r="H6" s="4">
        <f>raw_order_lines!H6</f>
        <v>3</v>
      </c>
      <c r="I6" s="4">
        <f>raw_order_lines!I6</f>
        <v>0</v>
      </c>
      <c r="J6" s="5">
        <f>raw_order_lines!J6</f>
        <v>10.1</v>
      </c>
      <c r="K6" s="2" t="str">
        <f>raw_order_lines!K6</f>
        <v>正常交付</v>
      </c>
      <c r="L6" s="2" t="str">
        <f>raw_order_lines!L6</f>
        <v>true</v>
      </c>
      <c r="M6" s="2" t="str">
        <f>INDEX(dim_products!$B$2:$B$21,MATCH($E6,dim_products!$A$2:$A$21,0))</f>
        <v>鸡蛋</v>
      </c>
      <c r="N6" s="2" t="str">
        <f>INDEX(dim_products!$C$2:$C$21,MATCH($E6,dim_products!$A$2:$A$21,0))</f>
        <v>普通鲜鸡蛋按净重</v>
      </c>
      <c r="O6" s="2" t="str">
        <f>INDEX(dim_customers!$B$2:$B$7,MATCH($C6,dim_customers!$A$2:$A$7,0))</f>
        <v>模拟_榕树下粉面店</v>
      </c>
      <c r="P6" s="6">
        <f>INT((ROUND(raw_order_lines!H6*10,0)*ROUND(raw_order_lines!J6*100,0)+5)/10)/100</f>
        <v>30.3</v>
      </c>
      <c r="Q6" s="6">
        <f>INT((ROUND(raw_order_lines!I6*10,0)*ROUND(raw_order_lines!J6*100,0)+5)/10)/100</f>
        <v>0</v>
      </c>
      <c r="R6" s="6">
        <f t="shared" si="0"/>
        <v>30.3</v>
      </c>
      <c r="S6" s="2" t="str">
        <f>IF(OR(ROUND(raw_order_lines!I6*10,0)&gt;ROUND(raw_order_lines!H6*10,0),ROUND(raw_order_lines!H6*10,0)&gt;ROUND(raw_order_lines!G6*10,0),ROUND(raw_order_lines!G6*10,0)&lt;=0),"数量关系异常","")</f>
        <v/>
      </c>
      <c r="T6" s="2" t="str">
        <f>IF($F6&lt;&gt;INDEX(dim_products!$D$2:$D$21,MATCH($E6,dim_products!$A$2:$A$21,0)),"单位不一致","")</f>
        <v/>
      </c>
      <c r="U6" s="2" t="str">
        <f>IF(OR(ROUND(raw_order_lines!J6*100,0)&lt;ROUND(INDEX(dim_products!$F$2:$F$21,MATCH($E6,dim_products!$A$2:$A$21,0))*100,0),ROUND(raw_order_lines!J6*100,0)&gt;ROUND(INDEX(dim_products!$G$2:$G$21,MATCH($E6,dim_products!$A$2:$A$21,0))*100,0)),"单价越界","")</f>
        <v/>
      </c>
      <c r="V6" s="2" t="str">
        <f t="shared" si="1"/>
        <v/>
      </c>
      <c r="W6" s="2" t="str">
        <f t="shared" si="2"/>
        <v>通过</v>
      </c>
    </row>
    <row r="7" spans="1:23" ht="15">
      <c r="A7" s="2" t="str">
        <f>raw_order_lines!A7</f>
        <v>SIM-20260901-C001</v>
      </c>
      <c r="B7" s="2">
        <f>raw_order_lines!B7</f>
        <v>6</v>
      </c>
      <c r="C7" s="2" t="str">
        <f>raw_order_lines!C7</f>
        <v>C001</v>
      </c>
      <c r="D7" s="3">
        <f>raw_order_lines!D7</f>
        <v>46266</v>
      </c>
      <c r="E7" s="2" t="str">
        <f>raw_order_lines!E7</f>
        <v>P015</v>
      </c>
      <c r="F7" s="2" t="str">
        <f>raw_order_lines!F7</f>
        <v>公斤</v>
      </c>
      <c r="G7" s="4">
        <f>raw_order_lines!G7</f>
        <v>0.5</v>
      </c>
      <c r="H7" s="4">
        <f>raw_order_lines!H7</f>
        <v>0.5</v>
      </c>
      <c r="I7" s="4">
        <f>raw_order_lines!I7</f>
        <v>0</v>
      </c>
      <c r="J7" s="5">
        <f>raw_order_lines!J7</f>
        <v>7.3</v>
      </c>
      <c r="K7" s="2" t="str">
        <f>raw_order_lines!K7</f>
        <v>正常交付</v>
      </c>
      <c r="L7" s="2" t="str">
        <f>raw_order_lines!L7</f>
        <v>true</v>
      </c>
      <c r="M7" s="2" t="str">
        <f>INDEX(dim_products!$B$2:$B$21,MATCH($E7,dim_products!$A$2:$A$21,0))</f>
        <v>小葱</v>
      </c>
      <c r="N7" s="2" t="str">
        <f>INDEX(dim_products!$C$2:$C$21,MATCH($E7,dim_products!$A$2:$A$21,0))</f>
        <v>散装鲜菜</v>
      </c>
      <c r="O7" s="2" t="str">
        <f>INDEX(dim_customers!$B$2:$B$7,MATCH($C7,dim_customers!$A$2:$A$7,0))</f>
        <v>模拟_榕树下粉面店</v>
      </c>
      <c r="P7" s="6">
        <f>INT((ROUND(raw_order_lines!H7*10,0)*ROUND(raw_order_lines!J7*100,0)+5)/10)/100</f>
        <v>3.65</v>
      </c>
      <c r="Q7" s="6">
        <f>INT((ROUND(raw_order_lines!I7*10,0)*ROUND(raw_order_lines!J7*100,0)+5)/10)/100</f>
        <v>0</v>
      </c>
      <c r="R7" s="6">
        <f t="shared" si="0"/>
        <v>3.65</v>
      </c>
      <c r="S7" s="2" t="str">
        <f>IF(OR(ROUND(raw_order_lines!I7*10,0)&gt;ROUND(raw_order_lines!H7*10,0),ROUND(raw_order_lines!H7*10,0)&gt;ROUND(raw_order_lines!G7*10,0),ROUND(raw_order_lines!G7*10,0)&lt;=0),"数量关系异常","")</f>
        <v/>
      </c>
      <c r="T7" s="2" t="str">
        <f>IF($F7&lt;&gt;INDEX(dim_products!$D$2:$D$21,MATCH($E7,dim_products!$A$2:$A$21,0)),"单位不一致","")</f>
        <v/>
      </c>
      <c r="U7" s="2" t="str">
        <f>IF(OR(ROUND(raw_order_lines!J7*100,0)&lt;ROUND(INDEX(dim_products!$F$2:$F$21,MATCH($E7,dim_products!$A$2:$A$21,0))*100,0),ROUND(raw_order_lines!J7*100,0)&gt;ROUND(INDEX(dim_products!$G$2:$G$21,MATCH($E7,dim_products!$A$2:$A$21,0))*100,0)),"单价越界","")</f>
        <v/>
      </c>
      <c r="V7" s="2" t="str">
        <f t="shared" si="1"/>
        <v/>
      </c>
      <c r="W7" s="2" t="str">
        <f t="shared" si="2"/>
        <v>通过</v>
      </c>
    </row>
    <row r="8" spans="1:23" ht="15">
      <c r="A8" s="2" t="str">
        <f>raw_order_lines!A8</f>
        <v>SIM-20260901-C001</v>
      </c>
      <c r="B8" s="2">
        <f>raw_order_lines!B8</f>
        <v>7</v>
      </c>
      <c r="C8" s="2" t="str">
        <f>raw_order_lines!C8</f>
        <v>C001</v>
      </c>
      <c r="D8" s="3">
        <f>raw_order_lines!D8</f>
        <v>46266</v>
      </c>
      <c r="E8" s="2" t="str">
        <f>raw_order_lines!E8</f>
        <v>P019</v>
      </c>
      <c r="F8" s="2" t="str">
        <f>raw_order_lines!F8</f>
        <v>桶</v>
      </c>
      <c r="G8" s="4">
        <f>raw_order_lines!G8</f>
        <v>1</v>
      </c>
      <c r="H8" s="4">
        <f>raw_order_lines!H8</f>
        <v>1</v>
      </c>
      <c r="I8" s="4">
        <f>raw_order_lines!I8</f>
        <v>0</v>
      </c>
      <c r="J8" s="5">
        <f>raw_order_lines!J8</f>
        <v>71</v>
      </c>
      <c r="K8" s="2" t="str">
        <f>raw_order_lines!K8</f>
        <v>正常交付</v>
      </c>
      <c r="L8" s="2" t="str">
        <f>raw_order_lines!L8</f>
        <v>true</v>
      </c>
      <c r="M8" s="2" t="str">
        <f>INDEX(dim_products!$B$2:$B$21,MATCH($E8,dim_products!$A$2:$A$21,0))</f>
        <v>菜籽油</v>
      </c>
      <c r="N8" s="2" t="str">
        <f>INDEX(dim_products!$C$2:$C$21,MATCH($E8,dim_products!$A$2:$A$21,0))</f>
        <v>5升/桶普通菜籽油</v>
      </c>
      <c r="O8" s="2" t="str">
        <f>INDEX(dim_customers!$B$2:$B$7,MATCH($C8,dim_customers!$A$2:$A$7,0))</f>
        <v>模拟_榕树下粉面店</v>
      </c>
      <c r="P8" s="6">
        <f>INT((ROUND(raw_order_lines!H8*10,0)*ROUND(raw_order_lines!J8*100,0)+5)/10)/100</f>
        <v>71</v>
      </c>
      <c r="Q8" s="6">
        <f>INT((ROUND(raw_order_lines!I8*10,0)*ROUND(raw_order_lines!J8*100,0)+5)/10)/100</f>
        <v>0</v>
      </c>
      <c r="R8" s="6">
        <f t="shared" si="0"/>
        <v>71</v>
      </c>
      <c r="S8" s="2" t="str">
        <f>IF(OR(ROUND(raw_order_lines!I8*10,0)&gt;ROUND(raw_order_lines!H8*10,0),ROUND(raw_order_lines!H8*10,0)&gt;ROUND(raw_order_lines!G8*10,0),ROUND(raw_order_lines!G8*10,0)&lt;=0),"数量关系异常","")</f>
        <v/>
      </c>
      <c r="T8" s="2" t="str">
        <f>IF($F8&lt;&gt;INDEX(dim_products!$D$2:$D$21,MATCH($E8,dim_products!$A$2:$A$21,0)),"单位不一致","")</f>
        <v/>
      </c>
      <c r="U8" s="2" t="str">
        <f>IF(OR(ROUND(raw_order_lines!J8*100,0)&lt;ROUND(INDEX(dim_products!$F$2:$F$21,MATCH($E8,dim_products!$A$2:$A$21,0))*100,0),ROUND(raw_order_lines!J8*100,0)&gt;ROUND(INDEX(dim_products!$G$2:$G$21,MATCH($E8,dim_products!$A$2:$A$21,0))*100,0)),"单价越界","")</f>
        <v/>
      </c>
      <c r="V8" s="2" t="str">
        <f t="shared" si="1"/>
        <v/>
      </c>
      <c r="W8" s="2" t="str">
        <f t="shared" si="2"/>
        <v>通过</v>
      </c>
    </row>
    <row r="9" spans="1:23" ht="15">
      <c r="A9" s="2" t="str">
        <f>raw_order_lines!A9</f>
        <v>SIM-20260901-C001</v>
      </c>
      <c r="B9" s="2">
        <f>raw_order_lines!B9</f>
        <v>8</v>
      </c>
      <c r="C9" s="2" t="str">
        <f>raw_order_lines!C9</f>
        <v>C001</v>
      </c>
      <c r="D9" s="3">
        <f>raw_order_lines!D9</f>
        <v>46266</v>
      </c>
      <c r="E9" s="2" t="str">
        <f>raw_order_lines!E9</f>
        <v>P018</v>
      </c>
      <c r="F9" s="2" t="str">
        <f>raw_order_lines!F9</f>
        <v>袋</v>
      </c>
      <c r="G9" s="4">
        <f>raw_order_lines!G9</f>
        <v>1</v>
      </c>
      <c r="H9" s="4">
        <f>raw_order_lines!H9</f>
        <v>1</v>
      </c>
      <c r="I9" s="4">
        <f>raw_order_lines!I9</f>
        <v>0</v>
      </c>
      <c r="J9" s="5">
        <f>raw_order_lines!J9</f>
        <v>111</v>
      </c>
      <c r="K9" s="2" t="str">
        <f>raw_order_lines!K9</f>
        <v>正常交付</v>
      </c>
      <c r="L9" s="2" t="str">
        <f>raw_order_lines!L9</f>
        <v>true</v>
      </c>
      <c r="M9" s="2" t="str">
        <f>INDEX(dim_products!$B$2:$B$21,MATCH($E9,dim_products!$A$2:$A$21,0))</f>
        <v>小麦粉</v>
      </c>
      <c r="N9" s="2" t="str">
        <f>INDEX(dim_products!$C$2:$C$21,MATCH($E9,dim_products!$A$2:$A$21,0))</f>
        <v>25公斤/袋普通小麦粉</v>
      </c>
      <c r="O9" s="2" t="str">
        <f>INDEX(dim_customers!$B$2:$B$7,MATCH($C9,dim_customers!$A$2:$A$7,0))</f>
        <v>模拟_榕树下粉面店</v>
      </c>
      <c r="P9" s="6">
        <f>INT((ROUND(raw_order_lines!H9*10,0)*ROUND(raw_order_lines!J9*100,0)+5)/10)/100</f>
        <v>111</v>
      </c>
      <c r="Q9" s="6">
        <f>INT((ROUND(raw_order_lines!I9*10,0)*ROUND(raw_order_lines!J9*100,0)+5)/10)/100</f>
        <v>0</v>
      </c>
      <c r="R9" s="6">
        <f t="shared" si="0"/>
        <v>111</v>
      </c>
      <c r="S9" s="2" t="str">
        <f>IF(OR(ROUND(raw_order_lines!I9*10,0)&gt;ROUND(raw_order_lines!H9*10,0),ROUND(raw_order_lines!H9*10,0)&gt;ROUND(raw_order_lines!G9*10,0),ROUND(raw_order_lines!G9*10,0)&lt;=0),"数量关系异常","")</f>
        <v/>
      </c>
      <c r="T9" s="2" t="str">
        <f>IF($F9&lt;&gt;INDEX(dim_products!$D$2:$D$21,MATCH($E9,dim_products!$A$2:$A$21,0)),"单位不一致","")</f>
        <v/>
      </c>
      <c r="U9" s="2" t="str">
        <f>IF(OR(ROUND(raw_order_lines!J9*100,0)&lt;ROUND(INDEX(dim_products!$F$2:$F$21,MATCH($E9,dim_products!$A$2:$A$21,0))*100,0),ROUND(raw_order_lines!J9*100,0)&gt;ROUND(INDEX(dim_products!$G$2:$G$21,MATCH($E9,dim_products!$A$2:$A$21,0))*100,0)),"单价越界","")</f>
        <v/>
      </c>
      <c r="V9" s="2" t="str">
        <f t="shared" si="1"/>
        <v/>
      </c>
      <c r="W9" s="2" t="str">
        <f t="shared" si="2"/>
        <v>通过</v>
      </c>
    </row>
    <row r="10" spans="1:23" ht="15">
      <c r="A10" s="2" t="str">
        <f>raw_order_lines!A10</f>
        <v>SIM-20260901-C002</v>
      </c>
      <c r="B10" s="2">
        <f>raw_order_lines!B10</f>
        <v>1</v>
      </c>
      <c r="C10" s="2" t="str">
        <f>raw_order_lines!C10</f>
        <v>C002</v>
      </c>
      <c r="D10" s="3">
        <f>raw_order_lines!D10</f>
        <v>46266</v>
      </c>
      <c r="E10" s="2" t="str">
        <f>raw_order_lines!E10</f>
        <v>P011</v>
      </c>
      <c r="F10" s="2" t="str">
        <f>raw_order_lines!F10</f>
        <v>公斤</v>
      </c>
      <c r="G10" s="4">
        <f>raw_order_lines!G10</f>
        <v>4.5</v>
      </c>
      <c r="H10" s="4">
        <f>raw_order_lines!H10</f>
        <v>4.5</v>
      </c>
      <c r="I10" s="4">
        <f>raw_order_lines!I10</f>
        <v>0</v>
      </c>
      <c r="J10" s="5">
        <f>raw_order_lines!J10</f>
        <v>4.4000000000000004</v>
      </c>
      <c r="K10" s="2" t="str">
        <f>raw_order_lines!K10</f>
        <v>正常交付</v>
      </c>
      <c r="L10" s="2" t="str">
        <f>raw_order_lines!L10</f>
        <v>true</v>
      </c>
      <c r="M10" s="2" t="str">
        <f>INDEX(dim_products!$B$2:$B$21,MATCH($E10,dim_products!$A$2:$A$21,0))</f>
        <v>红薯叶</v>
      </c>
      <c r="N10" s="2" t="str">
        <f>INDEX(dim_products!$C$2:$C$21,MATCH($E10,dim_products!$A$2:$A$21,0))</f>
        <v>散装鲜菜</v>
      </c>
      <c r="O10" s="2" t="str">
        <f>INDEX(dim_customers!$B$2:$B$7,MATCH($C10,dim_customers!$A$2:$A$7,0))</f>
        <v>模拟_桥头家常菜馆</v>
      </c>
      <c r="P10" s="6">
        <f>INT((ROUND(raw_order_lines!H10*10,0)*ROUND(raw_order_lines!J10*100,0)+5)/10)/100</f>
        <v>19.8</v>
      </c>
      <c r="Q10" s="6">
        <f>INT((ROUND(raw_order_lines!I10*10,0)*ROUND(raw_order_lines!J10*100,0)+5)/10)/100</f>
        <v>0</v>
      </c>
      <c r="R10" s="6">
        <f t="shared" si="0"/>
        <v>19.8</v>
      </c>
      <c r="S10" s="2" t="str">
        <f>IF(OR(ROUND(raw_order_lines!I10*10,0)&gt;ROUND(raw_order_lines!H10*10,0),ROUND(raw_order_lines!H10*10,0)&gt;ROUND(raw_order_lines!G10*10,0),ROUND(raw_order_lines!G10*10,0)&lt;=0),"数量关系异常","")</f>
        <v/>
      </c>
      <c r="T10" s="2" t="str">
        <f>IF($F10&lt;&gt;INDEX(dim_products!$D$2:$D$21,MATCH($E10,dim_products!$A$2:$A$21,0)),"单位不一致","")</f>
        <v/>
      </c>
      <c r="U10" s="2" t="str">
        <f>IF(OR(ROUND(raw_order_lines!J10*100,0)&lt;ROUND(INDEX(dim_products!$F$2:$F$21,MATCH($E10,dim_products!$A$2:$A$21,0))*100,0),ROUND(raw_order_lines!J10*100,0)&gt;ROUND(INDEX(dim_products!$G$2:$G$21,MATCH($E10,dim_products!$A$2:$A$21,0))*100,0)),"单价越界","")</f>
        <v/>
      </c>
      <c r="V10" s="2" t="str">
        <f t="shared" si="1"/>
        <v/>
      </c>
      <c r="W10" s="2" t="str">
        <f t="shared" si="2"/>
        <v>通过</v>
      </c>
    </row>
    <row r="11" spans="1:23" ht="15">
      <c r="A11" s="2" t="str">
        <f>raw_order_lines!A11</f>
        <v>SIM-20260901-C002</v>
      </c>
      <c r="B11" s="2">
        <f>raw_order_lines!B11</f>
        <v>2</v>
      </c>
      <c r="C11" s="2" t="str">
        <f>raw_order_lines!C11</f>
        <v>C002</v>
      </c>
      <c r="D11" s="3">
        <f>raw_order_lines!D11</f>
        <v>46266</v>
      </c>
      <c r="E11" s="2" t="str">
        <f>raw_order_lines!E11</f>
        <v>P001</v>
      </c>
      <c r="F11" s="2" t="str">
        <f>raw_order_lines!F11</f>
        <v>公斤</v>
      </c>
      <c r="G11" s="4">
        <f>raw_order_lines!G11</f>
        <v>4.5</v>
      </c>
      <c r="H11" s="4">
        <f>raw_order_lines!H11</f>
        <v>4.5</v>
      </c>
      <c r="I11" s="4">
        <f>raw_order_lines!I11</f>
        <v>0</v>
      </c>
      <c r="J11" s="5">
        <f>raw_order_lines!J11</f>
        <v>3.3</v>
      </c>
      <c r="K11" s="2" t="str">
        <f>raw_order_lines!K11</f>
        <v>正常交付</v>
      </c>
      <c r="L11" s="2" t="str">
        <f>raw_order_lines!L11</f>
        <v>true</v>
      </c>
      <c r="M11" s="2" t="str">
        <f>INDEX(dim_products!$B$2:$B$21,MATCH($E11,dim_products!$A$2:$A$21,0))</f>
        <v>土豆</v>
      </c>
      <c r="N11" s="2" t="str">
        <f>INDEX(dim_products!$C$2:$C$21,MATCH($E11,dim_products!$A$2:$A$21,0))</f>
        <v>散装鲜菜</v>
      </c>
      <c r="O11" s="2" t="str">
        <f>INDEX(dim_customers!$B$2:$B$7,MATCH($C11,dim_customers!$A$2:$A$7,0))</f>
        <v>模拟_桥头家常菜馆</v>
      </c>
      <c r="P11" s="6">
        <f>INT((ROUND(raw_order_lines!H11*10,0)*ROUND(raw_order_lines!J11*100,0)+5)/10)/100</f>
        <v>14.85</v>
      </c>
      <c r="Q11" s="6">
        <f>INT((ROUND(raw_order_lines!I11*10,0)*ROUND(raw_order_lines!J11*100,0)+5)/10)/100</f>
        <v>0</v>
      </c>
      <c r="R11" s="6">
        <f t="shared" si="0"/>
        <v>14.85</v>
      </c>
      <c r="S11" s="2" t="str">
        <f>IF(OR(ROUND(raw_order_lines!I11*10,0)&gt;ROUND(raw_order_lines!H11*10,0),ROUND(raw_order_lines!H11*10,0)&gt;ROUND(raw_order_lines!G11*10,0),ROUND(raw_order_lines!G11*10,0)&lt;=0),"数量关系异常","")</f>
        <v/>
      </c>
      <c r="T11" s="2" t="str">
        <f>IF($F11&lt;&gt;INDEX(dim_products!$D$2:$D$21,MATCH($E11,dim_products!$A$2:$A$21,0)),"单位不一致","")</f>
        <v/>
      </c>
      <c r="U11" s="2" t="str">
        <f>IF(OR(ROUND(raw_order_lines!J11*100,0)&lt;ROUND(INDEX(dim_products!$F$2:$F$21,MATCH($E11,dim_products!$A$2:$A$21,0))*100,0),ROUND(raw_order_lines!J11*100,0)&gt;ROUND(INDEX(dim_products!$G$2:$G$21,MATCH($E11,dim_products!$A$2:$A$21,0))*100,0)),"单价越界","")</f>
        <v/>
      </c>
      <c r="V11" s="2" t="str">
        <f t="shared" si="1"/>
        <v/>
      </c>
      <c r="W11" s="2" t="str">
        <f t="shared" si="2"/>
        <v>通过</v>
      </c>
    </row>
    <row r="12" spans="1:23" ht="15">
      <c r="A12" s="2" t="str">
        <f>raw_order_lines!A12</f>
        <v>SIM-20260901-C002</v>
      </c>
      <c r="B12" s="2">
        <f>raw_order_lines!B12</f>
        <v>3</v>
      </c>
      <c r="C12" s="2" t="str">
        <f>raw_order_lines!C12</f>
        <v>C002</v>
      </c>
      <c r="D12" s="3">
        <f>raw_order_lines!D12</f>
        <v>46266</v>
      </c>
      <c r="E12" s="2" t="str">
        <f>raw_order_lines!E12</f>
        <v>P006</v>
      </c>
      <c r="F12" s="2" t="str">
        <f>raw_order_lines!F12</f>
        <v>公斤</v>
      </c>
      <c r="G12" s="4">
        <f>raw_order_lines!G12</f>
        <v>9</v>
      </c>
      <c r="H12" s="4">
        <f>raw_order_lines!H12</f>
        <v>9</v>
      </c>
      <c r="I12" s="4">
        <f>raw_order_lines!I12</f>
        <v>0</v>
      </c>
      <c r="J12" s="5">
        <f>raw_order_lines!J12</f>
        <v>4.5999999999999996</v>
      </c>
      <c r="K12" s="2" t="str">
        <f>raw_order_lines!K12</f>
        <v>正常交付</v>
      </c>
      <c r="L12" s="2" t="str">
        <f>raw_order_lines!L12</f>
        <v>true</v>
      </c>
      <c r="M12" s="2" t="str">
        <f>INDEX(dim_products!$B$2:$B$21,MATCH($E12,dim_products!$A$2:$A$21,0))</f>
        <v>茄子</v>
      </c>
      <c r="N12" s="2" t="str">
        <f>INDEX(dim_products!$C$2:$C$21,MATCH($E12,dim_products!$A$2:$A$21,0))</f>
        <v>散装鲜菜</v>
      </c>
      <c r="O12" s="2" t="str">
        <f>INDEX(dim_customers!$B$2:$B$7,MATCH($C12,dim_customers!$A$2:$A$7,0))</f>
        <v>模拟_桥头家常菜馆</v>
      </c>
      <c r="P12" s="6">
        <f>INT((ROUND(raw_order_lines!H12*10,0)*ROUND(raw_order_lines!J12*100,0)+5)/10)/100</f>
        <v>41.4</v>
      </c>
      <c r="Q12" s="6">
        <f>INT((ROUND(raw_order_lines!I12*10,0)*ROUND(raw_order_lines!J12*100,0)+5)/10)/100</f>
        <v>0</v>
      </c>
      <c r="R12" s="6">
        <f t="shared" si="0"/>
        <v>41.4</v>
      </c>
      <c r="S12" s="2" t="str">
        <f>IF(OR(ROUND(raw_order_lines!I12*10,0)&gt;ROUND(raw_order_lines!H12*10,0),ROUND(raw_order_lines!H12*10,0)&gt;ROUND(raw_order_lines!G12*10,0),ROUND(raw_order_lines!G12*10,0)&lt;=0),"数量关系异常","")</f>
        <v/>
      </c>
      <c r="T12" s="2" t="str">
        <f>IF($F12&lt;&gt;INDEX(dim_products!$D$2:$D$21,MATCH($E12,dim_products!$A$2:$A$21,0)),"单位不一致","")</f>
        <v/>
      </c>
      <c r="U12" s="2" t="str">
        <f>IF(OR(ROUND(raw_order_lines!J12*100,0)&lt;ROUND(INDEX(dim_products!$F$2:$F$21,MATCH($E12,dim_products!$A$2:$A$21,0))*100,0),ROUND(raw_order_lines!J12*100,0)&gt;ROUND(INDEX(dim_products!$G$2:$G$21,MATCH($E12,dim_products!$A$2:$A$21,0))*100,0)),"单价越界","")</f>
        <v/>
      </c>
      <c r="V12" s="2" t="str">
        <f t="shared" si="1"/>
        <v/>
      </c>
      <c r="W12" s="2" t="str">
        <f t="shared" si="2"/>
        <v>通过</v>
      </c>
    </row>
    <row r="13" spans="1:23" ht="15">
      <c r="A13" s="2" t="str">
        <f>raw_order_lines!A13</f>
        <v>SIM-20260901-C002</v>
      </c>
      <c r="B13" s="2">
        <f>raw_order_lines!B13</f>
        <v>4</v>
      </c>
      <c r="C13" s="2" t="str">
        <f>raw_order_lines!C13</f>
        <v>C002</v>
      </c>
      <c r="D13" s="3">
        <f>raw_order_lines!D13</f>
        <v>46266</v>
      </c>
      <c r="E13" s="2" t="str">
        <f>raw_order_lines!E13</f>
        <v>P013</v>
      </c>
      <c r="F13" s="2" t="str">
        <f>raw_order_lines!F13</f>
        <v>公斤</v>
      </c>
      <c r="G13" s="4">
        <f>raw_order_lines!G13</f>
        <v>4.5</v>
      </c>
      <c r="H13" s="4">
        <f>raw_order_lines!H13</f>
        <v>4.5</v>
      </c>
      <c r="I13" s="4">
        <f>raw_order_lines!I13</f>
        <v>0</v>
      </c>
      <c r="J13" s="5">
        <f>raw_order_lines!J13</f>
        <v>6.3</v>
      </c>
      <c r="K13" s="2" t="str">
        <f>raw_order_lines!K13</f>
        <v>正常交付</v>
      </c>
      <c r="L13" s="2" t="str">
        <f>raw_order_lines!L13</f>
        <v>true</v>
      </c>
      <c r="M13" s="2" t="str">
        <f>INDEX(dim_products!$B$2:$B$21,MATCH($E13,dim_products!$A$2:$A$21,0))</f>
        <v>豇豆</v>
      </c>
      <c r="N13" s="2" t="str">
        <f>INDEX(dim_products!$C$2:$C$21,MATCH($E13,dim_products!$A$2:$A$21,0))</f>
        <v>散装鲜菜</v>
      </c>
      <c r="O13" s="2" t="str">
        <f>INDEX(dim_customers!$B$2:$B$7,MATCH($C13,dim_customers!$A$2:$A$7,0))</f>
        <v>模拟_桥头家常菜馆</v>
      </c>
      <c r="P13" s="6">
        <f>INT((ROUND(raw_order_lines!H13*10,0)*ROUND(raw_order_lines!J13*100,0)+5)/10)/100</f>
        <v>28.35</v>
      </c>
      <c r="Q13" s="6">
        <f>INT((ROUND(raw_order_lines!I13*10,0)*ROUND(raw_order_lines!J13*100,0)+5)/10)/100</f>
        <v>0</v>
      </c>
      <c r="R13" s="6">
        <f t="shared" si="0"/>
        <v>28.35</v>
      </c>
      <c r="S13" s="2" t="str">
        <f>IF(OR(ROUND(raw_order_lines!I13*10,0)&gt;ROUND(raw_order_lines!H13*10,0),ROUND(raw_order_lines!H13*10,0)&gt;ROUND(raw_order_lines!G13*10,0),ROUND(raw_order_lines!G13*10,0)&lt;=0),"数量关系异常","")</f>
        <v/>
      </c>
      <c r="T13" s="2" t="str">
        <f>IF($F13&lt;&gt;INDEX(dim_products!$D$2:$D$21,MATCH($E13,dim_products!$A$2:$A$21,0)),"单位不一致","")</f>
        <v/>
      </c>
      <c r="U13" s="2" t="str">
        <f>IF(OR(ROUND(raw_order_lines!J13*100,0)&lt;ROUND(INDEX(dim_products!$F$2:$F$21,MATCH($E13,dim_products!$A$2:$A$21,0))*100,0),ROUND(raw_order_lines!J13*100,0)&gt;ROUND(INDEX(dim_products!$G$2:$G$21,MATCH($E13,dim_products!$A$2:$A$21,0))*100,0)),"单价越界","")</f>
        <v/>
      </c>
      <c r="V13" s="2" t="str">
        <f t="shared" si="1"/>
        <v/>
      </c>
      <c r="W13" s="2" t="str">
        <f t="shared" si="2"/>
        <v>通过</v>
      </c>
    </row>
    <row r="14" spans="1:23" ht="15">
      <c r="A14" s="2" t="str">
        <f>raw_order_lines!A14</f>
        <v>SIM-20260901-C002</v>
      </c>
      <c r="B14" s="2">
        <f>raw_order_lines!B14</f>
        <v>5</v>
      </c>
      <c r="C14" s="2" t="str">
        <f>raw_order_lines!C14</f>
        <v>C002</v>
      </c>
      <c r="D14" s="3">
        <f>raw_order_lines!D14</f>
        <v>46266</v>
      </c>
      <c r="E14" s="2" t="str">
        <f>raw_order_lines!E14</f>
        <v>P003</v>
      </c>
      <c r="F14" s="2" t="str">
        <f>raw_order_lines!F14</f>
        <v>公斤</v>
      </c>
      <c r="G14" s="4">
        <f>raw_order_lines!G14</f>
        <v>6.4</v>
      </c>
      <c r="H14" s="4">
        <f>raw_order_lines!H14</f>
        <v>6.4</v>
      </c>
      <c r="I14" s="4">
        <f>raw_order_lines!I14</f>
        <v>0</v>
      </c>
      <c r="J14" s="5">
        <f>raw_order_lines!J14</f>
        <v>3.3</v>
      </c>
      <c r="K14" s="2" t="str">
        <f>raw_order_lines!K14</f>
        <v>正常交付</v>
      </c>
      <c r="L14" s="2" t="str">
        <f>raw_order_lines!L14</f>
        <v>true</v>
      </c>
      <c r="M14" s="2" t="str">
        <f>INDEX(dim_products!$B$2:$B$21,MATCH($E14,dim_products!$A$2:$A$21,0))</f>
        <v>包菜</v>
      </c>
      <c r="N14" s="2" t="str">
        <f>INDEX(dim_products!$C$2:$C$21,MATCH($E14,dim_products!$A$2:$A$21,0))</f>
        <v>散装鲜菜</v>
      </c>
      <c r="O14" s="2" t="str">
        <f>INDEX(dim_customers!$B$2:$B$7,MATCH($C14,dim_customers!$A$2:$A$7,0))</f>
        <v>模拟_桥头家常菜馆</v>
      </c>
      <c r="P14" s="6">
        <f>INT((ROUND(raw_order_lines!H14*10,0)*ROUND(raw_order_lines!J14*100,0)+5)/10)/100</f>
        <v>21.12</v>
      </c>
      <c r="Q14" s="6">
        <f>INT((ROUND(raw_order_lines!I14*10,0)*ROUND(raw_order_lines!J14*100,0)+5)/10)/100</f>
        <v>0</v>
      </c>
      <c r="R14" s="6">
        <f t="shared" si="0"/>
        <v>21.12</v>
      </c>
      <c r="S14" s="2" t="str">
        <f>IF(OR(ROUND(raw_order_lines!I14*10,0)&gt;ROUND(raw_order_lines!H14*10,0),ROUND(raw_order_lines!H14*10,0)&gt;ROUND(raw_order_lines!G14*10,0),ROUND(raw_order_lines!G14*10,0)&lt;=0),"数量关系异常","")</f>
        <v/>
      </c>
      <c r="T14" s="2" t="str">
        <f>IF($F14&lt;&gt;INDEX(dim_products!$D$2:$D$21,MATCH($E14,dim_products!$A$2:$A$21,0)),"单位不一致","")</f>
        <v/>
      </c>
      <c r="U14" s="2" t="str">
        <f>IF(OR(ROUND(raw_order_lines!J14*100,0)&lt;ROUND(INDEX(dim_products!$F$2:$F$21,MATCH($E14,dim_products!$A$2:$A$21,0))*100,0),ROUND(raw_order_lines!J14*100,0)&gt;ROUND(INDEX(dim_products!$G$2:$G$21,MATCH($E14,dim_products!$A$2:$A$21,0))*100,0)),"单价越界","")</f>
        <v/>
      </c>
      <c r="V14" s="2" t="str">
        <f t="shared" si="1"/>
        <v/>
      </c>
      <c r="W14" s="2" t="str">
        <f t="shared" si="2"/>
        <v>通过</v>
      </c>
    </row>
    <row r="15" spans="1:23" ht="15">
      <c r="A15" s="2" t="str">
        <f>raw_order_lines!A15</f>
        <v>SIM-20260901-C002</v>
      </c>
      <c r="B15" s="2">
        <f>raw_order_lines!B15</f>
        <v>6</v>
      </c>
      <c r="C15" s="2" t="str">
        <f>raw_order_lines!C15</f>
        <v>C002</v>
      </c>
      <c r="D15" s="3">
        <f>raw_order_lines!D15</f>
        <v>46266</v>
      </c>
      <c r="E15" s="2" t="str">
        <f>raw_order_lines!E15</f>
        <v>P016</v>
      </c>
      <c r="F15" s="2" t="str">
        <f>raw_order_lines!F15</f>
        <v>公斤</v>
      </c>
      <c r="G15" s="4">
        <f>raw_order_lines!G15</f>
        <v>4</v>
      </c>
      <c r="H15" s="4">
        <f>raw_order_lines!H15</f>
        <v>4</v>
      </c>
      <c r="I15" s="4">
        <f>raw_order_lines!I15</f>
        <v>0</v>
      </c>
      <c r="J15" s="5">
        <f>raw_order_lines!J15</f>
        <v>10.1</v>
      </c>
      <c r="K15" s="2" t="str">
        <f>raw_order_lines!K15</f>
        <v>正常交付</v>
      </c>
      <c r="L15" s="2" t="str">
        <f>raw_order_lines!L15</f>
        <v>true</v>
      </c>
      <c r="M15" s="2" t="str">
        <f>INDEX(dim_products!$B$2:$B$21,MATCH($E15,dim_products!$A$2:$A$21,0))</f>
        <v>鸡蛋</v>
      </c>
      <c r="N15" s="2" t="str">
        <f>INDEX(dim_products!$C$2:$C$21,MATCH($E15,dim_products!$A$2:$A$21,0))</f>
        <v>普通鲜鸡蛋按净重</v>
      </c>
      <c r="O15" s="2" t="str">
        <f>INDEX(dim_customers!$B$2:$B$7,MATCH($C15,dim_customers!$A$2:$A$7,0))</f>
        <v>模拟_桥头家常菜馆</v>
      </c>
      <c r="P15" s="6">
        <f>INT((ROUND(raw_order_lines!H15*10,0)*ROUND(raw_order_lines!J15*100,0)+5)/10)/100</f>
        <v>40.4</v>
      </c>
      <c r="Q15" s="6">
        <f>INT((ROUND(raw_order_lines!I15*10,0)*ROUND(raw_order_lines!J15*100,0)+5)/10)/100</f>
        <v>0</v>
      </c>
      <c r="R15" s="6">
        <f t="shared" si="0"/>
        <v>40.4</v>
      </c>
      <c r="S15" s="2" t="str">
        <f>IF(OR(ROUND(raw_order_lines!I15*10,0)&gt;ROUND(raw_order_lines!H15*10,0),ROUND(raw_order_lines!H15*10,0)&gt;ROUND(raw_order_lines!G15*10,0),ROUND(raw_order_lines!G15*10,0)&lt;=0),"数量关系异常","")</f>
        <v/>
      </c>
      <c r="T15" s="2" t="str">
        <f>IF($F15&lt;&gt;INDEX(dim_products!$D$2:$D$21,MATCH($E15,dim_products!$A$2:$A$21,0)),"单位不一致","")</f>
        <v/>
      </c>
      <c r="U15" s="2" t="str">
        <f>IF(OR(ROUND(raw_order_lines!J15*100,0)&lt;ROUND(INDEX(dim_products!$F$2:$F$21,MATCH($E15,dim_products!$A$2:$A$21,0))*100,0),ROUND(raw_order_lines!J15*100,0)&gt;ROUND(INDEX(dim_products!$G$2:$G$21,MATCH($E15,dim_products!$A$2:$A$21,0))*100,0)),"单价越界","")</f>
        <v/>
      </c>
      <c r="V15" s="2" t="str">
        <f t="shared" si="1"/>
        <v/>
      </c>
      <c r="W15" s="2" t="str">
        <f t="shared" si="2"/>
        <v>通过</v>
      </c>
    </row>
    <row r="16" spans="1:23" ht="15">
      <c r="A16" s="2" t="str">
        <f>raw_order_lines!A16</f>
        <v>SIM-20260901-C002</v>
      </c>
      <c r="B16" s="2">
        <f>raw_order_lines!B16</f>
        <v>7</v>
      </c>
      <c r="C16" s="2" t="str">
        <f>raw_order_lines!C16</f>
        <v>C002</v>
      </c>
      <c r="D16" s="3">
        <f>raw_order_lines!D16</f>
        <v>46266</v>
      </c>
      <c r="E16" s="2" t="str">
        <f>raw_order_lines!E16</f>
        <v>P015</v>
      </c>
      <c r="F16" s="2" t="str">
        <f>raw_order_lines!F16</f>
        <v>公斤</v>
      </c>
      <c r="G16" s="4">
        <f>raw_order_lines!G16</f>
        <v>1</v>
      </c>
      <c r="H16" s="4">
        <f>raw_order_lines!H16</f>
        <v>1</v>
      </c>
      <c r="I16" s="4">
        <f>raw_order_lines!I16</f>
        <v>0</v>
      </c>
      <c r="J16" s="5">
        <f>raw_order_lines!J16</f>
        <v>7.3</v>
      </c>
      <c r="K16" s="2" t="str">
        <f>raw_order_lines!K16</f>
        <v>正常交付</v>
      </c>
      <c r="L16" s="2" t="str">
        <f>raw_order_lines!L16</f>
        <v>true</v>
      </c>
      <c r="M16" s="2" t="str">
        <f>INDEX(dim_products!$B$2:$B$21,MATCH($E16,dim_products!$A$2:$A$21,0))</f>
        <v>小葱</v>
      </c>
      <c r="N16" s="2" t="str">
        <f>INDEX(dim_products!$C$2:$C$21,MATCH($E16,dim_products!$A$2:$A$21,0))</f>
        <v>散装鲜菜</v>
      </c>
      <c r="O16" s="2" t="str">
        <f>INDEX(dim_customers!$B$2:$B$7,MATCH($C16,dim_customers!$A$2:$A$7,0))</f>
        <v>模拟_桥头家常菜馆</v>
      </c>
      <c r="P16" s="6">
        <f>INT((ROUND(raw_order_lines!H16*10,0)*ROUND(raw_order_lines!J16*100,0)+5)/10)/100</f>
        <v>7.3</v>
      </c>
      <c r="Q16" s="6">
        <f>INT((ROUND(raw_order_lines!I16*10,0)*ROUND(raw_order_lines!J16*100,0)+5)/10)/100</f>
        <v>0</v>
      </c>
      <c r="R16" s="6">
        <f t="shared" si="0"/>
        <v>7.3</v>
      </c>
      <c r="S16" s="2" t="str">
        <f>IF(OR(ROUND(raw_order_lines!I16*10,0)&gt;ROUND(raw_order_lines!H16*10,0),ROUND(raw_order_lines!H16*10,0)&gt;ROUND(raw_order_lines!G16*10,0),ROUND(raw_order_lines!G16*10,0)&lt;=0),"数量关系异常","")</f>
        <v/>
      </c>
      <c r="T16" s="2" t="str">
        <f>IF($F16&lt;&gt;INDEX(dim_products!$D$2:$D$21,MATCH($E16,dim_products!$A$2:$A$21,0)),"单位不一致","")</f>
        <v/>
      </c>
      <c r="U16" s="2" t="str">
        <f>IF(OR(ROUND(raw_order_lines!J16*100,0)&lt;ROUND(INDEX(dim_products!$F$2:$F$21,MATCH($E16,dim_products!$A$2:$A$21,0))*100,0),ROUND(raw_order_lines!J16*100,0)&gt;ROUND(INDEX(dim_products!$G$2:$G$21,MATCH($E16,dim_products!$A$2:$A$21,0))*100,0)),"单价越界","")</f>
        <v/>
      </c>
      <c r="V16" s="2" t="str">
        <f t="shared" si="1"/>
        <v/>
      </c>
      <c r="W16" s="2" t="str">
        <f t="shared" si="2"/>
        <v>通过</v>
      </c>
    </row>
    <row r="17" spans="1:23" ht="15">
      <c r="A17" s="2" t="str">
        <f>raw_order_lines!A17</f>
        <v>SIM-20260901-C002</v>
      </c>
      <c r="B17" s="2">
        <f>raw_order_lines!B17</f>
        <v>8</v>
      </c>
      <c r="C17" s="2" t="str">
        <f>raw_order_lines!C17</f>
        <v>C002</v>
      </c>
      <c r="D17" s="3">
        <f>raw_order_lines!D17</f>
        <v>46266</v>
      </c>
      <c r="E17" s="2" t="str">
        <f>raw_order_lines!E17</f>
        <v>P017</v>
      </c>
      <c r="F17" s="2" t="str">
        <f>raw_order_lines!F17</f>
        <v>袋</v>
      </c>
      <c r="G17" s="4">
        <f>raw_order_lines!G17</f>
        <v>3</v>
      </c>
      <c r="H17" s="4">
        <f>raw_order_lines!H17</f>
        <v>3</v>
      </c>
      <c r="I17" s="4">
        <f>raw_order_lines!I17</f>
        <v>0</v>
      </c>
      <c r="J17" s="5">
        <f>raw_order_lines!J17</f>
        <v>118</v>
      </c>
      <c r="K17" s="2" t="str">
        <f>raw_order_lines!K17</f>
        <v>正常交付</v>
      </c>
      <c r="L17" s="2" t="str">
        <f>raw_order_lines!L17</f>
        <v>true</v>
      </c>
      <c r="M17" s="2" t="str">
        <f>INDEX(dim_products!$B$2:$B$21,MATCH($E17,dim_products!$A$2:$A$21,0))</f>
        <v>籼米</v>
      </c>
      <c r="N17" s="2" t="str">
        <f>INDEX(dim_products!$C$2:$C$21,MATCH($E17,dim_products!$A$2:$A$21,0))</f>
        <v>25公斤/袋普通籼米</v>
      </c>
      <c r="O17" s="2" t="str">
        <f>INDEX(dim_customers!$B$2:$B$7,MATCH($C17,dim_customers!$A$2:$A$7,0))</f>
        <v>模拟_桥头家常菜馆</v>
      </c>
      <c r="P17" s="6">
        <f>INT((ROUND(raw_order_lines!H17*10,0)*ROUND(raw_order_lines!J17*100,0)+5)/10)/100</f>
        <v>354</v>
      </c>
      <c r="Q17" s="6">
        <f>INT((ROUND(raw_order_lines!I17*10,0)*ROUND(raw_order_lines!J17*100,0)+5)/10)/100</f>
        <v>0</v>
      </c>
      <c r="R17" s="6">
        <f t="shared" si="0"/>
        <v>354</v>
      </c>
      <c r="S17" s="2" t="str">
        <f>IF(OR(ROUND(raw_order_lines!I17*10,0)&gt;ROUND(raw_order_lines!H17*10,0),ROUND(raw_order_lines!H17*10,0)&gt;ROUND(raw_order_lines!G17*10,0),ROUND(raw_order_lines!G17*10,0)&lt;=0),"数量关系异常","")</f>
        <v/>
      </c>
      <c r="T17" s="2" t="str">
        <f>IF($F17&lt;&gt;INDEX(dim_products!$D$2:$D$21,MATCH($E17,dim_products!$A$2:$A$21,0)),"单位不一致","")</f>
        <v/>
      </c>
      <c r="U17" s="2" t="str">
        <f>IF(OR(ROUND(raw_order_lines!J17*100,0)&lt;ROUND(INDEX(dim_products!$F$2:$F$21,MATCH($E17,dim_products!$A$2:$A$21,0))*100,0),ROUND(raw_order_lines!J17*100,0)&gt;ROUND(INDEX(dim_products!$G$2:$G$21,MATCH($E17,dim_products!$A$2:$A$21,0))*100,0)),"单价越界","")</f>
        <v/>
      </c>
      <c r="V17" s="2" t="str">
        <f t="shared" si="1"/>
        <v/>
      </c>
      <c r="W17" s="2" t="str">
        <f t="shared" si="2"/>
        <v>通过</v>
      </c>
    </row>
    <row r="18" spans="1:23" ht="15">
      <c r="A18" s="2" t="str">
        <f>raw_order_lines!A18</f>
        <v>SIM-20260901-C002</v>
      </c>
      <c r="B18" s="2">
        <f>raw_order_lines!B18</f>
        <v>9</v>
      </c>
      <c r="C18" s="2" t="str">
        <f>raw_order_lines!C18</f>
        <v>C002</v>
      </c>
      <c r="D18" s="3">
        <f>raw_order_lines!D18</f>
        <v>46266</v>
      </c>
      <c r="E18" s="2" t="str">
        <f>raw_order_lines!E18</f>
        <v>P019</v>
      </c>
      <c r="F18" s="2" t="str">
        <f>raw_order_lines!F18</f>
        <v>桶</v>
      </c>
      <c r="G18" s="4">
        <f>raw_order_lines!G18</f>
        <v>1</v>
      </c>
      <c r="H18" s="4">
        <f>raw_order_lines!H18</f>
        <v>1</v>
      </c>
      <c r="I18" s="4">
        <f>raw_order_lines!I18</f>
        <v>0</v>
      </c>
      <c r="J18" s="5">
        <f>raw_order_lines!J18</f>
        <v>71</v>
      </c>
      <c r="K18" s="2" t="str">
        <f>raw_order_lines!K18</f>
        <v>正常交付</v>
      </c>
      <c r="L18" s="2" t="str">
        <f>raw_order_lines!L18</f>
        <v>true</v>
      </c>
      <c r="M18" s="2" t="str">
        <f>INDEX(dim_products!$B$2:$B$21,MATCH($E18,dim_products!$A$2:$A$21,0))</f>
        <v>菜籽油</v>
      </c>
      <c r="N18" s="2" t="str">
        <f>INDEX(dim_products!$C$2:$C$21,MATCH($E18,dim_products!$A$2:$A$21,0))</f>
        <v>5升/桶普通菜籽油</v>
      </c>
      <c r="O18" s="2" t="str">
        <f>INDEX(dim_customers!$B$2:$B$7,MATCH($C18,dim_customers!$A$2:$A$7,0))</f>
        <v>模拟_桥头家常菜馆</v>
      </c>
      <c r="P18" s="6">
        <f>INT((ROUND(raw_order_lines!H18*10,0)*ROUND(raw_order_lines!J18*100,0)+5)/10)/100</f>
        <v>71</v>
      </c>
      <c r="Q18" s="6">
        <f>INT((ROUND(raw_order_lines!I18*10,0)*ROUND(raw_order_lines!J18*100,0)+5)/10)/100</f>
        <v>0</v>
      </c>
      <c r="R18" s="6">
        <f t="shared" si="0"/>
        <v>71</v>
      </c>
      <c r="S18" s="2" t="str">
        <f>IF(OR(ROUND(raw_order_lines!I18*10,0)&gt;ROUND(raw_order_lines!H18*10,0),ROUND(raw_order_lines!H18*10,0)&gt;ROUND(raw_order_lines!G18*10,0),ROUND(raw_order_lines!G18*10,0)&lt;=0),"数量关系异常","")</f>
        <v/>
      </c>
      <c r="T18" s="2" t="str">
        <f>IF($F18&lt;&gt;INDEX(dim_products!$D$2:$D$21,MATCH($E18,dim_products!$A$2:$A$21,0)),"单位不一致","")</f>
        <v/>
      </c>
      <c r="U18" s="2" t="str">
        <f>IF(OR(ROUND(raw_order_lines!J18*100,0)&lt;ROUND(INDEX(dim_products!$F$2:$F$21,MATCH($E18,dim_products!$A$2:$A$21,0))*100,0),ROUND(raw_order_lines!J18*100,0)&gt;ROUND(INDEX(dim_products!$G$2:$G$21,MATCH($E18,dim_products!$A$2:$A$21,0))*100,0)),"单价越界","")</f>
        <v/>
      </c>
      <c r="V18" s="2" t="str">
        <f t="shared" si="1"/>
        <v/>
      </c>
      <c r="W18" s="2" t="str">
        <f t="shared" si="2"/>
        <v>通过</v>
      </c>
    </row>
    <row r="19" spans="1:23" ht="15">
      <c r="A19" s="2" t="str">
        <f>raw_order_lines!A19</f>
        <v>SIM-20260901-C003</v>
      </c>
      <c r="B19" s="2">
        <f>raw_order_lines!B19</f>
        <v>1</v>
      </c>
      <c r="C19" s="2" t="str">
        <f>raw_order_lines!C19</f>
        <v>C003</v>
      </c>
      <c r="D19" s="3">
        <f>raw_order_lines!D19</f>
        <v>46266</v>
      </c>
      <c r="E19" s="2" t="str">
        <f>raw_order_lines!E19</f>
        <v>P011</v>
      </c>
      <c r="F19" s="2" t="str">
        <f>raw_order_lines!F19</f>
        <v>公斤</v>
      </c>
      <c r="G19" s="4">
        <f>raw_order_lines!G19</f>
        <v>7.6</v>
      </c>
      <c r="H19" s="4">
        <f>raw_order_lines!H19</f>
        <v>7.6</v>
      </c>
      <c r="I19" s="4">
        <f>raw_order_lines!I19</f>
        <v>0</v>
      </c>
      <c r="J19" s="5">
        <f>raw_order_lines!J19</f>
        <v>4.4000000000000004</v>
      </c>
      <c r="K19" s="2" t="str">
        <f>raw_order_lines!K19</f>
        <v>正常交付</v>
      </c>
      <c r="L19" s="2" t="str">
        <f>raw_order_lines!L19</f>
        <v>true</v>
      </c>
      <c r="M19" s="2" t="str">
        <f>INDEX(dim_products!$B$2:$B$21,MATCH($E19,dim_products!$A$2:$A$21,0))</f>
        <v>红薯叶</v>
      </c>
      <c r="N19" s="2" t="str">
        <f>INDEX(dim_products!$C$2:$C$21,MATCH($E19,dim_products!$A$2:$A$21,0))</f>
        <v>散装鲜菜</v>
      </c>
      <c r="O19" s="2" t="str">
        <f>INDEX(dim_customers!$B$2:$B$7,MATCH($C19,dim_customers!$A$2:$A$7,0))</f>
        <v>模拟_兴街快餐店</v>
      </c>
      <c r="P19" s="6">
        <f>INT((ROUND(raw_order_lines!H19*10,0)*ROUND(raw_order_lines!J19*100,0)+5)/10)/100</f>
        <v>33.44</v>
      </c>
      <c r="Q19" s="6">
        <f>INT((ROUND(raw_order_lines!I19*10,0)*ROUND(raw_order_lines!J19*100,0)+5)/10)/100</f>
        <v>0</v>
      </c>
      <c r="R19" s="6">
        <f t="shared" si="0"/>
        <v>33.44</v>
      </c>
      <c r="S19" s="2" t="str">
        <f>IF(OR(ROUND(raw_order_lines!I19*10,0)&gt;ROUND(raw_order_lines!H19*10,0),ROUND(raw_order_lines!H19*10,0)&gt;ROUND(raw_order_lines!G19*10,0),ROUND(raw_order_lines!G19*10,0)&lt;=0),"数量关系异常","")</f>
        <v/>
      </c>
      <c r="T19" s="2" t="str">
        <f>IF($F19&lt;&gt;INDEX(dim_products!$D$2:$D$21,MATCH($E19,dim_products!$A$2:$A$21,0)),"单位不一致","")</f>
        <v/>
      </c>
      <c r="U19" s="2" t="str">
        <f>IF(OR(ROUND(raw_order_lines!J19*100,0)&lt;ROUND(INDEX(dim_products!$F$2:$F$21,MATCH($E19,dim_products!$A$2:$A$21,0))*100,0),ROUND(raw_order_lines!J19*100,0)&gt;ROUND(INDEX(dim_products!$G$2:$G$21,MATCH($E19,dim_products!$A$2:$A$21,0))*100,0)),"单价越界","")</f>
        <v/>
      </c>
      <c r="V19" s="2" t="str">
        <f t="shared" si="1"/>
        <v/>
      </c>
      <c r="W19" s="2" t="str">
        <f t="shared" si="2"/>
        <v>通过</v>
      </c>
    </row>
    <row r="20" spans="1:23" ht="15">
      <c r="A20" s="2" t="str">
        <f>raw_order_lines!A20</f>
        <v>SIM-20260901-C003</v>
      </c>
      <c r="B20" s="2">
        <f>raw_order_lines!B20</f>
        <v>2</v>
      </c>
      <c r="C20" s="2" t="str">
        <f>raw_order_lines!C20</f>
        <v>C003</v>
      </c>
      <c r="D20" s="3">
        <f>raw_order_lines!D20</f>
        <v>46266</v>
      </c>
      <c r="E20" s="2" t="str">
        <f>raw_order_lines!E20</f>
        <v>P004</v>
      </c>
      <c r="F20" s="2" t="str">
        <f>raw_order_lines!F20</f>
        <v>公斤</v>
      </c>
      <c r="G20" s="4">
        <f>raw_order_lines!G20</f>
        <v>3.5</v>
      </c>
      <c r="H20" s="4">
        <f>raw_order_lines!H20</f>
        <v>3.5</v>
      </c>
      <c r="I20" s="4">
        <f>raw_order_lines!I20</f>
        <v>0</v>
      </c>
      <c r="J20" s="5">
        <f>raw_order_lines!J20</f>
        <v>2.2999999999999998</v>
      </c>
      <c r="K20" s="2" t="str">
        <f>raw_order_lines!K20</f>
        <v>正常交付</v>
      </c>
      <c r="L20" s="2" t="str">
        <f>raw_order_lines!L20</f>
        <v>true</v>
      </c>
      <c r="M20" s="2" t="str">
        <f>INDEX(dim_products!$B$2:$B$21,MATCH($E20,dim_products!$A$2:$A$21,0))</f>
        <v>冬瓜</v>
      </c>
      <c r="N20" s="2" t="str">
        <f>INDEX(dim_products!$C$2:$C$21,MATCH($E20,dim_products!$A$2:$A$21,0))</f>
        <v>散装鲜菜</v>
      </c>
      <c r="O20" s="2" t="str">
        <f>INDEX(dim_customers!$B$2:$B$7,MATCH($C20,dim_customers!$A$2:$A$7,0))</f>
        <v>模拟_兴街快餐店</v>
      </c>
      <c r="P20" s="6">
        <f>INT((ROUND(raw_order_lines!H20*10,0)*ROUND(raw_order_lines!J20*100,0)+5)/10)/100</f>
        <v>8.0500000000000007</v>
      </c>
      <c r="Q20" s="6">
        <f>INT((ROUND(raw_order_lines!I20*10,0)*ROUND(raw_order_lines!J20*100,0)+5)/10)/100</f>
        <v>0</v>
      </c>
      <c r="R20" s="6">
        <f t="shared" si="0"/>
        <v>8.0500000000000007</v>
      </c>
      <c r="S20" s="2" t="str">
        <f>IF(OR(ROUND(raw_order_lines!I20*10,0)&gt;ROUND(raw_order_lines!H20*10,0),ROUND(raw_order_lines!H20*10,0)&gt;ROUND(raw_order_lines!G20*10,0),ROUND(raw_order_lines!G20*10,0)&lt;=0),"数量关系异常","")</f>
        <v/>
      </c>
      <c r="T20" s="2" t="str">
        <f>IF($F20&lt;&gt;INDEX(dim_products!$D$2:$D$21,MATCH($E20,dim_products!$A$2:$A$21,0)),"单位不一致","")</f>
        <v/>
      </c>
      <c r="U20" s="2" t="str">
        <f>IF(OR(ROUND(raw_order_lines!J20*100,0)&lt;ROUND(INDEX(dim_products!$F$2:$F$21,MATCH($E20,dim_products!$A$2:$A$21,0))*100,0),ROUND(raw_order_lines!J20*100,0)&gt;ROUND(INDEX(dim_products!$G$2:$G$21,MATCH($E20,dim_products!$A$2:$A$21,0))*100,0)),"单价越界","")</f>
        <v/>
      </c>
      <c r="V20" s="2" t="str">
        <f t="shared" si="1"/>
        <v/>
      </c>
      <c r="W20" s="2" t="str">
        <f t="shared" si="2"/>
        <v>通过</v>
      </c>
    </row>
    <row r="21" spans="1:23" ht="15">
      <c r="A21" s="2" t="str">
        <f>raw_order_lines!A21</f>
        <v>SIM-20260901-C003</v>
      </c>
      <c r="B21" s="2">
        <f>raw_order_lines!B21</f>
        <v>3</v>
      </c>
      <c r="C21" s="2" t="str">
        <f>raw_order_lines!C21</f>
        <v>C003</v>
      </c>
      <c r="D21" s="3">
        <f>raw_order_lines!D21</f>
        <v>46266</v>
      </c>
      <c r="E21" s="2" t="str">
        <f>raw_order_lines!E21</f>
        <v>P005</v>
      </c>
      <c r="F21" s="2" t="str">
        <f>raw_order_lines!F21</f>
        <v>公斤</v>
      </c>
      <c r="G21" s="4">
        <f>raw_order_lines!G21</f>
        <v>8.1</v>
      </c>
      <c r="H21" s="4">
        <f>raw_order_lines!H21</f>
        <v>8.1</v>
      </c>
      <c r="I21" s="4">
        <f>raw_order_lines!I21</f>
        <v>0</v>
      </c>
      <c r="J21" s="5">
        <f>raw_order_lines!J21</f>
        <v>2.7</v>
      </c>
      <c r="K21" s="2" t="str">
        <f>raw_order_lines!K21</f>
        <v>正常交付</v>
      </c>
      <c r="L21" s="2" t="str">
        <f>raw_order_lines!L21</f>
        <v>true</v>
      </c>
      <c r="M21" s="2" t="str">
        <f>INDEX(dim_products!$B$2:$B$21,MATCH($E21,dim_products!$A$2:$A$21,0))</f>
        <v>南瓜</v>
      </c>
      <c r="N21" s="2" t="str">
        <f>INDEX(dim_products!$C$2:$C$21,MATCH($E21,dim_products!$A$2:$A$21,0))</f>
        <v>散装鲜菜</v>
      </c>
      <c r="O21" s="2" t="str">
        <f>INDEX(dim_customers!$B$2:$B$7,MATCH($C21,dim_customers!$A$2:$A$7,0))</f>
        <v>模拟_兴街快餐店</v>
      </c>
      <c r="P21" s="6">
        <f>INT((ROUND(raw_order_lines!H21*10,0)*ROUND(raw_order_lines!J21*100,0)+5)/10)/100</f>
        <v>21.87</v>
      </c>
      <c r="Q21" s="6">
        <f>INT((ROUND(raw_order_lines!I21*10,0)*ROUND(raw_order_lines!J21*100,0)+5)/10)/100</f>
        <v>0</v>
      </c>
      <c r="R21" s="6">
        <f t="shared" si="0"/>
        <v>21.87</v>
      </c>
      <c r="S21" s="2" t="str">
        <f>IF(OR(ROUND(raw_order_lines!I21*10,0)&gt;ROUND(raw_order_lines!H21*10,0),ROUND(raw_order_lines!H21*10,0)&gt;ROUND(raw_order_lines!G21*10,0),ROUND(raw_order_lines!G21*10,0)&lt;=0),"数量关系异常","")</f>
        <v/>
      </c>
      <c r="T21" s="2" t="str">
        <f>IF($F21&lt;&gt;INDEX(dim_products!$D$2:$D$21,MATCH($E21,dim_products!$A$2:$A$21,0)),"单位不一致","")</f>
        <v/>
      </c>
      <c r="U21" s="2" t="str">
        <f>IF(OR(ROUND(raw_order_lines!J21*100,0)&lt;ROUND(INDEX(dim_products!$F$2:$F$21,MATCH($E21,dim_products!$A$2:$A$21,0))*100,0),ROUND(raw_order_lines!J21*100,0)&gt;ROUND(INDEX(dim_products!$G$2:$G$21,MATCH($E21,dim_products!$A$2:$A$21,0))*100,0)),"单价越界","")</f>
        <v/>
      </c>
      <c r="V21" s="2" t="str">
        <f t="shared" si="1"/>
        <v/>
      </c>
      <c r="W21" s="2" t="str">
        <f t="shared" si="2"/>
        <v>通过</v>
      </c>
    </row>
    <row r="22" spans="1:23" ht="15">
      <c r="A22" s="2" t="str">
        <f>raw_order_lines!A22</f>
        <v>SIM-20260901-C003</v>
      </c>
      <c r="B22" s="2">
        <f>raw_order_lines!B22</f>
        <v>4</v>
      </c>
      <c r="C22" s="2" t="str">
        <f>raw_order_lines!C22</f>
        <v>C003</v>
      </c>
      <c r="D22" s="3">
        <f>raw_order_lines!D22</f>
        <v>46266</v>
      </c>
      <c r="E22" s="2" t="str">
        <f>raw_order_lines!E22</f>
        <v>P003</v>
      </c>
      <c r="F22" s="2" t="str">
        <f>raw_order_lines!F22</f>
        <v>公斤</v>
      </c>
      <c r="G22" s="4">
        <f>raw_order_lines!G22</f>
        <v>6.6</v>
      </c>
      <c r="H22" s="4">
        <f>raw_order_lines!H22</f>
        <v>6.6</v>
      </c>
      <c r="I22" s="4">
        <f>raw_order_lines!I22</f>
        <v>0</v>
      </c>
      <c r="J22" s="5">
        <f>raw_order_lines!J22</f>
        <v>3.3</v>
      </c>
      <c r="K22" s="2" t="str">
        <f>raw_order_lines!K22</f>
        <v>正常交付</v>
      </c>
      <c r="L22" s="2" t="str">
        <f>raw_order_lines!L22</f>
        <v>true</v>
      </c>
      <c r="M22" s="2" t="str">
        <f>INDEX(dim_products!$B$2:$B$21,MATCH($E22,dim_products!$A$2:$A$21,0))</f>
        <v>包菜</v>
      </c>
      <c r="N22" s="2" t="str">
        <f>INDEX(dim_products!$C$2:$C$21,MATCH($E22,dim_products!$A$2:$A$21,0))</f>
        <v>散装鲜菜</v>
      </c>
      <c r="O22" s="2" t="str">
        <f>INDEX(dim_customers!$B$2:$B$7,MATCH($C22,dim_customers!$A$2:$A$7,0))</f>
        <v>模拟_兴街快餐店</v>
      </c>
      <c r="P22" s="6">
        <f>INT((ROUND(raw_order_lines!H22*10,0)*ROUND(raw_order_lines!J22*100,0)+5)/10)/100</f>
        <v>21.78</v>
      </c>
      <c r="Q22" s="6">
        <f>INT((ROUND(raw_order_lines!I22*10,0)*ROUND(raw_order_lines!J22*100,0)+5)/10)/100</f>
        <v>0</v>
      </c>
      <c r="R22" s="6">
        <f t="shared" si="0"/>
        <v>21.78</v>
      </c>
      <c r="S22" s="2" t="str">
        <f>IF(OR(ROUND(raw_order_lines!I22*10,0)&gt;ROUND(raw_order_lines!H22*10,0),ROUND(raw_order_lines!H22*10,0)&gt;ROUND(raw_order_lines!G22*10,0),ROUND(raw_order_lines!G22*10,0)&lt;=0),"数量关系异常","")</f>
        <v/>
      </c>
      <c r="T22" s="2" t="str">
        <f>IF($F22&lt;&gt;INDEX(dim_products!$D$2:$D$21,MATCH($E22,dim_products!$A$2:$A$21,0)),"单位不一致","")</f>
        <v/>
      </c>
      <c r="U22" s="2" t="str">
        <f>IF(OR(ROUND(raw_order_lines!J22*100,0)&lt;ROUND(INDEX(dim_products!$F$2:$F$21,MATCH($E22,dim_products!$A$2:$A$21,0))*100,0),ROUND(raw_order_lines!J22*100,0)&gt;ROUND(INDEX(dim_products!$G$2:$G$21,MATCH($E22,dim_products!$A$2:$A$21,0))*100,0)),"单价越界","")</f>
        <v/>
      </c>
      <c r="V22" s="2" t="str">
        <f t="shared" si="1"/>
        <v/>
      </c>
      <c r="W22" s="2" t="str">
        <f t="shared" si="2"/>
        <v>通过</v>
      </c>
    </row>
    <row r="23" spans="1:23" ht="15">
      <c r="A23" s="2" t="str">
        <f>raw_order_lines!A23</f>
        <v>SIM-20260901-C003</v>
      </c>
      <c r="B23" s="2">
        <f>raw_order_lines!B23</f>
        <v>5</v>
      </c>
      <c r="C23" s="2" t="str">
        <f>raw_order_lines!C23</f>
        <v>C003</v>
      </c>
      <c r="D23" s="3">
        <f>raw_order_lines!D23</f>
        <v>46266</v>
      </c>
      <c r="E23" s="2" t="str">
        <f>raw_order_lines!E23</f>
        <v>P001</v>
      </c>
      <c r="F23" s="2" t="str">
        <f>raw_order_lines!F23</f>
        <v>公斤</v>
      </c>
      <c r="G23" s="4">
        <f>raw_order_lines!G23</f>
        <v>7.1</v>
      </c>
      <c r="H23" s="4">
        <f>raw_order_lines!H23</f>
        <v>7.1</v>
      </c>
      <c r="I23" s="4">
        <f>raw_order_lines!I23</f>
        <v>0</v>
      </c>
      <c r="J23" s="5">
        <f>raw_order_lines!J23</f>
        <v>3.3</v>
      </c>
      <c r="K23" s="2" t="str">
        <f>raw_order_lines!K23</f>
        <v>正常交付</v>
      </c>
      <c r="L23" s="2" t="str">
        <f>raw_order_lines!L23</f>
        <v>true</v>
      </c>
      <c r="M23" s="2" t="str">
        <f>INDEX(dim_products!$B$2:$B$21,MATCH($E23,dim_products!$A$2:$A$21,0))</f>
        <v>土豆</v>
      </c>
      <c r="N23" s="2" t="str">
        <f>INDEX(dim_products!$C$2:$C$21,MATCH($E23,dim_products!$A$2:$A$21,0))</f>
        <v>散装鲜菜</v>
      </c>
      <c r="O23" s="2" t="str">
        <f>INDEX(dim_customers!$B$2:$B$7,MATCH($C23,dim_customers!$A$2:$A$7,0))</f>
        <v>模拟_兴街快餐店</v>
      </c>
      <c r="P23" s="6">
        <f>INT((ROUND(raw_order_lines!H23*10,0)*ROUND(raw_order_lines!J23*100,0)+5)/10)/100</f>
        <v>23.43</v>
      </c>
      <c r="Q23" s="6">
        <f>INT((ROUND(raw_order_lines!I23*10,0)*ROUND(raw_order_lines!J23*100,0)+5)/10)/100</f>
        <v>0</v>
      </c>
      <c r="R23" s="6">
        <f t="shared" si="0"/>
        <v>23.43</v>
      </c>
      <c r="S23" s="2" t="str">
        <f>IF(OR(ROUND(raw_order_lines!I23*10,0)&gt;ROUND(raw_order_lines!H23*10,0),ROUND(raw_order_lines!H23*10,0)&gt;ROUND(raw_order_lines!G23*10,0),ROUND(raw_order_lines!G23*10,0)&lt;=0),"数量关系异常","")</f>
        <v/>
      </c>
      <c r="T23" s="2" t="str">
        <f>IF($F23&lt;&gt;INDEX(dim_products!$D$2:$D$21,MATCH($E23,dim_products!$A$2:$A$21,0)),"单位不一致","")</f>
        <v/>
      </c>
      <c r="U23" s="2" t="str">
        <f>IF(OR(ROUND(raw_order_lines!J23*100,0)&lt;ROUND(INDEX(dim_products!$F$2:$F$21,MATCH($E23,dim_products!$A$2:$A$21,0))*100,0),ROUND(raw_order_lines!J23*100,0)&gt;ROUND(INDEX(dim_products!$G$2:$G$21,MATCH($E23,dim_products!$A$2:$A$21,0))*100,0)),"单价越界","")</f>
        <v/>
      </c>
      <c r="V23" s="2" t="str">
        <f t="shared" si="1"/>
        <v/>
      </c>
      <c r="W23" s="2" t="str">
        <f t="shared" si="2"/>
        <v>通过</v>
      </c>
    </row>
    <row r="24" spans="1:23" ht="15">
      <c r="A24" s="2" t="str">
        <f>raw_order_lines!A24</f>
        <v>SIM-20260901-C003</v>
      </c>
      <c r="B24" s="2">
        <f>raw_order_lines!B24</f>
        <v>6</v>
      </c>
      <c r="C24" s="2" t="str">
        <f>raw_order_lines!C24</f>
        <v>C003</v>
      </c>
      <c r="D24" s="3">
        <f>raw_order_lines!D24</f>
        <v>46266</v>
      </c>
      <c r="E24" s="2" t="str">
        <f>raw_order_lines!E24</f>
        <v>P008</v>
      </c>
      <c r="F24" s="2" t="str">
        <f>raw_order_lines!F24</f>
        <v>公斤</v>
      </c>
      <c r="G24" s="4">
        <f>raw_order_lines!G24</f>
        <v>4.0999999999999996</v>
      </c>
      <c r="H24" s="4">
        <f>raw_order_lines!H24</f>
        <v>4.0999999999999996</v>
      </c>
      <c r="I24" s="4">
        <f>raw_order_lines!I24</f>
        <v>0</v>
      </c>
      <c r="J24" s="5">
        <f>raw_order_lines!J24</f>
        <v>4.0999999999999996</v>
      </c>
      <c r="K24" s="2" t="str">
        <f>raw_order_lines!K24</f>
        <v>正常交付</v>
      </c>
      <c r="L24" s="2" t="str">
        <f>raw_order_lines!L24</f>
        <v>true</v>
      </c>
      <c r="M24" s="2" t="str">
        <f>INDEX(dim_products!$B$2:$B$21,MATCH($E24,dim_products!$A$2:$A$21,0))</f>
        <v>黄瓜</v>
      </c>
      <c r="N24" s="2" t="str">
        <f>INDEX(dim_products!$C$2:$C$21,MATCH($E24,dim_products!$A$2:$A$21,0))</f>
        <v>散装鲜菜</v>
      </c>
      <c r="O24" s="2" t="str">
        <f>INDEX(dim_customers!$B$2:$B$7,MATCH($C24,dim_customers!$A$2:$A$7,0))</f>
        <v>模拟_兴街快餐店</v>
      </c>
      <c r="P24" s="6">
        <f>INT((ROUND(raw_order_lines!H24*10,0)*ROUND(raw_order_lines!J24*100,0)+5)/10)/100</f>
        <v>16.809999999999999</v>
      </c>
      <c r="Q24" s="6">
        <f>INT((ROUND(raw_order_lines!I24*10,0)*ROUND(raw_order_lines!J24*100,0)+5)/10)/100</f>
        <v>0</v>
      </c>
      <c r="R24" s="6">
        <f t="shared" si="0"/>
        <v>16.809999999999999</v>
      </c>
      <c r="S24" s="2" t="str">
        <f>IF(OR(ROUND(raw_order_lines!I24*10,0)&gt;ROUND(raw_order_lines!H24*10,0),ROUND(raw_order_lines!H24*10,0)&gt;ROUND(raw_order_lines!G24*10,0),ROUND(raw_order_lines!G24*10,0)&lt;=0),"数量关系异常","")</f>
        <v/>
      </c>
      <c r="T24" s="2" t="str">
        <f>IF($F24&lt;&gt;INDEX(dim_products!$D$2:$D$21,MATCH($E24,dim_products!$A$2:$A$21,0)),"单位不一致","")</f>
        <v/>
      </c>
      <c r="U24" s="2" t="str">
        <f>IF(OR(ROUND(raw_order_lines!J24*100,0)&lt;ROUND(INDEX(dim_products!$F$2:$F$21,MATCH($E24,dim_products!$A$2:$A$21,0))*100,0),ROUND(raw_order_lines!J24*100,0)&gt;ROUND(INDEX(dim_products!$G$2:$G$21,MATCH($E24,dim_products!$A$2:$A$21,0))*100,0)),"单价越界","")</f>
        <v/>
      </c>
      <c r="V24" s="2" t="str">
        <f t="shared" si="1"/>
        <v/>
      </c>
      <c r="W24" s="2" t="str">
        <f t="shared" si="2"/>
        <v>通过</v>
      </c>
    </row>
    <row r="25" spans="1:23" ht="15">
      <c r="A25" s="2" t="str">
        <f>raw_order_lines!A25</f>
        <v>SIM-20260901-C003</v>
      </c>
      <c r="B25" s="2">
        <f>raw_order_lines!B25</f>
        <v>7</v>
      </c>
      <c r="C25" s="2" t="str">
        <f>raw_order_lines!C25</f>
        <v>C003</v>
      </c>
      <c r="D25" s="3">
        <f>raw_order_lines!D25</f>
        <v>46266</v>
      </c>
      <c r="E25" s="2" t="str">
        <f>raw_order_lines!E25</f>
        <v>P016</v>
      </c>
      <c r="F25" s="2" t="str">
        <f>raw_order_lines!F25</f>
        <v>公斤</v>
      </c>
      <c r="G25" s="4">
        <f>raw_order_lines!G25</f>
        <v>6</v>
      </c>
      <c r="H25" s="4">
        <f>raw_order_lines!H25</f>
        <v>6</v>
      </c>
      <c r="I25" s="4">
        <f>raw_order_lines!I25</f>
        <v>0</v>
      </c>
      <c r="J25" s="5">
        <f>raw_order_lines!J25</f>
        <v>10.1</v>
      </c>
      <c r="K25" s="2" t="str">
        <f>raw_order_lines!K25</f>
        <v>正常交付</v>
      </c>
      <c r="L25" s="2" t="str">
        <f>raw_order_lines!L25</f>
        <v>true</v>
      </c>
      <c r="M25" s="2" t="str">
        <f>INDEX(dim_products!$B$2:$B$21,MATCH($E25,dim_products!$A$2:$A$21,0))</f>
        <v>鸡蛋</v>
      </c>
      <c r="N25" s="2" t="str">
        <f>INDEX(dim_products!$C$2:$C$21,MATCH($E25,dim_products!$A$2:$A$21,0))</f>
        <v>普通鲜鸡蛋按净重</v>
      </c>
      <c r="O25" s="2" t="str">
        <f>INDEX(dim_customers!$B$2:$B$7,MATCH($C25,dim_customers!$A$2:$A$7,0))</f>
        <v>模拟_兴街快餐店</v>
      </c>
      <c r="P25" s="6">
        <f>INT((ROUND(raw_order_lines!H25*10,0)*ROUND(raw_order_lines!J25*100,0)+5)/10)/100</f>
        <v>60.6</v>
      </c>
      <c r="Q25" s="6">
        <f>INT((ROUND(raw_order_lines!I25*10,0)*ROUND(raw_order_lines!J25*100,0)+5)/10)/100</f>
        <v>0</v>
      </c>
      <c r="R25" s="6">
        <f t="shared" si="0"/>
        <v>60.6</v>
      </c>
      <c r="S25" s="2" t="str">
        <f>IF(OR(ROUND(raw_order_lines!I25*10,0)&gt;ROUND(raw_order_lines!H25*10,0),ROUND(raw_order_lines!H25*10,0)&gt;ROUND(raw_order_lines!G25*10,0),ROUND(raw_order_lines!G25*10,0)&lt;=0),"数量关系异常","")</f>
        <v/>
      </c>
      <c r="T25" s="2" t="str">
        <f>IF($F25&lt;&gt;INDEX(dim_products!$D$2:$D$21,MATCH($E25,dim_products!$A$2:$A$21,0)),"单位不一致","")</f>
        <v/>
      </c>
      <c r="U25" s="2" t="str">
        <f>IF(OR(ROUND(raw_order_lines!J25*100,0)&lt;ROUND(INDEX(dim_products!$F$2:$F$21,MATCH($E25,dim_products!$A$2:$A$21,0))*100,0),ROUND(raw_order_lines!J25*100,0)&gt;ROUND(INDEX(dim_products!$G$2:$G$21,MATCH($E25,dim_products!$A$2:$A$21,0))*100,0)),"单价越界","")</f>
        <v/>
      </c>
      <c r="V25" s="2" t="str">
        <f t="shared" si="1"/>
        <v/>
      </c>
      <c r="W25" s="2" t="str">
        <f t="shared" si="2"/>
        <v>通过</v>
      </c>
    </row>
    <row r="26" spans="1:23" ht="15">
      <c r="A26" s="2" t="str">
        <f>raw_order_lines!A26</f>
        <v>SIM-20260901-C003</v>
      </c>
      <c r="B26" s="2">
        <f>raw_order_lines!B26</f>
        <v>8</v>
      </c>
      <c r="C26" s="2" t="str">
        <f>raw_order_lines!C26</f>
        <v>C003</v>
      </c>
      <c r="D26" s="3">
        <f>raw_order_lines!D26</f>
        <v>46266</v>
      </c>
      <c r="E26" s="2" t="str">
        <f>raw_order_lines!E26</f>
        <v>P015</v>
      </c>
      <c r="F26" s="2" t="str">
        <f>raw_order_lines!F26</f>
        <v>公斤</v>
      </c>
      <c r="G26" s="4">
        <f>raw_order_lines!G26</f>
        <v>1</v>
      </c>
      <c r="H26" s="4">
        <f>raw_order_lines!H26</f>
        <v>1</v>
      </c>
      <c r="I26" s="4">
        <f>raw_order_lines!I26</f>
        <v>0</v>
      </c>
      <c r="J26" s="5">
        <f>raw_order_lines!J26</f>
        <v>7.3</v>
      </c>
      <c r="K26" s="2" t="str">
        <f>raw_order_lines!K26</f>
        <v>正常交付</v>
      </c>
      <c r="L26" s="2" t="str">
        <f>raw_order_lines!L26</f>
        <v>true</v>
      </c>
      <c r="M26" s="2" t="str">
        <f>INDEX(dim_products!$B$2:$B$21,MATCH($E26,dim_products!$A$2:$A$21,0))</f>
        <v>小葱</v>
      </c>
      <c r="N26" s="2" t="str">
        <f>INDEX(dim_products!$C$2:$C$21,MATCH($E26,dim_products!$A$2:$A$21,0))</f>
        <v>散装鲜菜</v>
      </c>
      <c r="O26" s="2" t="str">
        <f>INDEX(dim_customers!$B$2:$B$7,MATCH($C26,dim_customers!$A$2:$A$7,0))</f>
        <v>模拟_兴街快餐店</v>
      </c>
      <c r="P26" s="6">
        <f>INT((ROUND(raw_order_lines!H26*10,0)*ROUND(raw_order_lines!J26*100,0)+5)/10)/100</f>
        <v>7.3</v>
      </c>
      <c r="Q26" s="6">
        <f>INT((ROUND(raw_order_lines!I26*10,0)*ROUND(raw_order_lines!J26*100,0)+5)/10)/100</f>
        <v>0</v>
      </c>
      <c r="R26" s="6">
        <f t="shared" si="0"/>
        <v>7.3</v>
      </c>
      <c r="S26" s="2" t="str">
        <f>IF(OR(ROUND(raw_order_lines!I26*10,0)&gt;ROUND(raw_order_lines!H26*10,0),ROUND(raw_order_lines!H26*10,0)&gt;ROUND(raw_order_lines!G26*10,0),ROUND(raw_order_lines!G26*10,0)&lt;=0),"数量关系异常","")</f>
        <v/>
      </c>
      <c r="T26" s="2" t="str">
        <f>IF($F26&lt;&gt;INDEX(dim_products!$D$2:$D$21,MATCH($E26,dim_products!$A$2:$A$21,0)),"单位不一致","")</f>
        <v/>
      </c>
      <c r="U26" s="2" t="str">
        <f>IF(OR(ROUND(raw_order_lines!J26*100,0)&lt;ROUND(INDEX(dim_products!$F$2:$F$21,MATCH($E26,dim_products!$A$2:$A$21,0))*100,0),ROUND(raw_order_lines!J26*100,0)&gt;ROUND(INDEX(dim_products!$G$2:$G$21,MATCH($E26,dim_products!$A$2:$A$21,0))*100,0)),"单价越界","")</f>
        <v/>
      </c>
      <c r="V26" s="2" t="str">
        <f t="shared" si="1"/>
        <v/>
      </c>
      <c r="W26" s="2" t="str">
        <f t="shared" si="2"/>
        <v>通过</v>
      </c>
    </row>
    <row r="27" spans="1:23" ht="15">
      <c r="A27" s="2" t="str">
        <f>raw_order_lines!A27</f>
        <v>SIM-20260901-C003</v>
      </c>
      <c r="B27" s="2">
        <f>raw_order_lines!B27</f>
        <v>9</v>
      </c>
      <c r="C27" s="2" t="str">
        <f>raw_order_lines!C27</f>
        <v>C003</v>
      </c>
      <c r="D27" s="3">
        <f>raw_order_lines!D27</f>
        <v>46266</v>
      </c>
      <c r="E27" s="2" t="str">
        <f>raw_order_lines!E27</f>
        <v>P017</v>
      </c>
      <c r="F27" s="2" t="str">
        <f>raw_order_lines!F27</f>
        <v>袋</v>
      </c>
      <c r="G27" s="4">
        <f>raw_order_lines!G27</f>
        <v>5</v>
      </c>
      <c r="H27" s="4">
        <f>raw_order_lines!H27</f>
        <v>5</v>
      </c>
      <c r="I27" s="4">
        <f>raw_order_lines!I27</f>
        <v>0</v>
      </c>
      <c r="J27" s="5">
        <f>raw_order_lines!J27</f>
        <v>118</v>
      </c>
      <c r="K27" s="2" t="str">
        <f>raw_order_lines!K27</f>
        <v>正常交付</v>
      </c>
      <c r="L27" s="2" t="str">
        <f>raw_order_lines!L27</f>
        <v>true</v>
      </c>
      <c r="M27" s="2" t="str">
        <f>INDEX(dim_products!$B$2:$B$21,MATCH($E27,dim_products!$A$2:$A$21,0))</f>
        <v>籼米</v>
      </c>
      <c r="N27" s="2" t="str">
        <f>INDEX(dim_products!$C$2:$C$21,MATCH($E27,dim_products!$A$2:$A$21,0))</f>
        <v>25公斤/袋普通籼米</v>
      </c>
      <c r="O27" s="2" t="str">
        <f>INDEX(dim_customers!$B$2:$B$7,MATCH($C27,dim_customers!$A$2:$A$7,0))</f>
        <v>模拟_兴街快餐店</v>
      </c>
      <c r="P27" s="6">
        <f>INT((ROUND(raw_order_lines!H27*10,0)*ROUND(raw_order_lines!J27*100,0)+5)/10)/100</f>
        <v>590</v>
      </c>
      <c r="Q27" s="6">
        <f>INT((ROUND(raw_order_lines!I27*10,0)*ROUND(raw_order_lines!J27*100,0)+5)/10)/100</f>
        <v>0</v>
      </c>
      <c r="R27" s="6">
        <f t="shared" si="0"/>
        <v>590</v>
      </c>
      <c r="S27" s="2" t="str">
        <f>IF(OR(ROUND(raw_order_lines!I27*10,0)&gt;ROUND(raw_order_lines!H27*10,0),ROUND(raw_order_lines!H27*10,0)&gt;ROUND(raw_order_lines!G27*10,0),ROUND(raw_order_lines!G27*10,0)&lt;=0),"数量关系异常","")</f>
        <v/>
      </c>
      <c r="T27" s="2" t="str">
        <f>IF($F27&lt;&gt;INDEX(dim_products!$D$2:$D$21,MATCH($E27,dim_products!$A$2:$A$21,0)),"单位不一致","")</f>
        <v/>
      </c>
      <c r="U27" s="2" t="str">
        <f>IF(OR(ROUND(raw_order_lines!J27*100,0)&lt;ROUND(INDEX(dim_products!$F$2:$F$21,MATCH($E27,dim_products!$A$2:$A$21,0))*100,0),ROUND(raw_order_lines!J27*100,0)&gt;ROUND(INDEX(dim_products!$G$2:$G$21,MATCH($E27,dim_products!$A$2:$A$21,0))*100,0)),"单价越界","")</f>
        <v/>
      </c>
      <c r="V27" s="2" t="str">
        <f t="shared" si="1"/>
        <v/>
      </c>
      <c r="W27" s="2" t="str">
        <f t="shared" si="2"/>
        <v>通过</v>
      </c>
    </row>
    <row r="28" spans="1:23" ht="15">
      <c r="A28" s="2" t="str">
        <f>raw_order_lines!A28</f>
        <v>SIM-20260901-C003</v>
      </c>
      <c r="B28" s="2">
        <f>raw_order_lines!B28</f>
        <v>10</v>
      </c>
      <c r="C28" s="2" t="str">
        <f>raw_order_lines!C28</f>
        <v>C003</v>
      </c>
      <c r="D28" s="3">
        <f>raw_order_lines!D28</f>
        <v>46266</v>
      </c>
      <c r="E28" s="2" t="str">
        <f>raw_order_lines!E28</f>
        <v>P020</v>
      </c>
      <c r="F28" s="2" t="str">
        <f>raw_order_lines!F28</f>
        <v>桶</v>
      </c>
      <c r="G28" s="4">
        <f>raw_order_lines!G28</f>
        <v>2</v>
      </c>
      <c r="H28" s="4">
        <f>raw_order_lines!H28</f>
        <v>2</v>
      </c>
      <c r="I28" s="4">
        <f>raw_order_lines!I28</f>
        <v>0</v>
      </c>
      <c r="J28" s="5">
        <f>raw_order_lines!J28</f>
        <v>59</v>
      </c>
      <c r="K28" s="2" t="str">
        <f>raw_order_lines!K28</f>
        <v>正常交付</v>
      </c>
      <c r="L28" s="2" t="str">
        <f>raw_order_lines!L28</f>
        <v>true</v>
      </c>
      <c r="M28" s="2" t="str">
        <f>INDEX(dim_products!$B$2:$B$21,MATCH($E28,dim_products!$A$2:$A$21,0))</f>
        <v>大豆油</v>
      </c>
      <c r="N28" s="2" t="str">
        <f>INDEX(dim_products!$C$2:$C$21,MATCH($E28,dim_products!$A$2:$A$21,0))</f>
        <v>5升/桶普通大豆油</v>
      </c>
      <c r="O28" s="2" t="str">
        <f>INDEX(dim_customers!$B$2:$B$7,MATCH($C28,dim_customers!$A$2:$A$7,0))</f>
        <v>模拟_兴街快餐店</v>
      </c>
      <c r="P28" s="6">
        <f>INT((ROUND(raw_order_lines!H28*10,0)*ROUND(raw_order_lines!J28*100,0)+5)/10)/100</f>
        <v>118</v>
      </c>
      <c r="Q28" s="6">
        <f>INT((ROUND(raw_order_lines!I28*10,0)*ROUND(raw_order_lines!J28*100,0)+5)/10)/100</f>
        <v>0</v>
      </c>
      <c r="R28" s="6">
        <f t="shared" si="0"/>
        <v>118</v>
      </c>
      <c r="S28" s="2" t="str">
        <f>IF(OR(ROUND(raw_order_lines!I28*10,0)&gt;ROUND(raw_order_lines!H28*10,0),ROUND(raw_order_lines!H28*10,0)&gt;ROUND(raw_order_lines!G28*10,0),ROUND(raw_order_lines!G28*10,0)&lt;=0),"数量关系异常","")</f>
        <v/>
      </c>
      <c r="T28" s="2" t="str">
        <f>IF($F28&lt;&gt;INDEX(dim_products!$D$2:$D$21,MATCH($E28,dim_products!$A$2:$A$21,0)),"单位不一致","")</f>
        <v/>
      </c>
      <c r="U28" s="2" t="str">
        <f>IF(OR(ROUND(raw_order_lines!J28*100,0)&lt;ROUND(INDEX(dim_products!$F$2:$F$21,MATCH($E28,dim_products!$A$2:$A$21,0))*100,0),ROUND(raw_order_lines!J28*100,0)&gt;ROUND(INDEX(dim_products!$G$2:$G$21,MATCH($E28,dim_products!$A$2:$A$21,0))*100,0)),"单价越界","")</f>
        <v/>
      </c>
      <c r="V28" s="2" t="str">
        <f t="shared" si="1"/>
        <v/>
      </c>
      <c r="W28" s="2" t="str">
        <f t="shared" si="2"/>
        <v>通过</v>
      </c>
    </row>
    <row r="29" spans="1:23" ht="15">
      <c r="A29" s="2" t="str">
        <f>raw_order_lines!A29</f>
        <v>SIM-20260901-C004</v>
      </c>
      <c r="B29" s="2">
        <f>raw_order_lines!B29</f>
        <v>1</v>
      </c>
      <c r="C29" s="2" t="str">
        <f>raw_order_lines!C29</f>
        <v>C004</v>
      </c>
      <c r="D29" s="3">
        <f>raw_order_lines!D29</f>
        <v>46266</v>
      </c>
      <c r="E29" s="2" t="str">
        <f>raw_order_lines!E29</f>
        <v>P010</v>
      </c>
      <c r="F29" s="2" t="str">
        <f>raw_order_lines!F29</f>
        <v>公斤</v>
      </c>
      <c r="G29" s="4">
        <f>raw_order_lines!G29</f>
        <v>5</v>
      </c>
      <c r="H29" s="4">
        <f>raw_order_lines!H29</f>
        <v>5</v>
      </c>
      <c r="I29" s="4">
        <f>raw_order_lines!I29</f>
        <v>0</v>
      </c>
      <c r="J29" s="5">
        <f>raw_order_lines!J29</f>
        <v>5</v>
      </c>
      <c r="K29" s="2" t="str">
        <f>raw_order_lines!K29</f>
        <v>正常交付</v>
      </c>
      <c r="L29" s="2" t="str">
        <f>raw_order_lines!L29</f>
        <v>true</v>
      </c>
      <c r="M29" s="2" t="str">
        <f>INDEX(dim_products!$B$2:$B$21,MATCH($E29,dim_products!$A$2:$A$21,0))</f>
        <v>空心菜</v>
      </c>
      <c r="N29" s="2" t="str">
        <f>INDEX(dim_products!$C$2:$C$21,MATCH($E29,dim_products!$A$2:$A$21,0))</f>
        <v>散装鲜菜</v>
      </c>
      <c r="O29" s="2" t="str">
        <f>INDEX(dim_customers!$B$2:$B$7,MATCH($C29,dim_customers!$A$2:$A$7,0))</f>
        <v>模拟_田畔饭店</v>
      </c>
      <c r="P29" s="6">
        <f>INT((ROUND(raw_order_lines!H29*10,0)*ROUND(raw_order_lines!J29*100,0)+5)/10)/100</f>
        <v>25</v>
      </c>
      <c r="Q29" s="6">
        <f>INT((ROUND(raw_order_lines!I29*10,0)*ROUND(raw_order_lines!J29*100,0)+5)/10)/100</f>
        <v>0</v>
      </c>
      <c r="R29" s="6">
        <f t="shared" si="0"/>
        <v>25</v>
      </c>
      <c r="S29" s="2" t="str">
        <f>IF(OR(ROUND(raw_order_lines!I29*10,0)&gt;ROUND(raw_order_lines!H29*10,0),ROUND(raw_order_lines!H29*10,0)&gt;ROUND(raw_order_lines!G29*10,0),ROUND(raw_order_lines!G29*10,0)&lt;=0),"数量关系异常","")</f>
        <v/>
      </c>
      <c r="T29" s="2" t="str">
        <f>IF($F29&lt;&gt;INDEX(dim_products!$D$2:$D$21,MATCH($E29,dim_products!$A$2:$A$21,0)),"单位不一致","")</f>
        <v/>
      </c>
      <c r="U29" s="2" t="str">
        <f>IF(OR(ROUND(raw_order_lines!J29*100,0)&lt;ROUND(INDEX(dim_products!$F$2:$F$21,MATCH($E29,dim_products!$A$2:$A$21,0))*100,0),ROUND(raw_order_lines!J29*100,0)&gt;ROUND(INDEX(dim_products!$G$2:$G$21,MATCH($E29,dim_products!$A$2:$A$21,0))*100,0)),"单价越界","")</f>
        <v/>
      </c>
      <c r="V29" s="2" t="str">
        <f t="shared" si="1"/>
        <v/>
      </c>
      <c r="W29" s="2" t="str">
        <f t="shared" si="2"/>
        <v>通过</v>
      </c>
    </row>
    <row r="30" spans="1:23" ht="15">
      <c r="A30" s="2" t="str">
        <f>raw_order_lines!A30</f>
        <v>SIM-20260901-C004</v>
      </c>
      <c r="B30" s="2">
        <f>raw_order_lines!B30</f>
        <v>2</v>
      </c>
      <c r="C30" s="2" t="str">
        <f>raw_order_lines!C30</f>
        <v>C004</v>
      </c>
      <c r="D30" s="3">
        <f>raw_order_lines!D30</f>
        <v>46266</v>
      </c>
      <c r="E30" s="2" t="str">
        <f>raw_order_lines!E30</f>
        <v>P005</v>
      </c>
      <c r="F30" s="2" t="str">
        <f>raw_order_lines!F30</f>
        <v>公斤</v>
      </c>
      <c r="G30" s="4">
        <f>raw_order_lines!G30</f>
        <v>7.5</v>
      </c>
      <c r="H30" s="4">
        <f>raw_order_lines!H30</f>
        <v>7.5</v>
      </c>
      <c r="I30" s="4">
        <f>raw_order_lines!I30</f>
        <v>0</v>
      </c>
      <c r="J30" s="5">
        <f>raw_order_lines!J30</f>
        <v>2.7</v>
      </c>
      <c r="K30" s="2" t="str">
        <f>raw_order_lines!K30</f>
        <v>正常交付</v>
      </c>
      <c r="L30" s="2" t="str">
        <f>raw_order_lines!L30</f>
        <v>true</v>
      </c>
      <c r="M30" s="2" t="str">
        <f>INDEX(dim_products!$B$2:$B$21,MATCH($E30,dim_products!$A$2:$A$21,0))</f>
        <v>南瓜</v>
      </c>
      <c r="N30" s="2" t="str">
        <f>INDEX(dim_products!$C$2:$C$21,MATCH($E30,dim_products!$A$2:$A$21,0))</f>
        <v>散装鲜菜</v>
      </c>
      <c r="O30" s="2" t="str">
        <f>INDEX(dim_customers!$B$2:$B$7,MATCH($C30,dim_customers!$A$2:$A$7,0))</f>
        <v>模拟_田畔饭店</v>
      </c>
      <c r="P30" s="6">
        <f>INT((ROUND(raw_order_lines!H30*10,0)*ROUND(raw_order_lines!J30*100,0)+5)/10)/100</f>
        <v>20.25</v>
      </c>
      <c r="Q30" s="6">
        <f>INT((ROUND(raw_order_lines!I30*10,0)*ROUND(raw_order_lines!J30*100,0)+5)/10)/100</f>
        <v>0</v>
      </c>
      <c r="R30" s="6">
        <f t="shared" si="0"/>
        <v>20.25</v>
      </c>
      <c r="S30" s="2" t="str">
        <f>IF(OR(ROUND(raw_order_lines!I30*10,0)&gt;ROUND(raw_order_lines!H30*10,0),ROUND(raw_order_lines!H30*10,0)&gt;ROUND(raw_order_lines!G30*10,0),ROUND(raw_order_lines!G30*10,0)&lt;=0),"数量关系异常","")</f>
        <v/>
      </c>
      <c r="T30" s="2" t="str">
        <f>IF($F30&lt;&gt;INDEX(dim_products!$D$2:$D$21,MATCH($E30,dim_products!$A$2:$A$21,0)),"单位不一致","")</f>
        <v/>
      </c>
      <c r="U30" s="2" t="str">
        <f>IF(OR(ROUND(raw_order_lines!J30*100,0)&lt;ROUND(INDEX(dim_products!$F$2:$F$21,MATCH($E30,dim_products!$A$2:$A$21,0))*100,0),ROUND(raw_order_lines!J30*100,0)&gt;ROUND(INDEX(dim_products!$G$2:$G$21,MATCH($E30,dim_products!$A$2:$A$21,0))*100,0)),"单价越界","")</f>
        <v/>
      </c>
      <c r="V30" s="2" t="str">
        <f t="shared" si="1"/>
        <v/>
      </c>
      <c r="W30" s="2" t="str">
        <f t="shared" si="2"/>
        <v>通过</v>
      </c>
    </row>
    <row r="31" spans="1:23" ht="15">
      <c r="A31" s="2" t="str">
        <f>raw_order_lines!A31</f>
        <v>SIM-20260901-C004</v>
      </c>
      <c r="B31" s="2">
        <f>raw_order_lines!B31</f>
        <v>3</v>
      </c>
      <c r="C31" s="2" t="str">
        <f>raw_order_lines!C31</f>
        <v>C004</v>
      </c>
      <c r="D31" s="3">
        <f>raw_order_lines!D31</f>
        <v>46266</v>
      </c>
      <c r="E31" s="2" t="str">
        <f>raw_order_lines!E31</f>
        <v>P001</v>
      </c>
      <c r="F31" s="2" t="str">
        <f>raw_order_lines!F31</f>
        <v>公斤</v>
      </c>
      <c r="G31" s="4">
        <f>raw_order_lines!G31</f>
        <v>5.5</v>
      </c>
      <c r="H31" s="4">
        <f>raw_order_lines!H31</f>
        <v>5.5</v>
      </c>
      <c r="I31" s="4">
        <f>raw_order_lines!I31</f>
        <v>0</v>
      </c>
      <c r="J31" s="5">
        <f>raw_order_lines!J31</f>
        <v>3.3</v>
      </c>
      <c r="K31" s="2" t="str">
        <f>raw_order_lines!K31</f>
        <v>正常交付</v>
      </c>
      <c r="L31" s="2" t="str">
        <f>raw_order_lines!L31</f>
        <v>true</v>
      </c>
      <c r="M31" s="2" t="str">
        <f>INDEX(dim_products!$B$2:$B$21,MATCH($E31,dim_products!$A$2:$A$21,0))</f>
        <v>土豆</v>
      </c>
      <c r="N31" s="2" t="str">
        <f>INDEX(dim_products!$C$2:$C$21,MATCH($E31,dim_products!$A$2:$A$21,0))</f>
        <v>散装鲜菜</v>
      </c>
      <c r="O31" s="2" t="str">
        <f>INDEX(dim_customers!$B$2:$B$7,MATCH($C31,dim_customers!$A$2:$A$7,0))</f>
        <v>模拟_田畔饭店</v>
      </c>
      <c r="P31" s="6">
        <f>INT((ROUND(raw_order_lines!H31*10,0)*ROUND(raw_order_lines!J31*100,0)+5)/10)/100</f>
        <v>18.149999999999999</v>
      </c>
      <c r="Q31" s="6">
        <f>INT((ROUND(raw_order_lines!I31*10,0)*ROUND(raw_order_lines!J31*100,0)+5)/10)/100</f>
        <v>0</v>
      </c>
      <c r="R31" s="6">
        <f t="shared" si="0"/>
        <v>18.149999999999999</v>
      </c>
      <c r="S31" s="2" t="str">
        <f>IF(OR(ROUND(raw_order_lines!I31*10,0)&gt;ROUND(raw_order_lines!H31*10,0),ROUND(raw_order_lines!H31*10,0)&gt;ROUND(raw_order_lines!G31*10,0),ROUND(raw_order_lines!G31*10,0)&lt;=0),"数量关系异常","")</f>
        <v/>
      </c>
      <c r="T31" s="2" t="str">
        <f>IF($F31&lt;&gt;INDEX(dim_products!$D$2:$D$21,MATCH($E31,dim_products!$A$2:$A$21,0)),"单位不一致","")</f>
        <v/>
      </c>
      <c r="U31" s="2" t="str">
        <f>IF(OR(ROUND(raw_order_lines!J31*100,0)&lt;ROUND(INDEX(dim_products!$F$2:$F$21,MATCH($E31,dim_products!$A$2:$A$21,0))*100,0),ROUND(raw_order_lines!J31*100,0)&gt;ROUND(INDEX(dim_products!$G$2:$G$21,MATCH($E31,dim_products!$A$2:$A$21,0))*100,0)),"单价越界","")</f>
        <v/>
      </c>
      <c r="V31" s="2" t="str">
        <f t="shared" si="1"/>
        <v/>
      </c>
      <c r="W31" s="2" t="str">
        <f t="shared" si="2"/>
        <v>通过</v>
      </c>
    </row>
    <row r="32" spans="1:23" ht="15">
      <c r="A32" s="2" t="str">
        <f>raw_order_lines!A32</f>
        <v>SIM-20260901-C004</v>
      </c>
      <c r="B32" s="2">
        <f>raw_order_lines!B32</f>
        <v>4</v>
      </c>
      <c r="C32" s="2" t="str">
        <f>raw_order_lines!C32</f>
        <v>C004</v>
      </c>
      <c r="D32" s="3">
        <f>raw_order_lines!D32</f>
        <v>46266</v>
      </c>
      <c r="E32" s="2" t="str">
        <f>raw_order_lines!E32</f>
        <v>P003</v>
      </c>
      <c r="F32" s="2" t="str">
        <f>raw_order_lines!F32</f>
        <v>公斤</v>
      </c>
      <c r="G32" s="4">
        <f>raw_order_lines!G32</f>
        <v>5.5</v>
      </c>
      <c r="H32" s="4">
        <f>raw_order_lines!H32</f>
        <v>5</v>
      </c>
      <c r="I32" s="4">
        <f>raw_order_lines!I32</f>
        <v>0</v>
      </c>
      <c r="J32" s="5">
        <f>raw_order_lines!J32</f>
        <v>3.3</v>
      </c>
      <c r="K32" s="2" t="str">
        <f>raw_order_lines!K32</f>
        <v>到货不足；按实际交付计费</v>
      </c>
      <c r="L32" s="2" t="str">
        <f>raw_order_lines!L32</f>
        <v>true</v>
      </c>
      <c r="M32" s="2" t="str">
        <f>INDEX(dim_products!$B$2:$B$21,MATCH($E32,dim_products!$A$2:$A$21,0))</f>
        <v>包菜</v>
      </c>
      <c r="N32" s="2" t="str">
        <f>INDEX(dim_products!$C$2:$C$21,MATCH($E32,dim_products!$A$2:$A$21,0))</f>
        <v>散装鲜菜</v>
      </c>
      <c r="O32" s="2" t="str">
        <f>INDEX(dim_customers!$B$2:$B$7,MATCH($C32,dim_customers!$A$2:$A$7,0))</f>
        <v>模拟_田畔饭店</v>
      </c>
      <c r="P32" s="6">
        <f>INT((ROUND(raw_order_lines!H32*10,0)*ROUND(raw_order_lines!J32*100,0)+5)/10)/100</f>
        <v>16.5</v>
      </c>
      <c r="Q32" s="6">
        <f>INT((ROUND(raw_order_lines!I32*10,0)*ROUND(raw_order_lines!J32*100,0)+5)/10)/100</f>
        <v>0</v>
      </c>
      <c r="R32" s="6">
        <f t="shared" si="0"/>
        <v>16.5</v>
      </c>
      <c r="S32" s="2" t="str">
        <f>IF(OR(ROUND(raw_order_lines!I32*10,0)&gt;ROUND(raw_order_lines!H32*10,0),ROUND(raw_order_lines!H32*10,0)&gt;ROUND(raw_order_lines!G32*10,0),ROUND(raw_order_lines!G32*10,0)&lt;=0),"数量关系异常","")</f>
        <v/>
      </c>
      <c r="T32" s="2" t="str">
        <f>IF($F32&lt;&gt;INDEX(dim_products!$D$2:$D$21,MATCH($E32,dim_products!$A$2:$A$21,0)),"单位不一致","")</f>
        <v/>
      </c>
      <c r="U32" s="2" t="str">
        <f>IF(OR(ROUND(raw_order_lines!J32*100,0)&lt;ROUND(INDEX(dim_products!$F$2:$F$21,MATCH($E32,dim_products!$A$2:$A$21,0))*100,0),ROUND(raw_order_lines!J32*100,0)&gt;ROUND(INDEX(dim_products!$G$2:$G$21,MATCH($E32,dim_products!$A$2:$A$21,0))*100,0)),"单价越界","")</f>
        <v/>
      </c>
      <c r="V32" s="2" t="str">
        <f t="shared" si="1"/>
        <v/>
      </c>
      <c r="W32" s="2" t="str">
        <f t="shared" si="2"/>
        <v>通过</v>
      </c>
    </row>
    <row r="33" spans="1:23" ht="15">
      <c r="A33" s="2" t="str">
        <f>raw_order_lines!A33</f>
        <v>SIM-20260901-C004</v>
      </c>
      <c r="B33" s="2">
        <f>raw_order_lines!B33</f>
        <v>5</v>
      </c>
      <c r="C33" s="2" t="str">
        <f>raw_order_lines!C33</f>
        <v>C004</v>
      </c>
      <c r="D33" s="3">
        <f>raw_order_lines!D33</f>
        <v>46266</v>
      </c>
      <c r="E33" s="2" t="str">
        <f>raw_order_lines!E33</f>
        <v>P009</v>
      </c>
      <c r="F33" s="2" t="str">
        <f>raw_order_lines!F33</f>
        <v>公斤</v>
      </c>
      <c r="G33" s="4">
        <f>raw_order_lines!G33</f>
        <v>6.5</v>
      </c>
      <c r="H33" s="4">
        <f>raw_order_lines!H33</f>
        <v>6.5</v>
      </c>
      <c r="I33" s="4">
        <f>raw_order_lines!I33</f>
        <v>0</v>
      </c>
      <c r="J33" s="5">
        <f>raw_order_lines!J33</f>
        <v>5</v>
      </c>
      <c r="K33" s="2" t="str">
        <f>raw_order_lines!K33</f>
        <v>正常交付</v>
      </c>
      <c r="L33" s="2" t="str">
        <f>raw_order_lines!L33</f>
        <v>true</v>
      </c>
      <c r="M33" s="2" t="str">
        <f>INDEX(dim_products!$B$2:$B$21,MATCH($E33,dim_products!$A$2:$A$21,0))</f>
        <v>西红柿</v>
      </c>
      <c r="N33" s="2" t="str">
        <f>INDEX(dim_products!$C$2:$C$21,MATCH($E33,dim_products!$A$2:$A$21,0))</f>
        <v>散装鲜菜</v>
      </c>
      <c r="O33" s="2" t="str">
        <f>INDEX(dim_customers!$B$2:$B$7,MATCH($C33,dim_customers!$A$2:$A$7,0))</f>
        <v>模拟_田畔饭店</v>
      </c>
      <c r="P33" s="6">
        <f>INT((ROUND(raw_order_lines!H33*10,0)*ROUND(raw_order_lines!J33*100,0)+5)/10)/100</f>
        <v>32.5</v>
      </c>
      <c r="Q33" s="6">
        <f>INT((ROUND(raw_order_lines!I33*10,0)*ROUND(raw_order_lines!J33*100,0)+5)/10)/100</f>
        <v>0</v>
      </c>
      <c r="R33" s="6">
        <f t="shared" si="0"/>
        <v>32.5</v>
      </c>
      <c r="S33" s="2" t="str">
        <f>IF(OR(ROUND(raw_order_lines!I33*10,0)&gt;ROUND(raw_order_lines!H33*10,0),ROUND(raw_order_lines!H33*10,0)&gt;ROUND(raw_order_lines!G33*10,0),ROUND(raw_order_lines!G33*10,0)&lt;=0),"数量关系异常","")</f>
        <v/>
      </c>
      <c r="T33" s="2" t="str">
        <f>IF($F33&lt;&gt;INDEX(dim_products!$D$2:$D$21,MATCH($E33,dim_products!$A$2:$A$21,0)),"单位不一致","")</f>
        <v/>
      </c>
      <c r="U33" s="2" t="str">
        <f>IF(OR(ROUND(raw_order_lines!J33*100,0)&lt;ROUND(INDEX(dim_products!$F$2:$F$21,MATCH($E33,dim_products!$A$2:$A$21,0))*100,0),ROUND(raw_order_lines!J33*100,0)&gt;ROUND(INDEX(dim_products!$G$2:$G$21,MATCH($E33,dim_products!$A$2:$A$21,0))*100,0)),"单价越界","")</f>
        <v/>
      </c>
      <c r="V33" s="2" t="str">
        <f t="shared" si="1"/>
        <v/>
      </c>
      <c r="W33" s="2" t="str">
        <f t="shared" si="2"/>
        <v>通过</v>
      </c>
    </row>
    <row r="34" spans="1:23" ht="15">
      <c r="A34" s="2" t="str">
        <f>raw_order_lines!A34</f>
        <v>SIM-20260901-C004</v>
      </c>
      <c r="B34" s="2">
        <f>raw_order_lines!B34</f>
        <v>6</v>
      </c>
      <c r="C34" s="2" t="str">
        <f>raw_order_lines!C34</f>
        <v>C004</v>
      </c>
      <c r="D34" s="3">
        <f>raw_order_lines!D34</f>
        <v>46266</v>
      </c>
      <c r="E34" s="2" t="str">
        <f>raw_order_lines!E34</f>
        <v>P008</v>
      </c>
      <c r="F34" s="2" t="str">
        <f>raw_order_lines!F34</f>
        <v>公斤</v>
      </c>
      <c r="G34" s="4">
        <f>raw_order_lines!G34</f>
        <v>6.5</v>
      </c>
      <c r="H34" s="4">
        <f>raw_order_lines!H34</f>
        <v>6.5</v>
      </c>
      <c r="I34" s="4">
        <f>raw_order_lines!I34</f>
        <v>0</v>
      </c>
      <c r="J34" s="5">
        <f>raw_order_lines!J34</f>
        <v>4.0999999999999996</v>
      </c>
      <c r="K34" s="2" t="str">
        <f>raw_order_lines!K34</f>
        <v>正常交付</v>
      </c>
      <c r="L34" s="2" t="str">
        <f>raw_order_lines!L34</f>
        <v>true</v>
      </c>
      <c r="M34" s="2" t="str">
        <f>INDEX(dim_products!$B$2:$B$21,MATCH($E34,dim_products!$A$2:$A$21,0))</f>
        <v>黄瓜</v>
      </c>
      <c r="N34" s="2" t="str">
        <f>INDEX(dim_products!$C$2:$C$21,MATCH($E34,dim_products!$A$2:$A$21,0))</f>
        <v>散装鲜菜</v>
      </c>
      <c r="O34" s="2" t="str">
        <f>INDEX(dim_customers!$B$2:$B$7,MATCH($C34,dim_customers!$A$2:$A$7,0))</f>
        <v>模拟_田畔饭店</v>
      </c>
      <c r="P34" s="6">
        <f>INT((ROUND(raw_order_lines!H34*10,0)*ROUND(raw_order_lines!J34*100,0)+5)/10)/100</f>
        <v>26.65</v>
      </c>
      <c r="Q34" s="6">
        <f>INT((ROUND(raw_order_lines!I34*10,0)*ROUND(raw_order_lines!J34*100,0)+5)/10)/100</f>
        <v>0</v>
      </c>
      <c r="R34" s="6">
        <f t="shared" si="0"/>
        <v>26.65</v>
      </c>
      <c r="S34" s="2" t="str">
        <f>IF(OR(ROUND(raw_order_lines!I34*10,0)&gt;ROUND(raw_order_lines!H34*10,0),ROUND(raw_order_lines!H34*10,0)&gt;ROUND(raw_order_lines!G34*10,0),ROUND(raw_order_lines!G34*10,0)&lt;=0),"数量关系异常","")</f>
        <v/>
      </c>
      <c r="T34" s="2" t="str">
        <f>IF($F34&lt;&gt;INDEX(dim_products!$D$2:$D$21,MATCH($E34,dim_products!$A$2:$A$21,0)),"单位不一致","")</f>
        <v/>
      </c>
      <c r="U34" s="2" t="str">
        <f>IF(OR(ROUND(raw_order_lines!J34*100,0)&lt;ROUND(INDEX(dim_products!$F$2:$F$21,MATCH($E34,dim_products!$A$2:$A$21,0))*100,0),ROUND(raw_order_lines!J34*100,0)&gt;ROUND(INDEX(dim_products!$G$2:$G$21,MATCH($E34,dim_products!$A$2:$A$21,0))*100,0)),"单价越界","")</f>
        <v/>
      </c>
      <c r="V34" s="2" t="str">
        <f t="shared" si="1"/>
        <v/>
      </c>
      <c r="W34" s="2" t="str">
        <f t="shared" si="2"/>
        <v>通过</v>
      </c>
    </row>
    <row r="35" spans="1:23" ht="15">
      <c r="A35" s="2" t="str">
        <f>raw_order_lines!A35</f>
        <v>SIM-20260901-C004</v>
      </c>
      <c r="B35" s="2">
        <f>raw_order_lines!B35</f>
        <v>7</v>
      </c>
      <c r="C35" s="2" t="str">
        <f>raw_order_lines!C35</f>
        <v>C004</v>
      </c>
      <c r="D35" s="3">
        <f>raw_order_lines!D35</f>
        <v>46266</v>
      </c>
      <c r="E35" s="2" t="str">
        <f>raw_order_lines!E35</f>
        <v>P016</v>
      </c>
      <c r="F35" s="2" t="str">
        <f>raw_order_lines!F35</f>
        <v>公斤</v>
      </c>
      <c r="G35" s="4">
        <f>raw_order_lines!G35</f>
        <v>5</v>
      </c>
      <c r="H35" s="4">
        <f>raw_order_lines!H35</f>
        <v>4.8</v>
      </c>
      <c r="I35" s="4">
        <f>raw_order_lines!I35</f>
        <v>0</v>
      </c>
      <c r="J35" s="5">
        <f>raw_order_lines!J35</f>
        <v>10.1</v>
      </c>
      <c r="K35" s="2" t="str">
        <f>raw_order_lines!K35</f>
        <v>到货不足；按实际交付计费</v>
      </c>
      <c r="L35" s="2" t="str">
        <f>raw_order_lines!L35</f>
        <v>true</v>
      </c>
      <c r="M35" s="2" t="str">
        <f>INDEX(dim_products!$B$2:$B$21,MATCH($E35,dim_products!$A$2:$A$21,0))</f>
        <v>鸡蛋</v>
      </c>
      <c r="N35" s="2" t="str">
        <f>INDEX(dim_products!$C$2:$C$21,MATCH($E35,dim_products!$A$2:$A$21,0))</f>
        <v>普通鲜鸡蛋按净重</v>
      </c>
      <c r="O35" s="2" t="str">
        <f>INDEX(dim_customers!$B$2:$B$7,MATCH($C35,dim_customers!$A$2:$A$7,0))</f>
        <v>模拟_田畔饭店</v>
      </c>
      <c r="P35" s="6">
        <f>INT((ROUND(raw_order_lines!H35*10,0)*ROUND(raw_order_lines!J35*100,0)+5)/10)/100</f>
        <v>48.48</v>
      </c>
      <c r="Q35" s="6">
        <f>INT((ROUND(raw_order_lines!I35*10,0)*ROUND(raw_order_lines!J35*100,0)+5)/10)/100</f>
        <v>0</v>
      </c>
      <c r="R35" s="6">
        <f t="shared" si="0"/>
        <v>48.48</v>
      </c>
      <c r="S35" s="2" t="str">
        <f>IF(OR(ROUND(raw_order_lines!I35*10,0)&gt;ROUND(raw_order_lines!H35*10,0),ROUND(raw_order_lines!H35*10,0)&gt;ROUND(raw_order_lines!G35*10,0),ROUND(raw_order_lines!G35*10,0)&lt;=0),"数量关系异常","")</f>
        <v/>
      </c>
      <c r="T35" s="2" t="str">
        <f>IF($F35&lt;&gt;INDEX(dim_products!$D$2:$D$21,MATCH($E35,dim_products!$A$2:$A$21,0)),"单位不一致","")</f>
        <v/>
      </c>
      <c r="U35" s="2" t="str">
        <f>IF(OR(ROUND(raw_order_lines!J35*100,0)&lt;ROUND(INDEX(dim_products!$F$2:$F$21,MATCH($E35,dim_products!$A$2:$A$21,0))*100,0),ROUND(raw_order_lines!J35*100,0)&gt;ROUND(INDEX(dim_products!$G$2:$G$21,MATCH($E35,dim_products!$A$2:$A$21,0))*100,0)),"单价越界","")</f>
        <v/>
      </c>
      <c r="V35" s="2" t="str">
        <f t="shared" si="1"/>
        <v/>
      </c>
      <c r="W35" s="2" t="str">
        <f t="shared" si="2"/>
        <v>通过</v>
      </c>
    </row>
    <row r="36" spans="1:23" ht="15">
      <c r="A36" s="2" t="str">
        <f>raw_order_lines!A36</f>
        <v>SIM-20260901-C004</v>
      </c>
      <c r="B36" s="2">
        <f>raw_order_lines!B36</f>
        <v>8</v>
      </c>
      <c r="C36" s="2" t="str">
        <f>raw_order_lines!C36</f>
        <v>C004</v>
      </c>
      <c r="D36" s="3">
        <f>raw_order_lines!D36</f>
        <v>46266</v>
      </c>
      <c r="E36" s="2" t="str">
        <f>raw_order_lines!E36</f>
        <v>P015</v>
      </c>
      <c r="F36" s="2" t="str">
        <f>raw_order_lines!F36</f>
        <v>公斤</v>
      </c>
      <c r="G36" s="4">
        <f>raw_order_lines!G36</f>
        <v>1</v>
      </c>
      <c r="H36" s="4">
        <f>raw_order_lines!H36</f>
        <v>1</v>
      </c>
      <c r="I36" s="4">
        <f>raw_order_lines!I36</f>
        <v>0</v>
      </c>
      <c r="J36" s="5">
        <f>raw_order_lines!J36</f>
        <v>7.3</v>
      </c>
      <c r="K36" s="2" t="str">
        <f>raw_order_lines!K36</f>
        <v>正常交付</v>
      </c>
      <c r="L36" s="2" t="str">
        <f>raw_order_lines!L36</f>
        <v>true</v>
      </c>
      <c r="M36" s="2" t="str">
        <f>INDEX(dim_products!$B$2:$B$21,MATCH($E36,dim_products!$A$2:$A$21,0))</f>
        <v>小葱</v>
      </c>
      <c r="N36" s="2" t="str">
        <f>INDEX(dim_products!$C$2:$C$21,MATCH($E36,dim_products!$A$2:$A$21,0))</f>
        <v>散装鲜菜</v>
      </c>
      <c r="O36" s="2" t="str">
        <f>INDEX(dim_customers!$B$2:$B$7,MATCH($C36,dim_customers!$A$2:$A$7,0))</f>
        <v>模拟_田畔饭店</v>
      </c>
      <c r="P36" s="6">
        <f>INT((ROUND(raw_order_lines!H36*10,0)*ROUND(raw_order_lines!J36*100,0)+5)/10)/100</f>
        <v>7.3</v>
      </c>
      <c r="Q36" s="6">
        <f>INT((ROUND(raw_order_lines!I36*10,0)*ROUND(raw_order_lines!J36*100,0)+5)/10)/100</f>
        <v>0</v>
      </c>
      <c r="R36" s="6">
        <f t="shared" si="0"/>
        <v>7.3</v>
      </c>
      <c r="S36" s="2" t="str">
        <f>IF(OR(ROUND(raw_order_lines!I36*10,0)&gt;ROUND(raw_order_lines!H36*10,0),ROUND(raw_order_lines!H36*10,0)&gt;ROUND(raw_order_lines!G36*10,0),ROUND(raw_order_lines!G36*10,0)&lt;=0),"数量关系异常","")</f>
        <v/>
      </c>
      <c r="T36" s="2" t="str">
        <f>IF($F36&lt;&gt;INDEX(dim_products!$D$2:$D$21,MATCH($E36,dim_products!$A$2:$A$21,0)),"单位不一致","")</f>
        <v/>
      </c>
      <c r="U36" s="2" t="str">
        <f>IF(OR(ROUND(raw_order_lines!J36*100,0)&lt;ROUND(INDEX(dim_products!$F$2:$F$21,MATCH($E36,dim_products!$A$2:$A$21,0))*100,0),ROUND(raw_order_lines!J36*100,0)&gt;ROUND(INDEX(dim_products!$G$2:$G$21,MATCH($E36,dim_products!$A$2:$A$21,0))*100,0)),"单价越界","")</f>
        <v/>
      </c>
      <c r="V36" s="2" t="str">
        <f t="shared" si="1"/>
        <v/>
      </c>
      <c r="W36" s="2" t="str">
        <f t="shared" si="2"/>
        <v>通过</v>
      </c>
    </row>
    <row r="37" spans="1:23" ht="15">
      <c r="A37" s="2" t="str">
        <f>raw_order_lines!A37</f>
        <v>SIM-20260901-C004</v>
      </c>
      <c r="B37" s="2">
        <f>raw_order_lines!B37</f>
        <v>9</v>
      </c>
      <c r="C37" s="2" t="str">
        <f>raw_order_lines!C37</f>
        <v>C004</v>
      </c>
      <c r="D37" s="3">
        <f>raw_order_lines!D37</f>
        <v>46266</v>
      </c>
      <c r="E37" s="2" t="str">
        <f>raw_order_lines!E37</f>
        <v>P017</v>
      </c>
      <c r="F37" s="2" t="str">
        <f>raw_order_lines!F37</f>
        <v>袋</v>
      </c>
      <c r="G37" s="4">
        <f>raw_order_lines!G37</f>
        <v>3</v>
      </c>
      <c r="H37" s="4">
        <f>raw_order_lines!H37</f>
        <v>3</v>
      </c>
      <c r="I37" s="4">
        <f>raw_order_lines!I37</f>
        <v>0</v>
      </c>
      <c r="J37" s="5">
        <f>raw_order_lines!J37</f>
        <v>118</v>
      </c>
      <c r="K37" s="2" t="str">
        <f>raw_order_lines!K37</f>
        <v>正常交付</v>
      </c>
      <c r="L37" s="2" t="str">
        <f>raw_order_lines!L37</f>
        <v>true</v>
      </c>
      <c r="M37" s="2" t="str">
        <f>INDEX(dim_products!$B$2:$B$21,MATCH($E37,dim_products!$A$2:$A$21,0))</f>
        <v>籼米</v>
      </c>
      <c r="N37" s="2" t="str">
        <f>INDEX(dim_products!$C$2:$C$21,MATCH($E37,dim_products!$A$2:$A$21,0))</f>
        <v>25公斤/袋普通籼米</v>
      </c>
      <c r="O37" s="2" t="str">
        <f>INDEX(dim_customers!$B$2:$B$7,MATCH($C37,dim_customers!$A$2:$A$7,0))</f>
        <v>模拟_田畔饭店</v>
      </c>
      <c r="P37" s="6">
        <f>INT((ROUND(raw_order_lines!H37*10,0)*ROUND(raw_order_lines!J37*100,0)+5)/10)/100</f>
        <v>354</v>
      </c>
      <c r="Q37" s="6">
        <f>INT((ROUND(raw_order_lines!I37*10,0)*ROUND(raw_order_lines!J37*100,0)+5)/10)/100</f>
        <v>0</v>
      </c>
      <c r="R37" s="6">
        <f t="shared" si="0"/>
        <v>354</v>
      </c>
      <c r="S37" s="2" t="str">
        <f>IF(OR(ROUND(raw_order_lines!I37*10,0)&gt;ROUND(raw_order_lines!H37*10,0),ROUND(raw_order_lines!H37*10,0)&gt;ROUND(raw_order_lines!G37*10,0),ROUND(raw_order_lines!G37*10,0)&lt;=0),"数量关系异常","")</f>
        <v/>
      </c>
      <c r="T37" s="2" t="str">
        <f>IF($F37&lt;&gt;INDEX(dim_products!$D$2:$D$21,MATCH($E37,dim_products!$A$2:$A$21,0)),"单位不一致","")</f>
        <v/>
      </c>
      <c r="U37" s="2" t="str">
        <f>IF(OR(ROUND(raw_order_lines!J37*100,0)&lt;ROUND(INDEX(dim_products!$F$2:$F$21,MATCH($E37,dim_products!$A$2:$A$21,0))*100,0),ROUND(raw_order_lines!J37*100,0)&gt;ROUND(INDEX(dim_products!$G$2:$G$21,MATCH($E37,dim_products!$A$2:$A$21,0))*100,0)),"单价越界","")</f>
        <v/>
      </c>
      <c r="V37" s="2" t="str">
        <f t="shared" si="1"/>
        <v/>
      </c>
      <c r="W37" s="2" t="str">
        <f t="shared" si="2"/>
        <v>通过</v>
      </c>
    </row>
    <row r="38" spans="1:23" ht="15">
      <c r="A38" s="2" t="str">
        <f>raw_order_lines!A38</f>
        <v>SIM-20260901-C004</v>
      </c>
      <c r="B38" s="2">
        <f>raw_order_lines!B38</f>
        <v>10</v>
      </c>
      <c r="C38" s="2" t="str">
        <f>raw_order_lines!C38</f>
        <v>C004</v>
      </c>
      <c r="D38" s="3">
        <f>raw_order_lines!D38</f>
        <v>46266</v>
      </c>
      <c r="E38" s="2" t="str">
        <f>raw_order_lines!E38</f>
        <v>P019</v>
      </c>
      <c r="F38" s="2" t="str">
        <f>raw_order_lines!F38</f>
        <v>桶</v>
      </c>
      <c r="G38" s="4">
        <f>raw_order_lines!G38</f>
        <v>1</v>
      </c>
      <c r="H38" s="4">
        <f>raw_order_lines!H38</f>
        <v>1</v>
      </c>
      <c r="I38" s="4">
        <f>raw_order_lines!I38</f>
        <v>0</v>
      </c>
      <c r="J38" s="5">
        <f>raw_order_lines!J38</f>
        <v>71</v>
      </c>
      <c r="K38" s="2" t="str">
        <f>raw_order_lines!K38</f>
        <v>正常交付</v>
      </c>
      <c r="L38" s="2" t="str">
        <f>raw_order_lines!L38</f>
        <v>true</v>
      </c>
      <c r="M38" s="2" t="str">
        <f>INDEX(dim_products!$B$2:$B$21,MATCH($E38,dim_products!$A$2:$A$21,0))</f>
        <v>菜籽油</v>
      </c>
      <c r="N38" s="2" t="str">
        <f>INDEX(dim_products!$C$2:$C$21,MATCH($E38,dim_products!$A$2:$A$21,0))</f>
        <v>5升/桶普通菜籽油</v>
      </c>
      <c r="O38" s="2" t="str">
        <f>INDEX(dim_customers!$B$2:$B$7,MATCH($C38,dim_customers!$A$2:$A$7,0))</f>
        <v>模拟_田畔饭店</v>
      </c>
      <c r="P38" s="6">
        <f>INT((ROUND(raw_order_lines!H38*10,0)*ROUND(raw_order_lines!J38*100,0)+5)/10)/100</f>
        <v>71</v>
      </c>
      <c r="Q38" s="6">
        <f>INT((ROUND(raw_order_lines!I38*10,0)*ROUND(raw_order_lines!J38*100,0)+5)/10)/100</f>
        <v>0</v>
      </c>
      <c r="R38" s="6">
        <f t="shared" si="0"/>
        <v>71</v>
      </c>
      <c r="S38" s="2" t="str">
        <f>IF(OR(ROUND(raw_order_lines!I38*10,0)&gt;ROUND(raw_order_lines!H38*10,0),ROUND(raw_order_lines!H38*10,0)&gt;ROUND(raw_order_lines!G38*10,0),ROUND(raw_order_lines!G38*10,0)&lt;=0),"数量关系异常","")</f>
        <v/>
      </c>
      <c r="T38" s="2" t="str">
        <f>IF($F38&lt;&gt;INDEX(dim_products!$D$2:$D$21,MATCH($E38,dim_products!$A$2:$A$21,0)),"单位不一致","")</f>
        <v/>
      </c>
      <c r="U38" s="2" t="str">
        <f>IF(OR(ROUND(raw_order_lines!J38*100,0)&lt;ROUND(INDEX(dim_products!$F$2:$F$21,MATCH($E38,dim_products!$A$2:$A$21,0))*100,0),ROUND(raw_order_lines!J38*100,0)&gt;ROUND(INDEX(dim_products!$G$2:$G$21,MATCH($E38,dim_products!$A$2:$A$21,0))*100,0)),"单价越界","")</f>
        <v/>
      </c>
      <c r="V38" s="2" t="str">
        <f t="shared" si="1"/>
        <v/>
      </c>
      <c r="W38" s="2" t="str">
        <f t="shared" si="2"/>
        <v>通过</v>
      </c>
    </row>
    <row r="39" spans="1:23" ht="15">
      <c r="A39" s="2" t="str">
        <f>raw_order_lines!A39</f>
        <v>SIM-20260901-C005</v>
      </c>
      <c r="B39" s="2">
        <f>raw_order_lines!B39</f>
        <v>1</v>
      </c>
      <c r="C39" s="2" t="str">
        <f>raw_order_lines!C39</f>
        <v>C005</v>
      </c>
      <c r="D39" s="3">
        <f>raw_order_lines!D39</f>
        <v>46266</v>
      </c>
      <c r="E39" s="2" t="str">
        <f>raw_order_lines!E39</f>
        <v>P011</v>
      </c>
      <c r="F39" s="2" t="str">
        <f>raw_order_lines!F39</f>
        <v>公斤</v>
      </c>
      <c r="G39" s="4">
        <f>raw_order_lines!G39</f>
        <v>14.4</v>
      </c>
      <c r="H39" s="4">
        <f>raw_order_lines!H39</f>
        <v>14.4</v>
      </c>
      <c r="I39" s="4">
        <f>raw_order_lines!I39</f>
        <v>0</v>
      </c>
      <c r="J39" s="5">
        <f>raw_order_lines!J39</f>
        <v>4.4000000000000004</v>
      </c>
      <c r="K39" s="2" t="str">
        <f>raw_order_lines!K39</f>
        <v>正常交付</v>
      </c>
      <c r="L39" s="2" t="str">
        <f>raw_order_lines!L39</f>
        <v>true</v>
      </c>
      <c r="M39" s="2" t="str">
        <f>INDEX(dim_products!$B$2:$B$21,MATCH($E39,dim_products!$A$2:$A$21,0))</f>
        <v>红薯叶</v>
      </c>
      <c r="N39" s="2" t="str">
        <f>INDEX(dim_products!$C$2:$C$21,MATCH($E39,dim_products!$A$2:$A$21,0))</f>
        <v>散装鲜菜</v>
      </c>
      <c r="O39" s="2" t="str">
        <f>INDEX(dim_customers!$B$2:$B$7,MATCH($C39,dim_customers!$A$2:$A$7,0))</f>
        <v>模拟_青禾小学食堂</v>
      </c>
      <c r="P39" s="6">
        <f>INT((ROUND(raw_order_lines!H39*10,0)*ROUND(raw_order_lines!J39*100,0)+5)/10)/100</f>
        <v>63.36</v>
      </c>
      <c r="Q39" s="6">
        <f>INT((ROUND(raw_order_lines!I39*10,0)*ROUND(raw_order_lines!J39*100,0)+5)/10)/100</f>
        <v>0</v>
      </c>
      <c r="R39" s="6">
        <f t="shared" si="0"/>
        <v>63.36</v>
      </c>
      <c r="S39" s="2" t="str">
        <f>IF(OR(ROUND(raw_order_lines!I39*10,0)&gt;ROUND(raw_order_lines!H39*10,0),ROUND(raw_order_lines!H39*10,0)&gt;ROUND(raw_order_lines!G39*10,0),ROUND(raw_order_lines!G39*10,0)&lt;=0),"数量关系异常","")</f>
        <v/>
      </c>
      <c r="T39" s="2" t="str">
        <f>IF($F39&lt;&gt;INDEX(dim_products!$D$2:$D$21,MATCH($E39,dim_products!$A$2:$A$21,0)),"单位不一致","")</f>
        <v/>
      </c>
      <c r="U39" s="2" t="str">
        <f>IF(OR(ROUND(raw_order_lines!J39*100,0)&lt;ROUND(INDEX(dim_products!$F$2:$F$21,MATCH($E39,dim_products!$A$2:$A$21,0))*100,0),ROUND(raw_order_lines!J39*100,0)&gt;ROUND(INDEX(dim_products!$G$2:$G$21,MATCH($E39,dim_products!$A$2:$A$21,0))*100,0)),"单价越界","")</f>
        <v/>
      </c>
      <c r="V39" s="2" t="str">
        <f t="shared" si="1"/>
        <v/>
      </c>
      <c r="W39" s="2" t="str">
        <f t="shared" si="2"/>
        <v>通过</v>
      </c>
    </row>
    <row r="40" spans="1:23" ht="15">
      <c r="A40" s="2" t="str">
        <f>raw_order_lines!A40</f>
        <v>SIM-20260901-C005</v>
      </c>
      <c r="B40" s="2">
        <f>raw_order_lines!B40</f>
        <v>2</v>
      </c>
      <c r="C40" s="2" t="str">
        <f>raw_order_lines!C40</f>
        <v>C005</v>
      </c>
      <c r="D40" s="3">
        <f>raw_order_lines!D40</f>
        <v>46266</v>
      </c>
      <c r="E40" s="2" t="str">
        <f>raw_order_lines!E40</f>
        <v>P007</v>
      </c>
      <c r="F40" s="2" t="str">
        <f>raw_order_lines!F40</f>
        <v>公斤</v>
      </c>
      <c r="G40" s="4">
        <f>raw_order_lines!G40</f>
        <v>12.6</v>
      </c>
      <c r="H40" s="4">
        <f>raw_order_lines!H40</f>
        <v>12.6</v>
      </c>
      <c r="I40" s="4">
        <f>raw_order_lines!I40</f>
        <v>0</v>
      </c>
      <c r="J40" s="5">
        <f>raw_order_lines!J40</f>
        <v>5.15</v>
      </c>
      <c r="K40" s="2" t="str">
        <f>raw_order_lines!K40</f>
        <v>正常交付</v>
      </c>
      <c r="L40" s="2" t="str">
        <f>raw_order_lines!L40</f>
        <v>true</v>
      </c>
      <c r="M40" s="2" t="str">
        <f>INDEX(dim_products!$B$2:$B$21,MATCH($E40,dim_products!$A$2:$A$21,0))</f>
        <v>青椒</v>
      </c>
      <c r="N40" s="2" t="str">
        <f>INDEX(dim_products!$C$2:$C$21,MATCH($E40,dim_products!$A$2:$A$21,0))</f>
        <v>散装鲜菜</v>
      </c>
      <c r="O40" s="2" t="str">
        <f>INDEX(dim_customers!$B$2:$B$7,MATCH($C40,dim_customers!$A$2:$A$7,0))</f>
        <v>模拟_青禾小学食堂</v>
      </c>
      <c r="P40" s="6">
        <f>INT((ROUND(raw_order_lines!H40*10,0)*ROUND(raw_order_lines!J40*100,0)+5)/10)/100</f>
        <v>64.89</v>
      </c>
      <c r="Q40" s="6">
        <f>INT((ROUND(raw_order_lines!I40*10,0)*ROUND(raw_order_lines!J40*100,0)+5)/10)/100</f>
        <v>0</v>
      </c>
      <c r="R40" s="6">
        <f t="shared" si="0"/>
        <v>64.89</v>
      </c>
      <c r="S40" s="2" t="str">
        <f>IF(OR(ROUND(raw_order_lines!I40*10,0)&gt;ROUND(raw_order_lines!H40*10,0),ROUND(raw_order_lines!H40*10,0)&gt;ROUND(raw_order_lines!G40*10,0),ROUND(raw_order_lines!G40*10,0)&lt;=0),"数量关系异常","")</f>
        <v/>
      </c>
      <c r="T40" s="2" t="str">
        <f>IF($F40&lt;&gt;INDEX(dim_products!$D$2:$D$21,MATCH($E40,dim_products!$A$2:$A$21,0)),"单位不一致","")</f>
        <v/>
      </c>
      <c r="U40" s="2" t="str">
        <f>IF(OR(ROUND(raw_order_lines!J40*100,0)&lt;ROUND(INDEX(dim_products!$F$2:$F$21,MATCH($E40,dim_products!$A$2:$A$21,0))*100,0),ROUND(raw_order_lines!J40*100,0)&gt;ROUND(INDEX(dim_products!$G$2:$G$21,MATCH($E40,dim_products!$A$2:$A$21,0))*100,0)),"单价越界","")</f>
        <v/>
      </c>
      <c r="V40" s="2" t="str">
        <f t="shared" si="1"/>
        <v/>
      </c>
      <c r="W40" s="2" t="str">
        <f t="shared" si="2"/>
        <v>通过</v>
      </c>
    </row>
    <row r="41" spans="1:23" ht="15">
      <c r="A41" s="2" t="str">
        <f>raw_order_lines!A41</f>
        <v>SIM-20260901-C005</v>
      </c>
      <c r="B41" s="2">
        <f>raw_order_lines!B41</f>
        <v>3</v>
      </c>
      <c r="C41" s="2" t="str">
        <f>raw_order_lines!C41</f>
        <v>C005</v>
      </c>
      <c r="D41" s="3">
        <f>raw_order_lines!D41</f>
        <v>46266</v>
      </c>
      <c r="E41" s="2" t="str">
        <f>raw_order_lines!E41</f>
        <v>P001</v>
      </c>
      <c r="F41" s="2" t="str">
        <f>raw_order_lines!F41</f>
        <v>公斤</v>
      </c>
      <c r="G41" s="4">
        <f>raw_order_lines!G41</f>
        <v>12.6</v>
      </c>
      <c r="H41" s="4">
        <f>raw_order_lines!H41</f>
        <v>12.6</v>
      </c>
      <c r="I41" s="4">
        <f>raw_order_lines!I41</f>
        <v>0</v>
      </c>
      <c r="J41" s="5">
        <f>raw_order_lines!J41</f>
        <v>3.3</v>
      </c>
      <c r="K41" s="2" t="str">
        <f>raw_order_lines!K41</f>
        <v>正常交付</v>
      </c>
      <c r="L41" s="2" t="str">
        <f>raw_order_lines!L41</f>
        <v>true</v>
      </c>
      <c r="M41" s="2" t="str">
        <f>INDEX(dim_products!$B$2:$B$21,MATCH($E41,dim_products!$A$2:$A$21,0))</f>
        <v>土豆</v>
      </c>
      <c r="N41" s="2" t="str">
        <f>INDEX(dim_products!$C$2:$C$21,MATCH($E41,dim_products!$A$2:$A$21,0))</f>
        <v>散装鲜菜</v>
      </c>
      <c r="O41" s="2" t="str">
        <f>INDEX(dim_customers!$B$2:$B$7,MATCH($C41,dim_customers!$A$2:$A$7,0))</f>
        <v>模拟_青禾小学食堂</v>
      </c>
      <c r="P41" s="6">
        <f>INT((ROUND(raw_order_lines!H41*10,0)*ROUND(raw_order_lines!J41*100,0)+5)/10)/100</f>
        <v>41.58</v>
      </c>
      <c r="Q41" s="6">
        <f>INT((ROUND(raw_order_lines!I41*10,0)*ROUND(raw_order_lines!J41*100,0)+5)/10)/100</f>
        <v>0</v>
      </c>
      <c r="R41" s="6">
        <f t="shared" si="0"/>
        <v>41.58</v>
      </c>
      <c r="S41" s="2" t="str">
        <f>IF(OR(ROUND(raw_order_lines!I41*10,0)&gt;ROUND(raw_order_lines!H41*10,0),ROUND(raw_order_lines!H41*10,0)&gt;ROUND(raw_order_lines!G41*10,0),ROUND(raw_order_lines!G41*10,0)&lt;=0),"数量关系异常","")</f>
        <v/>
      </c>
      <c r="T41" s="2" t="str">
        <f>IF($F41&lt;&gt;INDEX(dim_products!$D$2:$D$21,MATCH($E41,dim_products!$A$2:$A$21,0)),"单位不一致","")</f>
        <v/>
      </c>
      <c r="U41" s="2" t="str">
        <f>IF(OR(ROUND(raw_order_lines!J41*100,0)&lt;ROUND(INDEX(dim_products!$F$2:$F$21,MATCH($E41,dim_products!$A$2:$A$21,0))*100,0),ROUND(raw_order_lines!J41*100,0)&gt;ROUND(INDEX(dim_products!$G$2:$G$21,MATCH($E41,dim_products!$A$2:$A$21,0))*100,0)),"单价越界","")</f>
        <v/>
      </c>
      <c r="V41" s="2" t="str">
        <f t="shared" si="1"/>
        <v/>
      </c>
      <c r="W41" s="2" t="str">
        <f t="shared" si="2"/>
        <v>通过</v>
      </c>
    </row>
    <row r="42" spans="1:23" ht="15">
      <c r="A42" s="2" t="str">
        <f>raw_order_lines!A42</f>
        <v>SIM-20260901-C005</v>
      </c>
      <c r="B42" s="2">
        <f>raw_order_lines!B42</f>
        <v>4</v>
      </c>
      <c r="C42" s="2" t="str">
        <f>raw_order_lines!C42</f>
        <v>C005</v>
      </c>
      <c r="D42" s="3">
        <f>raw_order_lines!D42</f>
        <v>46266</v>
      </c>
      <c r="E42" s="2" t="str">
        <f>raw_order_lines!E42</f>
        <v>P004</v>
      </c>
      <c r="F42" s="2" t="str">
        <f>raw_order_lines!F42</f>
        <v>公斤</v>
      </c>
      <c r="G42" s="4">
        <f>raw_order_lines!G42</f>
        <v>12.6</v>
      </c>
      <c r="H42" s="4">
        <f>raw_order_lines!H42</f>
        <v>12.6</v>
      </c>
      <c r="I42" s="4">
        <f>raw_order_lines!I42</f>
        <v>0</v>
      </c>
      <c r="J42" s="5">
        <f>raw_order_lines!J42</f>
        <v>2.2999999999999998</v>
      </c>
      <c r="K42" s="2" t="str">
        <f>raw_order_lines!K42</f>
        <v>正常交付</v>
      </c>
      <c r="L42" s="2" t="str">
        <f>raw_order_lines!L42</f>
        <v>true</v>
      </c>
      <c r="M42" s="2" t="str">
        <f>INDEX(dim_products!$B$2:$B$21,MATCH($E42,dim_products!$A$2:$A$21,0))</f>
        <v>冬瓜</v>
      </c>
      <c r="N42" s="2" t="str">
        <f>INDEX(dim_products!$C$2:$C$21,MATCH($E42,dim_products!$A$2:$A$21,0))</f>
        <v>散装鲜菜</v>
      </c>
      <c r="O42" s="2" t="str">
        <f>INDEX(dim_customers!$B$2:$B$7,MATCH($C42,dim_customers!$A$2:$A$7,0))</f>
        <v>模拟_青禾小学食堂</v>
      </c>
      <c r="P42" s="6">
        <f>INT((ROUND(raw_order_lines!H42*10,0)*ROUND(raw_order_lines!J42*100,0)+5)/10)/100</f>
        <v>28.98</v>
      </c>
      <c r="Q42" s="6">
        <f>INT((ROUND(raw_order_lines!I42*10,0)*ROUND(raw_order_lines!J42*100,0)+5)/10)/100</f>
        <v>0</v>
      </c>
      <c r="R42" s="6">
        <f t="shared" si="0"/>
        <v>28.98</v>
      </c>
      <c r="S42" s="2" t="str">
        <f>IF(OR(ROUND(raw_order_lines!I42*10,0)&gt;ROUND(raw_order_lines!H42*10,0),ROUND(raw_order_lines!H42*10,0)&gt;ROUND(raw_order_lines!G42*10,0),ROUND(raw_order_lines!G42*10,0)&lt;=0),"数量关系异常","")</f>
        <v/>
      </c>
      <c r="T42" s="2" t="str">
        <f>IF($F42&lt;&gt;INDEX(dim_products!$D$2:$D$21,MATCH($E42,dim_products!$A$2:$A$21,0)),"单位不一致","")</f>
        <v/>
      </c>
      <c r="U42" s="2" t="str">
        <f>IF(OR(ROUND(raw_order_lines!J42*100,0)&lt;ROUND(INDEX(dim_products!$F$2:$F$21,MATCH($E42,dim_products!$A$2:$A$21,0))*100,0),ROUND(raw_order_lines!J42*100,0)&gt;ROUND(INDEX(dim_products!$G$2:$G$21,MATCH($E42,dim_products!$A$2:$A$21,0))*100,0)),"单价越界","")</f>
        <v/>
      </c>
      <c r="V42" s="2" t="str">
        <f t="shared" si="1"/>
        <v/>
      </c>
      <c r="W42" s="2" t="str">
        <f t="shared" si="2"/>
        <v>通过</v>
      </c>
    </row>
    <row r="43" spans="1:23" ht="15">
      <c r="A43" s="2" t="str">
        <f>raw_order_lines!A43</f>
        <v>SIM-20260901-C005</v>
      </c>
      <c r="B43" s="2">
        <f>raw_order_lines!B43</f>
        <v>5</v>
      </c>
      <c r="C43" s="2" t="str">
        <f>raw_order_lines!C43</f>
        <v>C005</v>
      </c>
      <c r="D43" s="3">
        <f>raw_order_lines!D43</f>
        <v>46266</v>
      </c>
      <c r="E43" s="2" t="str">
        <f>raw_order_lines!E43</f>
        <v>P006</v>
      </c>
      <c r="F43" s="2" t="str">
        <f>raw_order_lines!F43</f>
        <v>公斤</v>
      </c>
      <c r="G43" s="4">
        <f>raw_order_lines!G43</f>
        <v>8.1</v>
      </c>
      <c r="H43" s="4">
        <f>raw_order_lines!H43</f>
        <v>8.1</v>
      </c>
      <c r="I43" s="4">
        <f>raw_order_lines!I43</f>
        <v>0</v>
      </c>
      <c r="J43" s="5">
        <f>raw_order_lines!J43</f>
        <v>4.5999999999999996</v>
      </c>
      <c r="K43" s="2" t="str">
        <f>raw_order_lines!K43</f>
        <v>正常交付</v>
      </c>
      <c r="L43" s="2" t="str">
        <f>raw_order_lines!L43</f>
        <v>true</v>
      </c>
      <c r="M43" s="2" t="str">
        <f>INDEX(dim_products!$B$2:$B$21,MATCH($E43,dim_products!$A$2:$A$21,0))</f>
        <v>茄子</v>
      </c>
      <c r="N43" s="2" t="str">
        <f>INDEX(dim_products!$C$2:$C$21,MATCH($E43,dim_products!$A$2:$A$21,0))</f>
        <v>散装鲜菜</v>
      </c>
      <c r="O43" s="2" t="str">
        <f>INDEX(dim_customers!$B$2:$B$7,MATCH($C43,dim_customers!$A$2:$A$7,0))</f>
        <v>模拟_青禾小学食堂</v>
      </c>
      <c r="P43" s="6">
        <f>INT((ROUND(raw_order_lines!H43*10,0)*ROUND(raw_order_lines!J43*100,0)+5)/10)/100</f>
        <v>37.26</v>
      </c>
      <c r="Q43" s="6">
        <f>INT((ROUND(raw_order_lines!I43*10,0)*ROUND(raw_order_lines!J43*100,0)+5)/10)/100</f>
        <v>0</v>
      </c>
      <c r="R43" s="6">
        <f t="shared" si="0"/>
        <v>37.26</v>
      </c>
      <c r="S43" s="2" t="str">
        <f>IF(OR(ROUND(raw_order_lines!I43*10,0)&gt;ROUND(raw_order_lines!H43*10,0),ROUND(raw_order_lines!H43*10,0)&gt;ROUND(raw_order_lines!G43*10,0),ROUND(raw_order_lines!G43*10,0)&lt;=0),"数量关系异常","")</f>
        <v/>
      </c>
      <c r="T43" s="2" t="str">
        <f>IF($F43&lt;&gt;INDEX(dim_products!$D$2:$D$21,MATCH($E43,dim_products!$A$2:$A$21,0)),"单位不一致","")</f>
        <v/>
      </c>
      <c r="U43" s="2" t="str">
        <f>IF(OR(ROUND(raw_order_lines!J43*100,0)&lt;ROUND(INDEX(dim_products!$F$2:$F$21,MATCH($E43,dim_products!$A$2:$A$21,0))*100,0),ROUND(raw_order_lines!J43*100,0)&gt;ROUND(INDEX(dim_products!$G$2:$G$21,MATCH($E43,dim_products!$A$2:$A$21,0))*100,0)),"单价越界","")</f>
        <v/>
      </c>
      <c r="V43" s="2" t="str">
        <f t="shared" si="1"/>
        <v/>
      </c>
      <c r="W43" s="2" t="str">
        <f t="shared" si="2"/>
        <v>通过</v>
      </c>
    </row>
    <row r="44" spans="1:23" ht="15">
      <c r="A44" s="2" t="str">
        <f>raw_order_lines!A44</f>
        <v>SIM-20260901-C005</v>
      </c>
      <c r="B44" s="2">
        <f>raw_order_lines!B44</f>
        <v>6</v>
      </c>
      <c r="C44" s="2" t="str">
        <f>raw_order_lines!C44</f>
        <v>C005</v>
      </c>
      <c r="D44" s="3">
        <f>raw_order_lines!D44</f>
        <v>46266</v>
      </c>
      <c r="E44" s="2" t="str">
        <f>raw_order_lines!E44</f>
        <v>P005</v>
      </c>
      <c r="F44" s="2" t="str">
        <f>raw_order_lines!F44</f>
        <v>公斤</v>
      </c>
      <c r="G44" s="4">
        <f>raw_order_lines!G44</f>
        <v>9</v>
      </c>
      <c r="H44" s="4">
        <f>raw_order_lines!H44</f>
        <v>9</v>
      </c>
      <c r="I44" s="4">
        <f>raw_order_lines!I44</f>
        <v>0</v>
      </c>
      <c r="J44" s="5">
        <f>raw_order_lines!J44</f>
        <v>2.7</v>
      </c>
      <c r="K44" s="2" t="str">
        <f>raw_order_lines!K44</f>
        <v>正常交付</v>
      </c>
      <c r="L44" s="2" t="str">
        <f>raw_order_lines!L44</f>
        <v>true</v>
      </c>
      <c r="M44" s="2" t="str">
        <f>INDEX(dim_products!$B$2:$B$21,MATCH($E44,dim_products!$A$2:$A$21,0))</f>
        <v>南瓜</v>
      </c>
      <c r="N44" s="2" t="str">
        <f>INDEX(dim_products!$C$2:$C$21,MATCH($E44,dim_products!$A$2:$A$21,0))</f>
        <v>散装鲜菜</v>
      </c>
      <c r="O44" s="2" t="str">
        <f>INDEX(dim_customers!$B$2:$B$7,MATCH($C44,dim_customers!$A$2:$A$7,0))</f>
        <v>模拟_青禾小学食堂</v>
      </c>
      <c r="P44" s="6">
        <f>INT((ROUND(raw_order_lines!H44*10,0)*ROUND(raw_order_lines!J44*100,0)+5)/10)/100</f>
        <v>24.3</v>
      </c>
      <c r="Q44" s="6">
        <f>INT((ROUND(raw_order_lines!I44*10,0)*ROUND(raw_order_lines!J44*100,0)+5)/10)/100</f>
        <v>0</v>
      </c>
      <c r="R44" s="6">
        <f t="shared" si="0"/>
        <v>24.3</v>
      </c>
      <c r="S44" s="2" t="str">
        <f>IF(OR(ROUND(raw_order_lines!I44*10,0)&gt;ROUND(raw_order_lines!H44*10,0),ROUND(raw_order_lines!H44*10,0)&gt;ROUND(raw_order_lines!G44*10,0),ROUND(raw_order_lines!G44*10,0)&lt;=0),"数量关系异常","")</f>
        <v/>
      </c>
      <c r="T44" s="2" t="str">
        <f>IF($F44&lt;&gt;INDEX(dim_products!$D$2:$D$21,MATCH($E44,dim_products!$A$2:$A$21,0)),"单位不一致","")</f>
        <v/>
      </c>
      <c r="U44" s="2" t="str">
        <f>IF(OR(ROUND(raw_order_lines!J44*100,0)&lt;ROUND(INDEX(dim_products!$F$2:$F$21,MATCH($E44,dim_products!$A$2:$A$21,0))*100,0),ROUND(raw_order_lines!J44*100,0)&gt;ROUND(INDEX(dim_products!$G$2:$G$21,MATCH($E44,dim_products!$A$2:$A$21,0))*100,0)),"单价越界","")</f>
        <v/>
      </c>
      <c r="V44" s="2" t="str">
        <f t="shared" si="1"/>
        <v/>
      </c>
      <c r="W44" s="2" t="str">
        <f t="shared" si="2"/>
        <v>通过</v>
      </c>
    </row>
    <row r="45" spans="1:23" ht="15">
      <c r="A45" s="2" t="str">
        <f>raw_order_lines!A45</f>
        <v>SIM-20260901-C005</v>
      </c>
      <c r="B45" s="2">
        <f>raw_order_lines!B45</f>
        <v>7</v>
      </c>
      <c r="C45" s="2" t="str">
        <f>raw_order_lines!C45</f>
        <v>C005</v>
      </c>
      <c r="D45" s="3">
        <f>raw_order_lines!D45</f>
        <v>46266</v>
      </c>
      <c r="E45" s="2" t="str">
        <f>raw_order_lines!E45</f>
        <v>P016</v>
      </c>
      <c r="F45" s="2" t="str">
        <f>raw_order_lines!F45</f>
        <v>公斤</v>
      </c>
      <c r="G45" s="4">
        <f>raw_order_lines!G45</f>
        <v>12</v>
      </c>
      <c r="H45" s="4">
        <f>raw_order_lines!H45</f>
        <v>12</v>
      </c>
      <c r="I45" s="4">
        <f>raw_order_lines!I45</f>
        <v>0</v>
      </c>
      <c r="J45" s="5">
        <f>raw_order_lines!J45</f>
        <v>10.1</v>
      </c>
      <c r="K45" s="2" t="str">
        <f>raw_order_lines!K45</f>
        <v>正常交付</v>
      </c>
      <c r="L45" s="2" t="str">
        <f>raw_order_lines!L45</f>
        <v>true</v>
      </c>
      <c r="M45" s="2" t="str">
        <f>INDEX(dim_products!$B$2:$B$21,MATCH($E45,dim_products!$A$2:$A$21,0))</f>
        <v>鸡蛋</v>
      </c>
      <c r="N45" s="2" t="str">
        <f>INDEX(dim_products!$C$2:$C$21,MATCH($E45,dim_products!$A$2:$A$21,0))</f>
        <v>普通鲜鸡蛋按净重</v>
      </c>
      <c r="O45" s="2" t="str">
        <f>INDEX(dim_customers!$B$2:$B$7,MATCH($C45,dim_customers!$A$2:$A$7,0))</f>
        <v>模拟_青禾小学食堂</v>
      </c>
      <c r="P45" s="6">
        <f>INT((ROUND(raw_order_lines!H45*10,0)*ROUND(raw_order_lines!J45*100,0)+5)/10)/100</f>
        <v>121.2</v>
      </c>
      <c r="Q45" s="6">
        <f>INT((ROUND(raw_order_lines!I45*10,0)*ROUND(raw_order_lines!J45*100,0)+5)/10)/100</f>
        <v>0</v>
      </c>
      <c r="R45" s="6">
        <f t="shared" si="0"/>
        <v>121.2</v>
      </c>
      <c r="S45" s="2" t="str">
        <f>IF(OR(ROUND(raw_order_lines!I45*10,0)&gt;ROUND(raw_order_lines!H45*10,0),ROUND(raw_order_lines!H45*10,0)&gt;ROUND(raw_order_lines!G45*10,0),ROUND(raw_order_lines!G45*10,0)&lt;=0),"数量关系异常","")</f>
        <v/>
      </c>
      <c r="T45" s="2" t="str">
        <f>IF($F45&lt;&gt;INDEX(dim_products!$D$2:$D$21,MATCH($E45,dim_products!$A$2:$A$21,0)),"单位不一致","")</f>
        <v/>
      </c>
      <c r="U45" s="2" t="str">
        <f>IF(OR(ROUND(raw_order_lines!J45*100,0)&lt;ROUND(INDEX(dim_products!$F$2:$F$21,MATCH($E45,dim_products!$A$2:$A$21,0))*100,0),ROUND(raw_order_lines!J45*100,0)&gt;ROUND(INDEX(dim_products!$G$2:$G$21,MATCH($E45,dim_products!$A$2:$A$21,0))*100,0)),"单价越界","")</f>
        <v/>
      </c>
      <c r="V45" s="2" t="str">
        <f t="shared" si="1"/>
        <v/>
      </c>
      <c r="W45" s="2" t="str">
        <f t="shared" si="2"/>
        <v>通过</v>
      </c>
    </row>
    <row r="46" spans="1:23" ht="15">
      <c r="A46" s="2" t="str">
        <f>raw_order_lines!A46</f>
        <v>SIM-20260901-C005</v>
      </c>
      <c r="B46" s="2">
        <f>raw_order_lines!B46</f>
        <v>8</v>
      </c>
      <c r="C46" s="2" t="str">
        <f>raw_order_lines!C46</f>
        <v>C005</v>
      </c>
      <c r="D46" s="3">
        <f>raw_order_lines!D46</f>
        <v>46266</v>
      </c>
      <c r="E46" s="2" t="str">
        <f>raw_order_lines!E46</f>
        <v>P015</v>
      </c>
      <c r="F46" s="2" t="str">
        <f>raw_order_lines!F46</f>
        <v>公斤</v>
      </c>
      <c r="G46" s="4">
        <f>raw_order_lines!G46</f>
        <v>1</v>
      </c>
      <c r="H46" s="4">
        <f>raw_order_lines!H46</f>
        <v>0.7</v>
      </c>
      <c r="I46" s="4">
        <f>raw_order_lines!I46</f>
        <v>0</v>
      </c>
      <c r="J46" s="5">
        <f>raw_order_lines!J46</f>
        <v>7.3</v>
      </c>
      <c r="K46" s="2" t="str">
        <f>raw_order_lines!K46</f>
        <v>到货不足；按实际交付计费</v>
      </c>
      <c r="L46" s="2" t="str">
        <f>raw_order_lines!L46</f>
        <v>true</v>
      </c>
      <c r="M46" s="2" t="str">
        <f>INDEX(dim_products!$B$2:$B$21,MATCH($E46,dim_products!$A$2:$A$21,0))</f>
        <v>小葱</v>
      </c>
      <c r="N46" s="2" t="str">
        <f>INDEX(dim_products!$C$2:$C$21,MATCH($E46,dim_products!$A$2:$A$21,0))</f>
        <v>散装鲜菜</v>
      </c>
      <c r="O46" s="2" t="str">
        <f>INDEX(dim_customers!$B$2:$B$7,MATCH($C46,dim_customers!$A$2:$A$7,0))</f>
        <v>模拟_青禾小学食堂</v>
      </c>
      <c r="P46" s="6">
        <f>INT((ROUND(raw_order_lines!H46*10,0)*ROUND(raw_order_lines!J46*100,0)+5)/10)/100</f>
        <v>5.1100000000000003</v>
      </c>
      <c r="Q46" s="6">
        <f>INT((ROUND(raw_order_lines!I46*10,0)*ROUND(raw_order_lines!J46*100,0)+5)/10)/100</f>
        <v>0</v>
      </c>
      <c r="R46" s="6">
        <f t="shared" si="0"/>
        <v>5.1100000000000003</v>
      </c>
      <c r="S46" s="2" t="str">
        <f>IF(OR(ROUND(raw_order_lines!I46*10,0)&gt;ROUND(raw_order_lines!H46*10,0),ROUND(raw_order_lines!H46*10,0)&gt;ROUND(raw_order_lines!G46*10,0),ROUND(raw_order_lines!G46*10,0)&lt;=0),"数量关系异常","")</f>
        <v/>
      </c>
      <c r="T46" s="2" t="str">
        <f>IF($F46&lt;&gt;INDEX(dim_products!$D$2:$D$21,MATCH($E46,dim_products!$A$2:$A$21,0)),"单位不一致","")</f>
        <v/>
      </c>
      <c r="U46" s="2" t="str">
        <f>IF(OR(ROUND(raw_order_lines!J46*100,0)&lt;ROUND(INDEX(dim_products!$F$2:$F$21,MATCH($E46,dim_products!$A$2:$A$21,0))*100,0),ROUND(raw_order_lines!J46*100,0)&gt;ROUND(INDEX(dim_products!$G$2:$G$21,MATCH($E46,dim_products!$A$2:$A$21,0))*100,0)),"单价越界","")</f>
        <v/>
      </c>
      <c r="V46" s="2" t="str">
        <f t="shared" si="1"/>
        <v/>
      </c>
      <c r="W46" s="2" t="str">
        <f t="shared" si="2"/>
        <v>通过</v>
      </c>
    </row>
    <row r="47" spans="1:23" ht="15">
      <c r="A47" s="2" t="str">
        <f>raw_order_lines!A47</f>
        <v>SIM-20260901-C005</v>
      </c>
      <c r="B47" s="2">
        <f>raw_order_lines!B47</f>
        <v>9</v>
      </c>
      <c r="C47" s="2" t="str">
        <f>raw_order_lines!C47</f>
        <v>C005</v>
      </c>
      <c r="D47" s="3">
        <f>raw_order_lines!D47</f>
        <v>46266</v>
      </c>
      <c r="E47" s="2" t="str">
        <f>raw_order_lines!E47</f>
        <v>P017</v>
      </c>
      <c r="F47" s="2" t="str">
        <f>raw_order_lines!F47</f>
        <v>袋</v>
      </c>
      <c r="G47" s="4">
        <f>raw_order_lines!G47</f>
        <v>6</v>
      </c>
      <c r="H47" s="4">
        <f>raw_order_lines!H47</f>
        <v>6</v>
      </c>
      <c r="I47" s="4">
        <f>raw_order_lines!I47</f>
        <v>0</v>
      </c>
      <c r="J47" s="5">
        <f>raw_order_lines!J47</f>
        <v>118</v>
      </c>
      <c r="K47" s="2" t="str">
        <f>raw_order_lines!K47</f>
        <v>正常交付</v>
      </c>
      <c r="L47" s="2" t="str">
        <f>raw_order_lines!L47</f>
        <v>true</v>
      </c>
      <c r="M47" s="2" t="str">
        <f>INDEX(dim_products!$B$2:$B$21,MATCH($E47,dim_products!$A$2:$A$21,0))</f>
        <v>籼米</v>
      </c>
      <c r="N47" s="2" t="str">
        <f>INDEX(dim_products!$C$2:$C$21,MATCH($E47,dim_products!$A$2:$A$21,0))</f>
        <v>25公斤/袋普通籼米</v>
      </c>
      <c r="O47" s="2" t="str">
        <f>INDEX(dim_customers!$B$2:$B$7,MATCH($C47,dim_customers!$A$2:$A$7,0))</f>
        <v>模拟_青禾小学食堂</v>
      </c>
      <c r="P47" s="6">
        <f>INT((ROUND(raw_order_lines!H47*10,0)*ROUND(raw_order_lines!J47*100,0)+5)/10)/100</f>
        <v>708</v>
      </c>
      <c r="Q47" s="6">
        <f>INT((ROUND(raw_order_lines!I47*10,0)*ROUND(raw_order_lines!J47*100,0)+5)/10)/100</f>
        <v>0</v>
      </c>
      <c r="R47" s="6">
        <f t="shared" si="0"/>
        <v>708</v>
      </c>
      <c r="S47" s="2" t="str">
        <f>IF(OR(ROUND(raw_order_lines!I47*10,0)&gt;ROUND(raw_order_lines!H47*10,0),ROUND(raw_order_lines!H47*10,0)&gt;ROUND(raw_order_lines!G47*10,0),ROUND(raw_order_lines!G47*10,0)&lt;=0),"数量关系异常","")</f>
        <v/>
      </c>
      <c r="T47" s="2" t="str">
        <f>IF($F47&lt;&gt;INDEX(dim_products!$D$2:$D$21,MATCH($E47,dim_products!$A$2:$A$21,0)),"单位不一致","")</f>
        <v/>
      </c>
      <c r="U47" s="2" t="str">
        <f>IF(OR(ROUND(raw_order_lines!J47*100,0)&lt;ROUND(INDEX(dim_products!$F$2:$F$21,MATCH($E47,dim_products!$A$2:$A$21,0))*100,0),ROUND(raw_order_lines!J47*100,0)&gt;ROUND(INDEX(dim_products!$G$2:$G$21,MATCH($E47,dim_products!$A$2:$A$21,0))*100,0)),"单价越界","")</f>
        <v/>
      </c>
      <c r="V47" s="2" t="str">
        <f t="shared" si="1"/>
        <v/>
      </c>
      <c r="W47" s="2" t="str">
        <f t="shared" si="2"/>
        <v>通过</v>
      </c>
    </row>
    <row r="48" spans="1:23" ht="15">
      <c r="A48" s="2" t="str">
        <f>raw_order_lines!A48</f>
        <v>SIM-20260901-C005</v>
      </c>
      <c r="B48" s="2">
        <f>raw_order_lines!B48</f>
        <v>10</v>
      </c>
      <c r="C48" s="2" t="str">
        <f>raw_order_lines!C48</f>
        <v>C005</v>
      </c>
      <c r="D48" s="3">
        <f>raw_order_lines!D48</f>
        <v>46266</v>
      </c>
      <c r="E48" s="2" t="str">
        <f>raw_order_lines!E48</f>
        <v>P020</v>
      </c>
      <c r="F48" s="2" t="str">
        <f>raw_order_lines!F48</f>
        <v>桶</v>
      </c>
      <c r="G48" s="4">
        <f>raw_order_lines!G48</f>
        <v>2</v>
      </c>
      <c r="H48" s="4">
        <f>raw_order_lines!H48</f>
        <v>2</v>
      </c>
      <c r="I48" s="4">
        <f>raw_order_lines!I48</f>
        <v>0</v>
      </c>
      <c r="J48" s="5">
        <f>raw_order_lines!J48</f>
        <v>59</v>
      </c>
      <c r="K48" s="2" t="str">
        <f>raw_order_lines!K48</f>
        <v>正常交付</v>
      </c>
      <c r="L48" s="2" t="str">
        <f>raw_order_lines!L48</f>
        <v>true</v>
      </c>
      <c r="M48" s="2" t="str">
        <f>INDEX(dim_products!$B$2:$B$21,MATCH($E48,dim_products!$A$2:$A$21,0))</f>
        <v>大豆油</v>
      </c>
      <c r="N48" s="2" t="str">
        <f>INDEX(dim_products!$C$2:$C$21,MATCH($E48,dim_products!$A$2:$A$21,0))</f>
        <v>5升/桶普通大豆油</v>
      </c>
      <c r="O48" s="2" t="str">
        <f>INDEX(dim_customers!$B$2:$B$7,MATCH($C48,dim_customers!$A$2:$A$7,0))</f>
        <v>模拟_青禾小学食堂</v>
      </c>
      <c r="P48" s="6">
        <f>INT((ROUND(raw_order_lines!H48*10,0)*ROUND(raw_order_lines!J48*100,0)+5)/10)/100</f>
        <v>118</v>
      </c>
      <c r="Q48" s="6">
        <f>INT((ROUND(raw_order_lines!I48*10,0)*ROUND(raw_order_lines!J48*100,0)+5)/10)/100</f>
        <v>0</v>
      </c>
      <c r="R48" s="6">
        <f t="shared" si="0"/>
        <v>118</v>
      </c>
      <c r="S48" s="2" t="str">
        <f>IF(OR(ROUND(raw_order_lines!I48*10,0)&gt;ROUND(raw_order_lines!H48*10,0),ROUND(raw_order_lines!H48*10,0)&gt;ROUND(raw_order_lines!G48*10,0),ROUND(raw_order_lines!G48*10,0)&lt;=0),"数量关系异常","")</f>
        <v/>
      </c>
      <c r="T48" s="2" t="str">
        <f>IF($F48&lt;&gt;INDEX(dim_products!$D$2:$D$21,MATCH($E48,dim_products!$A$2:$A$21,0)),"单位不一致","")</f>
        <v/>
      </c>
      <c r="U48" s="2" t="str">
        <f>IF(OR(ROUND(raw_order_lines!J48*100,0)&lt;ROUND(INDEX(dim_products!$F$2:$F$21,MATCH($E48,dim_products!$A$2:$A$21,0))*100,0),ROUND(raw_order_lines!J48*100,0)&gt;ROUND(INDEX(dim_products!$G$2:$G$21,MATCH($E48,dim_products!$A$2:$A$21,0))*100,0)),"单价越界","")</f>
        <v/>
      </c>
      <c r="V48" s="2" t="str">
        <f t="shared" si="1"/>
        <v/>
      </c>
      <c r="W48" s="2" t="str">
        <f t="shared" si="2"/>
        <v>通过</v>
      </c>
    </row>
    <row r="49" spans="1:23" ht="15">
      <c r="A49" s="2" t="str">
        <f>raw_order_lines!A49</f>
        <v>SIM-20260901-C006</v>
      </c>
      <c r="B49" s="2">
        <f>raw_order_lines!B49</f>
        <v>1</v>
      </c>
      <c r="C49" s="2" t="str">
        <f>raw_order_lines!C49</f>
        <v>C006</v>
      </c>
      <c r="D49" s="3">
        <f>raw_order_lines!D49</f>
        <v>46266</v>
      </c>
      <c r="E49" s="2" t="str">
        <f>raw_order_lines!E49</f>
        <v>P010</v>
      </c>
      <c r="F49" s="2" t="str">
        <f>raw_order_lines!F49</f>
        <v>公斤</v>
      </c>
      <c r="G49" s="4">
        <f>raw_order_lines!G49</f>
        <v>7.6</v>
      </c>
      <c r="H49" s="4">
        <f>raw_order_lines!H49</f>
        <v>7.6</v>
      </c>
      <c r="I49" s="4">
        <f>raw_order_lines!I49</f>
        <v>0</v>
      </c>
      <c r="J49" s="5">
        <f>raw_order_lines!J49</f>
        <v>5</v>
      </c>
      <c r="K49" s="2" t="str">
        <f>raw_order_lines!K49</f>
        <v>正常交付</v>
      </c>
      <c r="L49" s="2" t="str">
        <f>raw_order_lines!L49</f>
        <v>true</v>
      </c>
      <c r="M49" s="2" t="str">
        <f>INDEX(dim_products!$B$2:$B$21,MATCH($E49,dim_products!$A$2:$A$21,0))</f>
        <v>空心菜</v>
      </c>
      <c r="N49" s="2" t="str">
        <f>INDEX(dim_products!$C$2:$C$21,MATCH($E49,dim_products!$A$2:$A$21,0))</f>
        <v>散装鲜菜</v>
      </c>
      <c r="O49" s="2" t="str">
        <f>INDEX(dim_customers!$B$2:$B$7,MATCH($C49,dim_customers!$A$2:$A$7,0))</f>
        <v>模拟_溪桥医院食堂</v>
      </c>
      <c r="P49" s="6">
        <f>INT((ROUND(raw_order_lines!H49*10,0)*ROUND(raw_order_lines!J49*100,0)+5)/10)/100</f>
        <v>38</v>
      </c>
      <c r="Q49" s="6">
        <f>INT((ROUND(raw_order_lines!I49*10,0)*ROUND(raw_order_lines!J49*100,0)+5)/10)/100</f>
        <v>0</v>
      </c>
      <c r="R49" s="6">
        <f t="shared" si="0"/>
        <v>38</v>
      </c>
      <c r="S49" s="2" t="str">
        <f>IF(OR(ROUND(raw_order_lines!I49*10,0)&gt;ROUND(raw_order_lines!H49*10,0),ROUND(raw_order_lines!H49*10,0)&gt;ROUND(raw_order_lines!G49*10,0),ROUND(raw_order_lines!G49*10,0)&lt;=0),"数量关系异常","")</f>
        <v/>
      </c>
      <c r="T49" s="2" t="str">
        <f>IF($F49&lt;&gt;INDEX(dim_products!$D$2:$D$21,MATCH($E49,dim_products!$A$2:$A$21,0)),"单位不一致","")</f>
        <v/>
      </c>
      <c r="U49" s="2" t="str">
        <f>IF(OR(ROUND(raw_order_lines!J49*100,0)&lt;ROUND(INDEX(dim_products!$F$2:$F$21,MATCH($E49,dim_products!$A$2:$A$21,0))*100,0),ROUND(raw_order_lines!J49*100,0)&gt;ROUND(INDEX(dim_products!$G$2:$G$21,MATCH($E49,dim_products!$A$2:$A$21,0))*100,0)),"单价越界","")</f>
        <v/>
      </c>
      <c r="V49" s="2" t="str">
        <f t="shared" si="1"/>
        <v/>
      </c>
      <c r="W49" s="2" t="str">
        <f t="shared" si="2"/>
        <v>通过</v>
      </c>
    </row>
    <row r="50" spans="1:23" ht="15">
      <c r="A50" s="2" t="str">
        <f>raw_order_lines!A50</f>
        <v>SIM-20260901-C006</v>
      </c>
      <c r="B50" s="2">
        <f>raw_order_lines!B50</f>
        <v>2</v>
      </c>
      <c r="C50" s="2" t="str">
        <f>raw_order_lines!C50</f>
        <v>C006</v>
      </c>
      <c r="D50" s="3">
        <f>raw_order_lines!D50</f>
        <v>46266</v>
      </c>
      <c r="E50" s="2" t="str">
        <f>raw_order_lines!E50</f>
        <v>P013</v>
      </c>
      <c r="F50" s="2" t="str">
        <f>raw_order_lines!F50</f>
        <v>公斤</v>
      </c>
      <c r="G50" s="4">
        <f>raw_order_lines!G50</f>
        <v>6.7</v>
      </c>
      <c r="H50" s="4">
        <f>raw_order_lines!H50</f>
        <v>6.7</v>
      </c>
      <c r="I50" s="4">
        <f>raw_order_lines!I50</f>
        <v>0</v>
      </c>
      <c r="J50" s="5">
        <f>raw_order_lines!J50</f>
        <v>6.3</v>
      </c>
      <c r="K50" s="2" t="str">
        <f>raw_order_lines!K50</f>
        <v>正常交付</v>
      </c>
      <c r="L50" s="2" t="str">
        <f>raw_order_lines!L50</f>
        <v>true</v>
      </c>
      <c r="M50" s="2" t="str">
        <f>INDEX(dim_products!$B$2:$B$21,MATCH($E50,dim_products!$A$2:$A$21,0))</f>
        <v>豇豆</v>
      </c>
      <c r="N50" s="2" t="str">
        <f>INDEX(dim_products!$C$2:$C$21,MATCH($E50,dim_products!$A$2:$A$21,0))</f>
        <v>散装鲜菜</v>
      </c>
      <c r="O50" s="2" t="str">
        <f>INDEX(dim_customers!$B$2:$B$7,MATCH($C50,dim_customers!$A$2:$A$7,0))</f>
        <v>模拟_溪桥医院食堂</v>
      </c>
      <c r="P50" s="6">
        <f>INT((ROUND(raw_order_lines!H50*10,0)*ROUND(raw_order_lines!J50*100,0)+5)/10)/100</f>
        <v>42.21</v>
      </c>
      <c r="Q50" s="6">
        <f>INT((ROUND(raw_order_lines!I50*10,0)*ROUND(raw_order_lines!J50*100,0)+5)/10)/100</f>
        <v>0</v>
      </c>
      <c r="R50" s="6">
        <f t="shared" si="0"/>
        <v>42.21</v>
      </c>
      <c r="S50" s="2" t="str">
        <f>IF(OR(ROUND(raw_order_lines!I50*10,0)&gt;ROUND(raw_order_lines!H50*10,0),ROUND(raw_order_lines!H50*10,0)&gt;ROUND(raw_order_lines!G50*10,0),ROUND(raw_order_lines!G50*10,0)&lt;=0),"数量关系异常","")</f>
        <v/>
      </c>
      <c r="T50" s="2" t="str">
        <f>IF($F50&lt;&gt;INDEX(dim_products!$D$2:$D$21,MATCH($E50,dim_products!$A$2:$A$21,0)),"单位不一致","")</f>
        <v/>
      </c>
      <c r="U50" s="2" t="str">
        <f>IF(OR(ROUND(raw_order_lines!J50*100,0)&lt;ROUND(INDEX(dim_products!$F$2:$F$21,MATCH($E50,dim_products!$A$2:$A$21,0))*100,0),ROUND(raw_order_lines!J50*100,0)&gt;ROUND(INDEX(dim_products!$G$2:$G$21,MATCH($E50,dim_products!$A$2:$A$21,0))*100,0)),"单价越界","")</f>
        <v/>
      </c>
      <c r="V50" s="2" t="str">
        <f t="shared" si="1"/>
        <v/>
      </c>
      <c r="W50" s="2" t="str">
        <f t="shared" si="2"/>
        <v>通过</v>
      </c>
    </row>
    <row r="51" spans="1:23" ht="15">
      <c r="A51" s="2" t="str">
        <f>raw_order_lines!A51</f>
        <v>SIM-20260901-C006</v>
      </c>
      <c r="B51" s="2">
        <f>raw_order_lines!B51</f>
        <v>3</v>
      </c>
      <c r="C51" s="2" t="str">
        <f>raw_order_lines!C51</f>
        <v>C006</v>
      </c>
      <c r="D51" s="3">
        <f>raw_order_lines!D51</f>
        <v>46266</v>
      </c>
      <c r="E51" s="2" t="str">
        <f>raw_order_lines!E51</f>
        <v>P008</v>
      </c>
      <c r="F51" s="2" t="str">
        <f>raw_order_lines!F51</f>
        <v>公斤</v>
      </c>
      <c r="G51" s="4">
        <f>raw_order_lines!G51</f>
        <v>7.6</v>
      </c>
      <c r="H51" s="4">
        <f>raw_order_lines!H51</f>
        <v>7.6</v>
      </c>
      <c r="I51" s="4">
        <f>raw_order_lines!I51</f>
        <v>0</v>
      </c>
      <c r="J51" s="5">
        <f>raw_order_lines!J51</f>
        <v>4.0999999999999996</v>
      </c>
      <c r="K51" s="2" t="str">
        <f>raw_order_lines!K51</f>
        <v>正常交付</v>
      </c>
      <c r="L51" s="2" t="str">
        <f>raw_order_lines!L51</f>
        <v>true</v>
      </c>
      <c r="M51" s="2" t="str">
        <f>INDEX(dim_products!$B$2:$B$21,MATCH($E51,dim_products!$A$2:$A$21,0))</f>
        <v>黄瓜</v>
      </c>
      <c r="N51" s="2" t="str">
        <f>INDEX(dim_products!$C$2:$C$21,MATCH($E51,dim_products!$A$2:$A$21,0))</f>
        <v>散装鲜菜</v>
      </c>
      <c r="O51" s="2" t="str">
        <f>INDEX(dim_customers!$B$2:$B$7,MATCH($C51,dim_customers!$A$2:$A$7,0))</f>
        <v>模拟_溪桥医院食堂</v>
      </c>
      <c r="P51" s="6">
        <f>INT((ROUND(raw_order_lines!H51*10,0)*ROUND(raw_order_lines!J51*100,0)+5)/10)/100</f>
        <v>31.16</v>
      </c>
      <c r="Q51" s="6">
        <f>INT((ROUND(raw_order_lines!I51*10,0)*ROUND(raw_order_lines!J51*100,0)+5)/10)/100</f>
        <v>0</v>
      </c>
      <c r="R51" s="6">
        <f t="shared" si="0"/>
        <v>31.16</v>
      </c>
      <c r="S51" s="2" t="str">
        <f>IF(OR(ROUND(raw_order_lines!I51*10,0)&gt;ROUND(raw_order_lines!H51*10,0),ROUND(raw_order_lines!H51*10,0)&gt;ROUND(raw_order_lines!G51*10,0),ROUND(raw_order_lines!G51*10,0)&lt;=0),"数量关系异常","")</f>
        <v/>
      </c>
      <c r="T51" s="2" t="str">
        <f>IF($F51&lt;&gt;INDEX(dim_products!$D$2:$D$21,MATCH($E51,dim_products!$A$2:$A$21,0)),"单位不一致","")</f>
        <v/>
      </c>
      <c r="U51" s="2" t="str">
        <f>IF(OR(ROUND(raw_order_lines!J51*100,0)&lt;ROUND(INDEX(dim_products!$F$2:$F$21,MATCH($E51,dim_products!$A$2:$A$21,0))*100,0),ROUND(raw_order_lines!J51*100,0)&gt;ROUND(INDEX(dim_products!$G$2:$G$21,MATCH($E51,dim_products!$A$2:$A$21,0))*100,0)),"单价越界","")</f>
        <v/>
      </c>
      <c r="V51" s="2" t="str">
        <f t="shared" si="1"/>
        <v/>
      </c>
      <c r="W51" s="2" t="str">
        <f t="shared" si="2"/>
        <v>通过</v>
      </c>
    </row>
    <row r="52" spans="1:23" ht="15">
      <c r="A52" s="2" t="str">
        <f>raw_order_lines!A52</f>
        <v>SIM-20260901-C006</v>
      </c>
      <c r="B52" s="2">
        <f>raw_order_lines!B52</f>
        <v>4</v>
      </c>
      <c r="C52" s="2" t="str">
        <f>raw_order_lines!C52</f>
        <v>C006</v>
      </c>
      <c r="D52" s="3">
        <f>raw_order_lines!D52</f>
        <v>46266</v>
      </c>
      <c r="E52" s="2" t="str">
        <f>raw_order_lines!E52</f>
        <v>P005</v>
      </c>
      <c r="F52" s="2" t="str">
        <f>raw_order_lines!F52</f>
        <v>公斤</v>
      </c>
      <c r="G52" s="4">
        <f>raw_order_lines!G52</f>
        <v>6.7</v>
      </c>
      <c r="H52" s="4">
        <f>raw_order_lines!H52</f>
        <v>6.7</v>
      </c>
      <c r="I52" s="4">
        <f>raw_order_lines!I52</f>
        <v>0</v>
      </c>
      <c r="J52" s="5">
        <f>raw_order_lines!J52</f>
        <v>2.7</v>
      </c>
      <c r="K52" s="2" t="str">
        <f>raw_order_lines!K52</f>
        <v>正常交付</v>
      </c>
      <c r="L52" s="2" t="str">
        <f>raw_order_lines!L52</f>
        <v>true</v>
      </c>
      <c r="M52" s="2" t="str">
        <f>INDEX(dim_products!$B$2:$B$21,MATCH($E52,dim_products!$A$2:$A$21,0))</f>
        <v>南瓜</v>
      </c>
      <c r="N52" s="2" t="str">
        <f>INDEX(dim_products!$C$2:$C$21,MATCH($E52,dim_products!$A$2:$A$21,0))</f>
        <v>散装鲜菜</v>
      </c>
      <c r="O52" s="2" t="str">
        <f>INDEX(dim_customers!$B$2:$B$7,MATCH($C52,dim_customers!$A$2:$A$7,0))</f>
        <v>模拟_溪桥医院食堂</v>
      </c>
      <c r="P52" s="6">
        <f>INT((ROUND(raw_order_lines!H52*10,0)*ROUND(raw_order_lines!J52*100,0)+5)/10)/100</f>
        <v>18.09</v>
      </c>
      <c r="Q52" s="6">
        <f>INT((ROUND(raw_order_lines!I52*10,0)*ROUND(raw_order_lines!J52*100,0)+5)/10)/100</f>
        <v>0</v>
      </c>
      <c r="R52" s="6">
        <f t="shared" si="0"/>
        <v>18.09</v>
      </c>
      <c r="S52" s="2" t="str">
        <f>IF(OR(ROUND(raw_order_lines!I52*10,0)&gt;ROUND(raw_order_lines!H52*10,0),ROUND(raw_order_lines!H52*10,0)&gt;ROUND(raw_order_lines!G52*10,0),ROUND(raw_order_lines!G52*10,0)&lt;=0),"数量关系异常","")</f>
        <v/>
      </c>
      <c r="T52" s="2" t="str">
        <f>IF($F52&lt;&gt;INDEX(dim_products!$D$2:$D$21,MATCH($E52,dim_products!$A$2:$A$21,0)),"单位不一致","")</f>
        <v/>
      </c>
      <c r="U52" s="2" t="str">
        <f>IF(OR(ROUND(raw_order_lines!J52*100,0)&lt;ROUND(INDEX(dim_products!$F$2:$F$21,MATCH($E52,dim_products!$A$2:$A$21,0))*100,0),ROUND(raw_order_lines!J52*100,0)&gt;ROUND(INDEX(dim_products!$G$2:$G$21,MATCH($E52,dim_products!$A$2:$A$21,0))*100,0)),"单价越界","")</f>
        <v/>
      </c>
      <c r="V52" s="2" t="str">
        <f t="shared" si="1"/>
        <v/>
      </c>
      <c r="W52" s="2" t="str">
        <f t="shared" si="2"/>
        <v>通过</v>
      </c>
    </row>
    <row r="53" spans="1:23" ht="15">
      <c r="A53" s="2" t="str">
        <f>raw_order_lines!A53</f>
        <v>SIM-20260901-C006</v>
      </c>
      <c r="B53" s="2">
        <f>raw_order_lines!B53</f>
        <v>5</v>
      </c>
      <c r="C53" s="2" t="str">
        <f>raw_order_lines!C53</f>
        <v>C006</v>
      </c>
      <c r="D53" s="3">
        <f>raw_order_lines!D53</f>
        <v>46266</v>
      </c>
      <c r="E53" s="2" t="str">
        <f>raw_order_lines!E53</f>
        <v>P009</v>
      </c>
      <c r="F53" s="2" t="str">
        <f>raw_order_lines!F53</f>
        <v>公斤</v>
      </c>
      <c r="G53" s="4">
        <f>raw_order_lines!G53</f>
        <v>9.3000000000000007</v>
      </c>
      <c r="H53" s="4">
        <f>raw_order_lines!H53</f>
        <v>9.3000000000000007</v>
      </c>
      <c r="I53" s="4">
        <f>raw_order_lines!I53</f>
        <v>0</v>
      </c>
      <c r="J53" s="5">
        <f>raw_order_lines!J53</f>
        <v>5</v>
      </c>
      <c r="K53" s="2" t="str">
        <f>raw_order_lines!K53</f>
        <v>正常交付</v>
      </c>
      <c r="L53" s="2" t="str">
        <f>raw_order_lines!L53</f>
        <v>true</v>
      </c>
      <c r="M53" s="2" t="str">
        <f>INDEX(dim_products!$B$2:$B$21,MATCH($E53,dim_products!$A$2:$A$21,0))</f>
        <v>西红柿</v>
      </c>
      <c r="N53" s="2" t="str">
        <f>INDEX(dim_products!$C$2:$C$21,MATCH($E53,dim_products!$A$2:$A$21,0))</f>
        <v>散装鲜菜</v>
      </c>
      <c r="O53" s="2" t="str">
        <f>INDEX(dim_customers!$B$2:$B$7,MATCH($C53,dim_customers!$A$2:$A$7,0))</f>
        <v>模拟_溪桥医院食堂</v>
      </c>
      <c r="P53" s="6">
        <f>INT((ROUND(raw_order_lines!H53*10,0)*ROUND(raw_order_lines!J53*100,0)+5)/10)/100</f>
        <v>46.5</v>
      </c>
      <c r="Q53" s="6">
        <f>INT((ROUND(raw_order_lines!I53*10,0)*ROUND(raw_order_lines!J53*100,0)+5)/10)/100</f>
        <v>0</v>
      </c>
      <c r="R53" s="6">
        <f t="shared" si="0"/>
        <v>46.5</v>
      </c>
      <c r="S53" s="2" t="str">
        <f>IF(OR(ROUND(raw_order_lines!I53*10,0)&gt;ROUND(raw_order_lines!H53*10,0),ROUND(raw_order_lines!H53*10,0)&gt;ROUND(raw_order_lines!G53*10,0),ROUND(raw_order_lines!G53*10,0)&lt;=0),"数量关系异常","")</f>
        <v/>
      </c>
      <c r="T53" s="2" t="str">
        <f>IF($F53&lt;&gt;INDEX(dim_products!$D$2:$D$21,MATCH($E53,dim_products!$A$2:$A$21,0)),"单位不一致","")</f>
        <v/>
      </c>
      <c r="U53" s="2" t="str">
        <f>IF(OR(ROUND(raw_order_lines!J53*100,0)&lt;ROUND(INDEX(dim_products!$F$2:$F$21,MATCH($E53,dim_products!$A$2:$A$21,0))*100,0),ROUND(raw_order_lines!J53*100,0)&gt;ROUND(INDEX(dim_products!$G$2:$G$21,MATCH($E53,dim_products!$A$2:$A$21,0))*100,0)),"单价越界","")</f>
        <v/>
      </c>
      <c r="V53" s="2" t="str">
        <f t="shared" si="1"/>
        <v/>
      </c>
      <c r="W53" s="2" t="str">
        <f t="shared" si="2"/>
        <v>通过</v>
      </c>
    </row>
    <row r="54" spans="1:23" ht="15">
      <c r="A54" s="2" t="str">
        <f>raw_order_lines!A54</f>
        <v>SIM-20260901-C006</v>
      </c>
      <c r="B54" s="2">
        <f>raw_order_lines!B54</f>
        <v>6</v>
      </c>
      <c r="C54" s="2" t="str">
        <f>raw_order_lines!C54</f>
        <v>C006</v>
      </c>
      <c r="D54" s="3">
        <f>raw_order_lines!D54</f>
        <v>46266</v>
      </c>
      <c r="E54" s="2" t="str">
        <f>raw_order_lines!E54</f>
        <v>P006</v>
      </c>
      <c r="F54" s="2" t="str">
        <f>raw_order_lines!F54</f>
        <v>公斤</v>
      </c>
      <c r="G54" s="4">
        <f>raw_order_lines!G54</f>
        <v>13.5</v>
      </c>
      <c r="H54" s="4">
        <f>raw_order_lines!H54</f>
        <v>13.5</v>
      </c>
      <c r="I54" s="4">
        <f>raw_order_lines!I54</f>
        <v>0</v>
      </c>
      <c r="J54" s="5">
        <f>raw_order_lines!J54</f>
        <v>4.5999999999999996</v>
      </c>
      <c r="K54" s="2" t="str">
        <f>raw_order_lines!K54</f>
        <v>正常交付</v>
      </c>
      <c r="L54" s="2" t="str">
        <f>raw_order_lines!L54</f>
        <v>true</v>
      </c>
      <c r="M54" s="2" t="str">
        <f>INDEX(dim_products!$B$2:$B$21,MATCH($E54,dim_products!$A$2:$A$21,0))</f>
        <v>茄子</v>
      </c>
      <c r="N54" s="2" t="str">
        <f>INDEX(dim_products!$C$2:$C$21,MATCH($E54,dim_products!$A$2:$A$21,0))</f>
        <v>散装鲜菜</v>
      </c>
      <c r="O54" s="2" t="str">
        <f>INDEX(dim_customers!$B$2:$B$7,MATCH($C54,dim_customers!$A$2:$A$7,0))</f>
        <v>模拟_溪桥医院食堂</v>
      </c>
      <c r="P54" s="6">
        <f>INT((ROUND(raw_order_lines!H54*10,0)*ROUND(raw_order_lines!J54*100,0)+5)/10)/100</f>
        <v>62.1</v>
      </c>
      <c r="Q54" s="6">
        <f>INT((ROUND(raw_order_lines!I54*10,0)*ROUND(raw_order_lines!J54*100,0)+5)/10)/100</f>
        <v>0</v>
      </c>
      <c r="R54" s="6">
        <f t="shared" si="0"/>
        <v>62.1</v>
      </c>
      <c r="S54" s="2" t="str">
        <f>IF(OR(ROUND(raw_order_lines!I54*10,0)&gt;ROUND(raw_order_lines!H54*10,0),ROUND(raw_order_lines!H54*10,0)&gt;ROUND(raw_order_lines!G54*10,0),ROUND(raw_order_lines!G54*10,0)&lt;=0),"数量关系异常","")</f>
        <v/>
      </c>
      <c r="T54" s="2" t="str">
        <f>IF($F54&lt;&gt;INDEX(dim_products!$D$2:$D$21,MATCH($E54,dim_products!$A$2:$A$21,0)),"单位不一致","")</f>
        <v/>
      </c>
      <c r="U54" s="2" t="str">
        <f>IF(OR(ROUND(raw_order_lines!J54*100,0)&lt;ROUND(INDEX(dim_products!$F$2:$F$21,MATCH($E54,dim_products!$A$2:$A$21,0))*100,0),ROUND(raw_order_lines!J54*100,0)&gt;ROUND(INDEX(dim_products!$G$2:$G$21,MATCH($E54,dim_products!$A$2:$A$21,0))*100,0)),"单价越界","")</f>
        <v/>
      </c>
      <c r="V54" s="2" t="str">
        <f t="shared" si="1"/>
        <v/>
      </c>
      <c r="W54" s="2" t="str">
        <f t="shared" si="2"/>
        <v>通过</v>
      </c>
    </row>
    <row r="55" spans="1:23" ht="15">
      <c r="A55" s="2" t="str">
        <f>raw_order_lines!A55</f>
        <v>SIM-20260901-C006</v>
      </c>
      <c r="B55" s="2">
        <f>raw_order_lines!B55</f>
        <v>7</v>
      </c>
      <c r="C55" s="2" t="str">
        <f>raw_order_lines!C55</f>
        <v>C006</v>
      </c>
      <c r="D55" s="3">
        <f>raw_order_lines!D55</f>
        <v>46266</v>
      </c>
      <c r="E55" s="2" t="str">
        <f>raw_order_lines!E55</f>
        <v>P016</v>
      </c>
      <c r="F55" s="2" t="str">
        <f>raw_order_lines!F55</f>
        <v>公斤</v>
      </c>
      <c r="G55" s="4">
        <f>raw_order_lines!G55</f>
        <v>9</v>
      </c>
      <c r="H55" s="4">
        <f>raw_order_lines!H55</f>
        <v>9</v>
      </c>
      <c r="I55" s="4">
        <f>raw_order_lines!I55</f>
        <v>0</v>
      </c>
      <c r="J55" s="5">
        <f>raw_order_lines!J55</f>
        <v>10.1</v>
      </c>
      <c r="K55" s="2" t="str">
        <f>raw_order_lines!K55</f>
        <v>正常交付</v>
      </c>
      <c r="L55" s="2" t="str">
        <f>raw_order_lines!L55</f>
        <v>true</v>
      </c>
      <c r="M55" s="2" t="str">
        <f>INDEX(dim_products!$B$2:$B$21,MATCH($E55,dim_products!$A$2:$A$21,0))</f>
        <v>鸡蛋</v>
      </c>
      <c r="N55" s="2" t="str">
        <f>INDEX(dim_products!$C$2:$C$21,MATCH($E55,dim_products!$A$2:$A$21,0))</f>
        <v>普通鲜鸡蛋按净重</v>
      </c>
      <c r="O55" s="2" t="str">
        <f>INDEX(dim_customers!$B$2:$B$7,MATCH($C55,dim_customers!$A$2:$A$7,0))</f>
        <v>模拟_溪桥医院食堂</v>
      </c>
      <c r="P55" s="6">
        <f>INT((ROUND(raw_order_lines!H55*10,0)*ROUND(raw_order_lines!J55*100,0)+5)/10)/100</f>
        <v>90.9</v>
      </c>
      <c r="Q55" s="6">
        <f>INT((ROUND(raw_order_lines!I55*10,0)*ROUND(raw_order_lines!J55*100,0)+5)/10)/100</f>
        <v>0</v>
      </c>
      <c r="R55" s="6">
        <f t="shared" si="0"/>
        <v>90.9</v>
      </c>
      <c r="S55" s="2" t="str">
        <f>IF(OR(ROUND(raw_order_lines!I55*10,0)&gt;ROUND(raw_order_lines!H55*10,0),ROUND(raw_order_lines!H55*10,0)&gt;ROUND(raw_order_lines!G55*10,0),ROUND(raw_order_lines!G55*10,0)&lt;=0),"数量关系异常","")</f>
        <v/>
      </c>
      <c r="T55" s="2" t="str">
        <f>IF($F55&lt;&gt;INDEX(dim_products!$D$2:$D$21,MATCH($E55,dim_products!$A$2:$A$21,0)),"单位不一致","")</f>
        <v/>
      </c>
      <c r="U55" s="2" t="str">
        <f>IF(OR(ROUND(raw_order_lines!J55*100,0)&lt;ROUND(INDEX(dim_products!$F$2:$F$21,MATCH($E55,dim_products!$A$2:$A$21,0))*100,0),ROUND(raw_order_lines!J55*100,0)&gt;ROUND(INDEX(dim_products!$G$2:$G$21,MATCH($E55,dim_products!$A$2:$A$21,0))*100,0)),"单价越界","")</f>
        <v/>
      </c>
      <c r="V55" s="2" t="str">
        <f t="shared" si="1"/>
        <v/>
      </c>
      <c r="W55" s="2" t="str">
        <f t="shared" si="2"/>
        <v>通过</v>
      </c>
    </row>
    <row r="56" spans="1:23" ht="15">
      <c r="A56" s="2" t="str">
        <f>raw_order_lines!A56</f>
        <v>SIM-20260901-C006</v>
      </c>
      <c r="B56" s="2">
        <f>raw_order_lines!B56</f>
        <v>8</v>
      </c>
      <c r="C56" s="2" t="str">
        <f>raw_order_lines!C56</f>
        <v>C006</v>
      </c>
      <c r="D56" s="3">
        <f>raw_order_lines!D56</f>
        <v>46266</v>
      </c>
      <c r="E56" s="2" t="str">
        <f>raw_order_lines!E56</f>
        <v>P015</v>
      </c>
      <c r="F56" s="2" t="str">
        <f>raw_order_lines!F56</f>
        <v>公斤</v>
      </c>
      <c r="G56" s="4">
        <f>raw_order_lines!G56</f>
        <v>1</v>
      </c>
      <c r="H56" s="4">
        <f>raw_order_lines!H56</f>
        <v>1</v>
      </c>
      <c r="I56" s="4">
        <f>raw_order_lines!I56</f>
        <v>0</v>
      </c>
      <c r="J56" s="5">
        <f>raw_order_lines!J56</f>
        <v>7.3</v>
      </c>
      <c r="K56" s="2" t="str">
        <f>raw_order_lines!K56</f>
        <v>正常交付</v>
      </c>
      <c r="L56" s="2" t="str">
        <f>raw_order_lines!L56</f>
        <v>true</v>
      </c>
      <c r="M56" s="2" t="str">
        <f>INDEX(dim_products!$B$2:$B$21,MATCH($E56,dim_products!$A$2:$A$21,0))</f>
        <v>小葱</v>
      </c>
      <c r="N56" s="2" t="str">
        <f>INDEX(dim_products!$C$2:$C$21,MATCH($E56,dim_products!$A$2:$A$21,0))</f>
        <v>散装鲜菜</v>
      </c>
      <c r="O56" s="2" t="str">
        <f>INDEX(dim_customers!$B$2:$B$7,MATCH($C56,dim_customers!$A$2:$A$7,0))</f>
        <v>模拟_溪桥医院食堂</v>
      </c>
      <c r="P56" s="6">
        <f>INT((ROUND(raw_order_lines!H56*10,0)*ROUND(raw_order_lines!J56*100,0)+5)/10)/100</f>
        <v>7.3</v>
      </c>
      <c r="Q56" s="6">
        <f>INT((ROUND(raw_order_lines!I56*10,0)*ROUND(raw_order_lines!J56*100,0)+5)/10)/100</f>
        <v>0</v>
      </c>
      <c r="R56" s="6">
        <f t="shared" si="0"/>
        <v>7.3</v>
      </c>
      <c r="S56" s="2" t="str">
        <f>IF(OR(ROUND(raw_order_lines!I56*10,0)&gt;ROUND(raw_order_lines!H56*10,0),ROUND(raw_order_lines!H56*10,0)&gt;ROUND(raw_order_lines!G56*10,0),ROUND(raw_order_lines!G56*10,0)&lt;=0),"数量关系异常","")</f>
        <v/>
      </c>
      <c r="T56" s="2" t="str">
        <f>IF($F56&lt;&gt;INDEX(dim_products!$D$2:$D$21,MATCH($E56,dim_products!$A$2:$A$21,0)),"单位不一致","")</f>
        <v/>
      </c>
      <c r="U56" s="2" t="str">
        <f>IF(OR(ROUND(raw_order_lines!J56*100,0)&lt;ROUND(INDEX(dim_products!$F$2:$F$21,MATCH($E56,dim_products!$A$2:$A$21,0))*100,0),ROUND(raw_order_lines!J56*100,0)&gt;ROUND(INDEX(dim_products!$G$2:$G$21,MATCH($E56,dim_products!$A$2:$A$21,0))*100,0)),"单价越界","")</f>
        <v/>
      </c>
      <c r="V56" s="2" t="str">
        <f t="shared" si="1"/>
        <v/>
      </c>
      <c r="W56" s="2" t="str">
        <f t="shared" si="2"/>
        <v>通过</v>
      </c>
    </row>
    <row r="57" spans="1:23" ht="15">
      <c r="A57" s="2" t="str">
        <f>raw_order_lines!A57</f>
        <v>SIM-20260901-C006</v>
      </c>
      <c r="B57" s="2">
        <f>raw_order_lines!B57</f>
        <v>9</v>
      </c>
      <c r="C57" s="2" t="str">
        <f>raw_order_lines!C57</f>
        <v>C006</v>
      </c>
      <c r="D57" s="3">
        <f>raw_order_lines!D57</f>
        <v>46266</v>
      </c>
      <c r="E57" s="2" t="str">
        <f>raw_order_lines!E57</f>
        <v>P017</v>
      </c>
      <c r="F57" s="2" t="str">
        <f>raw_order_lines!F57</f>
        <v>袋</v>
      </c>
      <c r="G57" s="4">
        <f>raw_order_lines!G57</f>
        <v>4</v>
      </c>
      <c r="H57" s="4">
        <f>raw_order_lines!H57</f>
        <v>4</v>
      </c>
      <c r="I57" s="4">
        <f>raw_order_lines!I57</f>
        <v>0</v>
      </c>
      <c r="J57" s="5">
        <f>raw_order_lines!J57</f>
        <v>118</v>
      </c>
      <c r="K57" s="2" t="str">
        <f>raw_order_lines!K57</f>
        <v>正常交付</v>
      </c>
      <c r="L57" s="2" t="str">
        <f>raw_order_lines!L57</f>
        <v>true</v>
      </c>
      <c r="M57" s="2" t="str">
        <f>INDEX(dim_products!$B$2:$B$21,MATCH($E57,dim_products!$A$2:$A$21,0))</f>
        <v>籼米</v>
      </c>
      <c r="N57" s="2" t="str">
        <f>INDEX(dim_products!$C$2:$C$21,MATCH($E57,dim_products!$A$2:$A$21,0))</f>
        <v>25公斤/袋普通籼米</v>
      </c>
      <c r="O57" s="2" t="str">
        <f>INDEX(dim_customers!$B$2:$B$7,MATCH($C57,dim_customers!$A$2:$A$7,0))</f>
        <v>模拟_溪桥医院食堂</v>
      </c>
      <c r="P57" s="6">
        <f>INT((ROUND(raw_order_lines!H57*10,0)*ROUND(raw_order_lines!J57*100,0)+5)/10)/100</f>
        <v>472</v>
      </c>
      <c r="Q57" s="6">
        <f>INT((ROUND(raw_order_lines!I57*10,0)*ROUND(raw_order_lines!J57*100,0)+5)/10)/100</f>
        <v>0</v>
      </c>
      <c r="R57" s="6">
        <f t="shared" si="0"/>
        <v>472</v>
      </c>
      <c r="S57" s="2" t="str">
        <f>IF(OR(ROUND(raw_order_lines!I57*10,0)&gt;ROUND(raw_order_lines!H57*10,0),ROUND(raw_order_lines!H57*10,0)&gt;ROUND(raw_order_lines!G57*10,0),ROUND(raw_order_lines!G57*10,0)&lt;=0),"数量关系异常","")</f>
        <v/>
      </c>
      <c r="T57" s="2" t="str">
        <f>IF($F57&lt;&gt;INDEX(dim_products!$D$2:$D$21,MATCH($E57,dim_products!$A$2:$A$21,0)),"单位不一致","")</f>
        <v/>
      </c>
      <c r="U57" s="2" t="str">
        <f>IF(OR(ROUND(raw_order_lines!J57*100,0)&lt;ROUND(INDEX(dim_products!$F$2:$F$21,MATCH($E57,dim_products!$A$2:$A$21,0))*100,0),ROUND(raw_order_lines!J57*100,0)&gt;ROUND(INDEX(dim_products!$G$2:$G$21,MATCH($E57,dim_products!$A$2:$A$21,0))*100,0)),"单价越界","")</f>
        <v/>
      </c>
      <c r="V57" s="2" t="str">
        <f t="shared" si="1"/>
        <v/>
      </c>
      <c r="W57" s="2" t="str">
        <f t="shared" si="2"/>
        <v>通过</v>
      </c>
    </row>
    <row r="58" spans="1:23" ht="15">
      <c r="A58" s="2" t="str">
        <f>raw_order_lines!A58</f>
        <v>SIM-20260901-C006</v>
      </c>
      <c r="B58" s="2">
        <f>raw_order_lines!B58</f>
        <v>10</v>
      </c>
      <c r="C58" s="2" t="str">
        <f>raw_order_lines!C58</f>
        <v>C006</v>
      </c>
      <c r="D58" s="3">
        <f>raw_order_lines!D58</f>
        <v>46266</v>
      </c>
      <c r="E58" s="2" t="str">
        <f>raw_order_lines!E58</f>
        <v>P020</v>
      </c>
      <c r="F58" s="2" t="str">
        <f>raw_order_lines!F58</f>
        <v>桶</v>
      </c>
      <c r="G58" s="4">
        <f>raw_order_lines!G58</f>
        <v>2</v>
      </c>
      <c r="H58" s="4">
        <f>raw_order_lines!H58</f>
        <v>2</v>
      </c>
      <c r="I58" s="4">
        <f>raw_order_lines!I58</f>
        <v>0</v>
      </c>
      <c r="J58" s="5">
        <f>raw_order_lines!J58</f>
        <v>59</v>
      </c>
      <c r="K58" s="2" t="str">
        <f>raw_order_lines!K58</f>
        <v>正常交付</v>
      </c>
      <c r="L58" s="2" t="str">
        <f>raw_order_lines!L58</f>
        <v>true</v>
      </c>
      <c r="M58" s="2" t="str">
        <f>INDEX(dim_products!$B$2:$B$21,MATCH($E58,dim_products!$A$2:$A$21,0))</f>
        <v>大豆油</v>
      </c>
      <c r="N58" s="2" t="str">
        <f>INDEX(dim_products!$C$2:$C$21,MATCH($E58,dim_products!$A$2:$A$21,0))</f>
        <v>5升/桶普通大豆油</v>
      </c>
      <c r="O58" s="2" t="str">
        <f>INDEX(dim_customers!$B$2:$B$7,MATCH($C58,dim_customers!$A$2:$A$7,0))</f>
        <v>模拟_溪桥医院食堂</v>
      </c>
      <c r="P58" s="6">
        <f>INT((ROUND(raw_order_lines!H58*10,0)*ROUND(raw_order_lines!J58*100,0)+5)/10)/100</f>
        <v>118</v>
      </c>
      <c r="Q58" s="6">
        <f>INT((ROUND(raw_order_lines!I58*10,0)*ROUND(raw_order_lines!J58*100,0)+5)/10)/100</f>
        <v>0</v>
      </c>
      <c r="R58" s="6">
        <f t="shared" si="0"/>
        <v>118</v>
      </c>
      <c r="S58" s="2" t="str">
        <f>IF(OR(ROUND(raw_order_lines!I58*10,0)&gt;ROUND(raw_order_lines!H58*10,0),ROUND(raw_order_lines!H58*10,0)&gt;ROUND(raw_order_lines!G58*10,0),ROUND(raw_order_lines!G58*10,0)&lt;=0),"数量关系异常","")</f>
        <v/>
      </c>
      <c r="T58" s="2" t="str">
        <f>IF($F58&lt;&gt;INDEX(dim_products!$D$2:$D$21,MATCH($E58,dim_products!$A$2:$A$21,0)),"单位不一致","")</f>
        <v/>
      </c>
      <c r="U58" s="2" t="str">
        <f>IF(OR(ROUND(raw_order_lines!J58*100,0)&lt;ROUND(INDEX(dim_products!$F$2:$F$21,MATCH($E58,dim_products!$A$2:$A$21,0))*100,0),ROUND(raw_order_lines!J58*100,0)&gt;ROUND(INDEX(dim_products!$G$2:$G$21,MATCH($E58,dim_products!$A$2:$A$21,0))*100,0)),"单价越界","")</f>
        <v/>
      </c>
      <c r="V58" s="2" t="str">
        <f t="shared" si="1"/>
        <v/>
      </c>
      <c r="W58" s="2" t="str">
        <f t="shared" si="2"/>
        <v>通过</v>
      </c>
    </row>
    <row r="59" spans="1:23" ht="15">
      <c r="A59" s="2" t="str">
        <f>raw_order_lines!A59</f>
        <v>SIM-20260902-C001</v>
      </c>
      <c r="B59" s="2">
        <f>raw_order_lines!B59</f>
        <v>1</v>
      </c>
      <c r="C59" s="2" t="str">
        <f>raw_order_lines!C59</f>
        <v>C001</v>
      </c>
      <c r="D59" s="3">
        <f>raw_order_lines!D59</f>
        <v>46267</v>
      </c>
      <c r="E59" s="2" t="str">
        <f>raw_order_lines!E59</f>
        <v>P011</v>
      </c>
      <c r="F59" s="2" t="str">
        <f>raw_order_lines!F59</f>
        <v>公斤</v>
      </c>
      <c r="G59" s="4">
        <f>raw_order_lines!G59</f>
        <v>2.6</v>
      </c>
      <c r="H59" s="4">
        <f>raw_order_lines!H59</f>
        <v>2.6</v>
      </c>
      <c r="I59" s="4">
        <f>raw_order_lines!I59</f>
        <v>0.3</v>
      </c>
      <c r="J59" s="5">
        <f>raw_order_lines!J59</f>
        <v>4.4000000000000004</v>
      </c>
      <c r="K59" s="2" t="str">
        <f>raw_order_lines!K59</f>
        <v>正常交付；签收时挑出黄叶退回</v>
      </c>
      <c r="L59" s="2" t="str">
        <f>raw_order_lines!L59</f>
        <v>true</v>
      </c>
      <c r="M59" s="2" t="str">
        <f>INDEX(dim_products!$B$2:$B$21,MATCH($E59,dim_products!$A$2:$A$21,0))</f>
        <v>红薯叶</v>
      </c>
      <c r="N59" s="2" t="str">
        <f>INDEX(dim_products!$C$2:$C$21,MATCH($E59,dim_products!$A$2:$A$21,0))</f>
        <v>散装鲜菜</v>
      </c>
      <c r="O59" s="2" t="str">
        <f>INDEX(dim_customers!$B$2:$B$7,MATCH($C59,dim_customers!$A$2:$A$7,0))</f>
        <v>模拟_榕树下粉面店</v>
      </c>
      <c r="P59" s="6">
        <f>INT((ROUND(raw_order_lines!H59*10,0)*ROUND(raw_order_lines!J59*100,0)+5)/10)/100</f>
        <v>11.44</v>
      </c>
      <c r="Q59" s="6">
        <f>INT((ROUND(raw_order_lines!I59*10,0)*ROUND(raw_order_lines!J59*100,0)+5)/10)/100</f>
        <v>1.32</v>
      </c>
      <c r="R59" s="6">
        <f t="shared" si="0"/>
        <v>10.119999999999999</v>
      </c>
      <c r="S59" s="2" t="str">
        <f>IF(OR(ROUND(raw_order_lines!I59*10,0)&gt;ROUND(raw_order_lines!H59*10,0),ROUND(raw_order_lines!H59*10,0)&gt;ROUND(raw_order_lines!G59*10,0),ROUND(raw_order_lines!G59*10,0)&lt;=0),"数量关系异常","")</f>
        <v/>
      </c>
      <c r="T59" s="2" t="str">
        <f>IF($F59&lt;&gt;INDEX(dim_products!$D$2:$D$21,MATCH($E59,dim_products!$A$2:$A$21,0)),"单位不一致","")</f>
        <v/>
      </c>
      <c r="U59" s="2" t="str">
        <f>IF(OR(ROUND(raw_order_lines!J59*100,0)&lt;ROUND(INDEX(dim_products!$F$2:$F$21,MATCH($E59,dim_products!$A$2:$A$21,0))*100,0),ROUND(raw_order_lines!J59*100,0)&gt;ROUND(INDEX(dim_products!$G$2:$G$21,MATCH($E59,dim_products!$A$2:$A$21,0))*100,0)),"单价越界","")</f>
        <v/>
      </c>
      <c r="V59" s="2" t="str">
        <f t="shared" si="1"/>
        <v/>
      </c>
      <c r="W59" s="2" t="str">
        <f t="shared" si="2"/>
        <v>通过</v>
      </c>
    </row>
    <row r="60" spans="1:23" ht="15">
      <c r="A60" s="2" t="str">
        <f>raw_order_lines!A60</f>
        <v>SIM-20260902-C001</v>
      </c>
      <c r="B60" s="2">
        <f>raw_order_lines!B60</f>
        <v>2</v>
      </c>
      <c r="C60" s="2" t="str">
        <f>raw_order_lines!C60</f>
        <v>C001</v>
      </c>
      <c r="D60" s="3">
        <f>raw_order_lines!D60</f>
        <v>46267</v>
      </c>
      <c r="E60" s="2" t="str">
        <f>raw_order_lines!E60</f>
        <v>P008</v>
      </c>
      <c r="F60" s="2" t="str">
        <f>raw_order_lines!F60</f>
        <v>公斤</v>
      </c>
      <c r="G60" s="4">
        <f>raw_order_lines!G60</f>
        <v>3.2</v>
      </c>
      <c r="H60" s="4">
        <f>raw_order_lines!H60</f>
        <v>3.2</v>
      </c>
      <c r="I60" s="4">
        <f>raw_order_lines!I60</f>
        <v>0</v>
      </c>
      <c r="J60" s="5">
        <f>raw_order_lines!J60</f>
        <v>4.0999999999999996</v>
      </c>
      <c r="K60" s="2" t="str">
        <f>raw_order_lines!K60</f>
        <v>正常交付</v>
      </c>
      <c r="L60" s="2" t="str">
        <f>raw_order_lines!L60</f>
        <v>true</v>
      </c>
      <c r="M60" s="2" t="str">
        <f>INDEX(dim_products!$B$2:$B$21,MATCH($E60,dim_products!$A$2:$A$21,0))</f>
        <v>黄瓜</v>
      </c>
      <c r="N60" s="2" t="str">
        <f>INDEX(dim_products!$C$2:$C$21,MATCH($E60,dim_products!$A$2:$A$21,0))</f>
        <v>散装鲜菜</v>
      </c>
      <c r="O60" s="2" t="str">
        <f>INDEX(dim_customers!$B$2:$B$7,MATCH($C60,dim_customers!$A$2:$A$7,0))</f>
        <v>模拟_榕树下粉面店</v>
      </c>
      <c r="P60" s="6">
        <f>INT((ROUND(raw_order_lines!H60*10,0)*ROUND(raw_order_lines!J60*100,0)+5)/10)/100</f>
        <v>13.12</v>
      </c>
      <c r="Q60" s="6">
        <f>INT((ROUND(raw_order_lines!I60*10,0)*ROUND(raw_order_lines!J60*100,0)+5)/10)/100</f>
        <v>0</v>
      </c>
      <c r="R60" s="6">
        <f t="shared" si="0"/>
        <v>13.12</v>
      </c>
      <c r="S60" s="2" t="str">
        <f>IF(OR(ROUND(raw_order_lines!I60*10,0)&gt;ROUND(raw_order_lines!H60*10,0),ROUND(raw_order_lines!H60*10,0)&gt;ROUND(raw_order_lines!G60*10,0),ROUND(raw_order_lines!G60*10,0)&lt;=0),"数量关系异常","")</f>
        <v/>
      </c>
      <c r="T60" s="2" t="str">
        <f>IF($F60&lt;&gt;INDEX(dim_products!$D$2:$D$21,MATCH($E60,dim_products!$A$2:$A$21,0)),"单位不一致","")</f>
        <v/>
      </c>
      <c r="U60" s="2" t="str">
        <f>IF(OR(ROUND(raw_order_lines!J60*100,0)&lt;ROUND(INDEX(dim_products!$F$2:$F$21,MATCH($E60,dim_products!$A$2:$A$21,0))*100,0),ROUND(raw_order_lines!J60*100,0)&gt;ROUND(INDEX(dim_products!$G$2:$G$21,MATCH($E60,dim_products!$A$2:$A$21,0))*100,0)),"单价越界","")</f>
        <v/>
      </c>
      <c r="V60" s="2" t="str">
        <f t="shared" si="1"/>
        <v/>
      </c>
      <c r="W60" s="2" t="str">
        <f t="shared" si="2"/>
        <v>通过</v>
      </c>
    </row>
    <row r="61" spans="1:23" ht="15">
      <c r="A61" s="2" t="str">
        <f>raw_order_lines!A61</f>
        <v>SIM-20260902-C001</v>
      </c>
      <c r="B61" s="2">
        <f>raw_order_lines!B61</f>
        <v>3</v>
      </c>
      <c r="C61" s="2" t="str">
        <f>raw_order_lines!C61</f>
        <v>C001</v>
      </c>
      <c r="D61" s="3">
        <f>raw_order_lines!D61</f>
        <v>46267</v>
      </c>
      <c r="E61" s="2" t="str">
        <f>raw_order_lines!E61</f>
        <v>P014</v>
      </c>
      <c r="F61" s="2" t="str">
        <f>raw_order_lines!F61</f>
        <v>公斤</v>
      </c>
      <c r="G61" s="4">
        <f>raw_order_lines!G61</f>
        <v>3</v>
      </c>
      <c r="H61" s="4">
        <f>raw_order_lines!H61</f>
        <v>3</v>
      </c>
      <c r="I61" s="4">
        <f>raw_order_lines!I61</f>
        <v>0</v>
      </c>
      <c r="J61" s="5">
        <f>raw_order_lines!J61</f>
        <v>4.7</v>
      </c>
      <c r="K61" s="2" t="str">
        <f>raw_order_lines!K61</f>
        <v>正常交付</v>
      </c>
      <c r="L61" s="2" t="str">
        <f>raw_order_lines!L61</f>
        <v>true</v>
      </c>
      <c r="M61" s="2" t="str">
        <f>INDEX(dim_products!$B$2:$B$21,MATCH($E61,dim_products!$A$2:$A$21,0))</f>
        <v>丝瓜</v>
      </c>
      <c r="N61" s="2" t="str">
        <f>INDEX(dim_products!$C$2:$C$21,MATCH($E61,dim_products!$A$2:$A$21,0))</f>
        <v>散装鲜菜</v>
      </c>
      <c r="O61" s="2" t="str">
        <f>INDEX(dim_customers!$B$2:$B$7,MATCH($C61,dim_customers!$A$2:$A$7,0))</f>
        <v>模拟_榕树下粉面店</v>
      </c>
      <c r="P61" s="6">
        <f>INT((ROUND(raw_order_lines!H61*10,0)*ROUND(raw_order_lines!J61*100,0)+5)/10)/100</f>
        <v>14.1</v>
      </c>
      <c r="Q61" s="6">
        <f>INT((ROUND(raw_order_lines!I61*10,0)*ROUND(raw_order_lines!J61*100,0)+5)/10)/100</f>
        <v>0</v>
      </c>
      <c r="R61" s="6">
        <f t="shared" si="0"/>
        <v>14.1</v>
      </c>
      <c r="S61" s="2" t="str">
        <f>IF(OR(ROUND(raw_order_lines!I61*10,0)&gt;ROUND(raw_order_lines!H61*10,0),ROUND(raw_order_lines!H61*10,0)&gt;ROUND(raw_order_lines!G61*10,0),ROUND(raw_order_lines!G61*10,0)&lt;=0),"数量关系异常","")</f>
        <v/>
      </c>
      <c r="T61" s="2" t="str">
        <f>IF($F61&lt;&gt;INDEX(dim_products!$D$2:$D$21,MATCH($E61,dim_products!$A$2:$A$21,0)),"单位不一致","")</f>
        <v/>
      </c>
      <c r="U61" s="2" t="str">
        <f>IF(OR(ROUND(raw_order_lines!J61*100,0)&lt;ROUND(INDEX(dim_products!$F$2:$F$21,MATCH($E61,dim_products!$A$2:$A$21,0))*100,0),ROUND(raw_order_lines!J61*100,0)&gt;ROUND(INDEX(dim_products!$G$2:$G$21,MATCH($E61,dim_products!$A$2:$A$21,0))*100,0)),"单价越界","")</f>
        <v/>
      </c>
      <c r="V61" s="2" t="str">
        <f t="shared" si="1"/>
        <v/>
      </c>
      <c r="W61" s="2" t="str">
        <f t="shared" si="2"/>
        <v>通过</v>
      </c>
    </row>
    <row r="62" spans="1:23" ht="15">
      <c r="A62" s="2" t="str">
        <f>raw_order_lines!A62</f>
        <v>SIM-20260902-C001</v>
      </c>
      <c r="B62" s="2">
        <f>raw_order_lines!B62</f>
        <v>4</v>
      </c>
      <c r="C62" s="2" t="str">
        <f>raw_order_lines!C62</f>
        <v>C001</v>
      </c>
      <c r="D62" s="3">
        <f>raw_order_lines!D62</f>
        <v>46267</v>
      </c>
      <c r="E62" s="2" t="str">
        <f>raw_order_lines!E62</f>
        <v>P003</v>
      </c>
      <c r="F62" s="2" t="str">
        <f>raw_order_lines!F62</f>
        <v>公斤</v>
      </c>
      <c r="G62" s="4">
        <f>raw_order_lines!G62</f>
        <v>3.2</v>
      </c>
      <c r="H62" s="4">
        <f>raw_order_lines!H62</f>
        <v>3.2</v>
      </c>
      <c r="I62" s="4">
        <f>raw_order_lines!I62</f>
        <v>0</v>
      </c>
      <c r="J62" s="5">
        <f>raw_order_lines!J62</f>
        <v>3.3</v>
      </c>
      <c r="K62" s="2" t="str">
        <f>raw_order_lines!K62</f>
        <v>正常交付</v>
      </c>
      <c r="L62" s="2" t="str">
        <f>raw_order_lines!L62</f>
        <v>true</v>
      </c>
      <c r="M62" s="2" t="str">
        <f>INDEX(dim_products!$B$2:$B$21,MATCH($E62,dim_products!$A$2:$A$21,0))</f>
        <v>包菜</v>
      </c>
      <c r="N62" s="2" t="str">
        <f>INDEX(dim_products!$C$2:$C$21,MATCH($E62,dim_products!$A$2:$A$21,0))</f>
        <v>散装鲜菜</v>
      </c>
      <c r="O62" s="2" t="str">
        <f>INDEX(dim_customers!$B$2:$B$7,MATCH($C62,dim_customers!$A$2:$A$7,0))</f>
        <v>模拟_榕树下粉面店</v>
      </c>
      <c r="P62" s="6">
        <f>INT((ROUND(raw_order_lines!H62*10,0)*ROUND(raw_order_lines!J62*100,0)+5)/10)/100</f>
        <v>10.56</v>
      </c>
      <c r="Q62" s="6">
        <f>INT((ROUND(raw_order_lines!I62*10,0)*ROUND(raw_order_lines!J62*100,0)+5)/10)/100</f>
        <v>0</v>
      </c>
      <c r="R62" s="6">
        <f t="shared" si="0"/>
        <v>10.56</v>
      </c>
      <c r="S62" s="2" t="str">
        <f>IF(OR(ROUND(raw_order_lines!I62*10,0)&gt;ROUND(raw_order_lines!H62*10,0),ROUND(raw_order_lines!H62*10,0)&gt;ROUND(raw_order_lines!G62*10,0),ROUND(raw_order_lines!G62*10,0)&lt;=0),"数量关系异常","")</f>
        <v/>
      </c>
      <c r="T62" s="2" t="str">
        <f>IF($F62&lt;&gt;INDEX(dim_products!$D$2:$D$21,MATCH($E62,dim_products!$A$2:$A$21,0)),"单位不一致","")</f>
        <v/>
      </c>
      <c r="U62" s="2" t="str">
        <f>IF(OR(ROUND(raw_order_lines!J62*100,0)&lt;ROUND(INDEX(dim_products!$F$2:$F$21,MATCH($E62,dim_products!$A$2:$A$21,0))*100,0),ROUND(raw_order_lines!J62*100,0)&gt;ROUND(INDEX(dim_products!$G$2:$G$21,MATCH($E62,dim_products!$A$2:$A$21,0))*100,0)),"单价越界","")</f>
        <v/>
      </c>
      <c r="V62" s="2" t="str">
        <f t="shared" si="1"/>
        <v/>
      </c>
      <c r="W62" s="2" t="str">
        <f t="shared" si="2"/>
        <v>通过</v>
      </c>
    </row>
    <row r="63" spans="1:23" ht="15">
      <c r="A63" s="2" t="str">
        <f>raw_order_lines!A63</f>
        <v>SIM-20260902-C002</v>
      </c>
      <c r="B63" s="2">
        <f>raw_order_lines!B63</f>
        <v>1</v>
      </c>
      <c r="C63" s="2" t="str">
        <f>raw_order_lines!C63</f>
        <v>C002</v>
      </c>
      <c r="D63" s="3">
        <f>raw_order_lines!D63</f>
        <v>46267</v>
      </c>
      <c r="E63" s="2" t="str">
        <f>raw_order_lines!E63</f>
        <v>P011</v>
      </c>
      <c r="F63" s="2" t="str">
        <f>raw_order_lines!F63</f>
        <v>公斤</v>
      </c>
      <c r="G63" s="4">
        <f>raw_order_lines!G63</f>
        <v>3.5</v>
      </c>
      <c r="H63" s="4">
        <f>raw_order_lines!H63</f>
        <v>3.5</v>
      </c>
      <c r="I63" s="4">
        <f>raw_order_lines!I63</f>
        <v>0</v>
      </c>
      <c r="J63" s="5">
        <f>raw_order_lines!J63</f>
        <v>4.4000000000000004</v>
      </c>
      <c r="K63" s="2" t="str">
        <f>raw_order_lines!K63</f>
        <v>正常交付</v>
      </c>
      <c r="L63" s="2" t="str">
        <f>raw_order_lines!L63</f>
        <v>true</v>
      </c>
      <c r="M63" s="2" t="str">
        <f>INDEX(dim_products!$B$2:$B$21,MATCH($E63,dim_products!$A$2:$A$21,0))</f>
        <v>红薯叶</v>
      </c>
      <c r="N63" s="2" t="str">
        <f>INDEX(dim_products!$C$2:$C$21,MATCH($E63,dim_products!$A$2:$A$21,0))</f>
        <v>散装鲜菜</v>
      </c>
      <c r="O63" s="2" t="str">
        <f>INDEX(dim_customers!$B$2:$B$7,MATCH($C63,dim_customers!$A$2:$A$7,0))</f>
        <v>模拟_桥头家常菜馆</v>
      </c>
      <c r="P63" s="6">
        <f>INT((ROUND(raw_order_lines!H63*10,0)*ROUND(raw_order_lines!J63*100,0)+5)/10)/100</f>
        <v>15.4</v>
      </c>
      <c r="Q63" s="6">
        <f>INT((ROUND(raw_order_lines!I63*10,0)*ROUND(raw_order_lines!J63*100,0)+5)/10)/100</f>
        <v>0</v>
      </c>
      <c r="R63" s="6">
        <f t="shared" si="0"/>
        <v>15.4</v>
      </c>
      <c r="S63" s="2" t="str">
        <f>IF(OR(ROUND(raw_order_lines!I63*10,0)&gt;ROUND(raw_order_lines!H63*10,0),ROUND(raw_order_lines!H63*10,0)&gt;ROUND(raw_order_lines!G63*10,0),ROUND(raw_order_lines!G63*10,0)&lt;=0),"数量关系异常","")</f>
        <v/>
      </c>
      <c r="T63" s="2" t="str">
        <f>IF($F63&lt;&gt;INDEX(dim_products!$D$2:$D$21,MATCH($E63,dim_products!$A$2:$A$21,0)),"单位不一致","")</f>
        <v/>
      </c>
      <c r="U63" s="2" t="str">
        <f>IF(OR(ROUND(raw_order_lines!J63*100,0)&lt;ROUND(INDEX(dim_products!$F$2:$F$21,MATCH($E63,dim_products!$A$2:$A$21,0))*100,0),ROUND(raw_order_lines!J63*100,0)&gt;ROUND(INDEX(dim_products!$G$2:$G$21,MATCH($E63,dim_products!$A$2:$A$21,0))*100,0)),"单价越界","")</f>
        <v/>
      </c>
      <c r="V63" s="2" t="str">
        <f t="shared" si="1"/>
        <v/>
      </c>
      <c r="W63" s="2" t="str">
        <f t="shared" si="2"/>
        <v>通过</v>
      </c>
    </row>
    <row r="64" spans="1:23" ht="15">
      <c r="A64" s="2" t="str">
        <f>raw_order_lines!A64</f>
        <v>SIM-20260902-C002</v>
      </c>
      <c r="B64" s="2">
        <f>raw_order_lines!B64</f>
        <v>2</v>
      </c>
      <c r="C64" s="2" t="str">
        <f>raw_order_lines!C64</f>
        <v>C002</v>
      </c>
      <c r="D64" s="3">
        <f>raw_order_lines!D64</f>
        <v>46267</v>
      </c>
      <c r="E64" s="2" t="str">
        <f>raw_order_lines!E64</f>
        <v>P002</v>
      </c>
      <c r="F64" s="2" t="str">
        <f>raw_order_lines!F64</f>
        <v>公斤</v>
      </c>
      <c r="G64" s="4">
        <f>raw_order_lines!G64</f>
        <v>6.5</v>
      </c>
      <c r="H64" s="4">
        <f>raw_order_lines!H64</f>
        <v>6.5</v>
      </c>
      <c r="I64" s="4">
        <f>raw_order_lines!I64</f>
        <v>0</v>
      </c>
      <c r="J64" s="5">
        <f>raw_order_lines!J64</f>
        <v>2.2999999999999998</v>
      </c>
      <c r="K64" s="2" t="str">
        <f>raw_order_lines!K64</f>
        <v>正常交付</v>
      </c>
      <c r="L64" s="2" t="str">
        <f>raw_order_lines!L64</f>
        <v>true</v>
      </c>
      <c r="M64" s="2" t="str">
        <f>INDEX(dim_products!$B$2:$B$21,MATCH($E64,dim_products!$A$2:$A$21,0))</f>
        <v>白萝卜</v>
      </c>
      <c r="N64" s="2" t="str">
        <f>INDEX(dim_products!$C$2:$C$21,MATCH($E64,dim_products!$A$2:$A$21,0))</f>
        <v>散装鲜菜</v>
      </c>
      <c r="O64" s="2" t="str">
        <f>INDEX(dim_customers!$B$2:$B$7,MATCH($C64,dim_customers!$A$2:$A$7,0))</f>
        <v>模拟_桥头家常菜馆</v>
      </c>
      <c r="P64" s="6">
        <f>INT((ROUND(raw_order_lines!H64*10,0)*ROUND(raw_order_lines!J64*100,0)+5)/10)/100</f>
        <v>14.95</v>
      </c>
      <c r="Q64" s="6">
        <f>INT((ROUND(raw_order_lines!I64*10,0)*ROUND(raw_order_lines!J64*100,0)+5)/10)/100</f>
        <v>0</v>
      </c>
      <c r="R64" s="6">
        <f t="shared" si="0"/>
        <v>14.95</v>
      </c>
      <c r="S64" s="2" t="str">
        <f>IF(OR(ROUND(raw_order_lines!I64*10,0)&gt;ROUND(raw_order_lines!H64*10,0),ROUND(raw_order_lines!H64*10,0)&gt;ROUND(raw_order_lines!G64*10,0),ROUND(raw_order_lines!G64*10,0)&lt;=0),"数量关系异常","")</f>
        <v/>
      </c>
      <c r="T64" s="2" t="str">
        <f>IF($F64&lt;&gt;INDEX(dim_products!$D$2:$D$21,MATCH($E64,dim_products!$A$2:$A$21,0)),"单位不一致","")</f>
        <v/>
      </c>
      <c r="U64" s="2" t="str">
        <f>IF(OR(ROUND(raw_order_lines!J64*100,0)&lt;ROUND(INDEX(dim_products!$F$2:$F$21,MATCH($E64,dim_products!$A$2:$A$21,0))*100,0),ROUND(raw_order_lines!J64*100,0)&gt;ROUND(INDEX(dim_products!$G$2:$G$21,MATCH($E64,dim_products!$A$2:$A$21,0))*100,0)),"单价越界","")</f>
        <v/>
      </c>
      <c r="V64" s="2" t="str">
        <f t="shared" si="1"/>
        <v/>
      </c>
      <c r="W64" s="2" t="str">
        <f t="shared" si="2"/>
        <v>通过</v>
      </c>
    </row>
    <row r="65" spans="1:23" ht="15">
      <c r="A65" s="2" t="str">
        <f>raw_order_lines!A65</f>
        <v>SIM-20260902-C002</v>
      </c>
      <c r="B65" s="2">
        <f>raw_order_lines!B65</f>
        <v>3</v>
      </c>
      <c r="C65" s="2" t="str">
        <f>raw_order_lines!C65</f>
        <v>C002</v>
      </c>
      <c r="D65" s="3">
        <f>raw_order_lines!D65</f>
        <v>46267</v>
      </c>
      <c r="E65" s="2" t="str">
        <f>raw_order_lines!E65</f>
        <v>P006</v>
      </c>
      <c r="F65" s="2" t="str">
        <f>raw_order_lines!F65</f>
        <v>公斤</v>
      </c>
      <c r="G65" s="4">
        <f>raw_order_lines!G65</f>
        <v>6.5</v>
      </c>
      <c r="H65" s="4">
        <f>raw_order_lines!H65</f>
        <v>6.5</v>
      </c>
      <c r="I65" s="4">
        <f>raw_order_lines!I65</f>
        <v>0</v>
      </c>
      <c r="J65" s="5">
        <f>raw_order_lines!J65</f>
        <v>4.5999999999999996</v>
      </c>
      <c r="K65" s="2" t="str">
        <f>raw_order_lines!K65</f>
        <v>正常交付</v>
      </c>
      <c r="L65" s="2" t="str">
        <f>raw_order_lines!L65</f>
        <v>true</v>
      </c>
      <c r="M65" s="2" t="str">
        <f>INDEX(dim_products!$B$2:$B$21,MATCH($E65,dim_products!$A$2:$A$21,0))</f>
        <v>茄子</v>
      </c>
      <c r="N65" s="2" t="str">
        <f>INDEX(dim_products!$C$2:$C$21,MATCH($E65,dim_products!$A$2:$A$21,0))</f>
        <v>散装鲜菜</v>
      </c>
      <c r="O65" s="2" t="str">
        <f>INDEX(dim_customers!$B$2:$B$7,MATCH($C65,dim_customers!$A$2:$A$7,0))</f>
        <v>模拟_桥头家常菜馆</v>
      </c>
      <c r="P65" s="6">
        <f>INT((ROUND(raw_order_lines!H65*10,0)*ROUND(raw_order_lines!J65*100,0)+5)/10)/100</f>
        <v>29.9</v>
      </c>
      <c r="Q65" s="6">
        <f>INT((ROUND(raw_order_lines!I65*10,0)*ROUND(raw_order_lines!J65*100,0)+5)/10)/100</f>
        <v>0</v>
      </c>
      <c r="R65" s="6">
        <f t="shared" si="0"/>
        <v>29.9</v>
      </c>
      <c r="S65" s="2" t="str">
        <f>IF(OR(ROUND(raw_order_lines!I65*10,0)&gt;ROUND(raw_order_lines!H65*10,0),ROUND(raw_order_lines!H65*10,0)&gt;ROUND(raw_order_lines!G65*10,0),ROUND(raw_order_lines!G65*10,0)&lt;=0),"数量关系异常","")</f>
        <v/>
      </c>
      <c r="T65" s="2" t="str">
        <f>IF($F65&lt;&gt;INDEX(dim_products!$D$2:$D$21,MATCH($E65,dim_products!$A$2:$A$21,0)),"单位不一致","")</f>
        <v/>
      </c>
      <c r="U65" s="2" t="str">
        <f>IF(OR(ROUND(raw_order_lines!J65*100,0)&lt;ROUND(INDEX(dim_products!$F$2:$F$21,MATCH($E65,dim_products!$A$2:$A$21,0))*100,0),ROUND(raw_order_lines!J65*100,0)&gt;ROUND(INDEX(dim_products!$G$2:$G$21,MATCH($E65,dim_products!$A$2:$A$21,0))*100,0)),"单价越界","")</f>
        <v/>
      </c>
      <c r="V65" s="2" t="str">
        <f t="shared" si="1"/>
        <v/>
      </c>
      <c r="W65" s="2" t="str">
        <f t="shared" si="2"/>
        <v>通过</v>
      </c>
    </row>
    <row r="66" spans="1:23" ht="15">
      <c r="A66" s="2" t="str">
        <f>raw_order_lines!A66</f>
        <v>SIM-20260902-C002</v>
      </c>
      <c r="B66" s="2">
        <f>raw_order_lines!B66</f>
        <v>4</v>
      </c>
      <c r="C66" s="2" t="str">
        <f>raw_order_lines!C66</f>
        <v>C002</v>
      </c>
      <c r="D66" s="3">
        <f>raw_order_lines!D66</f>
        <v>46267</v>
      </c>
      <c r="E66" s="2" t="str">
        <f>raw_order_lines!E66</f>
        <v>P004</v>
      </c>
      <c r="F66" s="2" t="str">
        <f>raw_order_lines!F66</f>
        <v>公斤</v>
      </c>
      <c r="G66" s="4">
        <f>raw_order_lines!G66</f>
        <v>7</v>
      </c>
      <c r="H66" s="4">
        <f>raw_order_lines!H66</f>
        <v>7</v>
      </c>
      <c r="I66" s="4">
        <f>raw_order_lines!I66</f>
        <v>0</v>
      </c>
      <c r="J66" s="5">
        <f>raw_order_lines!J66</f>
        <v>2.2999999999999998</v>
      </c>
      <c r="K66" s="2" t="str">
        <f>raw_order_lines!K66</f>
        <v>正常交付</v>
      </c>
      <c r="L66" s="2" t="str">
        <f>raw_order_lines!L66</f>
        <v>true</v>
      </c>
      <c r="M66" s="2" t="str">
        <f>INDEX(dim_products!$B$2:$B$21,MATCH($E66,dim_products!$A$2:$A$21,0))</f>
        <v>冬瓜</v>
      </c>
      <c r="N66" s="2" t="str">
        <f>INDEX(dim_products!$C$2:$C$21,MATCH($E66,dim_products!$A$2:$A$21,0))</f>
        <v>散装鲜菜</v>
      </c>
      <c r="O66" s="2" t="str">
        <f>INDEX(dim_customers!$B$2:$B$7,MATCH($C66,dim_customers!$A$2:$A$7,0))</f>
        <v>模拟_桥头家常菜馆</v>
      </c>
      <c r="P66" s="6">
        <f>INT((ROUND(raw_order_lines!H66*10,0)*ROUND(raw_order_lines!J66*100,0)+5)/10)/100</f>
        <v>16.100000000000001</v>
      </c>
      <c r="Q66" s="6">
        <f>INT((ROUND(raw_order_lines!I66*10,0)*ROUND(raw_order_lines!J66*100,0)+5)/10)/100</f>
        <v>0</v>
      </c>
      <c r="R66" s="6">
        <f t="shared" ref="R66:R129" si="3">$P66-$Q66</f>
        <v>16.100000000000001</v>
      </c>
      <c r="S66" s="2" t="str">
        <f>IF(OR(ROUND(raw_order_lines!I66*10,0)&gt;ROUND(raw_order_lines!H66*10,0),ROUND(raw_order_lines!H66*10,0)&gt;ROUND(raw_order_lines!G66*10,0),ROUND(raw_order_lines!G66*10,0)&lt;=0),"数量关系异常","")</f>
        <v/>
      </c>
      <c r="T66" s="2" t="str">
        <f>IF($F66&lt;&gt;INDEX(dim_products!$D$2:$D$21,MATCH($E66,dim_products!$A$2:$A$21,0)),"单位不一致","")</f>
        <v/>
      </c>
      <c r="U66" s="2" t="str">
        <f>IF(OR(ROUND(raw_order_lines!J66*100,0)&lt;ROUND(INDEX(dim_products!$F$2:$F$21,MATCH($E66,dim_products!$A$2:$A$21,0))*100,0),ROUND(raw_order_lines!J66*100,0)&gt;ROUND(INDEX(dim_products!$G$2:$G$21,MATCH($E66,dim_products!$A$2:$A$21,0))*100,0)),"单价越界","")</f>
        <v/>
      </c>
      <c r="V66" s="2" t="str">
        <f t="shared" ref="V66:V129" si="4">IF(COUNTIFS($A$2:$A$967,$A66,$B$2:$B$967,$B66)&gt;1,"主键重复","")</f>
        <v/>
      </c>
      <c r="W66" s="2" t="str">
        <f t="shared" ref="W66:W129" si="5">IF(COUNTIF($S66:$T66,"?*")+COUNTIF($V66:$V66,"?*")&gt;0,"阻断",IF(COUNTIF($U66:$U66,"?*")&gt;0,"提示","通过"))</f>
        <v>通过</v>
      </c>
    </row>
    <row r="67" spans="1:23" ht="15">
      <c r="A67" s="2" t="str">
        <f>raw_order_lines!A67</f>
        <v>SIM-20260902-C002</v>
      </c>
      <c r="B67" s="2">
        <f>raw_order_lines!B67</f>
        <v>5</v>
      </c>
      <c r="C67" s="2" t="str">
        <f>raw_order_lines!C67</f>
        <v>C002</v>
      </c>
      <c r="D67" s="3">
        <f>raw_order_lines!D67</f>
        <v>46267</v>
      </c>
      <c r="E67" s="2" t="str">
        <f>raw_order_lines!E67</f>
        <v>P001</v>
      </c>
      <c r="F67" s="2" t="str">
        <f>raw_order_lines!F67</f>
        <v>公斤</v>
      </c>
      <c r="G67" s="4">
        <f>raw_order_lines!G67</f>
        <v>5.5</v>
      </c>
      <c r="H67" s="4">
        <f>raw_order_lines!H67</f>
        <v>5.5</v>
      </c>
      <c r="I67" s="4">
        <f>raw_order_lines!I67</f>
        <v>0</v>
      </c>
      <c r="J67" s="5">
        <f>raw_order_lines!J67</f>
        <v>3.3</v>
      </c>
      <c r="K67" s="2" t="str">
        <f>raw_order_lines!K67</f>
        <v>正常交付</v>
      </c>
      <c r="L67" s="2" t="str">
        <f>raw_order_lines!L67</f>
        <v>true</v>
      </c>
      <c r="M67" s="2" t="str">
        <f>INDEX(dim_products!$B$2:$B$21,MATCH($E67,dim_products!$A$2:$A$21,0))</f>
        <v>土豆</v>
      </c>
      <c r="N67" s="2" t="str">
        <f>INDEX(dim_products!$C$2:$C$21,MATCH($E67,dim_products!$A$2:$A$21,0))</f>
        <v>散装鲜菜</v>
      </c>
      <c r="O67" s="2" t="str">
        <f>INDEX(dim_customers!$B$2:$B$7,MATCH($C67,dim_customers!$A$2:$A$7,0))</f>
        <v>模拟_桥头家常菜馆</v>
      </c>
      <c r="P67" s="6">
        <f>INT((ROUND(raw_order_lines!H67*10,0)*ROUND(raw_order_lines!J67*100,0)+5)/10)/100</f>
        <v>18.149999999999999</v>
      </c>
      <c r="Q67" s="6">
        <f>INT((ROUND(raw_order_lines!I67*10,0)*ROUND(raw_order_lines!J67*100,0)+5)/10)/100</f>
        <v>0</v>
      </c>
      <c r="R67" s="6">
        <f t="shared" si="3"/>
        <v>18.149999999999999</v>
      </c>
      <c r="S67" s="2" t="str">
        <f>IF(OR(ROUND(raw_order_lines!I67*10,0)&gt;ROUND(raw_order_lines!H67*10,0),ROUND(raw_order_lines!H67*10,0)&gt;ROUND(raw_order_lines!G67*10,0),ROUND(raw_order_lines!G67*10,0)&lt;=0),"数量关系异常","")</f>
        <v/>
      </c>
      <c r="T67" s="2" t="str">
        <f>IF($F67&lt;&gt;INDEX(dim_products!$D$2:$D$21,MATCH($E67,dim_products!$A$2:$A$21,0)),"单位不一致","")</f>
        <v/>
      </c>
      <c r="U67" s="2" t="str">
        <f>IF(OR(ROUND(raw_order_lines!J67*100,0)&lt;ROUND(INDEX(dim_products!$F$2:$F$21,MATCH($E67,dim_products!$A$2:$A$21,0))*100,0),ROUND(raw_order_lines!J67*100,0)&gt;ROUND(INDEX(dim_products!$G$2:$G$21,MATCH($E67,dim_products!$A$2:$A$21,0))*100,0)),"单价越界","")</f>
        <v/>
      </c>
      <c r="V67" s="2" t="str">
        <f t="shared" si="4"/>
        <v/>
      </c>
      <c r="W67" s="2" t="str">
        <f t="shared" si="5"/>
        <v>通过</v>
      </c>
    </row>
    <row r="68" spans="1:23" ht="15">
      <c r="A68" s="2" t="str">
        <f>raw_order_lines!A68</f>
        <v>SIM-20260902-C003</v>
      </c>
      <c r="B68" s="2">
        <f>raw_order_lines!B68</f>
        <v>1</v>
      </c>
      <c r="C68" s="2" t="str">
        <f>raw_order_lines!C68</f>
        <v>C003</v>
      </c>
      <c r="D68" s="3">
        <f>raw_order_lines!D68</f>
        <v>46267</v>
      </c>
      <c r="E68" s="2" t="str">
        <f>raw_order_lines!E68</f>
        <v>P012</v>
      </c>
      <c r="F68" s="2" t="str">
        <f>raw_order_lines!F68</f>
        <v>公斤</v>
      </c>
      <c r="G68" s="4">
        <f>raw_order_lines!G68</f>
        <v>6.8</v>
      </c>
      <c r="H68" s="4">
        <f>raw_order_lines!H68</f>
        <v>6.8</v>
      </c>
      <c r="I68" s="4">
        <f>raw_order_lines!I68</f>
        <v>0</v>
      </c>
      <c r="J68" s="5">
        <f>raw_order_lines!J68</f>
        <v>4.5999999999999996</v>
      </c>
      <c r="K68" s="2" t="str">
        <f>raw_order_lines!K68</f>
        <v>正常交付</v>
      </c>
      <c r="L68" s="2" t="str">
        <f>raw_order_lines!L68</f>
        <v>true</v>
      </c>
      <c r="M68" s="2" t="str">
        <f>INDEX(dim_products!$B$2:$B$21,MATCH($E68,dim_products!$A$2:$A$21,0))</f>
        <v>小白菜</v>
      </c>
      <c r="N68" s="2" t="str">
        <f>INDEX(dim_products!$C$2:$C$21,MATCH($E68,dim_products!$A$2:$A$21,0))</f>
        <v>散装鲜菜</v>
      </c>
      <c r="O68" s="2" t="str">
        <f>INDEX(dim_customers!$B$2:$B$7,MATCH($C68,dim_customers!$A$2:$A$7,0))</f>
        <v>模拟_兴街快餐店</v>
      </c>
      <c r="P68" s="6">
        <f>INT((ROUND(raw_order_lines!H68*10,0)*ROUND(raw_order_lines!J68*100,0)+5)/10)/100</f>
        <v>31.28</v>
      </c>
      <c r="Q68" s="6">
        <f>INT((ROUND(raw_order_lines!I68*10,0)*ROUND(raw_order_lines!J68*100,0)+5)/10)/100</f>
        <v>0</v>
      </c>
      <c r="R68" s="6">
        <f t="shared" si="3"/>
        <v>31.28</v>
      </c>
      <c r="S68" s="2" t="str">
        <f>IF(OR(ROUND(raw_order_lines!I68*10,0)&gt;ROUND(raw_order_lines!H68*10,0),ROUND(raw_order_lines!H68*10,0)&gt;ROUND(raw_order_lines!G68*10,0),ROUND(raw_order_lines!G68*10,0)&lt;=0),"数量关系异常","")</f>
        <v/>
      </c>
      <c r="T68" s="2" t="str">
        <f>IF($F68&lt;&gt;INDEX(dim_products!$D$2:$D$21,MATCH($E68,dim_products!$A$2:$A$21,0)),"单位不一致","")</f>
        <v/>
      </c>
      <c r="U68" s="2" t="str">
        <f>IF(OR(ROUND(raw_order_lines!J68*100,0)&lt;ROUND(INDEX(dim_products!$F$2:$F$21,MATCH($E68,dim_products!$A$2:$A$21,0))*100,0),ROUND(raw_order_lines!J68*100,0)&gt;ROUND(INDEX(dim_products!$G$2:$G$21,MATCH($E68,dim_products!$A$2:$A$21,0))*100,0)),"单价越界","")</f>
        <v/>
      </c>
      <c r="V68" s="2" t="str">
        <f t="shared" si="4"/>
        <v/>
      </c>
      <c r="W68" s="2" t="str">
        <f t="shared" si="5"/>
        <v>通过</v>
      </c>
    </row>
    <row r="69" spans="1:23" ht="15">
      <c r="A69" s="2" t="str">
        <f>raw_order_lines!A69</f>
        <v>SIM-20260902-C003</v>
      </c>
      <c r="B69" s="2">
        <f>raw_order_lines!B69</f>
        <v>2</v>
      </c>
      <c r="C69" s="2" t="str">
        <f>raw_order_lines!C69</f>
        <v>C003</v>
      </c>
      <c r="D69" s="3">
        <f>raw_order_lines!D69</f>
        <v>46267</v>
      </c>
      <c r="E69" s="2" t="str">
        <f>raw_order_lines!E69</f>
        <v>P009</v>
      </c>
      <c r="F69" s="2" t="str">
        <f>raw_order_lines!F69</f>
        <v>公斤</v>
      </c>
      <c r="G69" s="4">
        <f>raw_order_lines!G69</f>
        <v>5.0999999999999996</v>
      </c>
      <c r="H69" s="4">
        <f>raw_order_lines!H69</f>
        <v>5.0999999999999996</v>
      </c>
      <c r="I69" s="4">
        <f>raw_order_lines!I69</f>
        <v>0</v>
      </c>
      <c r="J69" s="5">
        <f>raw_order_lines!J69</f>
        <v>5</v>
      </c>
      <c r="K69" s="2" t="str">
        <f>raw_order_lines!K69</f>
        <v>正常交付</v>
      </c>
      <c r="L69" s="2" t="str">
        <f>raw_order_lines!L69</f>
        <v>true</v>
      </c>
      <c r="M69" s="2" t="str">
        <f>INDEX(dim_products!$B$2:$B$21,MATCH($E69,dim_products!$A$2:$A$21,0))</f>
        <v>西红柿</v>
      </c>
      <c r="N69" s="2" t="str">
        <f>INDEX(dim_products!$C$2:$C$21,MATCH($E69,dim_products!$A$2:$A$21,0))</f>
        <v>散装鲜菜</v>
      </c>
      <c r="O69" s="2" t="str">
        <f>INDEX(dim_customers!$B$2:$B$7,MATCH($C69,dim_customers!$A$2:$A$7,0))</f>
        <v>模拟_兴街快餐店</v>
      </c>
      <c r="P69" s="6">
        <f>INT((ROUND(raw_order_lines!H69*10,0)*ROUND(raw_order_lines!J69*100,0)+5)/10)/100</f>
        <v>25.5</v>
      </c>
      <c r="Q69" s="6">
        <f>INT((ROUND(raw_order_lines!I69*10,0)*ROUND(raw_order_lines!J69*100,0)+5)/10)/100</f>
        <v>0</v>
      </c>
      <c r="R69" s="6">
        <f t="shared" si="3"/>
        <v>25.5</v>
      </c>
      <c r="S69" s="2" t="str">
        <f>IF(OR(ROUND(raw_order_lines!I69*10,0)&gt;ROUND(raw_order_lines!H69*10,0),ROUND(raw_order_lines!H69*10,0)&gt;ROUND(raw_order_lines!G69*10,0),ROUND(raw_order_lines!G69*10,0)&lt;=0),"数量关系异常","")</f>
        <v/>
      </c>
      <c r="T69" s="2" t="str">
        <f>IF($F69&lt;&gt;INDEX(dim_products!$D$2:$D$21,MATCH($E69,dim_products!$A$2:$A$21,0)),"单位不一致","")</f>
        <v/>
      </c>
      <c r="U69" s="2" t="str">
        <f>IF(OR(ROUND(raw_order_lines!J69*100,0)&lt;ROUND(INDEX(dim_products!$F$2:$F$21,MATCH($E69,dim_products!$A$2:$A$21,0))*100,0),ROUND(raw_order_lines!J69*100,0)&gt;ROUND(INDEX(dim_products!$G$2:$G$21,MATCH($E69,dim_products!$A$2:$A$21,0))*100,0)),"单价越界","")</f>
        <v/>
      </c>
      <c r="V69" s="2" t="str">
        <f t="shared" si="4"/>
        <v/>
      </c>
      <c r="W69" s="2" t="str">
        <f t="shared" si="5"/>
        <v>通过</v>
      </c>
    </row>
    <row r="70" spans="1:23" ht="15">
      <c r="A70" s="2" t="str">
        <f>raw_order_lines!A70</f>
        <v>SIM-20260902-C003</v>
      </c>
      <c r="B70" s="2">
        <f>raw_order_lines!B70</f>
        <v>3</v>
      </c>
      <c r="C70" s="2" t="str">
        <f>raw_order_lines!C70</f>
        <v>C003</v>
      </c>
      <c r="D70" s="3">
        <f>raw_order_lines!D70</f>
        <v>46267</v>
      </c>
      <c r="E70" s="2" t="str">
        <f>raw_order_lines!E70</f>
        <v>P008</v>
      </c>
      <c r="F70" s="2" t="str">
        <f>raw_order_lines!F70</f>
        <v>公斤</v>
      </c>
      <c r="G70" s="4">
        <f>raw_order_lines!G70</f>
        <v>6.3</v>
      </c>
      <c r="H70" s="4">
        <f>raw_order_lines!H70</f>
        <v>6.3</v>
      </c>
      <c r="I70" s="4">
        <f>raw_order_lines!I70</f>
        <v>0</v>
      </c>
      <c r="J70" s="5">
        <f>raw_order_lines!J70</f>
        <v>4.0999999999999996</v>
      </c>
      <c r="K70" s="2" t="str">
        <f>raw_order_lines!K70</f>
        <v>正常交付</v>
      </c>
      <c r="L70" s="2" t="str">
        <f>raw_order_lines!L70</f>
        <v>true</v>
      </c>
      <c r="M70" s="2" t="str">
        <f>INDEX(dim_products!$B$2:$B$21,MATCH($E70,dim_products!$A$2:$A$21,0))</f>
        <v>黄瓜</v>
      </c>
      <c r="N70" s="2" t="str">
        <f>INDEX(dim_products!$C$2:$C$21,MATCH($E70,dim_products!$A$2:$A$21,0))</f>
        <v>散装鲜菜</v>
      </c>
      <c r="O70" s="2" t="str">
        <f>INDEX(dim_customers!$B$2:$B$7,MATCH($C70,dim_customers!$A$2:$A$7,0))</f>
        <v>模拟_兴街快餐店</v>
      </c>
      <c r="P70" s="6">
        <f>INT((ROUND(raw_order_lines!H70*10,0)*ROUND(raw_order_lines!J70*100,0)+5)/10)/100</f>
        <v>25.83</v>
      </c>
      <c r="Q70" s="6">
        <f>INT((ROUND(raw_order_lines!I70*10,0)*ROUND(raw_order_lines!J70*100,0)+5)/10)/100</f>
        <v>0</v>
      </c>
      <c r="R70" s="6">
        <f t="shared" si="3"/>
        <v>25.83</v>
      </c>
      <c r="S70" s="2" t="str">
        <f>IF(OR(ROUND(raw_order_lines!I70*10,0)&gt;ROUND(raw_order_lines!H70*10,0),ROUND(raw_order_lines!H70*10,0)&gt;ROUND(raw_order_lines!G70*10,0),ROUND(raw_order_lines!G70*10,0)&lt;=0),"数量关系异常","")</f>
        <v/>
      </c>
      <c r="T70" s="2" t="str">
        <f>IF($F70&lt;&gt;INDEX(dim_products!$D$2:$D$21,MATCH($E70,dim_products!$A$2:$A$21,0)),"单位不一致","")</f>
        <v/>
      </c>
      <c r="U70" s="2" t="str">
        <f>IF(OR(ROUND(raw_order_lines!J70*100,0)&lt;ROUND(INDEX(dim_products!$F$2:$F$21,MATCH($E70,dim_products!$A$2:$A$21,0))*100,0),ROUND(raw_order_lines!J70*100,0)&gt;ROUND(INDEX(dim_products!$G$2:$G$21,MATCH($E70,dim_products!$A$2:$A$21,0))*100,0)),"单价越界","")</f>
        <v/>
      </c>
      <c r="V70" s="2" t="str">
        <f t="shared" si="4"/>
        <v/>
      </c>
      <c r="W70" s="2" t="str">
        <f t="shared" si="5"/>
        <v>通过</v>
      </c>
    </row>
    <row r="71" spans="1:23" ht="15">
      <c r="A71" s="2" t="str">
        <f>raw_order_lines!A71</f>
        <v>SIM-20260902-C003</v>
      </c>
      <c r="B71" s="2">
        <f>raw_order_lines!B71</f>
        <v>4</v>
      </c>
      <c r="C71" s="2" t="str">
        <f>raw_order_lines!C71</f>
        <v>C003</v>
      </c>
      <c r="D71" s="3">
        <f>raw_order_lines!D71</f>
        <v>46267</v>
      </c>
      <c r="E71" s="2" t="str">
        <f>raw_order_lines!E71</f>
        <v>P003</v>
      </c>
      <c r="F71" s="2" t="str">
        <f>raw_order_lines!F71</f>
        <v>公斤</v>
      </c>
      <c r="G71" s="4">
        <f>raw_order_lines!G71</f>
        <v>6.3</v>
      </c>
      <c r="H71" s="4">
        <f>raw_order_lines!H71</f>
        <v>6.3</v>
      </c>
      <c r="I71" s="4">
        <f>raw_order_lines!I71</f>
        <v>0</v>
      </c>
      <c r="J71" s="5">
        <f>raw_order_lines!J71</f>
        <v>3.3</v>
      </c>
      <c r="K71" s="2" t="str">
        <f>raw_order_lines!K71</f>
        <v>正常交付</v>
      </c>
      <c r="L71" s="2" t="str">
        <f>raw_order_lines!L71</f>
        <v>true</v>
      </c>
      <c r="M71" s="2" t="str">
        <f>INDEX(dim_products!$B$2:$B$21,MATCH($E71,dim_products!$A$2:$A$21,0))</f>
        <v>包菜</v>
      </c>
      <c r="N71" s="2" t="str">
        <f>INDEX(dim_products!$C$2:$C$21,MATCH($E71,dim_products!$A$2:$A$21,0))</f>
        <v>散装鲜菜</v>
      </c>
      <c r="O71" s="2" t="str">
        <f>INDEX(dim_customers!$B$2:$B$7,MATCH($C71,dim_customers!$A$2:$A$7,0))</f>
        <v>模拟_兴街快餐店</v>
      </c>
      <c r="P71" s="6">
        <f>INT((ROUND(raw_order_lines!H71*10,0)*ROUND(raw_order_lines!J71*100,0)+5)/10)/100</f>
        <v>20.79</v>
      </c>
      <c r="Q71" s="6">
        <f>INT((ROUND(raw_order_lines!I71*10,0)*ROUND(raw_order_lines!J71*100,0)+5)/10)/100</f>
        <v>0</v>
      </c>
      <c r="R71" s="6">
        <f t="shared" si="3"/>
        <v>20.79</v>
      </c>
      <c r="S71" s="2" t="str">
        <f>IF(OR(ROUND(raw_order_lines!I71*10,0)&gt;ROUND(raw_order_lines!H71*10,0),ROUND(raw_order_lines!H71*10,0)&gt;ROUND(raw_order_lines!G71*10,0),ROUND(raw_order_lines!G71*10,0)&lt;=0),"数量关系异常","")</f>
        <v/>
      </c>
      <c r="T71" s="2" t="str">
        <f>IF($F71&lt;&gt;INDEX(dim_products!$D$2:$D$21,MATCH($E71,dim_products!$A$2:$A$21,0)),"单位不一致","")</f>
        <v/>
      </c>
      <c r="U71" s="2" t="str">
        <f>IF(OR(ROUND(raw_order_lines!J71*100,0)&lt;ROUND(INDEX(dim_products!$F$2:$F$21,MATCH($E71,dim_products!$A$2:$A$21,0))*100,0),ROUND(raw_order_lines!J71*100,0)&gt;ROUND(INDEX(dim_products!$G$2:$G$21,MATCH($E71,dim_products!$A$2:$A$21,0))*100,0)),"单价越界","")</f>
        <v/>
      </c>
      <c r="V71" s="2" t="str">
        <f t="shared" si="4"/>
        <v/>
      </c>
      <c r="W71" s="2" t="str">
        <f t="shared" si="5"/>
        <v>通过</v>
      </c>
    </row>
    <row r="72" spans="1:23" ht="15">
      <c r="A72" s="2" t="str">
        <f>raw_order_lines!A72</f>
        <v>SIM-20260902-C003</v>
      </c>
      <c r="B72" s="2">
        <f>raw_order_lines!B72</f>
        <v>5</v>
      </c>
      <c r="C72" s="2" t="str">
        <f>raw_order_lines!C72</f>
        <v>C003</v>
      </c>
      <c r="D72" s="3">
        <f>raw_order_lines!D72</f>
        <v>46267</v>
      </c>
      <c r="E72" s="2" t="str">
        <f>raw_order_lines!E72</f>
        <v>P001</v>
      </c>
      <c r="F72" s="2" t="str">
        <f>raw_order_lines!F72</f>
        <v>公斤</v>
      </c>
      <c r="G72" s="4">
        <f>raw_order_lines!G72</f>
        <v>8</v>
      </c>
      <c r="H72" s="4">
        <f>raw_order_lines!H72</f>
        <v>8</v>
      </c>
      <c r="I72" s="4">
        <f>raw_order_lines!I72</f>
        <v>0</v>
      </c>
      <c r="J72" s="5">
        <f>raw_order_lines!J72</f>
        <v>3.3</v>
      </c>
      <c r="K72" s="2" t="str">
        <f>raw_order_lines!K72</f>
        <v>正常交付</v>
      </c>
      <c r="L72" s="2" t="str">
        <f>raw_order_lines!L72</f>
        <v>true</v>
      </c>
      <c r="M72" s="2" t="str">
        <f>INDEX(dim_products!$B$2:$B$21,MATCH($E72,dim_products!$A$2:$A$21,0))</f>
        <v>土豆</v>
      </c>
      <c r="N72" s="2" t="str">
        <f>INDEX(dim_products!$C$2:$C$21,MATCH($E72,dim_products!$A$2:$A$21,0))</f>
        <v>散装鲜菜</v>
      </c>
      <c r="O72" s="2" t="str">
        <f>INDEX(dim_customers!$B$2:$B$7,MATCH($C72,dim_customers!$A$2:$A$7,0))</f>
        <v>模拟_兴街快餐店</v>
      </c>
      <c r="P72" s="6">
        <f>INT((ROUND(raw_order_lines!H72*10,0)*ROUND(raw_order_lines!J72*100,0)+5)/10)/100</f>
        <v>26.4</v>
      </c>
      <c r="Q72" s="6">
        <f>INT((ROUND(raw_order_lines!I72*10,0)*ROUND(raw_order_lines!J72*100,0)+5)/10)/100</f>
        <v>0</v>
      </c>
      <c r="R72" s="6">
        <f t="shared" si="3"/>
        <v>26.4</v>
      </c>
      <c r="S72" s="2" t="str">
        <f>IF(OR(ROUND(raw_order_lines!I72*10,0)&gt;ROUND(raw_order_lines!H72*10,0),ROUND(raw_order_lines!H72*10,0)&gt;ROUND(raw_order_lines!G72*10,0),ROUND(raw_order_lines!G72*10,0)&lt;=0),"数量关系异常","")</f>
        <v/>
      </c>
      <c r="T72" s="2" t="str">
        <f>IF($F72&lt;&gt;INDEX(dim_products!$D$2:$D$21,MATCH($E72,dim_products!$A$2:$A$21,0)),"单位不一致","")</f>
        <v/>
      </c>
      <c r="U72" s="2" t="str">
        <f>IF(OR(ROUND(raw_order_lines!J72*100,0)&lt;ROUND(INDEX(dim_products!$F$2:$F$21,MATCH($E72,dim_products!$A$2:$A$21,0))*100,0),ROUND(raw_order_lines!J72*100,0)&gt;ROUND(INDEX(dim_products!$G$2:$G$21,MATCH($E72,dim_products!$A$2:$A$21,0))*100,0)),"单价越界","")</f>
        <v/>
      </c>
      <c r="V72" s="2" t="str">
        <f t="shared" si="4"/>
        <v/>
      </c>
      <c r="W72" s="2" t="str">
        <f t="shared" si="5"/>
        <v>通过</v>
      </c>
    </row>
    <row r="73" spans="1:23" ht="15">
      <c r="A73" s="2" t="str">
        <f>raw_order_lines!A73</f>
        <v>SIM-20260902-C003</v>
      </c>
      <c r="B73" s="2">
        <f>raw_order_lines!B73</f>
        <v>6</v>
      </c>
      <c r="C73" s="2" t="str">
        <f>raw_order_lines!C73</f>
        <v>C003</v>
      </c>
      <c r="D73" s="3">
        <f>raw_order_lines!D73</f>
        <v>46267</v>
      </c>
      <c r="E73" s="2" t="str">
        <f>raw_order_lines!E73</f>
        <v>P007</v>
      </c>
      <c r="F73" s="2" t="str">
        <f>raw_order_lines!F73</f>
        <v>公斤</v>
      </c>
      <c r="G73" s="4">
        <f>raw_order_lines!G73</f>
        <v>5.7</v>
      </c>
      <c r="H73" s="4">
        <f>raw_order_lines!H73</f>
        <v>5.7</v>
      </c>
      <c r="I73" s="4">
        <f>raw_order_lines!I73</f>
        <v>0</v>
      </c>
      <c r="J73" s="5">
        <f>raw_order_lines!J73</f>
        <v>5.15</v>
      </c>
      <c r="K73" s="2" t="str">
        <f>raw_order_lines!K73</f>
        <v>正常交付</v>
      </c>
      <c r="L73" s="2" t="str">
        <f>raw_order_lines!L73</f>
        <v>true</v>
      </c>
      <c r="M73" s="2" t="str">
        <f>INDEX(dim_products!$B$2:$B$21,MATCH($E73,dim_products!$A$2:$A$21,0))</f>
        <v>青椒</v>
      </c>
      <c r="N73" s="2" t="str">
        <f>INDEX(dim_products!$C$2:$C$21,MATCH($E73,dim_products!$A$2:$A$21,0))</f>
        <v>散装鲜菜</v>
      </c>
      <c r="O73" s="2" t="str">
        <f>INDEX(dim_customers!$B$2:$B$7,MATCH($C73,dim_customers!$A$2:$A$7,0))</f>
        <v>模拟_兴街快餐店</v>
      </c>
      <c r="P73" s="6">
        <f>INT((ROUND(raw_order_lines!H73*10,0)*ROUND(raw_order_lines!J73*100,0)+5)/10)/100</f>
        <v>29.36</v>
      </c>
      <c r="Q73" s="6">
        <f>INT((ROUND(raw_order_lines!I73*10,0)*ROUND(raw_order_lines!J73*100,0)+5)/10)/100</f>
        <v>0</v>
      </c>
      <c r="R73" s="6">
        <f t="shared" si="3"/>
        <v>29.36</v>
      </c>
      <c r="S73" s="2" t="str">
        <f>IF(OR(ROUND(raw_order_lines!I73*10,0)&gt;ROUND(raw_order_lines!H73*10,0),ROUND(raw_order_lines!H73*10,0)&gt;ROUND(raw_order_lines!G73*10,0),ROUND(raw_order_lines!G73*10,0)&lt;=0),"数量关系异常","")</f>
        <v/>
      </c>
      <c r="T73" s="2" t="str">
        <f>IF($F73&lt;&gt;INDEX(dim_products!$D$2:$D$21,MATCH($E73,dim_products!$A$2:$A$21,0)),"单位不一致","")</f>
        <v/>
      </c>
      <c r="U73" s="2" t="str">
        <f>IF(OR(ROUND(raw_order_lines!J73*100,0)&lt;ROUND(INDEX(dim_products!$F$2:$F$21,MATCH($E73,dim_products!$A$2:$A$21,0))*100,0),ROUND(raw_order_lines!J73*100,0)&gt;ROUND(INDEX(dim_products!$G$2:$G$21,MATCH($E73,dim_products!$A$2:$A$21,0))*100,0)),"单价越界","")</f>
        <v/>
      </c>
      <c r="V73" s="2" t="str">
        <f t="shared" si="4"/>
        <v/>
      </c>
      <c r="W73" s="2" t="str">
        <f t="shared" si="5"/>
        <v>通过</v>
      </c>
    </row>
    <row r="74" spans="1:23" ht="15">
      <c r="A74" s="2" t="str">
        <f>raw_order_lines!A74</f>
        <v>SIM-20260902-C005</v>
      </c>
      <c r="B74" s="2">
        <f>raw_order_lines!B74</f>
        <v>1</v>
      </c>
      <c r="C74" s="2" t="str">
        <f>raw_order_lines!C74</f>
        <v>C005</v>
      </c>
      <c r="D74" s="3">
        <f>raw_order_lines!D74</f>
        <v>46267</v>
      </c>
      <c r="E74" s="2" t="str">
        <f>raw_order_lines!E74</f>
        <v>P012</v>
      </c>
      <c r="F74" s="2" t="str">
        <f>raw_order_lines!F74</f>
        <v>公斤</v>
      </c>
      <c r="G74" s="4">
        <f>raw_order_lines!G74</f>
        <v>11.4</v>
      </c>
      <c r="H74" s="4">
        <f>raw_order_lines!H74</f>
        <v>11.4</v>
      </c>
      <c r="I74" s="4">
        <f>raw_order_lines!I74</f>
        <v>0</v>
      </c>
      <c r="J74" s="5">
        <f>raw_order_lines!J74</f>
        <v>4.5999999999999996</v>
      </c>
      <c r="K74" s="2" t="str">
        <f>raw_order_lines!K74</f>
        <v>正常交付</v>
      </c>
      <c r="L74" s="2" t="str">
        <f>raw_order_lines!L74</f>
        <v>true</v>
      </c>
      <c r="M74" s="2" t="str">
        <f>INDEX(dim_products!$B$2:$B$21,MATCH($E74,dim_products!$A$2:$A$21,0))</f>
        <v>小白菜</v>
      </c>
      <c r="N74" s="2" t="str">
        <f>INDEX(dim_products!$C$2:$C$21,MATCH($E74,dim_products!$A$2:$A$21,0))</f>
        <v>散装鲜菜</v>
      </c>
      <c r="O74" s="2" t="str">
        <f>INDEX(dim_customers!$B$2:$B$7,MATCH($C74,dim_customers!$A$2:$A$7,0))</f>
        <v>模拟_青禾小学食堂</v>
      </c>
      <c r="P74" s="6">
        <f>INT((ROUND(raw_order_lines!H74*10,0)*ROUND(raw_order_lines!J74*100,0)+5)/10)/100</f>
        <v>52.44</v>
      </c>
      <c r="Q74" s="6">
        <f>INT((ROUND(raw_order_lines!I74*10,0)*ROUND(raw_order_lines!J74*100,0)+5)/10)/100</f>
        <v>0</v>
      </c>
      <c r="R74" s="6">
        <f t="shared" si="3"/>
        <v>52.44</v>
      </c>
      <c r="S74" s="2" t="str">
        <f>IF(OR(ROUND(raw_order_lines!I74*10,0)&gt;ROUND(raw_order_lines!H74*10,0),ROUND(raw_order_lines!H74*10,0)&gt;ROUND(raw_order_lines!G74*10,0),ROUND(raw_order_lines!G74*10,0)&lt;=0),"数量关系异常","")</f>
        <v/>
      </c>
      <c r="T74" s="2" t="str">
        <f>IF($F74&lt;&gt;INDEX(dim_products!$D$2:$D$21,MATCH($E74,dim_products!$A$2:$A$21,0)),"单位不一致","")</f>
        <v/>
      </c>
      <c r="U74" s="2" t="str">
        <f>IF(OR(ROUND(raw_order_lines!J74*100,0)&lt;ROUND(INDEX(dim_products!$F$2:$F$21,MATCH($E74,dim_products!$A$2:$A$21,0))*100,0),ROUND(raw_order_lines!J74*100,0)&gt;ROUND(INDEX(dim_products!$G$2:$G$21,MATCH($E74,dim_products!$A$2:$A$21,0))*100,0)),"单价越界","")</f>
        <v/>
      </c>
      <c r="V74" s="2" t="str">
        <f t="shared" si="4"/>
        <v/>
      </c>
      <c r="W74" s="2" t="str">
        <f t="shared" si="5"/>
        <v>通过</v>
      </c>
    </row>
    <row r="75" spans="1:23" ht="15">
      <c r="A75" s="2" t="str">
        <f>raw_order_lines!A75</f>
        <v>SIM-20260902-C005</v>
      </c>
      <c r="B75" s="2">
        <f>raw_order_lines!B75</f>
        <v>2</v>
      </c>
      <c r="C75" s="2" t="str">
        <f>raw_order_lines!C75</f>
        <v>C005</v>
      </c>
      <c r="D75" s="3">
        <f>raw_order_lines!D75</f>
        <v>46267</v>
      </c>
      <c r="E75" s="2" t="str">
        <f>raw_order_lines!E75</f>
        <v>P006</v>
      </c>
      <c r="F75" s="2" t="str">
        <f>raw_order_lines!F75</f>
        <v>公斤</v>
      </c>
      <c r="G75" s="4">
        <f>raw_order_lines!G75</f>
        <v>15.2</v>
      </c>
      <c r="H75" s="4">
        <f>raw_order_lines!H75</f>
        <v>15.2</v>
      </c>
      <c r="I75" s="4">
        <f>raw_order_lines!I75</f>
        <v>0</v>
      </c>
      <c r="J75" s="5">
        <f>raw_order_lines!J75</f>
        <v>4.5999999999999996</v>
      </c>
      <c r="K75" s="2" t="str">
        <f>raw_order_lines!K75</f>
        <v>正常交付</v>
      </c>
      <c r="L75" s="2" t="str">
        <f>raw_order_lines!L75</f>
        <v>true</v>
      </c>
      <c r="M75" s="2" t="str">
        <f>INDEX(dim_products!$B$2:$B$21,MATCH($E75,dim_products!$A$2:$A$21,0))</f>
        <v>茄子</v>
      </c>
      <c r="N75" s="2" t="str">
        <f>INDEX(dim_products!$C$2:$C$21,MATCH($E75,dim_products!$A$2:$A$21,0))</f>
        <v>散装鲜菜</v>
      </c>
      <c r="O75" s="2" t="str">
        <f>INDEX(dim_customers!$B$2:$B$7,MATCH($C75,dim_customers!$A$2:$A$7,0))</f>
        <v>模拟_青禾小学食堂</v>
      </c>
      <c r="P75" s="6">
        <f>INT((ROUND(raw_order_lines!H75*10,0)*ROUND(raw_order_lines!J75*100,0)+5)/10)/100</f>
        <v>69.92</v>
      </c>
      <c r="Q75" s="6">
        <f>INT((ROUND(raw_order_lines!I75*10,0)*ROUND(raw_order_lines!J75*100,0)+5)/10)/100</f>
        <v>0</v>
      </c>
      <c r="R75" s="6">
        <f t="shared" si="3"/>
        <v>69.92</v>
      </c>
      <c r="S75" s="2" t="str">
        <f>IF(OR(ROUND(raw_order_lines!I75*10,0)&gt;ROUND(raw_order_lines!H75*10,0),ROUND(raw_order_lines!H75*10,0)&gt;ROUND(raw_order_lines!G75*10,0),ROUND(raw_order_lines!G75*10,0)&lt;=0),"数量关系异常","")</f>
        <v/>
      </c>
      <c r="T75" s="2" t="str">
        <f>IF($F75&lt;&gt;INDEX(dim_products!$D$2:$D$21,MATCH($E75,dim_products!$A$2:$A$21,0)),"单位不一致","")</f>
        <v/>
      </c>
      <c r="U75" s="2" t="str">
        <f>IF(OR(ROUND(raw_order_lines!J75*100,0)&lt;ROUND(INDEX(dim_products!$F$2:$F$21,MATCH($E75,dim_products!$A$2:$A$21,0))*100,0),ROUND(raw_order_lines!J75*100,0)&gt;ROUND(INDEX(dim_products!$G$2:$G$21,MATCH($E75,dim_products!$A$2:$A$21,0))*100,0)),"单价越界","")</f>
        <v/>
      </c>
      <c r="V75" s="2" t="str">
        <f t="shared" si="4"/>
        <v/>
      </c>
      <c r="W75" s="2" t="str">
        <f t="shared" si="5"/>
        <v>通过</v>
      </c>
    </row>
    <row r="76" spans="1:23" ht="15">
      <c r="A76" s="2" t="str">
        <f>raw_order_lines!A76</f>
        <v>SIM-20260902-C005</v>
      </c>
      <c r="B76" s="2">
        <f>raw_order_lines!B76</f>
        <v>3</v>
      </c>
      <c r="C76" s="2" t="str">
        <f>raw_order_lines!C76</f>
        <v>C005</v>
      </c>
      <c r="D76" s="3">
        <f>raw_order_lines!D76</f>
        <v>46267</v>
      </c>
      <c r="E76" s="2" t="str">
        <f>raw_order_lines!E76</f>
        <v>P013</v>
      </c>
      <c r="F76" s="2" t="str">
        <f>raw_order_lines!F76</f>
        <v>公斤</v>
      </c>
      <c r="G76" s="4">
        <f>raw_order_lines!G76</f>
        <v>7.6</v>
      </c>
      <c r="H76" s="4">
        <f>raw_order_lines!H76</f>
        <v>7.6</v>
      </c>
      <c r="I76" s="4">
        <f>raw_order_lines!I76</f>
        <v>0</v>
      </c>
      <c r="J76" s="5">
        <f>raw_order_lines!J76</f>
        <v>6.3</v>
      </c>
      <c r="K76" s="2" t="str">
        <f>raw_order_lines!K76</f>
        <v>正常交付</v>
      </c>
      <c r="L76" s="2" t="str">
        <f>raw_order_lines!L76</f>
        <v>true</v>
      </c>
      <c r="M76" s="2" t="str">
        <f>INDEX(dim_products!$B$2:$B$21,MATCH($E76,dim_products!$A$2:$A$21,0))</f>
        <v>豇豆</v>
      </c>
      <c r="N76" s="2" t="str">
        <f>INDEX(dim_products!$C$2:$C$21,MATCH($E76,dim_products!$A$2:$A$21,0))</f>
        <v>散装鲜菜</v>
      </c>
      <c r="O76" s="2" t="str">
        <f>INDEX(dim_customers!$B$2:$B$7,MATCH($C76,dim_customers!$A$2:$A$7,0))</f>
        <v>模拟_青禾小学食堂</v>
      </c>
      <c r="P76" s="6">
        <f>INT((ROUND(raw_order_lines!H76*10,0)*ROUND(raw_order_lines!J76*100,0)+5)/10)/100</f>
        <v>47.88</v>
      </c>
      <c r="Q76" s="6">
        <f>INT((ROUND(raw_order_lines!I76*10,0)*ROUND(raw_order_lines!J76*100,0)+5)/10)/100</f>
        <v>0</v>
      </c>
      <c r="R76" s="6">
        <f t="shared" si="3"/>
        <v>47.88</v>
      </c>
      <c r="S76" s="2" t="str">
        <f>IF(OR(ROUND(raw_order_lines!I76*10,0)&gt;ROUND(raw_order_lines!H76*10,0),ROUND(raw_order_lines!H76*10,0)&gt;ROUND(raw_order_lines!G76*10,0),ROUND(raw_order_lines!G76*10,0)&lt;=0),"数量关系异常","")</f>
        <v/>
      </c>
      <c r="T76" s="2" t="str">
        <f>IF($F76&lt;&gt;INDEX(dim_products!$D$2:$D$21,MATCH($E76,dim_products!$A$2:$A$21,0)),"单位不一致","")</f>
        <v/>
      </c>
      <c r="U76" s="2" t="str">
        <f>IF(OR(ROUND(raw_order_lines!J76*100,0)&lt;ROUND(INDEX(dim_products!$F$2:$F$21,MATCH($E76,dim_products!$A$2:$A$21,0))*100,0),ROUND(raw_order_lines!J76*100,0)&gt;ROUND(INDEX(dim_products!$G$2:$G$21,MATCH($E76,dim_products!$A$2:$A$21,0))*100,0)),"单价越界","")</f>
        <v/>
      </c>
      <c r="V76" s="2" t="str">
        <f t="shared" si="4"/>
        <v/>
      </c>
      <c r="W76" s="2" t="str">
        <f t="shared" si="5"/>
        <v>通过</v>
      </c>
    </row>
    <row r="77" spans="1:23" ht="15">
      <c r="A77" s="2" t="str">
        <f>raw_order_lines!A77</f>
        <v>SIM-20260902-C005</v>
      </c>
      <c r="B77" s="2">
        <f>raw_order_lines!B77</f>
        <v>4</v>
      </c>
      <c r="C77" s="2" t="str">
        <f>raw_order_lines!C77</f>
        <v>C005</v>
      </c>
      <c r="D77" s="3">
        <f>raw_order_lines!D77</f>
        <v>46267</v>
      </c>
      <c r="E77" s="2" t="str">
        <f>raw_order_lines!E77</f>
        <v>P004</v>
      </c>
      <c r="F77" s="2" t="str">
        <f>raw_order_lines!F77</f>
        <v>公斤</v>
      </c>
      <c r="G77" s="4">
        <f>raw_order_lines!G77</f>
        <v>8.6</v>
      </c>
      <c r="H77" s="4">
        <f>raw_order_lines!H77</f>
        <v>8.6</v>
      </c>
      <c r="I77" s="4">
        <f>raw_order_lines!I77</f>
        <v>0</v>
      </c>
      <c r="J77" s="5">
        <f>raw_order_lines!J77</f>
        <v>2.2999999999999998</v>
      </c>
      <c r="K77" s="2" t="str">
        <f>raw_order_lines!K77</f>
        <v>正常交付</v>
      </c>
      <c r="L77" s="2" t="str">
        <f>raw_order_lines!L77</f>
        <v>true</v>
      </c>
      <c r="M77" s="2" t="str">
        <f>INDEX(dim_products!$B$2:$B$21,MATCH($E77,dim_products!$A$2:$A$21,0))</f>
        <v>冬瓜</v>
      </c>
      <c r="N77" s="2" t="str">
        <f>INDEX(dim_products!$C$2:$C$21,MATCH($E77,dim_products!$A$2:$A$21,0))</f>
        <v>散装鲜菜</v>
      </c>
      <c r="O77" s="2" t="str">
        <f>INDEX(dim_customers!$B$2:$B$7,MATCH($C77,dim_customers!$A$2:$A$7,0))</f>
        <v>模拟_青禾小学食堂</v>
      </c>
      <c r="P77" s="6">
        <f>INT((ROUND(raw_order_lines!H77*10,0)*ROUND(raw_order_lines!J77*100,0)+5)/10)/100</f>
        <v>19.78</v>
      </c>
      <c r="Q77" s="6">
        <f>INT((ROUND(raw_order_lines!I77*10,0)*ROUND(raw_order_lines!J77*100,0)+5)/10)/100</f>
        <v>0</v>
      </c>
      <c r="R77" s="6">
        <f t="shared" si="3"/>
        <v>19.78</v>
      </c>
      <c r="S77" s="2" t="str">
        <f>IF(OR(ROUND(raw_order_lines!I77*10,0)&gt;ROUND(raw_order_lines!H77*10,0),ROUND(raw_order_lines!H77*10,0)&gt;ROUND(raw_order_lines!G77*10,0),ROUND(raw_order_lines!G77*10,0)&lt;=0),"数量关系异常","")</f>
        <v/>
      </c>
      <c r="T77" s="2" t="str">
        <f>IF($F77&lt;&gt;INDEX(dim_products!$D$2:$D$21,MATCH($E77,dim_products!$A$2:$A$21,0)),"单位不一致","")</f>
        <v/>
      </c>
      <c r="U77" s="2" t="str">
        <f>IF(OR(ROUND(raw_order_lines!J77*100,0)&lt;ROUND(INDEX(dim_products!$F$2:$F$21,MATCH($E77,dim_products!$A$2:$A$21,0))*100,0),ROUND(raw_order_lines!J77*100,0)&gt;ROUND(INDEX(dim_products!$G$2:$G$21,MATCH($E77,dim_products!$A$2:$A$21,0))*100,0)),"单价越界","")</f>
        <v/>
      </c>
      <c r="V77" s="2" t="str">
        <f t="shared" si="4"/>
        <v/>
      </c>
      <c r="W77" s="2" t="str">
        <f t="shared" si="5"/>
        <v>通过</v>
      </c>
    </row>
    <row r="78" spans="1:23" ht="15">
      <c r="A78" s="2" t="str">
        <f>raw_order_lines!A78</f>
        <v>SIM-20260902-C005</v>
      </c>
      <c r="B78" s="2">
        <f>raw_order_lines!B78</f>
        <v>5</v>
      </c>
      <c r="C78" s="2" t="str">
        <f>raw_order_lines!C78</f>
        <v>C005</v>
      </c>
      <c r="D78" s="3">
        <f>raw_order_lines!D78</f>
        <v>46267</v>
      </c>
      <c r="E78" s="2" t="str">
        <f>raw_order_lines!E78</f>
        <v>P002</v>
      </c>
      <c r="F78" s="2" t="str">
        <f>raw_order_lines!F78</f>
        <v>公斤</v>
      </c>
      <c r="G78" s="4">
        <f>raw_order_lines!G78</f>
        <v>12.4</v>
      </c>
      <c r="H78" s="4">
        <f>raw_order_lines!H78</f>
        <v>12.4</v>
      </c>
      <c r="I78" s="4">
        <f>raw_order_lines!I78</f>
        <v>0</v>
      </c>
      <c r="J78" s="5">
        <f>raw_order_lines!J78</f>
        <v>2.2999999999999998</v>
      </c>
      <c r="K78" s="2" t="str">
        <f>raw_order_lines!K78</f>
        <v>正常交付</v>
      </c>
      <c r="L78" s="2" t="str">
        <f>raw_order_lines!L78</f>
        <v>true</v>
      </c>
      <c r="M78" s="2" t="str">
        <f>INDEX(dim_products!$B$2:$B$21,MATCH($E78,dim_products!$A$2:$A$21,0))</f>
        <v>白萝卜</v>
      </c>
      <c r="N78" s="2" t="str">
        <f>INDEX(dim_products!$C$2:$C$21,MATCH($E78,dim_products!$A$2:$A$21,0))</f>
        <v>散装鲜菜</v>
      </c>
      <c r="O78" s="2" t="str">
        <f>INDEX(dim_customers!$B$2:$B$7,MATCH($C78,dim_customers!$A$2:$A$7,0))</f>
        <v>模拟_青禾小学食堂</v>
      </c>
      <c r="P78" s="6">
        <f>INT((ROUND(raw_order_lines!H78*10,0)*ROUND(raw_order_lines!J78*100,0)+5)/10)/100</f>
        <v>28.52</v>
      </c>
      <c r="Q78" s="6">
        <f>INT((ROUND(raw_order_lines!I78*10,0)*ROUND(raw_order_lines!J78*100,0)+5)/10)/100</f>
        <v>0</v>
      </c>
      <c r="R78" s="6">
        <f t="shared" si="3"/>
        <v>28.52</v>
      </c>
      <c r="S78" s="2" t="str">
        <f>IF(OR(ROUND(raw_order_lines!I78*10,0)&gt;ROUND(raw_order_lines!H78*10,0),ROUND(raw_order_lines!H78*10,0)&gt;ROUND(raw_order_lines!G78*10,0),ROUND(raw_order_lines!G78*10,0)&lt;=0),"数量关系异常","")</f>
        <v/>
      </c>
      <c r="T78" s="2" t="str">
        <f>IF($F78&lt;&gt;INDEX(dim_products!$D$2:$D$21,MATCH($E78,dim_products!$A$2:$A$21,0)),"单位不一致","")</f>
        <v/>
      </c>
      <c r="U78" s="2" t="str">
        <f>IF(OR(ROUND(raw_order_lines!J78*100,0)&lt;ROUND(INDEX(dim_products!$F$2:$F$21,MATCH($E78,dim_products!$A$2:$A$21,0))*100,0),ROUND(raw_order_lines!J78*100,0)&gt;ROUND(INDEX(dim_products!$G$2:$G$21,MATCH($E78,dim_products!$A$2:$A$21,0))*100,0)),"单价越界","")</f>
        <v/>
      </c>
      <c r="V78" s="2" t="str">
        <f t="shared" si="4"/>
        <v/>
      </c>
      <c r="W78" s="2" t="str">
        <f t="shared" si="5"/>
        <v>通过</v>
      </c>
    </row>
    <row r="79" spans="1:23" ht="15">
      <c r="A79" s="2" t="str">
        <f>raw_order_lines!A79</f>
        <v>SIM-20260902-C005</v>
      </c>
      <c r="B79" s="2">
        <f>raw_order_lines!B79</f>
        <v>6</v>
      </c>
      <c r="C79" s="2" t="str">
        <f>raw_order_lines!C79</f>
        <v>C005</v>
      </c>
      <c r="D79" s="3">
        <f>raw_order_lines!D79</f>
        <v>46267</v>
      </c>
      <c r="E79" s="2" t="str">
        <f>raw_order_lines!E79</f>
        <v>P001</v>
      </c>
      <c r="F79" s="2" t="str">
        <f>raw_order_lines!F79</f>
        <v>公斤</v>
      </c>
      <c r="G79" s="4">
        <f>raw_order_lines!G79</f>
        <v>10.5</v>
      </c>
      <c r="H79" s="4">
        <f>raw_order_lines!H79</f>
        <v>10.5</v>
      </c>
      <c r="I79" s="4">
        <f>raw_order_lines!I79</f>
        <v>0</v>
      </c>
      <c r="J79" s="5">
        <f>raw_order_lines!J79</f>
        <v>3.3</v>
      </c>
      <c r="K79" s="2" t="str">
        <f>raw_order_lines!K79</f>
        <v>正常交付</v>
      </c>
      <c r="L79" s="2" t="str">
        <f>raw_order_lines!L79</f>
        <v>true</v>
      </c>
      <c r="M79" s="2" t="str">
        <f>INDEX(dim_products!$B$2:$B$21,MATCH($E79,dim_products!$A$2:$A$21,0))</f>
        <v>土豆</v>
      </c>
      <c r="N79" s="2" t="str">
        <f>INDEX(dim_products!$C$2:$C$21,MATCH($E79,dim_products!$A$2:$A$21,0))</f>
        <v>散装鲜菜</v>
      </c>
      <c r="O79" s="2" t="str">
        <f>INDEX(dim_customers!$B$2:$B$7,MATCH($C79,dim_customers!$A$2:$A$7,0))</f>
        <v>模拟_青禾小学食堂</v>
      </c>
      <c r="P79" s="6">
        <f>INT((ROUND(raw_order_lines!H79*10,0)*ROUND(raw_order_lines!J79*100,0)+5)/10)/100</f>
        <v>34.65</v>
      </c>
      <c r="Q79" s="6">
        <f>INT((ROUND(raw_order_lines!I79*10,0)*ROUND(raw_order_lines!J79*100,0)+5)/10)/100</f>
        <v>0</v>
      </c>
      <c r="R79" s="6">
        <f t="shared" si="3"/>
        <v>34.65</v>
      </c>
      <c r="S79" s="2" t="str">
        <f>IF(OR(ROUND(raw_order_lines!I79*10,0)&gt;ROUND(raw_order_lines!H79*10,0),ROUND(raw_order_lines!H79*10,0)&gt;ROUND(raw_order_lines!G79*10,0),ROUND(raw_order_lines!G79*10,0)&lt;=0),"数量关系异常","")</f>
        <v/>
      </c>
      <c r="T79" s="2" t="str">
        <f>IF($F79&lt;&gt;INDEX(dim_products!$D$2:$D$21,MATCH($E79,dim_products!$A$2:$A$21,0)),"单位不一致","")</f>
        <v/>
      </c>
      <c r="U79" s="2" t="str">
        <f>IF(OR(ROUND(raw_order_lines!J79*100,0)&lt;ROUND(INDEX(dim_products!$F$2:$F$21,MATCH($E79,dim_products!$A$2:$A$21,0))*100,0),ROUND(raw_order_lines!J79*100,0)&gt;ROUND(INDEX(dim_products!$G$2:$G$21,MATCH($E79,dim_products!$A$2:$A$21,0))*100,0)),"单价越界","")</f>
        <v/>
      </c>
      <c r="V79" s="2" t="str">
        <f t="shared" si="4"/>
        <v/>
      </c>
      <c r="W79" s="2" t="str">
        <f t="shared" si="5"/>
        <v>通过</v>
      </c>
    </row>
    <row r="80" spans="1:23" ht="15">
      <c r="A80" s="2" t="str">
        <f>raw_order_lines!A80</f>
        <v>SIM-20260902-C006</v>
      </c>
      <c r="B80" s="2">
        <f>raw_order_lines!B80</f>
        <v>1</v>
      </c>
      <c r="C80" s="2" t="str">
        <f>raw_order_lines!C80</f>
        <v>C006</v>
      </c>
      <c r="D80" s="3">
        <f>raw_order_lines!D80</f>
        <v>46267</v>
      </c>
      <c r="E80" s="2" t="str">
        <f>raw_order_lines!E80</f>
        <v>P010</v>
      </c>
      <c r="F80" s="2" t="str">
        <f>raw_order_lines!F80</f>
        <v>公斤</v>
      </c>
      <c r="G80" s="4">
        <f>raw_order_lines!G80</f>
        <v>9</v>
      </c>
      <c r="H80" s="4">
        <f>raw_order_lines!H80</f>
        <v>9</v>
      </c>
      <c r="I80" s="4">
        <f>raw_order_lines!I80</f>
        <v>0</v>
      </c>
      <c r="J80" s="5">
        <f>raw_order_lines!J80</f>
        <v>5</v>
      </c>
      <c r="K80" s="2" t="str">
        <f>raw_order_lines!K80</f>
        <v>正常交付</v>
      </c>
      <c r="L80" s="2" t="str">
        <f>raw_order_lines!L80</f>
        <v>true</v>
      </c>
      <c r="M80" s="2" t="str">
        <f>INDEX(dim_products!$B$2:$B$21,MATCH($E80,dim_products!$A$2:$A$21,0))</f>
        <v>空心菜</v>
      </c>
      <c r="N80" s="2" t="str">
        <f>INDEX(dim_products!$C$2:$C$21,MATCH($E80,dim_products!$A$2:$A$21,0))</f>
        <v>散装鲜菜</v>
      </c>
      <c r="O80" s="2" t="str">
        <f>INDEX(dim_customers!$B$2:$B$7,MATCH($C80,dim_customers!$A$2:$A$7,0))</f>
        <v>模拟_溪桥医院食堂</v>
      </c>
      <c r="P80" s="6">
        <f>INT((ROUND(raw_order_lines!H80*10,0)*ROUND(raw_order_lines!J80*100,0)+5)/10)/100</f>
        <v>45</v>
      </c>
      <c r="Q80" s="6">
        <f>INT((ROUND(raw_order_lines!I80*10,0)*ROUND(raw_order_lines!J80*100,0)+5)/10)/100</f>
        <v>0</v>
      </c>
      <c r="R80" s="6">
        <f t="shared" si="3"/>
        <v>45</v>
      </c>
      <c r="S80" s="2" t="str">
        <f>IF(OR(ROUND(raw_order_lines!I80*10,0)&gt;ROUND(raw_order_lines!H80*10,0),ROUND(raw_order_lines!H80*10,0)&gt;ROUND(raw_order_lines!G80*10,0),ROUND(raw_order_lines!G80*10,0)&lt;=0),"数量关系异常","")</f>
        <v/>
      </c>
      <c r="T80" s="2" t="str">
        <f>IF($F80&lt;&gt;INDEX(dim_products!$D$2:$D$21,MATCH($E80,dim_products!$A$2:$A$21,0)),"单位不一致","")</f>
        <v/>
      </c>
      <c r="U80" s="2" t="str">
        <f>IF(OR(ROUND(raw_order_lines!J80*100,0)&lt;ROUND(INDEX(dim_products!$F$2:$F$21,MATCH($E80,dim_products!$A$2:$A$21,0))*100,0),ROUND(raw_order_lines!J80*100,0)&gt;ROUND(INDEX(dim_products!$G$2:$G$21,MATCH($E80,dim_products!$A$2:$A$21,0))*100,0)),"单价越界","")</f>
        <v/>
      </c>
      <c r="V80" s="2" t="str">
        <f t="shared" si="4"/>
        <v/>
      </c>
      <c r="W80" s="2" t="str">
        <f t="shared" si="5"/>
        <v>通过</v>
      </c>
    </row>
    <row r="81" spans="1:23" ht="15">
      <c r="A81" s="2" t="str">
        <f>raw_order_lines!A81</f>
        <v>SIM-20260902-C006</v>
      </c>
      <c r="B81" s="2">
        <f>raw_order_lines!B81</f>
        <v>2</v>
      </c>
      <c r="C81" s="2" t="str">
        <f>raw_order_lines!C81</f>
        <v>C006</v>
      </c>
      <c r="D81" s="3">
        <f>raw_order_lines!D81</f>
        <v>46267</v>
      </c>
      <c r="E81" s="2" t="str">
        <f>raw_order_lines!E81</f>
        <v>P009</v>
      </c>
      <c r="F81" s="2" t="str">
        <f>raw_order_lines!F81</f>
        <v>公斤</v>
      </c>
      <c r="G81" s="4">
        <f>raw_order_lines!G81</f>
        <v>10.4</v>
      </c>
      <c r="H81" s="4">
        <f>raw_order_lines!H81</f>
        <v>10.4</v>
      </c>
      <c r="I81" s="4">
        <f>raw_order_lines!I81</f>
        <v>0</v>
      </c>
      <c r="J81" s="5">
        <f>raw_order_lines!J81</f>
        <v>5</v>
      </c>
      <c r="K81" s="2" t="str">
        <f>raw_order_lines!K81</f>
        <v>正常交付</v>
      </c>
      <c r="L81" s="2" t="str">
        <f>raw_order_lines!L81</f>
        <v>true</v>
      </c>
      <c r="M81" s="2" t="str">
        <f>INDEX(dim_products!$B$2:$B$21,MATCH($E81,dim_products!$A$2:$A$21,0))</f>
        <v>西红柿</v>
      </c>
      <c r="N81" s="2" t="str">
        <f>INDEX(dim_products!$C$2:$C$21,MATCH($E81,dim_products!$A$2:$A$21,0))</f>
        <v>散装鲜菜</v>
      </c>
      <c r="O81" s="2" t="str">
        <f>INDEX(dim_customers!$B$2:$B$7,MATCH($C81,dim_customers!$A$2:$A$7,0))</f>
        <v>模拟_溪桥医院食堂</v>
      </c>
      <c r="P81" s="6">
        <f>INT((ROUND(raw_order_lines!H81*10,0)*ROUND(raw_order_lines!J81*100,0)+5)/10)/100</f>
        <v>52</v>
      </c>
      <c r="Q81" s="6">
        <f>INT((ROUND(raw_order_lines!I81*10,0)*ROUND(raw_order_lines!J81*100,0)+5)/10)/100</f>
        <v>0</v>
      </c>
      <c r="R81" s="6">
        <f t="shared" si="3"/>
        <v>52</v>
      </c>
      <c r="S81" s="2" t="str">
        <f>IF(OR(ROUND(raw_order_lines!I81*10,0)&gt;ROUND(raw_order_lines!H81*10,0),ROUND(raw_order_lines!H81*10,0)&gt;ROUND(raw_order_lines!G81*10,0),ROUND(raw_order_lines!G81*10,0)&lt;=0),"数量关系异常","")</f>
        <v/>
      </c>
      <c r="T81" s="2" t="str">
        <f>IF($F81&lt;&gt;INDEX(dim_products!$D$2:$D$21,MATCH($E81,dim_products!$A$2:$A$21,0)),"单位不一致","")</f>
        <v/>
      </c>
      <c r="U81" s="2" t="str">
        <f>IF(OR(ROUND(raw_order_lines!J81*100,0)&lt;ROUND(INDEX(dim_products!$F$2:$F$21,MATCH($E81,dim_products!$A$2:$A$21,0))*100,0),ROUND(raw_order_lines!J81*100,0)&gt;ROUND(INDEX(dim_products!$G$2:$G$21,MATCH($E81,dim_products!$A$2:$A$21,0))*100,0)),"单价越界","")</f>
        <v/>
      </c>
      <c r="V81" s="2" t="str">
        <f t="shared" si="4"/>
        <v/>
      </c>
      <c r="W81" s="2" t="str">
        <f t="shared" si="5"/>
        <v>通过</v>
      </c>
    </row>
    <row r="82" spans="1:23" ht="15">
      <c r="A82" s="2" t="str">
        <f>raw_order_lines!A82</f>
        <v>SIM-20260902-C006</v>
      </c>
      <c r="B82" s="2">
        <f>raw_order_lines!B82</f>
        <v>3</v>
      </c>
      <c r="C82" s="2" t="str">
        <f>raw_order_lines!C82</f>
        <v>C006</v>
      </c>
      <c r="D82" s="3">
        <f>raw_order_lines!D82</f>
        <v>46267</v>
      </c>
      <c r="E82" s="2" t="str">
        <f>raw_order_lines!E82</f>
        <v>P008</v>
      </c>
      <c r="F82" s="2" t="str">
        <f>raw_order_lines!F82</f>
        <v>公斤</v>
      </c>
      <c r="G82" s="4">
        <f>raw_order_lines!G82</f>
        <v>8.3000000000000007</v>
      </c>
      <c r="H82" s="4">
        <f>raw_order_lines!H82</f>
        <v>8.3000000000000007</v>
      </c>
      <c r="I82" s="4">
        <f>raw_order_lines!I82</f>
        <v>0</v>
      </c>
      <c r="J82" s="5">
        <f>raw_order_lines!J82</f>
        <v>4.0999999999999996</v>
      </c>
      <c r="K82" s="2" t="str">
        <f>raw_order_lines!K82</f>
        <v>正常交付</v>
      </c>
      <c r="L82" s="2" t="str">
        <f>raw_order_lines!L82</f>
        <v>true</v>
      </c>
      <c r="M82" s="2" t="str">
        <f>INDEX(dim_products!$B$2:$B$21,MATCH($E82,dim_products!$A$2:$A$21,0))</f>
        <v>黄瓜</v>
      </c>
      <c r="N82" s="2" t="str">
        <f>INDEX(dim_products!$C$2:$C$21,MATCH($E82,dim_products!$A$2:$A$21,0))</f>
        <v>散装鲜菜</v>
      </c>
      <c r="O82" s="2" t="str">
        <f>INDEX(dim_customers!$B$2:$B$7,MATCH($C82,dim_customers!$A$2:$A$7,0))</f>
        <v>模拟_溪桥医院食堂</v>
      </c>
      <c r="P82" s="6">
        <f>INT((ROUND(raw_order_lines!H82*10,0)*ROUND(raw_order_lines!J82*100,0)+5)/10)/100</f>
        <v>34.03</v>
      </c>
      <c r="Q82" s="6">
        <f>INT((ROUND(raw_order_lines!I82*10,0)*ROUND(raw_order_lines!J82*100,0)+5)/10)/100</f>
        <v>0</v>
      </c>
      <c r="R82" s="6">
        <f t="shared" si="3"/>
        <v>34.03</v>
      </c>
      <c r="S82" s="2" t="str">
        <f>IF(OR(ROUND(raw_order_lines!I82*10,0)&gt;ROUND(raw_order_lines!H82*10,0),ROUND(raw_order_lines!H82*10,0)&gt;ROUND(raw_order_lines!G82*10,0),ROUND(raw_order_lines!G82*10,0)&lt;=0),"数量关系异常","")</f>
        <v/>
      </c>
      <c r="T82" s="2" t="str">
        <f>IF($F82&lt;&gt;INDEX(dim_products!$D$2:$D$21,MATCH($E82,dim_products!$A$2:$A$21,0)),"单位不一致","")</f>
        <v/>
      </c>
      <c r="U82" s="2" t="str">
        <f>IF(OR(ROUND(raw_order_lines!J82*100,0)&lt;ROUND(INDEX(dim_products!$F$2:$F$21,MATCH($E82,dim_products!$A$2:$A$21,0))*100,0),ROUND(raw_order_lines!J82*100,0)&gt;ROUND(INDEX(dim_products!$G$2:$G$21,MATCH($E82,dim_products!$A$2:$A$21,0))*100,0)),"单价越界","")</f>
        <v/>
      </c>
      <c r="V82" s="2" t="str">
        <f t="shared" si="4"/>
        <v/>
      </c>
      <c r="W82" s="2" t="str">
        <f t="shared" si="5"/>
        <v>通过</v>
      </c>
    </row>
    <row r="83" spans="1:23" ht="15">
      <c r="A83" s="2" t="str">
        <f>raw_order_lines!A83</f>
        <v>SIM-20260902-C006</v>
      </c>
      <c r="B83" s="2">
        <f>raw_order_lines!B83</f>
        <v>4</v>
      </c>
      <c r="C83" s="2" t="str">
        <f>raw_order_lines!C83</f>
        <v>C006</v>
      </c>
      <c r="D83" s="3">
        <f>raw_order_lines!D83</f>
        <v>46267</v>
      </c>
      <c r="E83" s="2" t="str">
        <f>raw_order_lines!E83</f>
        <v>P014</v>
      </c>
      <c r="F83" s="2" t="str">
        <f>raw_order_lines!F83</f>
        <v>公斤</v>
      </c>
      <c r="G83" s="4">
        <f>raw_order_lines!G83</f>
        <v>4.8</v>
      </c>
      <c r="H83" s="4">
        <f>raw_order_lines!H83</f>
        <v>4.8</v>
      </c>
      <c r="I83" s="4">
        <f>raw_order_lines!I83</f>
        <v>0</v>
      </c>
      <c r="J83" s="5">
        <f>raw_order_lines!J83</f>
        <v>4.7</v>
      </c>
      <c r="K83" s="2" t="str">
        <f>raw_order_lines!K83</f>
        <v>正常交付</v>
      </c>
      <c r="L83" s="2" t="str">
        <f>raw_order_lines!L83</f>
        <v>true</v>
      </c>
      <c r="M83" s="2" t="str">
        <f>INDEX(dim_products!$B$2:$B$21,MATCH($E83,dim_products!$A$2:$A$21,0))</f>
        <v>丝瓜</v>
      </c>
      <c r="N83" s="2" t="str">
        <f>INDEX(dim_products!$C$2:$C$21,MATCH($E83,dim_products!$A$2:$A$21,0))</f>
        <v>散装鲜菜</v>
      </c>
      <c r="O83" s="2" t="str">
        <f>INDEX(dim_customers!$B$2:$B$7,MATCH($C83,dim_customers!$A$2:$A$7,0))</f>
        <v>模拟_溪桥医院食堂</v>
      </c>
      <c r="P83" s="6">
        <f>INT((ROUND(raw_order_lines!H83*10,0)*ROUND(raw_order_lines!J83*100,0)+5)/10)/100</f>
        <v>22.56</v>
      </c>
      <c r="Q83" s="6">
        <f>INT((ROUND(raw_order_lines!I83*10,0)*ROUND(raw_order_lines!J83*100,0)+5)/10)/100</f>
        <v>0</v>
      </c>
      <c r="R83" s="6">
        <f t="shared" si="3"/>
        <v>22.56</v>
      </c>
      <c r="S83" s="2" t="str">
        <f>IF(OR(ROUND(raw_order_lines!I83*10,0)&gt;ROUND(raw_order_lines!H83*10,0),ROUND(raw_order_lines!H83*10,0)&gt;ROUND(raw_order_lines!G83*10,0),ROUND(raw_order_lines!G83*10,0)&lt;=0),"数量关系异常","")</f>
        <v/>
      </c>
      <c r="T83" s="2" t="str">
        <f>IF($F83&lt;&gt;INDEX(dim_products!$D$2:$D$21,MATCH($E83,dim_products!$A$2:$A$21,0)),"单位不一致","")</f>
        <v/>
      </c>
      <c r="U83" s="2" t="str">
        <f>IF(OR(ROUND(raw_order_lines!J83*100,0)&lt;ROUND(INDEX(dim_products!$F$2:$F$21,MATCH($E83,dim_products!$A$2:$A$21,0))*100,0),ROUND(raw_order_lines!J83*100,0)&gt;ROUND(INDEX(dim_products!$G$2:$G$21,MATCH($E83,dim_products!$A$2:$A$21,0))*100,0)),"单价越界","")</f>
        <v/>
      </c>
      <c r="V83" s="2" t="str">
        <f t="shared" si="4"/>
        <v/>
      </c>
      <c r="W83" s="2" t="str">
        <f t="shared" si="5"/>
        <v>通过</v>
      </c>
    </row>
    <row r="84" spans="1:23" ht="15">
      <c r="A84" s="2" t="str">
        <f>raw_order_lines!A84</f>
        <v>SIM-20260902-C006</v>
      </c>
      <c r="B84" s="2">
        <f>raw_order_lines!B84</f>
        <v>5</v>
      </c>
      <c r="C84" s="2" t="str">
        <f>raw_order_lines!C84</f>
        <v>C006</v>
      </c>
      <c r="D84" s="3">
        <f>raw_order_lines!D84</f>
        <v>46267</v>
      </c>
      <c r="E84" s="2" t="str">
        <f>raw_order_lines!E84</f>
        <v>P013</v>
      </c>
      <c r="F84" s="2" t="str">
        <f>raw_order_lines!F84</f>
        <v>公斤</v>
      </c>
      <c r="G84" s="4">
        <f>raw_order_lines!G84</f>
        <v>8.3000000000000007</v>
      </c>
      <c r="H84" s="4">
        <f>raw_order_lines!H84</f>
        <v>8.3000000000000007</v>
      </c>
      <c r="I84" s="4">
        <f>raw_order_lines!I84</f>
        <v>0</v>
      </c>
      <c r="J84" s="5">
        <f>raw_order_lines!J84</f>
        <v>6.3</v>
      </c>
      <c r="K84" s="2" t="str">
        <f>raw_order_lines!K84</f>
        <v>正常交付</v>
      </c>
      <c r="L84" s="2" t="str">
        <f>raw_order_lines!L84</f>
        <v>true</v>
      </c>
      <c r="M84" s="2" t="str">
        <f>INDEX(dim_products!$B$2:$B$21,MATCH($E84,dim_products!$A$2:$A$21,0))</f>
        <v>豇豆</v>
      </c>
      <c r="N84" s="2" t="str">
        <f>INDEX(dim_products!$C$2:$C$21,MATCH($E84,dim_products!$A$2:$A$21,0))</f>
        <v>散装鲜菜</v>
      </c>
      <c r="O84" s="2" t="str">
        <f>INDEX(dim_customers!$B$2:$B$7,MATCH($C84,dim_customers!$A$2:$A$7,0))</f>
        <v>模拟_溪桥医院食堂</v>
      </c>
      <c r="P84" s="6">
        <f>INT((ROUND(raw_order_lines!H84*10,0)*ROUND(raw_order_lines!J84*100,0)+5)/10)/100</f>
        <v>52.29</v>
      </c>
      <c r="Q84" s="6">
        <f>INT((ROUND(raw_order_lines!I84*10,0)*ROUND(raw_order_lines!J84*100,0)+5)/10)/100</f>
        <v>0</v>
      </c>
      <c r="R84" s="6">
        <f t="shared" si="3"/>
        <v>52.29</v>
      </c>
      <c r="S84" s="2" t="str">
        <f>IF(OR(ROUND(raw_order_lines!I84*10,0)&gt;ROUND(raw_order_lines!H84*10,0),ROUND(raw_order_lines!H84*10,0)&gt;ROUND(raw_order_lines!G84*10,0),ROUND(raw_order_lines!G84*10,0)&lt;=0),"数量关系异常","")</f>
        <v/>
      </c>
      <c r="T84" s="2" t="str">
        <f>IF($F84&lt;&gt;INDEX(dim_products!$D$2:$D$21,MATCH($E84,dim_products!$A$2:$A$21,0)),"单位不一致","")</f>
        <v/>
      </c>
      <c r="U84" s="2" t="str">
        <f>IF(OR(ROUND(raw_order_lines!J84*100,0)&lt;ROUND(INDEX(dim_products!$F$2:$F$21,MATCH($E84,dim_products!$A$2:$A$21,0))*100,0),ROUND(raw_order_lines!J84*100,0)&gt;ROUND(INDEX(dim_products!$G$2:$G$21,MATCH($E84,dim_products!$A$2:$A$21,0))*100,0)),"单价越界","")</f>
        <v/>
      </c>
      <c r="V84" s="2" t="str">
        <f t="shared" si="4"/>
        <v/>
      </c>
      <c r="W84" s="2" t="str">
        <f t="shared" si="5"/>
        <v>通过</v>
      </c>
    </row>
    <row r="85" spans="1:23" ht="15">
      <c r="A85" s="2" t="str">
        <f>raw_order_lines!A85</f>
        <v>SIM-20260902-C006</v>
      </c>
      <c r="B85" s="2">
        <f>raw_order_lines!B85</f>
        <v>6</v>
      </c>
      <c r="C85" s="2" t="str">
        <f>raw_order_lines!C85</f>
        <v>C006</v>
      </c>
      <c r="D85" s="3">
        <f>raw_order_lines!D85</f>
        <v>46267</v>
      </c>
      <c r="E85" s="2" t="str">
        <f>raw_order_lines!E85</f>
        <v>P001</v>
      </c>
      <c r="F85" s="2" t="str">
        <f>raw_order_lines!F85</f>
        <v>公斤</v>
      </c>
      <c r="G85" s="4">
        <f>raw_order_lines!G85</f>
        <v>4.8</v>
      </c>
      <c r="H85" s="4">
        <f>raw_order_lines!H85</f>
        <v>4.8</v>
      </c>
      <c r="I85" s="4">
        <f>raw_order_lines!I85</f>
        <v>0</v>
      </c>
      <c r="J85" s="5">
        <f>raw_order_lines!J85</f>
        <v>3.3</v>
      </c>
      <c r="K85" s="2" t="str">
        <f>raw_order_lines!K85</f>
        <v>正常交付</v>
      </c>
      <c r="L85" s="2" t="str">
        <f>raw_order_lines!L85</f>
        <v>true</v>
      </c>
      <c r="M85" s="2" t="str">
        <f>INDEX(dim_products!$B$2:$B$21,MATCH($E85,dim_products!$A$2:$A$21,0))</f>
        <v>土豆</v>
      </c>
      <c r="N85" s="2" t="str">
        <f>INDEX(dim_products!$C$2:$C$21,MATCH($E85,dim_products!$A$2:$A$21,0))</f>
        <v>散装鲜菜</v>
      </c>
      <c r="O85" s="2" t="str">
        <f>INDEX(dim_customers!$B$2:$B$7,MATCH($C85,dim_customers!$A$2:$A$7,0))</f>
        <v>模拟_溪桥医院食堂</v>
      </c>
      <c r="P85" s="6">
        <f>INT((ROUND(raw_order_lines!H85*10,0)*ROUND(raw_order_lines!J85*100,0)+5)/10)/100</f>
        <v>15.84</v>
      </c>
      <c r="Q85" s="6">
        <f>INT((ROUND(raw_order_lines!I85*10,0)*ROUND(raw_order_lines!J85*100,0)+5)/10)/100</f>
        <v>0</v>
      </c>
      <c r="R85" s="6">
        <f t="shared" si="3"/>
        <v>15.84</v>
      </c>
      <c r="S85" s="2" t="str">
        <f>IF(OR(ROUND(raw_order_lines!I85*10,0)&gt;ROUND(raw_order_lines!H85*10,0),ROUND(raw_order_lines!H85*10,0)&gt;ROUND(raw_order_lines!G85*10,0),ROUND(raw_order_lines!G85*10,0)&lt;=0),"数量关系异常","")</f>
        <v/>
      </c>
      <c r="T85" s="2" t="str">
        <f>IF($F85&lt;&gt;INDEX(dim_products!$D$2:$D$21,MATCH($E85,dim_products!$A$2:$A$21,0)),"单位不一致","")</f>
        <v/>
      </c>
      <c r="U85" s="2" t="str">
        <f>IF(OR(ROUND(raw_order_lines!J85*100,0)&lt;ROUND(INDEX(dim_products!$F$2:$F$21,MATCH($E85,dim_products!$A$2:$A$21,0))*100,0),ROUND(raw_order_lines!J85*100,0)&gt;ROUND(INDEX(dim_products!$G$2:$G$21,MATCH($E85,dim_products!$A$2:$A$21,0))*100,0)),"单价越界","")</f>
        <v/>
      </c>
      <c r="V85" s="2" t="str">
        <f t="shared" si="4"/>
        <v/>
      </c>
      <c r="W85" s="2" t="str">
        <f t="shared" si="5"/>
        <v>通过</v>
      </c>
    </row>
    <row r="86" spans="1:23" ht="15">
      <c r="A86" s="2" t="str">
        <f>raw_order_lines!A86</f>
        <v>SIM-20260903-C001</v>
      </c>
      <c r="B86" s="2">
        <f>raw_order_lines!B86</f>
        <v>1</v>
      </c>
      <c r="C86" s="2" t="str">
        <f>raw_order_lines!C86</f>
        <v>C001</v>
      </c>
      <c r="D86" s="3">
        <f>raw_order_lines!D86</f>
        <v>46268</v>
      </c>
      <c r="E86" s="2" t="str">
        <f>raw_order_lines!E86</f>
        <v>P011</v>
      </c>
      <c r="F86" s="2" t="str">
        <f>raw_order_lines!F86</f>
        <v>公斤</v>
      </c>
      <c r="G86" s="4">
        <f>raw_order_lines!G86</f>
        <v>2.6</v>
      </c>
      <c r="H86" s="4">
        <f>raw_order_lines!H86</f>
        <v>2.4</v>
      </c>
      <c r="I86" s="4">
        <f>raw_order_lines!I86</f>
        <v>0</v>
      </c>
      <c r="J86" s="5">
        <f>raw_order_lines!J86</f>
        <v>4.4000000000000004</v>
      </c>
      <c r="K86" s="2" t="str">
        <f>raw_order_lines!K86</f>
        <v>到货不足；按实际交付计费</v>
      </c>
      <c r="L86" s="2" t="str">
        <f>raw_order_lines!L86</f>
        <v>true</v>
      </c>
      <c r="M86" s="2" t="str">
        <f>INDEX(dim_products!$B$2:$B$21,MATCH($E86,dim_products!$A$2:$A$21,0))</f>
        <v>红薯叶</v>
      </c>
      <c r="N86" s="2" t="str">
        <f>INDEX(dim_products!$C$2:$C$21,MATCH($E86,dim_products!$A$2:$A$21,0))</f>
        <v>散装鲜菜</v>
      </c>
      <c r="O86" s="2" t="str">
        <f>INDEX(dim_customers!$B$2:$B$7,MATCH($C86,dim_customers!$A$2:$A$7,0))</f>
        <v>模拟_榕树下粉面店</v>
      </c>
      <c r="P86" s="6">
        <f>INT((ROUND(raw_order_lines!H86*10,0)*ROUND(raw_order_lines!J86*100,0)+5)/10)/100</f>
        <v>10.56</v>
      </c>
      <c r="Q86" s="6">
        <f>INT((ROUND(raw_order_lines!I86*10,0)*ROUND(raw_order_lines!J86*100,0)+5)/10)/100</f>
        <v>0</v>
      </c>
      <c r="R86" s="6">
        <f t="shared" si="3"/>
        <v>10.56</v>
      </c>
      <c r="S86" s="2" t="str">
        <f>IF(OR(ROUND(raw_order_lines!I86*10,0)&gt;ROUND(raw_order_lines!H86*10,0),ROUND(raw_order_lines!H86*10,0)&gt;ROUND(raw_order_lines!G86*10,0),ROUND(raw_order_lines!G86*10,0)&lt;=0),"数量关系异常","")</f>
        <v/>
      </c>
      <c r="T86" s="2" t="str">
        <f>IF($F86&lt;&gt;INDEX(dim_products!$D$2:$D$21,MATCH($E86,dim_products!$A$2:$A$21,0)),"单位不一致","")</f>
        <v/>
      </c>
      <c r="U86" s="2" t="str">
        <f>IF(OR(ROUND(raw_order_lines!J86*100,0)&lt;ROUND(INDEX(dim_products!$F$2:$F$21,MATCH($E86,dim_products!$A$2:$A$21,0))*100,0),ROUND(raw_order_lines!J86*100,0)&gt;ROUND(INDEX(dim_products!$G$2:$G$21,MATCH($E86,dim_products!$A$2:$A$21,0))*100,0)),"单价越界","")</f>
        <v/>
      </c>
      <c r="V86" s="2" t="str">
        <f t="shared" si="4"/>
        <v/>
      </c>
      <c r="W86" s="2" t="str">
        <f t="shared" si="5"/>
        <v>通过</v>
      </c>
    </row>
    <row r="87" spans="1:23" ht="15">
      <c r="A87" s="2" t="str">
        <f>raw_order_lines!A87</f>
        <v>SIM-20260903-C001</v>
      </c>
      <c r="B87" s="2">
        <f>raw_order_lines!B87</f>
        <v>2</v>
      </c>
      <c r="C87" s="2" t="str">
        <f>raw_order_lines!C87</f>
        <v>C001</v>
      </c>
      <c r="D87" s="3">
        <f>raw_order_lines!D87</f>
        <v>46268</v>
      </c>
      <c r="E87" s="2" t="str">
        <f>raw_order_lines!E87</f>
        <v>P009</v>
      </c>
      <c r="F87" s="2" t="str">
        <f>raw_order_lines!F87</f>
        <v>公斤</v>
      </c>
      <c r="G87" s="4">
        <f>raw_order_lines!G87</f>
        <v>2.8</v>
      </c>
      <c r="H87" s="4">
        <f>raw_order_lines!H87</f>
        <v>2.8</v>
      </c>
      <c r="I87" s="4">
        <f>raw_order_lines!I87</f>
        <v>0</v>
      </c>
      <c r="J87" s="5">
        <f>raw_order_lines!J87</f>
        <v>5</v>
      </c>
      <c r="K87" s="2" t="str">
        <f>raw_order_lines!K87</f>
        <v>正常交付</v>
      </c>
      <c r="L87" s="2" t="str">
        <f>raw_order_lines!L87</f>
        <v>true</v>
      </c>
      <c r="M87" s="2" t="str">
        <f>INDEX(dim_products!$B$2:$B$21,MATCH($E87,dim_products!$A$2:$A$21,0))</f>
        <v>西红柿</v>
      </c>
      <c r="N87" s="2" t="str">
        <f>INDEX(dim_products!$C$2:$C$21,MATCH($E87,dim_products!$A$2:$A$21,0))</f>
        <v>散装鲜菜</v>
      </c>
      <c r="O87" s="2" t="str">
        <f>INDEX(dim_customers!$B$2:$B$7,MATCH($C87,dim_customers!$A$2:$A$7,0))</f>
        <v>模拟_榕树下粉面店</v>
      </c>
      <c r="P87" s="6">
        <f>INT((ROUND(raw_order_lines!H87*10,0)*ROUND(raw_order_lines!J87*100,0)+5)/10)/100</f>
        <v>14</v>
      </c>
      <c r="Q87" s="6">
        <f>INT((ROUND(raw_order_lines!I87*10,0)*ROUND(raw_order_lines!J87*100,0)+5)/10)/100</f>
        <v>0</v>
      </c>
      <c r="R87" s="6">
        <f t="shared" si="3"/>
        <v>14</v>
      </c>
      <c r="S87" s="2" t="str">
        <f>IF(OR(ROUND(raw_order_lines!I87*10,0)&gt;ROUND(raw_order_lines!H87*10,0),ROUND(raw_order_lines!H87*10,0)&gt;ROUND(raw_order_lines!G87*10,0),ROUND(raw_order_lines!G87*10,0)&lt;=0),"数量关系异常","")</f>
        <v/>
      </c>
      <c r="T87" s="2" t="str">
        <f>IF($F87&lt;&gt;INDEX(dim_products!$D$2:$D$21,MATCH($E87,dim_products!$A$2:$A$21,0)),"单位不一致","")</f>
        <v/>
      </c>
      <c r="U87" s="2" t="str">
        <f>IF(OR(ROUND(raw_order_lines!J87*100,0)&lt;ROUND(INDEX(dim_products!$F$2:$F$21,MATCH($E87,dim_products!$A$2:$A$21,0))*100,0),ROUND(raw_order_lines!J87*100,0)&gt;ROUND(INDEX(dim_products!$G$2:$G$21,MATCH($E87,dim_products!$A$2:$A$21,0))*100,0)),"单价越界","")</f>
        <v/>
      </c>
      <c r="V87" s="2" t="str">
        <f t="shared" si="4"/>
        <v/>
      </c>
      <c r="W87" s="2" t="str">
        <f t="shared" si="5"/>
        <v>通过</v>
      </c>
    </row>
    <row r="88" spans="1:23" ht="15">
      <c r="A88" s="2" t="str">
        <f>raw_order_lines!A88</f>
        <v>SIM-20260903-C001</v>
      </c>
      <c r="B88" s="2">
        <f>raw_order_lines!B88</f>
        <v>3</v>
      </c>
      <c r="C88" s="2" t="str">
        <f>raw_order_lines!C88</f>
        <v>C001</v>
      </c>
      <c r="D88" s="3">
        <f>raw_order_lines!D88</f>
        <v>46268</v>
      </c>
      <c r="E88" s="2" t="str">
        <f>raw_order_lines!E88</f>
        <v>P007</v>
      </c>
      <c r="F88" s="2" t="str">
        <f>raw_order_lines!F88</f>
        <v>公斤</v>
      </c>
      <c r="G88" s="4">
        <f>raw_order_lines!G88</f>
        <v>3</v>
      </c>
      <c r="H88" s="4">
        <f>raw_order_lines!H88</f>
        <v>2.5</v>
      </c>
      <c r="I88" s="4">
        <f>raw_order_lines!I88</f>
        <v>0</v>
      </c>
      <c r="J88" s="5">
        <f>raw_order_lines!J88</f>
        <v>5.15</v>
      </c>
      <c r="K88" s="2" t="str">
        <f>raw_order_lines!K88</f>
        <v>到货不足；按实际交付计费</v>
      </c>
      <c r="L88" s="2" t="str">
        <f>raw_order_lines!L88</f>
        <v>true</v>
      </c>
      <c r="M88" s="2" t="str">
        <f>INDEX(dim_products!$B$2:$B$21,MATCH($E88,dim_products!$A$2:$A$21,0))</f>
        <v>青椒</v>
      </c>
      <c r="N88" s="2" t="str">
        <f>INDEX(dim_products!$C$2:$C$21,MATCH($E88,dim_products!$A$2:$A$21,0))</f>
        <v>散装鲜菜</v>
      </c>
      <c r="O88" s="2" t="str">
        <f>INDEX(dim_customers!$B$2:$B$7,MATCH($C88,dim_customers!$A$2:$A$7,0))</f>
        <v>模拟_榕树下粉面店</v>
      </c>
      <c r="P88" s="6">
        <f>INT((ROUND(raw_order_lines!H88*10,0)*ROUND(raw_order_lines!J88*100,0)+5)/10)/100</f>
        <v>12.88</v>
      </c>
      <c r="Q88" s="6">
        <f>INT((ROUND(raw_order_lines!I88*10,0)*ROUND(raw_order_lines!J88*100,0)+5)/10)/100</f>
        <v>0</v>
      </c>
      <c r="R88" s="6">
        <f t="shared" si="3"/>
        <v>12.88</v>
      </c>
      <c r="S88" s="2" t="str">
        <f>IF(OR(ROUND(raw_order_lines!I88*10,0)&gt;ROUND(raw_order_lines!H88*10,0),ROUND(raw_order_lines!H88*10,0)&gt;ROUND(raw_order_lines!G88*10,0),ROUND(raw_order_lines!G88*10,0)&lt;=0),"数量关系异常","")</f>
        <v/>
      </c>
      <c r="T88" s="2" t="str">
        <f>IF($F88&lt;&gt;INDEX(dim_products!$D$2:$D$21,MATCH($E88,dim_products!$A$2:$A$21,0)),"单位不一致","")</f>
        <v/>
      </c>
      <c r="U88" s="2" t="str">
        <f>IF(OR(ROUND(raw_order_lines!J88*100,0)&lt;ROUND(INDEX(dim_products!$F$2:$F$21,MATCH($E88,dim_products!$A$2:$A$21,0))*100,0),ROUND(raw_order_lines!J88*100,0)&gt;ROUND(INDEX(dim_products!$G$2:$G$21,MATCH($E88,dim_products!$A$2:$A$21,0))*100,0)),"单价越界","")</f>
        <v/>
      </c>
      <c r="V88" s="2" t="str">
        <f t="shared" si="4"/>
        <v/>
      </c>
      <c r="W88" s="2" t="str">
        <f t="shared" si="5"/>
        <v>通过</v>
      </c>
    </row>
    <row r="89" spans="1:23" ht="15">
      <c r="A89" s="2" t="str">
        <f>raw_order_lines!A89</f>
        <v>SIM-20260903-C001</v>
      </c>
      <c r="B89" s="2">
        <f>raw_order_lines!B89</f>
        <v>4</v>
      </c>
      <c r="C89" s="2" t="str">
        <f>raw_order_lines!C89</f>
        <v>C001</v>
      </c>
      <c r="D89" s="3">
        <f>raw_order_lines!D89</f>
        <v>46268</v>
      </c>
      <c r="E89" s="2" t="str">
        <f>raw_order_lines!E89</f>
        <v>P001</v>
      </c>
      <c r="F89" s="2" t="str">
        <f>raw_order_lines!F89</f>
        <v>公斤</v>
      </c>
      <c r="G89" s="4">
        <f>raw_order_lines!G89</f>
        <v>3</v>
      </c>
      <c r="H89" s="4">
        <f>raw_order_lines!H89</f>
        <v>3</v>
      </c>
      <c r="I89" s="4">
        <f>raw_order_lines!I89</f>
        <v>0</v>
      </c>
      <c r="J89" s="5">
        <f>raw_order_lines!J89</f>
        <v>3.3</v>
      </c>
      <c r="K89" s="2" t="str">
        <f>raw_order_lines!K89</f>
        <v>正常交付</v>
      </c>
      <c r="L89" s="2" t="str">
        <f>raw_order_lines!L89</f>
        <v>true</v>
      </c>
      <c r="M89" s="2" t="str">
        <f>INDEX(dim_products!$B$2:$B$21,MATCH($E89,dim_products!$A$2:$A$21,0))</f>
        <v>土豆</v>
      </c>
      <c r="N89" s="2" t="str">
        <f>INDEX(dim_products!$C$2:$C$21,MATCH($E89,dim_products!$A$2:$A$21,0))</f>
        <v>散装鲜菜</v>
      </c>
      <c r="O89" s="2" t="str">
        <f>INDEX(dim_customers!$B$2:$B$7,MATCH($C89,dim_customers!$A$2:$A$7,0))</f>
        <v>模拟_榕树下粉面店</v>
      </c>
      <c r="P89" s="6">
        <f>INT((ROUND(raw_order_lines!H89*10,0)*ROUND(raw_order_lines!J89*100,0)+5)/10)/100</f>
        <v>9.9</v>
      </c>
      <c r="Q89" s="6">
        <f>INT((ROUND(raw_order_lines!I89*10,0)*ROUND(raw_order_lines!J89*100,0)+5)/10)/100</f>
        <v>0</v>
      </c>
      <c r="R89" s="6">
        <f t="shared" si="3"/>
        <v>9.9</v>
      </c>
      <c r="S89" s="2" t="str">
        <f>IF(OR(ROUND(raw_order_lines!I89*10,0)&gt;ROUND(raw_order_lines!H89*10,0),ROUND(raw_order_lines!H89*10,0)&gt;ROUND(raw_order_lines!G89*10,0),ROUND(raw_order_lines!G89*10,0)&lt;=0),"数量关系异常","")</f>
        <v/>
      </c>
      <c r="T89" s="2" t="str">
        <f>IF($F89&lt;&gt;INDEX(dim_products!$D$2:$D$21,MATCH($E89,dim_products!$A$2:$A$21,0)),"单位不一致","")</f>
        <v/>
      </c>
      <c r="U89" s="2" t="str">
        <f>IF(OR(ROUND(raw_order_lines!J89*100,0)&lt;ROUND(INDEX(dim_products!$F$2:$F$21,MATCH($E89,dim_products!$A$2:$A$21,0))*100,0),ROUND(raw_order_lines!J89*100,0)&gt;ROUND(INDEX(dim_products!$G$2:$G$21,MATCH($E89,dim_products!$A$2:$A$21,0))*100,0)),"单价越界","")</f>
        <v/>
      </c>
      <c r="V89" s="2" t="str">
        <f t="shared" si="4"/>
        <v/>
      </c>
      <c r="W89" s="2" t="str">
        <f t="shared" si="5"/>
        <v>通过</v>
      </c>
    </row>
    <row r="90" spans="1:23" ht="15">
      <c r="A90" s="2" t="str">
        <f>raw_order_lines!A90</f>
        <v>SIM-20260903-C001</v>
      </c>
      <c r="B90" s="2">
        <f>raw_order_lines!B90</f>
        <v>5</v>
      </c>
      <c r="C90" s="2" t="str">
        <f>raw_order_lines!C90</f>
        <v>C001</v>
      </c>
      <c r="D90" s="3">
        <f>raw_order_lines!D90</f>
        <v>46268</v>
      </c>
      <c r="E90" s="2" t="str">
        <f>raw_order_lines!E90</f>
        <v>P016</v>
      </c>
      <c r="F90" s="2" t="str">
        <f>raw_order_lines!F90</f>
        <v>公斤</v>
      </c>
      <c r="G90" s="4">
        <f>raw_order_lines!G90</f>
        <v>3</v>
      </c>
      <c r="H90" s="4">
        <f>raw_order_lines!H90</f>
        <v>3</v>
      </c>
      <c r="I90" s="4">
        <f>raw_order_lines!I90</f>
        <v>0</v>
      </c>
      <c r="J90" s="5">
        <f>raw_order_lines!J90</f>
        <v>10.1</v>
      </c>
      <c r="K90" s="2" t="str">
        <f>raw_order_lines!K90</f>
        <v>正常交付</v>
      </c>
      <c r="L90" s="2" t="str">
        <f>raw_order_lines!L90</f>
        <v>true</v>
      </c>
      <c r="M90" s="2" t="str">
        <f>INDEX(dim_products!$B$2:$B$21,MATCH($E90,dim_products!$A$2:$A$21,0))</f>
        <v>鸡蛋</v>
      </c>
      <c r="N90" s="2" t="str">
        <f>INDEX(dim_products!$C$2:$C$21,MATCH($E90,dim_products!$A$2:$A$21,0))</f>
        <v>普通鲜鸡蛋按净重</v>
      </c>
      <c r="O90" s="2" t="str">
        <f>INDEX(dim_customers!$B$2:$B$7,MATCH($C90,dim_customers!$A$2:$A$7,0))</f>
        <v>模拟_榕树下粉面店</v>
      </c>
      <c r="P90" s="6">
        <f>INT((ROUND(raw_order_lines!H90*10,0)*ROUND(raw_order_lines!J90*100,0)+5)/10)/100</f>
        <v>30.3</v>
      </c>
      <c r="Q90" s="6">
        <f>INT((ROUND(raw_order_lines!I90*10,0)*ROUND(raw_order_lines!J90*100,0)+5)/10)/100</f>
        <v>0</v>
      </c>
      <c r="R90" s="6">
        <f t="shared" si="3"/>
        <v>30.3</v>
      </c>
      <c r="S90" s="2" t="str">
        <f>IF(OR(ROUND(raw_order_lines!I90*10,0)&gt;ROUND(raw_order_lines!H90*10,0),ROUND(raw_order_lines!H90*10,0)&gt;ROUND(raw_order_lines!G90*10,0),ROUND(raw_order_lines!G90*10,0)&lt;=0),"数量关系异常","")</f>
        <v/>
      </c>
      <c r="T90" s="2" t="str">
        <f>IF($F90&lt;&gt;INDEX(dim_products!$D$2:$D$21,MATCH($E90,dim_products!$A$2:$A$21,0)),"单位不一致","")</f>
        <v/>
      </c>
      <c r="U90" s="2" t="str">
        <f>IF(OR(ROUND(raw_order_lines!J90*100,0)&lt;ROUND(INDEX(dim_products!$F$2:$F$21,MATCH($E90,dim_products!$A$2:$A$21,0))*100,0),ROUND(raw_order_lines!J90*100,0)&gt;ROUND(INDEX(dim_products!$G$2:$G$21,MATCH($E90,dim_products!$A$2:$A$21,0))*100,0)),"单价越界","")</f>
        <v/>
      </c>
      <c r="V90" s="2" t="str">
        <f t="shared" si="4"/>
        <v/>
      </c>
      <c r="W90" s="2" t="str">
        <f t="shared" si="5"/>
        <v>通过</v>
      </c>
    </row>
    <row r="91" spans="1:23" ht="15">
      <c r="A91" s="2" t="str">
        <f>raw_order_lines!A91</f>
        <v>SIM-20260903-C002</v>
      </c>
      <c r="B91" s="2">
        <f>raw_order_lines!B91</f>
        <v>1</v>
      </c>
      <c r="C91" s="2" t="str">
        <f>raw_order_lines!C91</f>
        <v>C002</v>
      </c>
      <c r="D91" s="3">
        <f>raw_order_lines!D91</f>
        <v>46268</v>
      </c>
      <c r="E91" s="2" t="str">
        <f>raw_order_lines!E91</f>
        <v>P011</v>
      </c>
      <c r="F91" s="2" t="str">
        <f>raw_order_lines!F91</f>
        <v>公斤</v>
      </c>
      <c r="G91" s="4">
        <f>raw_order_lines!G91</f>
        <v>5.8</v>
      </c>
      <c r="H91" s="4">
        <f>raw_order_lines!H91</f>
        <v>5.8</v>
      </c>
      <c r="I91" s="4">
        <f>raw_order_lines!I91</f>
        <v>0</v>
      </c>
      <c r="J91" s="5">
        <f>raw_order_lines!J91</f>
        <v>4.4000000000000004</v>
      </c>
      <c r="K91" s="2" t="str">
        <f>raw_order_lines!K91</f>
        <v>正常交付</v>
      </c>
      <c r="L91" s="2" t="str">
        <f>raw_order_lines!L91</f>
        <v>true</v>
      </c>
      <c r="M91" s="2" t="str">
        <f>INDEX(dim_products!$B$2:$B$21,MATCH($E91,dim_products!$A$2:$A$21,0))</f>
        <v>红薯叶</v>
      </c>
      <c r="N91" s="2" t="str">
        <f>INDEX(dim_products!$C$2:$C$21,MATCH($E91,dim_products!$A$2:$A$21,0))</f>
        <v>散装鲜菜</v>
      </c>
      <c r="O91" s="2" t="str">
        <f>INDEX(dim_customers!$B$2:$B$7,MATCH($C91,dim_customers!$A$2:$A$7,0))</f>
        <v>模拟_桥头家常菜馆</v>
      </c>
      <c r="P91" s="6">
        <f>INT((ROUND(raw_order_lines!H91*10,0)*ROUND(raw_order_lines!J91*100,0)+5)/10)/100</f>
        <v>25.52</v>
      </c>
      <c r="Q91" s="6">
        <f>INT((ROUND(raw_order_lines!I91*10,0)*ROUND(raw_order_lines!J91*100,0)+5)/10)/100</f>
        <v>0</v>
      </c>
      <c r="R91" s="6">
        <f t="shared" si="3"/>
        <v>25.52</v>
      </c>
      <c r="S91" s="2" t="str">
        <f>IF(OR(ROUND(raw_order_lines!I91*10,0)&gt;ROUND(raw_order_lines!H91*10,0),ROUND(raw_order_lines!H91*10,0)&gt;ROUND(raw_order_lines!G91*10,0),ROUND(raw_order_lines!G91*10,0)&lt;=0),"数量关系异常","")</f>
        <v/>
      </c>
      <c r="T91" s="2" t="str">
        <f>IF($F91&lt;&gt;INDEX(dim_products!$D$2:$D$21,MATCH($E91,dim_products!$A$2:$A$21,0)),"单位不一致","")</f>
        <v/>
      </c>
      <c r="U91" s="2" t="str">
        <f>IF(OR(ROUND(raw_order_lines!J91*100,0)&lt;ROUND(INDEX(dim_products!$F$2:$F$21,MATCH($E91,dim_products!$A$2:$A$21,0))*100,0),ROUND(raw_order_lines!J91*100,0)&gt;ROUND(INDEX(dim_products!$G$2:$G$21,MATCH($E91,dim_products!$A$2:$A$21,0))*100,0)),"单价越界","")</f>
        <v/>
      </c>
      <c r="V91" s="2" t="str">
        <f t="shared" si="4"/>
        <v/>
      </c>
      <c r="W91" s="2" t="str">
        <f t="shared" si="5"/>
        <v>通过</v>
      </c>
    </row>
    <row r="92" spans="1:23" ht="15">
      <c r="A92" s="2" t="str">
        <f>raw_order_lines!A92</f>
        <v>SIM-20260903-C002</v>
      </c>
      <c r="B92" s="2">
        <f>raw_order_lines!B92</f>
        <v>2</v>
      </c>
      <c r="C92" s="2" t="str">
        <f>raw_order_lines!C92</f>
        <v>C002</v>
      </c>
      <c r="D92" s="3">
        <f>raw_order_lines!D92</f>
        <v>46268</v>
      </c>
      <c r="E92" s="2" t="str">
        <f>raw_order_lines!E92</f>
        <v>P003</v>
      </c>
      <c r="F92" s="2" t="str">
        <f>raw_order_lines!F92</f>
        <v>公斤</v>
      </c>
      <c r="G92" s="4">
        <f>raw_order_lines!G92</f>
        <v>3.5</v>
      </c>
      <c r="H92" s="4">
        <f>raw_order_lines!H92</f>
        <v>3.5</v>
      </c>
      <c r="I92" s="4">
        <f>raw_order_lines!I92</f>
        <v>0</v>
      </c>
      <c r="J92" s="5">
        <f>raw_order_lines!J92</f>
        <v>3.3</v>
      </c>
      <c r="K92" s="2" t="str">
        <f>raw_order_lines!K92</f>
        <v>正常交付</v>
      </c>
      <c r="L92" s="2" t="str">
        <f>raw_order_lines!L92</f>
        <v>true</v>
      </c>
      <c r="M92" s="2" t="str">
        <f>INDEX(dim_products!$B$2:$B$21,MATCH($E92,dim_products!$A$2:$A$21,0))</f>
        <v>包菜</v>
      </c>
      <c r="N92" s="2" t="str">
        <f>INDEX(dim_products!$C$2:$C$21,MATCH($E92,dim_products!$A$2:$A$21,0))</f>
        <v>散装鲜菜</v>
      </c>
      <c r="O92" s="2" t="str">
        <f>INDEX(dim_customers!$B$2:$B$7,MATCH($C92,dim_customers!$A$2:$A$7,0))</f>
        <v>模拟_桥头家常菜馆</v>
      </c>
      <c r="P92" s="6">
        <f>INT((ROUND(raw_order_lines!H92*10,0)*ROUND(raw_order_lines!J92*100,0)+5)/10)/100</f>
        <v>11.55</v>
      </c>
      <c r="Q92" s="6">
        <f>INT((ROUND(raw_order_lines!I92*10,0)*ROUND(raw_order_lines!J92*100,0)+5)/10)/100</f>
        <v>0</v>
      </c>
      <c r="R92" s="6">
        <f t="shared" si="3"/>
        <v>11.55</v>
      </c>
      <c r="S92" s="2" t="str">
        <f>IF(OR(ROUND(raw_order_lines!I92*10,0)&gt;ROUND(raw_order_lines!H92*10,0),ROUND(raw_order_lines!H92*10,0)&gt;ROUND(raw_order_lines!G92*10,0),ROUND(raw_order_lines!G92*10,0)&lt;=0),"数量关系异常","")</f>
        <v/>
      </c>
      <c r="T92" s="2" t="str">
        <f>IF($F92&lt;&gt;INDEX(dim_products!$D$2:$D$21,MATCH($E92,dim_products!$A$2:$A$21,0)),"单位不一致","")</f>
        <v/>
      </c>
      <c r="U92" s="2" t="str">
        <f>IF(OR(ROUND(raw_order_lines!J92*100,0)&lt;ROUND(INDEX(dim_products!$F$2:$F$21,MATCH($E92,dim_products!$A$2:$A$21,0))*100,0),ROUND(raw_order_lines!J92*100,0)&gt;ROUND(INDEX(dim_products!$G$2:$G$21,MATCH($E92,dim_products!$A$2:$A$21,0))*100,0)),"单价越界","")</f>
        <v/>
      </c>
      <c r="V92" s="2" t="str">
        <f t="shared" si="4"/>
        <v/>
      </c>
      <c r="W92" s="2" t="str">
        <f t="shared" si="5"/>
        <v>通过</v>
      </c>
    </row>
    <row r="93" spans="1:23" ht="15">
      <c r="A93" s="2" t="str">
        <f>raw_order_lines!A93</f>
        <v>SIM-20260903-C002</v>
      </c>
      <c r="B93" s="2">
        <f>raw_order_lines!B93</f>
        <v>3</v>
      </c>
      <c r="C93" s="2" t="str">
        <f>raw_order_lines!C93</f>
        <v>C002</v>
      </c>
      <c r="D93" s="3">
        <f>raw_order_lines!D93</f>
        <v>46268</v>
      </c>
      <c r="E93" s="2" t="str">
        <f>raw_order_lines!E93</f>
        <v>P004</v>
      </c>
      <c r="F93" s="2" t="str">
        <f>raw_order_lines!F93</f>
        <v>公斤</v>
      </c>
      <c r="G93" s="4">
        <f>raw_order_lines!G93</f>
        <v>7.1</v>
      </c>
      <c r="H93" s="4">
        <f>raw_order_lines!H93</f>
        <v>7.1</v>
      </c>
      <c r="I93" s="4">
        <f>raw_order_lines!I93</f>
        <v>0</v>
      </c>
      <c r="J93" s="5">
        <f>raw_order_lines!J93</f>
        <v>2.2999999999999998</v>
      </c>
      <c r="K93" s="2" t="str">
        <f>raw_order_lines!K93</f>
        <v>正常交付</v>
      </c>
      <c r="L93" s="2" t="str">
        <f>raw_order_lines!L93</f>
        <v>true</v>
      </c>
      <c r="M93" s="2" t="str">
        <f>INDEX(dim_products!$B$2:$B$21,MATCH($E93,dim_products!$A$2:$A$21,0))</f>
        <v>冬瓜</v>
      </c>
      <c r="N93" s="2" t="str">
        <f>INDEX(dim_products!$C$2:$C$21,MATCH($E93,dim_products!$A$2:$A$21,0))</f>
        <v>散装鲜菜</v>
      </c>
      <c r="O93" s="2" t="str">
        <f>INDEX(dim_customers!$B$2:$B$7,MATCH($C93,dim_customers!$A$2:$A$7,0))</f>
        <v>模拟_桥头家常菜馆</v>
      </c>
      <c r="P93" s="6">
        <f>INT((ROUND(raw_order_lines!H93*10,0)*ROUND(raw_order_lines!J93*100,0)+5)/10)/100</f>
        <v>16.329999999999998</v>
      </c>
      <c r="Q93" s="6">
        <f>INT((ROUND(raw_order_lines!I93*10,0)*ROUND(raw_order_lines!J93*100,0)+5)/10)/100</f>
        <v>0</v>
      </c>
      <c r="R93" s="6">
        <f t="shared" si="3"/>
        <v>16.329999999999998</v>
      </c>
      <c r="S93" s="2" t="str">
        <f>IF(OR(ROUND(raw_order_lines!I93*10,0)&gt;ROUND(raw_order_lines!H93*10,0),ROUND(raw_order_lines!H93*10,0)&gt;ROUND(raw_order_lines!G93*10,0),ROUND(raw_order_lines!G93*10,0)&lt;=0),"数量关系异常","")</f>
        <v/>
      </c>
      <c r="T93" s="2" t="str">
        <f>IF($F93&lt;&gt;INDEX(dim_products!$D$2:$D$21,MATCH($E93,dim_products!$A$2:$A$21,0)),"单位不一致","")</f>
        <v/>
      </c>
      <c r="U93" s="2" t="str">
        <f>IF(OR(ROUND(raw_order_lines!J93*100,0)&lt;ROUND(INDEX(dim_products!$F$2:$F$21,MATCH($E93,dim_products!$A$2:$A$21,0))*100,0),ROUND(raw_order_lines!J93*100,0)&gt;ROUND(INDEX(dim_products!$G$2:$G$21,MATCH($E93,dim_products!$A$2:$A$21,0))*100,0)),"单价越界","")</f>
        <v/>
      </c>
      <c r="V93" s="2" t="str">
        <f t="shared" si="4"/>
        <v/>
      </c>
      <c r="W93" s="2" t="str">
        <f t="shared" si="5"/>
        <v>通过</v>
      </c>
    </row>
    <row r="94" spans="1:23" ht="15">
      <c r="A94" s="2" t="str">
        <f>raw_order_lines!A94</f>
        <v>SIM-20260903-C002</v>
      </c>
      <c r="B94" s="2">
        <f>raw_order_lines!B94</f>
        <v>4</v>
      </c>
      <c r="C94" s="2" t="str">
        <f>raw_order_lines!C94</f>
        <v>C002</v>
      </c>
      <c r="D94" s="3">
        <f>raw_order_lines!D94</f>
        <v>46268</v>
      </c>
      <c r="E94" s="2" t="str">
        <f>raw_order_lines!E94</f>
        <v>P002</v>
      </c>
      <c r="F94" s="2" t="str">
        <f>raw_order_lines!F94</f>
        <v>公斤</v>
      </c>
      <c r="G94" s="4">
        <f>raw_order_lines!G94</f>
        <v>4.9000000000000004</v>
      </c>
      <c r="H94" s="4">
        <f>raw_order_lines!H94</f>
        <v>4.7</v>
      </c>
      <c r="I94" s="4">
        <f>raw_order_lines!I94</f>
        <v>0</v>
      </c>
      <c r="J94" s="5">
        <f>raw_order_lines!J94</f>
        <v>2.2999999999999998</v>
      </c>
      <c r="K94" s="2" t="str">
        <f>raw_order_lines!K94</f>
        <v>到货不足；按实际交付计费</v>
      </c>
      <c r="L94" s="2" t="str">
        <f>raw_order_lines!L94</f>
        <v>true</v>
      </c>
      <c r="M94" s="2" t="str">
        <f>INDEX(dim_products!$B$2:$B$21,MATCH($E94,dim_products!$A$2:$A$21,0))</f>
        <v>白萝卜</v>
      </c>
      <c r="N94" s="2" t="str">
        <f>INDEX(dim_products!$C$2:$C$21,MATCH($E94,dim_products!$A$2:$A$21,0))</f>
        <v>散装鲜菜</v>
      </c>
      <c r="O94" s="2" t="str">
        <f>INDEX(dim_customers!$B$2:$B$7,MATCH($C94,dim_customers!$A$2:$A$7,0))</f>
        <v>模拟_桥头家常菜馆</v>
      </c>
      <c r="P94" s="6">
        <f>INT((ROUND(raw_order_lines!H94*10,0)*ROUND(raw_order_lines!J94*100,0)+5)/10)/100</f>
        <v>10.81</v>
      </c>
      <c r="Q94" s="6">
        <f>INT((ROUND(raw_order_lines!I94*10,0)*ROUND(raw_order_lines!J94*100,0)+5)/10)/100</f>
        <v>0</v>
      </c>
      <c r="R94" s="6">
        <f t="shared" si="3"/>
        <v>10.81</v>
      </c>
      <c r="S94" s="2" t="str">
        <f>IF(OR(ROUND(raw_order_lines!I94*10,0)&gt;ROUND(raw_order_lines!H94*10,0),ROUND(raw_order_lines!H94*10,0)&gt;ROUND(raw_order_lines!G94*10,0),ROUND(raw_order_lines!G94*10,0)&lt;=0),"数量关系异常","")</f>
        <v/>
      </c>
      <c r="T94" s="2" t="str">
        <f>IF($F94&lt;&gt;INDEX(dim_products!$D$2:$D$21,MATCH($E94,dim_products!$A$2:$A$21,0)),"单位不一致","")</f>
        <v/>
      </c>
      <c r="U94" s="2" t="str">
        <f>IF(OR(ROUND(raw_order_lines!J94*100,0)&lt;ROUND(INDEX(dim_products!$F$2:$F$21,MATCH($E94,dim_products!$A$2:$A$21,0))*100,0),ROUND(raw_order_lines!J94*100,0)&gt;ROUND(INDEX(dim_products!$G$2:$G$21,MATCH($E94,dim_products!$A$2:$A$21,0))*100,0)),"单价越界","")</f>
        <v/>
      </c>
      <c r="V94" s="2" t="str">
        <f t="shared" si="4"/>
        <v/>
      </c>
      <c r="W94" s="2" t="str">
        <f t="shared" si="5"/>
        <v>通过</v>
      </c>
    </row>
    <row r="95" spans="1:23" ht="15">
      <c r="A95" s="2" t="str">
        <f>raw_order_lines!A95</f>
        <v>SIM-20260903-C002</v>
      </c>
      <c r="B95" s="2">
        <f>raw_order_lines!B95</f>
        <v>5</v>
      </c>
      <c r="C95" s="2" t="str">
        <f>raw_order_lines!C95</f>
        <v>C002</v>
      </c>
      <c r="D95" s="3">
        <f>raw_order_lines!D95</f>
        <v>46268</v>
      </c>
      <c r="E95" s="2" t="str">
        <f>raw_order_lines!E95</f>
        <v>P013</v>
      </c>
      <c r="F95" s="2" t="str">
        <f>raw_order_lines!F95</f>
        <v>公斤</v>
      </c>
      <c r="G95" s="4">
        <f>raw_order_lines!G95</f>
        <v>5.3</v>
      </c>
      <c r="H95" s="4">
        <f>raw_order_lines!H95</f>
        <v>5.3</v>
      </c>
      <c r="I95" s="4">
        <f>raw_order_lines!I95</f>
        <v>0</v>
      </c>
      <c r="J95" s="5">
        <f>raw_order_lines!J95</f>
        <v>6.3</v>
      </c>
      <c r="K95" s="2" t="str">
        <f>raw_order_lines!K95</f>
        <v>正常交付</v>
      </c>
      <c r="L95" s="2" t="str">
        <f>raw_order_lines!L95</f>
        <v>true</v>
      </c>
      <c r="M95" s="2" t="str">
        <f>INDEX(dim_products!$B$2:$B$21,MATCH($E95,dim_products!$A$2:$A$21,0))</f>
        <v>豇豆</v>
      </c>
      <c r="N95" s="2" t="str">
        <f>INDEX(dim_products!$C$2:$C$21,MATCH($E95,dim_products!$A$2:$A$21,0))</f>
        <v>散装鲜菜</v>
      </c>
      <c r="O95" s="2" t="str">
        <f>INDEX(dim_customers!$B$2:$B$7,MATCH($C95,dim_customers!$A$2:$A$7,0))</f>
        <v>模拟_桥头家常菜馆</v>
      </c>
      <c r="P95" s="6">
        <f>INT((ROUND(raw_order_lines!H95*10,0)*ROUND(raw_order_lines!J95*100,0)+5)/10)/100</f>
        <v>33.39</v>
      </c>
      <c r="Q95" s="6">
        <f>INT((ROUND(raw_order_lines!I95*10,0)*ROUND(raw_order_lines!J95*100,0)+5)/10)/100</f>
        <v>0</v>
      </c>
      <c r="R95" s="6">
        <f t="shared" si="3"/>
        <v>33.39</v>
      </c>
      <c r="S95" s="2" t="str">
        <f>IF(OR(ROUND(raw_order_lines!I95*10,0)&gt;ROUND(raw_order_lines!H95*10,0),ROUND(raw_order_lines!H95*10,0)&gt;ROUND(raw_order_lines!G95*10,0),ROUND(raw_order_lines!G95*10,0)&lt;=0),"数量关系异常","")</f>
        <v/>
      </c>
      <c r="T95" s="2" t="str">
        <f>IF($F95&lt;&gt;INDEX(dim_products!$D$2:$D$21,MATCH($E95,dim_products!$A$2:$A$21,0)),"单位不一致","")</f>
        <v/>
      </c>
      <c r="U95" s="2" t="str">
        <f>IF(OR(ROUND(raw_order_lines!J95*100,0)&lt;ROUND(INDEX(dim_products!$F$2:$F$21,MATCH($E95,dim_products!$A$2:$A$21,0))*100,0),ROUND(raw_order_lines!J95*100,0)&gt;ROUND(INDEX(dim_products!$G$2:$G$21,MATCH($E95,dim_products!$A$2:$A$21,0))*100,0)),"单价越界","")</f>
        <v/>
      </c>
      <c r="V95" s="2" t="str">
        <f t="shared" si="4"/>
        <v/>
      </c>
      <c r="W95" s="2" t="str">
        <f t="shared" si="5"/>
        <v>通过</v>
      </c>
    </row>
    <row r="96" spans="1:23" ht="15">
      <c r="A96" s="2" t="str">
        <f>raw_order_lines!A96</f>
        <v>SIM-20260903-C002</v>
      </c>
      <c r="B96" s="2">
        <f>raw_order_lines!B96</f>
        <v>6</v>
      </c>
      <c r="C96" s="2" t="str">
        <f>raw_order_lines!C96</f>
        <v>C002</v>
      </c>
      <c r="D96" s="3">
        <f>raw_order_lines!D96</f>
        <v>46268</v>
      </c>
      <c r="E96" s="2" t="str">
        <f>raw_order_lines!E96</f>
        <v>P016</v>
      </c>
      <c r="F96" s="2" t="str">
        <f>raw_order_lines!F96</f>
        <v>公斤</v>
      </c>
      <c r="G96" s="4">
        <f>raw_order_lines!G96</f>
        <v>4</v>
      </c>
      <c r="H96" s="4">
        <f>raw_order_lines!H96</f>
        <v>4</v>
      </c>
      <c r="I96" s="4">
        <f>raw_order_lines!I96</f>
        <v>0</v>
      </c>
      <c r="J96" s="5">
        <f>raw_order_lines!J96</f>
        <v>10.1</v>
      </c>
      <c r="K96" s="2" t="str">
        <f>raw_order_lines!K96</f>
        <v>正常交付</v>
      </c>
      <c r="L96" s="2" t="str">
        <f>raw_order_lines!L96</f>
        <v>true</v>
      </c>
      <c r="M96" s="2" t="str">
        <f>INDEX(dim_products!$B$2:$B$21,MATCH($E96,dim_products!$A$2:$A$21,0))</f>
        <v>鸡蛋</v>
      </c>
      <c r="N96" s="2" t="str">
        <f>INDEX(dim_products!$C$2:$C$21,MATCH($E96,dim_products!$A$2:$A$21,0))</f>
        <v>普通鲜鸡蛋按净重</v>
      </c>
      <c r="O96" s="2" t="str">
        <f>INDEX(dim_customers!$B$2:$B$7,MATCH($C96,dim_customers!$A$2:$A$7,0))</f>
        <v>模拟_桥头家常菜馆</v>
      </c>
      <c r="P96" s="6">
        <f>INT((ROUND(raw_order_lines!H96*10,0)*ROUND(raw_order_lines!J96*100,0)+5)/10)/100</f>
        <v>40.4</v>
      </c>
      <c r="Q96" s="6">
        <f>INT((ROUND(raw_order_lines!I96*10,0)*ROUND(raw_order_lines!J96*100,0)+5)/10)/100</f>
        <v>0</v>
      </c>
      <c r="R96" s="6">
        <f t="shared" si="3"/>
        <v>40.4</v>
      </c>
      <c r="S96" s="2" t="str">
        <f>IF(OR(ROUND(raw_order_lines!I96*10,0)&gt;ROUND(raw_order_lines!H96*10,0),ROUND(raw_order_lines!H96*10,0)&gt;ROUND(raw_order_lines!G96*10,0),ROUND(raw_order_lines!G96*10,0)&lt;=0),"数量关系异常","")</f>
        <v/>
      </c>
      <c r="T96" s="2" t="str">
        <f>IF($F96&lt;&gt;INDEX(dim_products!$D$2:$D$21,MATCH($E96,dim_products!$A$2:$A$21,0)),"单位不一致","")</f>
        <v/>
      </c>
      <c r="U96" s="2" t="str">
        <f>IF(OR(ROUND(raw_order_lines!J96*100,0)&lt;ROUND(INDEX(dim_products!$F$2:$F$21,MATCH($E96,dim_products!$A$2:$A$21,0))*100,0),ROUND(raw_order_lines!J96*100,0)&gt;ROUND(INDEX(dim_products!$G$2:$G$21,MATCH($E96,dim_products!$A$2:$A$21,0))*100,0)),"单价越界","")</f>
        <v/>
      </c>
      <c r="V96" s="2" t="str">
        <f t="shared" si="4"/>
        <v/>
      </c>
      <c r="W96" s="2" t="str">
        <f t="shared" si="5"/>
        <v>通过</v>
      </c>
    </row>
    <row r="97" spans="1:23" ht="15">
      <c r="A97" s="2" t="str">
        <f>raw_order_lines!A97</f>
        <v>SIM-20260903-C003</v>
      </c>
      <c r="B97" s="2">
        <f>raw_order_lines!B97</f>
        <v>1</v>
      </c>
      <c r="C97" s="2" t="str">
        <f>raw_order_lines!C97</f>
        <v>C003</v>
      </c>
      <c r="D97" s="3">
        <f>raw_order_lines!D97</f>
        <v>46268</v>
      </c>
      <c r="E97" s="2" t="str">
        <f>raw_order_lines!E97</f>
        <v>P010</v>
      </c>
      <c r="F97" s="2" t="str">
        <f>raw_order_lines!F97</f>
        <v>公斤</v>
      </c>
      <c r="G97" s="4">
        <f>raw_order_lines!G97</f>
        <v>8.1999999999999993</v>
      </c>
      <c r="H97" s="4">
        <f>raw_order_lines!H97</f>
        <v>8.1999999999999993</v>
      </c>
      <c r="I97" s="4">
        <f>raw_order_lines!I97</f>
        <v>0</v>
      </c>
      <c r="J97" s="5">
        <f>raw_order_lines!J97</f>
        <v>5</v>
      </c>
      <c r="K97" s="2" t="str">
        <f>raw_order_lines!K97</f>
        <v>正常交付</v>
      </c>
      <c r="L97" s="2" t="str">
        <f>raw_order_lines!L97</f>
        <v>true</v>
      </c>
      <c r="M97" s="2" t="str">
        <f>INDEX(dim_products!$B$2:$B$21,MATCH($E97,dim_products!$A$2:$A$21,0))</f>
        <v>空心菜</v>
      </c>
      <c r="N97" s="2" t="str">
        <f>INDEX(dim_products!$C$2:$C$21,MATCH($E97,dim_products!$A$2:$A$21,0))</f>
        <v>散装鲜菜</v>
      </c>
      <c r="O97" s="2" t="str">
        <f>INDEX(dim_customers!$B$2:$B$7,MATCH($C97,dim_customers!$A$2:$A$7,0))</f>
        <v>模拟_兴街快餐店</v>
      </c>
      <c r="P97" s="6">
        <f>INT((ROUND(raw_order_lines!H97*10,0)*ROUND(raw_order_lines!J97*100,0)+5)/10)/100</f>
        <v>41</v>
      </c>
      <c r="Q97" s="6">
        <f>INT((ROUND(raw_order_lines!I97*10,0)*ROUND(raw_order_lines!J97*100,0)+5)/10)/100</f>
        <v>0</v>
      </c>
      <c r="R97" s="6">
        <f t="shared" si="3"/>
        <v>41</v>
      </c>
      <c r="S97" s="2" t="str">
        <f>IF(OR(ROUND(raw_order_lines!I97*10,0)&gt;ROUND(raw_order_lines!H97*10,0),ROUND(raw_order_lines!H97*10,0)&gt;ROUND(raw_order_lines!G97*10,0),ROUND(raw_order_lines!G97*10,0)&lt;=0),"数量关系异常","")</f>
        <v/>
      </c>
      <c r="T97" s="2" t="str">
        <f>IF($F97&lt;&gt;INDEX(dim_products!$D$2:$D$21,MATCH($E97,dim_products!$A$2:$A$21,0)),"单位不一致","")</f>
        <v/>
      </c>
      <c r="U97" s="2" t="str">
        <f>IF(OR(ROUND(raw_order_lines!J97*100,0)&lt;ROUND(INDEX(dim_products!$F$2:$F$21,MATCH($E97,dim_products!$A$2:$A$21,0))*100,0),ROUND(raw_order_lines!J97*100,0)&gt;ROUND(INDEX(dim_products!$G$2:$G$21,MATCH($E97,dim_products!$A$2:$A$21,0))*100,0)),"单价越界","")</f>
        <v/>
      </c>
      <c r="V97" s="2" t="str">
        <f t="shared" si="4"/>
        <v/>
      </c>
      <c r="W97" s="2" t="str">
        <f t="shared" si="5"/>
        <v>通过</v>
      </c>
    </row>
    <row r="98" spans="1:23" ht="15">
      <c r="A98" s="2" t="str">
        <f>raw_order_lines!A98</f>
        <v>SIM-20260903-C003</v>
      </c>
      <c r="B98" s="2">
        <f>raw_order_lines!B98</f>
        <v>2</v>
      </c>
      <c r="C98" s="2" t="str">
        <f>raw_order_lines!C98</f>
        <v>C003</v>
      </c>
      <c r="D98" s="3">
        <f>raw_order_lines!D98</f>
        <v>46268</v>
      </c>
      <c r="E98" s="2" t="str">
        <f>raw_order_lines!E98</f>
        <v>P009</v>
      </c>
      <c r="F98" s="2" t="str">
        <f>raw_order_lines!F98</f>
        <v>公斤</v>
      </c>
      <c r="G98" s="4">
        <f>raw_order_lines!G98</f>
        <v>4.5999999999999996</v>
      </c>
      <c r="H98" s="4">
        <f>raw_order_lines!H98</f>
        <v>4.5999999999999996</v>
      </c>
      <c r="I98" s="4">
        <f>raw_order_lines!I98</f>
        <v>0</v>
      </c>
      <c r="J98" s="5">
        <f>raw_order_lines!J98</f>
        <v>5</v>
      </c>
      <c r="K98" s="2" t="str">
        <f>raw_order_lines!K98</f>
        <v>正常交付</v>
      </c>
      <c r="L98" s="2" t="str">
        <f>raw_order_lines!L98</f>
        <v>true</v>
      </c>
      <c r="M98" s="2" t="str">
        <f>INDEX(dim_products!$B$2:$B$21,MATCH($E98,dim_products!$A$2:$A$21,0))</f>
        <v>西红柿</v>
      </c>
      <c r="N98" s="2" t="str">
        <f>INDEX(dim_products!$C$2:$C$21,MATCH($E98,dim_products!$A$2:$A$21,0))</f>
        <v>散装鲜菜</v>
      </c>
      <c r="O98" s="2" t="str">
        <f>INDEX(dim_customers!$B$2:$B$7,MATCH($C98,dim_customers!$A$2:$A$7,0))</f>
        <v>模拟_兴街快餐店</v>
      </c>
      <c r="P98" s="6">
        <f>INT((ROUND(raw_order_lines!H98*10,0)*ROUND(raw_order_lines!J98*100,0)+5)/10)/100</f>
        <v>23</v>
      </c>
      <c r="Q98" s="6">
        <f>INT((ROUND(raw_order_lines!I98*10,0)*ROUND(raw_order_lines!J98*100,0)+5)/10)/100</f>
        <v>0</v>
      </c>
      <c r="R98" s="6">
        <f t="shared" si="3"/>
        <v>23</v>
      </c>
      <c r="S98" s="2" t="str">
        <f>IF(OR(ROUND(raw_order_lines!I98*10,0)&gt;ROUND(raw_order_lines!H98*10,0),ROUND(raw_order_lines!H98*10,0)&gt;ROUND(raw_order_lines!G98*10,0),ROUND(raw_order_lines!G98*10,0)&lt;=0),"数量关系异常","")</f>
        <v/>
      </c>
      <c r="T98" s="2" t="str">
        <f>IF($F98&lt;&gt;INDEX(dim_products!$D$2:$D$21,MATCH($E98,dim_products!$A$2:$A$21,0)),"单位不一致","")</f>
        <v/>
      </c>
      <c r="U98" s="2" t="str">
        <f>IF(OR(ROUND(raw_order_lines!J98*100,0)&lt;ROUND(INDEX(dim_products!$F$2:$F$21,MATCH($E98,dim_products!$A$2:$A$21,0))*100,0),ROUND(raw_order_lines!J98*100,0)&gt;ROUND(INDEX(dim_products!$G$2:$G$21,MATCH($E98,dim_products!$A$2:$A$21,0))*100,0)),"单价越界","")</f>
        <v/>
      </c>
      <c r="V98" s="2" t="str">
        <f t="shared" si="4"/>
        <v/>
      </c>
      <c r="W98" s="2" t="str">
        <f t="shared" si="5"/>
        <v>通过</v>
      </c>
    </row>
    <row r="99" spans="1:23" ht="15">
      <c r="A99" s="2" t="str">
        <f>raw_order_lines!A99</f>
        <v>SIM-20260903-C003</v>
      </c>
      <c r="B99" s="2">
        <f>raw_order_lines!B99</f>
        <v>3</v>
      </c>
      <c r="C99" s="2" t="str">
        <f>raw_order_lines!C99</f>
        <v>C003</v>
      </c>
      <c r="D99" s="3">
        <f>raw_order_lines!D99</f>
        <v>46268</v>
      </c>
      <c r="E99" s="2" t="str">
        <f>raw_order_lines!E99</f>
        <v>P002</v>
      </c>
      <c r="F99" s="2" t="str">
        <f>raw_order_lines!F99</f>
        <v>公斤</v>
      </c>
      <c r="G99" s="4">
        <f>raw_order_lines!G99</f>
        <v>6.2</v>
      </c>
      <c r="H99" s="4">
        <f>raw_order_lines!H99</f>
        <v>6.2</v>
      </c>
      <c r="I99" s="4">
        <f>raw_order_lines!I99</f>
        <v>0</v>
      </c>
      <c r="J99" s="5">
        <f>raw_order_lines!J99</f>
        <v>2.2999999999999998</v>
      </c>
      <c r="K99" s="2" t="str">
        <f>raw_order_lines!K99</f>
        <v>正常交付</v>
      </c>
      <c r="L99" s="2" t="str">
        <f>raw_order_lines!L99</f>
        <v>true</v>
      </c>
      <c r="M99" s="2" t="str">
        <f>INDEX(dim_products!$B$2:$B$21,MATCH($E99,dim_products!$A$2:$A$21,0))</f>
        <v>白萝卜</v>
      </c>
      <c r="N99" s="2" t="str">
        <f>INDEX(dim_products!$C$2:$C$21,MATCH($E99,dim_products!$A$2:$A$21,0))</f>
        <v>散装鲜菜</v>
      </c>
      <c r="O99" s="2" t="str">
        <f>INDEX(dim_customers!$B$2:$B$7,MATCH($C99,dim_customers!$A$2:$A$7,0))</f>
        <v>模拟_兴街快餐店</v>
      </c>
      <c r="P99" s="6">
        <f>INT((ROUND(raw_order_lines!H99*10,0)*ROUND(raw_order_lines!J99*100,0)+5)/10)/100</f>
        <v>14.26</v>
      </c>
      <c r="Q99" s="6">
        <f>INT((ROUND(raw_order_lines!I99*10,0)*ROUND(raw_order_lines!J99*100,0)+5)/10)/100</f>
        <v>0</v>
      </c>
      <c r="R99" s="6">
        <f t="shared" si="3"/>
        <v>14.26</v>
      </c>
      <c r="S99" s="2" t="str">
        <f>IF(OR(ROUND(raw_order_lines!I99*10,0)&gt;ROUND(raw_order_lines!H99*10,0),ROUND(raw_order_lines!H99*10,0)&gt;ROUND(raw_order_lines!G99*10,0),ROUND(raw_order_lines!G99*10,0)&lt;=0),"数量关系异常","")</f>
        <v/>
      </c>
      <c r="T99" s="2" t="str">
        <f>IF($F99&lt;&gt;INDEX(dim_products!$D$2:$D$21,MATCH($E99,dim_products!$A$2:$A$21,0)),"单位不一致","")</f>
        <v/>
      </c>
      <c r="U99" s="2" t="str">
        <f>IF(OR(ROUND(raw_order_lines!J99*100,0)&lt;ROUND(INDEX(dim_products!$F$2:$F$21,MATCH($E99,dim_products!$A$2:$A$21,0))*100,0),ROUND(raw_order_lines!J99*100,0)&gt;ROUND(INDEX(dim_products!$G$2:$G$21,MATCH($E99,dim_products!$A$2:$A$21,0))*100,0)),"单价越界","")</f>
        <v/>
      </c>
      <c r="V99" s="2" t="str">
        <f t="shared" si="4"/>
        <v/>
      </c>
      <c r="W99" s="2" t="str">
        <f t="shared" si="5"/>
        <v>通过</v>
      </c>
    </row>
    <row r="100" spans="1:23" ht="15">
      <c r="A100" s="2" t="str">
        <f>raw_order_lines!A100</f>
        <v>SIM-20260903-C003</v>
      </c>
      <c r="B100" s="2">
        <f>raw_order_lines!B100</f>
        <v>4</v>
      </c>
      <c r="C100" s="2" t="str">
        <f>raw_order_lines!C100</f>
        <v>C003</v>
      </c>
      <c r="D100" s="3">
        <f>raw_order_lines!D100</f>
        <v>46268</v>
      </c>
      <c r="E100" s="2" t="str">
        <f>raw_order_lines!E100</f>
        <v>P006</v>
      </c>
      <c r="F100" s="2" t="str">
        <f>raw_order_lines!F100</f>
        <v>公斤</v>
      </c>
      <c r="G100" s="4">
        <f>raw_order_lines!G100</f>
        <v>6.7</v>
      </c>
      <c r="H100" s="4">
        <f>raw_order_lines!H100</f>
        <v>6.7</v>
      </c>
      <c r="I100" s="4">
        <f>raw_order_lines!I100</f>
        <v>0</v>
      </c>
      <c r="J100" s="5">
        <f>raw_order_lines!J100</f>
        <v>4.5999999999999996</v>
      </c>
      <c r="K100" s="2" t="str">
        <f>raw_order_lines!K100</f>
        <v>正常交付</v>
      </c>
      <c r="L100" s="2" t="str">
        <f>raw_order_lines!L100</f>
        <v>true</v>
      </c>
      <c r="M100" s="2" t="str">
        <f>INDEX(dim_products!$B$2:$B$21,MATCH($E100,dim_products!$A$2:$A$21,0))</f>
        <v>茄子</v>
      </c>
      <c r="N100" s="2" t="str">
        <f>INDEX(dim_products!$C$2:$C$21,MATCH($E100,dim_products!$A$2:$A$21,0))</f>
        <v>散装鲜菜</v>
      </c>
      <c r="O100" s="2" t="str">
        <f>INDEX(dim_customers!$B$2:$B$7,MATCH($C100,dim_customers!$A$2:$A$7,0))</f>
        <v>模拟_兴街快餐店</v>
      </c>
      <c r="P100" s="6">
        <f>INT((ROUND(raw_order_lines!H100*10,0)*ROUND(raw_order_lines!J100*100,0)+5)/10)/100</f>
        <v>30.82</v>
      </c>
      <c r="Q100" s="6">
        <f>INT((ROUND(raw_order_lines!I100*10,0)*ROUND(raw_order_lines!J100*100,0)+5)/10)/100</f>
        <v>0</v>
      </c>
      <c r="R100" s="6">
        <f t="shared" si="3"/>
        <v>30.82</v>
      </c>
      <c r="S100" s="2" t="str">
        <f>IF(OR(ROUND(raw_order_lines!I100*10,0)&gt;ROUND(raw_order_lines!H100*10,0),ROUND(raw_order_lines!H100*10,0)&gt;ROUND(raw_order_lines!G100*10,0),ROUND(raw_order_lines!G100*10,0)&lt;=0),"数量关系异常","")</f>
        <v/>
      </c>
      <c r="T100" s="2" t="str">
        <f>IF($F100&lt;&gt;INDEX(dim_products!$D$2:$D$21,MATCH($E100,dim_products!$A$2:$A$21,0)),"单位不一致","")</f>
        <v/>
      </c>
      <c r="U100" s="2" t="str">
        <f>IF(OR(ROUND(raw_order_lines!J100*100,0)&lt;ROUND(INDEX(dim_products!$F$2:$F$21,MATCH($E100,dim_products!$A$2:$A$21,0))*100,0),ROUND(raw_order_lines!J100*100,0)&gt;ROUND(INDEX(dim_products!$G$2:$G$21,MATCH($E100,dim_products!$A$2:$A$21,0))*100,0)),"单价越界","")</f>
        <v/>
      </c>
      <c r="V100" s="2" t="str">
        <f t="shared" si="4"/>
        <v/>
      </c>
      <c r="W100" s="2" t="str">
        <f t="shared" si="5"/>
        <v>通过</v>
      </c>
    </row>
    <row r="101" spans="1:23" ht="15">
      <c r="A101" s="2" t="str">
        <f>raw_order_lines!A101</f>
        <v>SIM-20260903-C003</v>
      </c>
      <c r="B101" s="2">
        <f>raw_order_lines!B101</f>
        <v>5</v>
      </c>
      <c r="C101" s="2" t="str">
        <f>raw_order_lines!C101</f>
        <v>C003</v>
      </c>
      <c r="D101" s="3">
        <f>raw_order_lines!D101</f>
        <v>46268</v>
      </c>
      <c r="E101" s="2" t="str">
        <f>raw_order_lines!E101</f>
        <v>P014</v>
      </c>
      <c r="F101" s="2" t="str">
        <f>raw_order_lines!F101</f>
        <v>公斤</v>
      </c>
      <c r="G101" s="4">
        <f>raw_order_lines!G101</f>
        <v>7.2</v>
      </c>
      <c r="H101" s="4">
        <f>raw_order_lines!H101</f>
        <v>7.2</v>
      </c>
      <c r="I101" s="4">
        <f>raw_order_lines!I101</f>
        <v>0</v>
      </c>
      <c r="J101" s="5">
        <f>raw_order_lines!J101</f>
        <v>4.7</v>
      </c>
      <c r="K101" s="2" t="str">
        <f>raw_order_lines!K101</f>
        <v>正常交付</v>
      </c>
      <c r="L101" s="2" t="str">
        <f>raw_order_lines!L101</f>
        <v>true</v>
      </c>
      <c r="M101" s="2" t="str">
        <f>INDEX(dim_products!$B$2:$B$21,MATCH($E101,dim_products!$A$2:$A$21,0))</f>
        <v>丝瓜</v>
      </c>
      <c r="N101" s="2" t="str">
        <f>INDEX(dim_products!$C$2:$C$21,MATCH($E101,dim_products!$A$2:$A$21,0))</f>
        <v>散装鲜菜</v>
      </c>
      <c r="O101" s="2" t="str">
        <f>INDEX(dim_customers!$B$2:$B$7,MATCH($C101,dim_customers!$A$2:$A$7,0))</f>
        <v>模拟_兴街快餐店</v>
      </c>
      <c r="P101" s="6">
        <f>INT((ROUND(raw_order_lines!H101*10,0)*ROUND(raw_order_lines!J101*100,0)+5)/10)/100</f>
        <v>33.840000000000003</v>
      </c>
      <c r="Q101" s="6">
        <f>INT((ROUND(raw_order_lines!I101*10,0)*ROUND(raw_order_lines!J101*100,0)+5)/10)/100</f>
        <v>0</v>
      </c>
      <c r="R101" s="6">
        <f t="shared" si="3"/>
        <v>33.840000000000003</v>
      </c>
      <c r="S101" s="2" t="str">
        <f>IF(OR(ROUND(raw_order_lines!I101*10,0)&gt;ROUND(raw_order_lines!H101*10,0),ROUND(raw_order_lines!H101*10,0)&gt;ROUND(raw_order_lines!G101*10,0),ROUND(raw_order_lines!G101*10,0)&lt;=0),"数量关系异常","")</f>
        <v/>
      </c>
      <c r="T101" s="2" t="str">
        <f>IF($F101&lt;&gt;INDEX(dim_products!$D$2:$D$21,MATCH($E101,dim_products!$A$2:$A$21,0)),"单位不一致","")</f>
        <v/>
      </c>
      <c r="U101" s="2" t="str">
        <f>IF(OR(ROUND(raw_order_lines!J101*100,0)&lt;ROUND(INDEX(dim_products!$F$2:$F$21,MATCH($E101,dim_products!$A$2:$A$21,0))*100,0),ROUND(raw_order_lines!J101*100,0)&gt;ROUND(INDEX(dim_products!$G$2:$G$21,MATCH($E101,dim_products!$A$2:$A$21,0))*100,0)),"单价越界","")</f>
        <v/>
      </c>
      <c r="V101" s="2" t="str">
        <f t="shared" si="4"/>
        <v/>
      </c>
      <c r="W101" s="2" t="str">
        <f t="shared" si="5"/>
        <v>通过</v>
      </c>
    </row>
    <row r="102" spans="1:23" ht="15">
      <c r="A102" s="2" t="str">
        <f>raw_order_lines!A102</f>
        <v>SIM-20260903-C003</v>
      </c>
      <c r="B102" s="2">
        <f>raw_order_lines!B102</f>
        <v>6</v>
      </c>
      <c r="C102" s="2" t="str">
        <f>raw_order_lines!C102</f>
        <v>C003</v>
      </c>
      <c r="D102" s="3">
        <f>raw_order_lines!D102</f>
        <v>46268</v>
      </c>
      <c r="E102" s="2" t="str">
        <f>raw_order_lines!E102</f>
        <v>P003</v>
      </c>
      <c r="F102" s="2" t="str">
        <f>raw_order_lines!F102</f>
        <v>公斤</v>
      </c>
      <c r="G102" s="4">
        <f>raw_order_lines!G102</f>
        <v>6.2</v>
      </c>
      <c r="H102" s="4">
        <f>raw_order_lines!H102</f>
        <v>5.7</v>
      </c>
      <c r="I102" s="4">
        <f>raw_order_lines!I102</f>
        <v>0</v>
      </c>
      <c r="J102" s="5">
        <f>raw_order_lines!J102</f>
        <v>3.3</v>
      </c>
      <c r="K102" s="2" t="str">
        <f>raw_order_lines!K102</f>
        <v>到货不足；按实际交付计费</v>
      </c>
      <c r="L102" s="2" t="str">
        <f>raw_order_lines!L102</f>
        <v>true</v>
      </c>
      <c r="M102" s="2" t="str">
        <f>INDEX(dim_products!$B$2:$B$21,MATCH($E102,dim_products!$A$2:$A$21,0))</f>
        <v>包菜</v>
      </c>
      <c r="N102" s="2" t="str">
        <f>INDEX(dim_products!$C$2:$C$21,MATCH($E102,dim_products!$A$2:$A$21,0))</f>
        <v>散装鲜菜</v>
      </c>
      <c r="O102" s="2" t="str">
        <f>INDEX(dim_customers!$B$2:$B$7,MATCH($C102,dim_customers!$A$2:$A$7,0))</f>
        <v>模拟_兴街快餐店</v>
      </c>
      <c r="P102" s="6">
        <f>INT((ROUND(raw_order_lines!H102*10,0)*ROUND(raw_order_lines!J102*100,0)+5)/10)/100</f>
        <v>18.809999999999999</v>
      </c>
      <c r="Q102" s="6">
        <f>INT((ROUND(raw_order_lines!I102*10,0)*ROUND(raw_order_lines!J102*100,0)+5)/10)/100</f>
        <v>0</v>
      </c>
      <c r="R102" s="6">
        <f t="shared" si="3"/>
        <v>18.809999999999999</v>
      </c>
      <c r="S102" s="2" t="str">
        <f>IF(OR(ROUND(raw_order_lines!I102*10,0)&gt;ROUND(raw_order_lines!H102*10,0),ROUND(raw_order_lines!H102*10,0)&gt;ROUND(raw_order_lines!G102*10,0),ROUND(raw_order_lines!G102*10,0)&lt;=0),"数量关系异常","")</f>
        <v/>
      </c>
      <c r="T102" s="2" t="str">
        <f>IF($F102&lt;&gt;INDEX(dim_products!$D$2:$D$21,MATCH($E102,dim_products!$A$2:$A$21,0)),"单位不一致","")</f>
        <v/>
      </c>
      <c r="U102" s="2" t="str">
        <f>IF(OR(ROUND(raw_order_lines!J102*100,0)&lt;ROUND(INDEX(dim_products!$F$2:$F$21,MATCH($E102,dim_products!$A$2:$A$21,0))*100,0),ROUND(raw_order_lines!J102*100,0)&gt;ROUND(INDEX(dim_products!$G$2:$G$21,MATCH($E102,dim_products!$A$2:$A$21,0))*100,0)),"单价越界","")</f>
        <v/>
      </c>
      <c r="V102" s="2" t="str">
        <f t="shared" si="4"/>
        <v/>
      </c>
      <c r="W102" s="2" t="str">
        <f t="shared" si="5"/>
        <v>通过</v>
      </c>
    </row>
    <row r="103" spans="1:23" ht="15">
      <c r="A103" s="2" t="str">
        <f>raw_order_lines!A103</f>
        <v>SIM-20260903-C003</v>
      </c>
      <c r="B103" s="2">
        <f>raw_order_lines!B103</f>
        <v>7</v>
      </c>
      <c r="C103" s="2" t="str">
        <f>raw_order_lines!C103</f>
        <v>C003</v>
      </c>
      <c r="D103" s="3">
        <f>raw_order_lines!D103</f>
        <v>46268</v>
      </c>
      <c r="E103" s="2" t="str">
        <f>raw_order_lines!E103</f>
        <v>P016</v>
      </c>
      <c r="F103" s="2" t="str">
        <f>raw_order_lines!F103</f>
        <v>公斤</v>
      </c>
      <c r="G103" s="4">
        <f>raw_order_lines!G103</f>
        <v>6</v>
      </c>
      <c r="H103" s="4">
        <f>raw_order_lines!H103</f>
        <v>6</v>
      </c>
      <c r="I103" s="4">
        <f>raw_order_lines!I103</f>
        <v>0</v>
      </c>
      <c r="J103" s="5">
        <f>raw_order_lines!J103</f>
        <v>10.1</v>
      </c>
      <c r="K103" s="2" t="str">
        <f>raw_order_lines!K103</f>
        <v>正常交付</v>
      </c>
      <c r="L103" s="2" t="str">
        <f>raw_order_lines!L103</f>
        <v>true</v>
      </c>
      <c r="M103" s="2" t="str">
        <f>INDEX(dim_products!$B$2:$B$21,MATCH($E103,dim_products!$A$2:$A$21,0))</f>
        <v>鸡蛋</v>
      </c>
      <c r="N103" s="2" t="str">
        <f>INDEX(dim_products!$C$2:$C$21,MATCH($E103,dim_products!$A$2:$A$21,0))</f>
        <v>普通鲜鸡蛋按净重</v>
      </c>
      <c r="O103" s="2" t="str">
        <f>INDEX(dim_customers!$B$2:$B$7,MATCH($C103,dim_customers!$A$2:$A$7,0))</f>
        <v>模拟_兴街快餐店</v>
      </c>
      <c r="P103" s="6">
        <f>INT((ROUND(raw_order_lines!H103*10,0)*ROUND(raw_order_lines!J103*100,0)+5)/10)/100</f>
        <v>60.6</v>
      </c>
      <c r="Q103" s="6">
        <f>INT((ROUND(raw_order_lines!I103*10,0)*ROUND(raw_order_lines!J103*100,0)+5)/10)/100</f>
        <v>0</v>
      </c>
      <c r="R103" s="6">
        <f t="shared" si="3"/>
        <v>60.6</v>
      </c>
      <c r="S103" s="2" t="str">
        <f>IF(OR(ROUND(raw_order_lines!I103*10,0)&gt;ROUND(raw_order_lines!H103*10,0),ROUND(raw_order_lines!H103*10,0)&gt;ROUND(raw_order_lines!G103*10,0),ROUND(raw_order_lines!G103*10,0)&lt;=0),"数量关系异常","")</f>
        <v/>
      </c>
      <c r="T103" s="2" t="str">
        <f>IF($F103&lt;&gt;INDEX(dim_products!$D$2:$D$21,MATCH($E103,dim_products!$A$2:$A$21,0)),"单位不一致","")</f>
        <v/>
      </c>
      <c r="U103" s="2" t="str">
        <f>IF(OR(ROUND(raw_order_lines!J103*100,0)&lt;ROUND(INDEX(dim_products!$F$2:$F$21,MATCH($E103,dim_products!$A$2:$A$21,0))*100,0),ROUND(raw_order_lines!J103*100,0)&gt;ROUND(INDEX(dim_products!$G$2:$G$21,MATCH($E103,dim_products!$A$2:$A$21,0))*100,0)),"单价越界","")</f>
        <v/>
      </c>
      <c r="V103" s="2" t="str">
        <f t="shared" si="4"/>
        <v/>
      </c>
      <c r="W103" s="2" t="str">
        <f t="shared" si="5"/>
        <v>通过</v>
      </c>
    </row>
    <row r="104" spans="1:23" ht="15">
      <c r="A104" s="2" t="str">
        <f>raw_order_lines!A104</f>
        <v>SIM-20260903-C004</v>
      </c>
      <c r="B104" s="2">
        <f>raw_order_lines!B104</f>
        <v>1</v>
      </c>
      <c r="C104" s="2" t="str">
        <f>raw_order_lines!C104</f>
        <v>C004</v>
      </c>
      <c r="D104" s="3">
        <f>raw_order_lines!D104</f>
        <v>46268</v>
      </c>
      <c r="E104" s="2" t="str">
        <f>raw_order_lines!E104</f>
        <v>P010</v>
      </c>
      <c r="F104" s="2" t="str">
        <f>raw_order_lines!F104</f>
        <v>公斤</v>
      </c>
      <c r="G104" s="4">
        <f>raw_order_lines!G104</f>
        <v>5.6</v>
      </c>
      <c r="H104" s="4">
        <f>raw_order_lines!H104</f>
        <v>5.6</v>
      </c>
      <c r="I104" s="4">
        <f>raw_order_lines!I104</f>
        <v>0</v>
      </c>
      <c r="J104" s="5">
        <f>raw_order_lines!J104</f>
        <v>5</v>
      </c>
      <c r="K104" s="2" t="str">
        <f>raw_order_lines!K104</f>
        <v>正常交付</v>
      </c>
      <c r="L104" s="2" t="str">
        <f>raw_order_lines!L104</f>
        <v>true</v>
      </c>
      <c r="M104" s="2" t="str">
        <f>INDEX(dim_products!$B$2:$B$21,MATCH($E104,dim_products!$A$2:$A$21,0))</f>
        <v>空心菜</v>
      </c>
      <c r="N104" s="2" t="str">
        <f>INDEX(dim_products!$C$2:$C$21,MATCH($E104,dim_products!$A$2:$A$21,0))</f>
        <v>散装鲜菜</v>
      </c>
      <c r="O104" s="2" t="str">
        <f>INDEX(dim_customers!$B$2:$B$7,MATCH($C104,dim_customers!$A$2:$A$7,0))</f>
        <v>模拟_田畔饭店</v>
      </c>
      <c r="P104" s="6">
        <f>INT((ROUND(raw_order_lines!H104*10,0)*ROUND(raw_order_lines!J104*100,0)+5)/10)/100</f>
        <v>28</v>
      </c>
      <c r="Q104" s="6">
        <f>INT((ROUND(raw_order_lines!I104*10,0)*ROUND(raw_order_lines!J104*100,0)+5)/10)/100</f>
        <v>0</v>
      </c>
      <c r="R104" s="6">
        <f t="shared" si="3"/>
        <v>28</v>
      </c>
      <c r="S104" s="2" t="str">
        <f>IF(OR(ROUND(raw_order_lines!I104*10,0)&gt;ROUND(raw_order_lines!H104*10,0),ROUND(raw_order_lines!H104*10,0)&gt;ROUND(raw_order_lines!G104*10,0),ROUND(raw_order_lines!G104*10,0)&lt;=0),"数量关系异常","")</f>
        <v/>
      </c>
      <c r="T104" s="2" t="str">
        <f>IF($F104&lt;&gt;INDEX(dim_products!$D$2:$D$21,MATCH($E104,dim_products!$A$2:$A$21,0)),"单位不一致","")</f>
        <v/>
      </c>
      <c r="U104" s="2" t="str">
        <f>IF(OR(ROUND(raw_order_lines!J104*100,0)&lt;ROUND(INDEX(dim_products!$F$2:$F$21,MATCH($E104,dim_products!$A$2:$A$21,0))*100,0),ROUND(raw_order_lines!J104*100,0)&gt;ROUND(INDEX(dim_products!$G$2:$G$21,MATCH($E104,dim_products!$A$2:$A$21,0))*100,0)),"单价越界","")</f>
        <v/>
      </c>
      <c r="V104" s="2" t="str">
        <f t="shared" si="4"/>
        <v/>
      </c>
      <c r="W104" s="2" t="str">
        <f t="shared" si="5"/>
        <v>通过</v>
      </c>
    </row>
    <row r="105" spans="1:23" ht="15">
      <c r="A105" s="2" t="str">
        <f>raw_order_lines!A105</f>
        <v>SIM-20260903-C004</v>
      </c>
      <c r="B105" s="2">
        <f>raw_order_lines!B105</f>
        <v>2</v>
      </c>
      <c r="C105" s="2" t="str">
        <f>raw_order_lines!C105</f>
        <v>C004</v>
      </c>
      <c r="D105" s="3">
        <f>raw_order_lines!D105</f>
        <v>46268</v>
      </c>
      <c r="E105" s="2" t="str">
        <f>raw_order_lines!E105</f>
        <v>P006</v>
      </c>
      <c r="F105" s="2" t="str">
        <f>raw_order_lines!F105</f>
        <v>公斤</v>
      </c>
      <c r="G105" s="4">
        <f>raw_order_lines!G105</f>
        <v>4.0999999999999996</v>
      </c>
      <c r="H105" s="4">
        <f>raw_order_lines!H105</f>
        <v>4.0999999999999996</v>
      </c>
      <c r="I105" s="4">
        <f>raw_order_lines!I105</f>
        <v>0</v>
      </c>
      <c r="J105" s="5">
        <f>raw_order_lines!J105</f>
        <v>4.5999999999999996</v>
      </c>
      <c r="K105" s="2" t="str">
        <f>raw_order_lines!K105</f>
        <v>正常交付</v>
      </c>
      <c r="L105" s="2" t="str">
        <f>raw_order_lines!L105</f>
        <v>true</v>
      </c>
      <c r="M105" s="2" t="str">
        <f>INDEX(dim_products!$B$2:$B$21,MATCH($E105,dim_products!$A$2:$A$21,0))</f>
        <v>茄子</v>
      </c>
      <c r="N105" s="2" t="str">
        <f>INDEX(dim_products!$C$2:$C$21,MATCH($E105,dim_products!$A$2:$A$21,0))</f>
        <v>散装鲜菜</v>
      </c>
      <c r="O105" s="2" t="str">
        <f>INDEX(dim_customers!$B$2:$B$7,MATCH($C105,dim_customers!$A$2:$A$7,0))</f>
        <v>模拟_田畔饭店</v>
      </c>
      <c r="P105" s="6">
        <f>INT((ROUND(raw_order_lines!H105*10,0)*ROUND(raw_order_lines!J105*100,0)+5)/10)/100</f>
        <v>18.86</v>
      </c>
      <c r="Q105" s="6">
        <f>INT((ROUND(raw_order_lines!I105*10,0)*ROUND(raw_order_lines!J105*100,0)+5)/10)/100</f>
        <v>0</v>
      </c>
      <c r="R105" s="6">
        <f t="shared" si="3"/>
        <v>18.86</v>
      </c>
      <c r="S105" s="2" t="str">
        <f>IF(OR(ROUND(raw_order_lines!I105*10,0)&gt;ROUND(raw_order_lines!H105*10,0),ROUND(raw_order_lines!H105*10,0)&gt;ROUND(raw_order_lines!G105*10,0),ROUND(raw_order_lines!G105*10,0)&lt;=0),"数量关系异常","")</f>
        <v/>
      </c>
      <c r="T105" s="2" t="str">
        <f>IF($F105&lt;&gt;INDEX(dim_products!$D$2:$D$21,MATCH($E105,dim_products!$A$2:$A$21,0)),"单位不一致","")</f>
        <v/>
      </c>
      <c r="U105" s="2" t="str">
        <f>IF(OR(ROUND(raw_order_lines!J105*100,0)&lt;ROUND(INDEX(dim_products!$F$2:$F$21,MATCH($E105,dim_products!$A$2:$A$21,0))*100,0),ROUND(raw_order_lines!J105*100,0)&gt;ROUND(INDEX(dim_products!$G$2:$G$21,MATCH($E105,dim_products!$A$2:$A$21,0))*100,0)),"单价越界","")</f>
        <v/>
      </c>
      <c r="V105" s="2" t="str">
        <f t="shared" si="4"/>
        <v/>
      </c>
      <c r="W105" s="2" t="str">
        <f t="shared" si="5"/>
        <v>通过</v>
      </c>
    </row>
    <row r="106" spans="1:23" ht="15">
      <c r="A106" s="2" t="str">
        <f>raw_order_lines!A106</f>
        <v>SIM-20260903-C004</v>
      </c>
      <c r="B106" s="2">
        <f>raw_order_lines!B106</f>
        <v>3</v>
      </c>
      <c r="C106" s="2" t="str">
        <f>raw_order_lines!C106</f>
        <v>C004</v>
      </c>
      <c r="D106" s="3">
        <f>raw_order_lines!D106</f>
        <v>46268</v>
      </c>
      <c r="E106" s="2" t="str">
        <f>raw_order_lines!E106</f>
        <v>P003</v>
      </c>
      <c r="F106" s="2" t="str">
        <f>raw_order_lines!F106</f>
        <v>公斤</v>
      </c>
      <c r="G106" s="4">
        <f>raw_order_lines!G106</f>
        <v>7.6</v>
      </c>
      <c r="H106" s="4">
        <f>raw_order_lines!H106</f>
        <v>7.6</v>
      </c>
      <c r="I106" s="4">
        <f>raw_order_lines!I106</f>
        <v>0</v>
      </c>
      <c r="J106" s="5">
        <f>raw_order_lines!J106</f>
        <v>3.3</v>
      </c>
      <c r="K106" s="2" t="str">
        <f>raw_order_lines!K106</f>
        <v>正常交付</v>
      </c>
      <c r="L106" s="2" t="str">
        <f>raw_order_lines!L106</f>
        <v>true</v>
      </c>
      <c r="M106" s="2" t="str">
        <f>INDEX(dim_products!$B$2:$B$21,MATCH($E106,dim_products!$A$2:$A$21,0))</f>
        <v>包菜</v>
      </c>
      <c r="N106" s="2" t="str">
        <f>INDEX(dim_products!$C$2:$C$21,MATCH($E106,dim_products!$A$2:$A$21,0))</f>
        <v>散装鲜菜</v>
      </c>
      <c r="O106" s="2" t="str">
        <f>INDEX(dim_customers!$B$2:$B$7,MATCH($C106,dim_customers!$A$2:$A$7,0))</f>
        <v>模拟_田畔饭店</v>
      </c>
      <c r="P106" s="6">
        <f>INT((ROUND(raw_order_lines!H106*10,0)*ROUND(raw_order_lines!J106*100,0)+5)/10)/100</f>
        <v>25.08</v>
      </c>
      <c r="Q106" s="6">
        <f>INT((ROUND(raw_order_lines!I106*10,0)*ROUND(raw_order_lines!J106*100,0)+5)/10)/100</f>
        <v>0</v>
      </c>
      <c r="R106" s="6">
        <f t="shared" si="3"/>
        <v>25.08</v>
      </c>
      <c r="S106" s="2" t="str">
        <f>IF(OR(ROUND(raw_order_lines!I106*10,0)&gt;ROUND(raw_order_lines!H106*10,0),ROUND(raw_order_lines!H106*10,0)&gt;ROUND(raw_order_lines!G106*10,0),ROUND(raw_order_lines!G106*10,0)&lt;=0),"数量关系异常","")</f>
        <v/>
      </c>
      <c r="T106" s="2" t="str">
        <f>IF($F106&lt;&gt;INDEX(dim_products!$D$2:$D$21,MATCH($E106,dim_products!$A$2:$A$21,0)),"单位不一致","")</f>
        <v/>
      </c>
      <c r="U106" s="2" t="str">
        <f>IF(OR(ROUND(raw_order_lines!J106*100,0)&lt;ROUND(INDEX(dim_products!$F$2:$F$21,MATCH($E106,dim_products!$A$2:$A$21,0))*100,0),ROUND(raw_order_lines!J106*100,0)&gt;ROUND(INDEX(dim_products!$G$2:$G$21,MATCH($E106,dim_products!$A$2:$A$21,0))*100,0)),"单价越界","")</f>
        <v/>
      </c>
      <c r="V106" s="2" t="str">
        <f t="shared" si="4"/>
        <v/>
      </c>
      <c r="W106" s="2" t="str">
        <f t="shared" si="5"/>
        <v>通过</v>
      </c>
    </row>
    <row r="107" spans="1:23" ht="15">
      <c r="A107" s="2" t="str">
        <f>raw_order_lines!A107</f>
        <v>SIM-20260903-C004</v>
      </c>
      <c r="B107" s="2">
        <f>raw_order_lines!B107</f>
        <v>4</v>
      </c>
      <c r="C107" s="2" t="str">
        <f>raw_order_lines!C107</f>
        <v>C004</v>
      </c>
      <c r="D107" s="3">
        <f>raw_order_lines!D107</f>
        <v>46268</v>
      </c>
      <c r="E107" s="2" t="str">
        <f>raw_order_lines!E107</f>
        <v>P013</v>
      </c>
      <c r="F107" s="2" t="str">
        <f>raw_order_lines!F107</f>
        <v>公斤</v>
      </c>
      <c r="G107" s="4">
        <f>raw_order_lines!G107</f>
        <v>7.6</v>
      </c>
      <c r="H107" s="4">
        <f>raw_order_lines!H107</f>
        <v>7.6</v>
      </c>
      <c r="I107" s="4">
        <f>raw_order_lines!I107</f>
        <v>0</v>
      </c>
      <c r="J107" s="5">
        <f>raw_order_lines!J107</f>
        <v>6.3</v>
      </c>
      <c r="K107" s="2" t="str">
        <f>raw_order_lines!K107</f>
        <v>正常交付</v>
      </c>
      <c r="L107" s="2" t="str">
        <f>raw_order_lines!L107</f>
        <v>true</v>
      </c>
      <c r="M107" s="2" t="str">
        <f>INDEX(dim_products!$B$2:$B$21,MATCH($E107,dim_products!$A$2:$A$21,0))</f>
        <v>豇豆</v>
      </c>
      <c r="N107" s="2" t="str">
        <f>INDEX(dim_products!$C$2:$C$21,MATCH($E107,dim_products!$A$2:$A$21,0))</f>
        <v>散装鲜菜</v>
      </c>
      <c r="O107" s="2" t="str">
        <f>INDEX(dim_customers!$B$2:$B$7,MATCH($C107,dim_customers!$A$2:$A$7,0))</f>
        <v>模拟_田畔饭店</v>
      </c>
      <c r="P107" s="6">
        <f>INT((ROUND(raw_order_lines!H107*10,0)*ROUND(raw_order_lines!J107*100,0)+5)/10)/100</f>
        <v>47.88</v>
      </c>
      <c r="Q107" s="6">
        <f>INT((ROUND(raw_order_lines!I107*10,0)*ROUND(raw_order_lines!J107*100,0)+5)/10)/100</f>
        <v>0</v>
      </c>
      <c r="R107" s="6">
        <f t="shared" si="3"/>
        <v>47.88</v>
      </c>
      <c r="S107" s="2" t="str">
        <f>IF(OR(ROUND(raw_order_lines!I107*10,0)&gt;ROUND(raw_order_lines!H107*10,0),ROUND(raw_order_lines!H107*10,0)&gt;ROUND(raw_order_lines!G107*10,0),ROUND(raw_order_lines!G107*10,0)&lt;=0),"数量关系异常","")</f>
        <v/>
      </c>
      <c r="T107" s="2" t="str">
        <f>IF($F107&lt;&gt;INDEX(dim_products!$D$2:$D$21,MATCH($E107,dim_products!$A$2:$A$21,0)),"单位不一致","")</f>
        <v/>
      </c>
      <c r="U107" s="2" t="str">
        <f>IF(OR(ROUND(raw_order_lines!J107*100,0)&lt;ROUND(INDEX(dim_products!$F$2:$F$21,MATCH($E107,dim_products!$A$2:$A$21,0))*100,0),ROUND(raw_order_lines!J107*100,0)&gt;ROUND(INDEX(dim_products!$G$2:$G$21,MATCH($E107,dim_products!$A$2:$A$21,0))*100,0)),"单价越界","")</f>
        <v/>
      </c>
      <c r="V107" s="2" t="str">
        <f t="shared" si="4"/>
        <v/>
      </c>
      <c r="W107" s="2" t="str">
        <f t="shared" si="5"/>
        <v>通过</v>
      </c>
    </row>
    <row r="108" spans="1:23" ht="15">
      <c r="A108" s="2" t="str">
        <f>raw_order_lines!A108</f>
        <v>SIM-20260903-C004</v>
      </c>
      <c r="B108" s="2">
        <f>raw_order_lines!B108</f>
        <v>5</v>
      </c>
      <c r="C108" s="2" t="str">
        <f>raw_order_lines!C108</f>
        <v>C004</v>
      </c>
      <c r="D108" s="3">
        <f>raw_order_lines!D108</f>
        <v>46268</v>
      </c>
      <c r="E108" s="2" t="str">
        <f>raw_order_lines!E108</f>
        <v>P007</v>
      </c>
      <c r="F108" s="2" t="str">
        <f>raw_order_lines!F108</f>
        <v>公斤</v>
      </c>
      <c r="G108" s="4">
        <f>raw_order_lines!G108</f>
        <v>7.1</v>
      </c>
      <c r="H108" s="4">
        <f>raw_order_lines!H108</f>
        <v>7.1</v>
      </c>
      <c r="I108" s="4">
        <f>raw_order_lines!I108</f>
        <v>0</v>
      </c>
      <c r="J108" s="5">
        <f>raw_order_lines!J108</f>
        <v>5.15</v>
      </c>
      <c r="K108" s="2" t="str">
        <f>raw_order_lines!K108</f>
        <v>正常交付</v>
      </c>
      <c r="L108" s="2" t="str">
        <f>raw_order_lines!L108</f>
        <v>true</v>
      </c>
      <c r="M108" s="2" t="str">
        <f>INDEX(dim_products!$B$2:$B$21,MATCH($E108,dim_products!$A$2:$A$21,0))</f>
        <v>青椒</v>
      </c>
      <c r="N108" s="2" t="str">
        <f>INDEX(dim_products!$C$2:$C$21,MATCH($E108,dim_products!$A$2:$A$21,0))</f>
        <v>散装鲜菜</v>
      </c>
      <c r="O108" s="2" t="str">
        <f>INDEX(dim_customers!$B$2:$B$7,MATCH($C108,dim_customers!$A$2:$A$7,0))</f>
        <v>模拟_田畔饭店</v>
      </c>
      <c r="P108" s="6">
        <f>INT((ROUND(raw_order_lines!H108*10,0)*ROUND(raw_order_lines!J108*100,0)+5)/10)/100</f>
        <v>36.57</v>
      </c>
      <c r="Q108" s="6">
        <f>INT((ROUND(raw_order_lines!I108*10,0)*ROUND(raw_order_lines!J108*100,0)+5)/10)/100</f>
        <v>0</v>
      </c>
      <c r="R108" s="6">
        <f t="shared" si="3"/>
        <v>36.57</v>
      </c>
      <c r="S108" s="2" t="str">
        <f>IF(OR(ROUND(raw_order_lines!I108*10,0)&gt;ROUND(raw_order_lines!H108*10,0),ROUND(raw_order_lines!H108*10,0)&gt;ROUND(raw_order_lines!G108*10,0),ROUND(raw_order_lines!G108*10,0)&lt;=0),"数量关系异常","")</f>
        <v/>
      </c>
      <c r="T108" s="2" t="str">
        <f>IF($F108&lt;&gt;INDEX(dim_products!$D$2:$D$21,MATCH($E108,dim_products!$A$2:$A$21,0)),"单位不一致","")</f>
        <v/>
      </c>
      <c r="U108" s="2" t="str">
        <f>IF(OR(ROUND(raw_order_lines!J108*100,0)&lt;ROUND(INDEX(dim_products!$F$2:$F$21,MATCH($E108,dim_products!$A$2:$A$21,0))*100,0),ROUND(raw_order_lines!J108*100,0)&gt;ROUND(INDEX(dim_products!$G$2:$G$21,MATCH($E108,dim_products!$A$2:$A$21,0))*100,0)),"单价越界","")</f>
        <v/>
      </c>
      <c r="V108" s="2" t="str">
        <f t="shared" si="4"/>
        <v/>
      </c>
      <c r="W108" s="2" t="str">
        <f t="shared" si="5"/>
        <v>通过</v>
      </c>
    </row>
    <row r="109" spans="1:23" ht="15">
      <c r="A109" s="2" t="str">
        <f>raw_order_lines!A109</f>
        <v>SIM-20260903-C004</v>
      </c>
      <c r="B109" s="2">
        <f>raw_order_lines!B109</f>
        <v>6</v>
      </c>
      <c r="C109" s="2" t="str">
        <f>raw_order_lines!C109</f>
        <v>C004</v>
      </c>
      <c r="D109" s="3">
        <f>raw_order_lines!D109</f>
        <v>46268</v>
      </c>
      <c r="E109" s="2" t="str">
        <f>raw_order_lines!E109</f>
        <v>P009</v>
      </c>
      <c r="F109" s="2" t="str">
        <f>raw_order_lines!F109</f>
        <v>公斤</v>
      </c>
      <c r="G109" s="4">
        <f>raw_order_lines!G109</f>
        <v>7.1</v>
      </c>
      <c r="H109" s="4">
        <f>raw_order_lines!H109</f>
        <v>7.1</v>
      </c>
      <c r="I109" s="4">
        <f>raw_order_lines!I109</f>
        <v>0</v>
      </c>
      <c r="J109" s="5">
        <f>raw_order_lines!J109</f>
        <v>5</v>
      </c>
      <c r="K109" s="2" t="str">
        <f>raw_order_lines!K109</f>
        <v>正常交付</v>
      </c>
      <c r="L109" s="2" t="str">
        <f>raw_order_lines!L109</f>
        <v>true</v>
      </c>
      <c r="M109" s="2" t="str">
        <f>INDEX(dim_products!$B$2:$B$21,MATCH($E109,dim_products!$A$2:$A$21,0))</f>
        <v>西红柿</v>
      </c>
      <c r="N109" s="2" t="str">
        <f>INDEX(dim_products!$C$2:$C$21,MATCH($E109,dim_products!$A$2:$A$21,0))</f>
        <v>散装鲜菜</v>
      </c>
      <c r="O109" s="2" t="str">
        <f>INDEX(dim_customers!$B$2:$B$7,MATCH($C109,dim_customers!$A$2:$A$7,0))</f>
        <v>模拟_田畔饭店</v>
      </c>
      <c r="P109" s="6">
        <f>INT((ROUND(raw_order_lines!H109*10,0)*ROUND(raw_order_lines!J109*100,0)+5)/10)/100</f>
        <v>35.5</v>
      </c>
      <c r="Q109" s="6">
        <f>INT((ROUND(raw_order_lines!I109*10,0)*ROUND(raw_order_lines!J109*100,0)+5)/10)/100</f>
        <v>0</v>
      </c>
      <c r="R109" s="6">
        <f t="shared" si="3"/>
        <v>35.5</v>
      </c>
      <c r="S109" s="2" t="str">
        <f>IF(OR(ROUND(raw_order_lines!I109*10,0)&gt;ROUND(raw_order_lines!H109*10,0),ROUND(raw_order_lines!H109*10,0)&gt;ROUND(raw_order_lines!G109*10,0),ROUND(raw_order_lines!G109*10,0)&lt;=0),"数量关系异常","")</f>
        <v/>
      </c>
      <c r="T109" s="2" t="str">
        <f>IF($F109&lt;&gt;INDEX(dim_products!$D$2:$D$21,MATCH($E109,dim_products!$A$2:$A$21,0)),"单位不一致","")</f>
        <v/>
      </c>
      <c r="U109" s="2" t="str">
        <f>IF(OR(ROUND(raw_order_lines!J109*100,0)&lt;ROUND(INDEX(dim_products!$F$2:$F$21,MATCH($E109,dim_products!$A$2:$A$21,0))*100,0),ROUND(raw_order_lines!J109*100,0)&gt;ROUND(INDEX(dim_products!$G$2:$G$21,MATCH($E109,dim_products!$A$2:$A$21,0))*100,0)),"单价越界","")</f>
        <v/>
      </c>
      <c r="V109" s="2" t="str">
        <f t="shared" si="4"/>
        <v/>
      </c>
      <c r="W109" s="2" t="str">
        <f t="shared" si="5"/>
        <v>通过</v>
      </c>
    </row>
    <row r="110" spans="1:23" ht="15">
      <c r="A110" s="2" t="str">
        <f>raw_order_lines!A110</f>
        <v>SIM-20260903-C005</v>
      </c>
      <c r="B110" s="2">
        <f>raw_order_lines!B110</f>
        <v>1</v>
      </c>
      <c r="C110" s="2" t="str">
        <f>raw_order_lines!C110</f>
        <v>C005</v>
      </c>
      <c r="D110" s="3">
        <f>raw_order_lines!D110</f>
        <v>46268</v>
      </c>
      <c r="E110" s="2" t="str">
        <f>raw_order_lines!E110</f>
        <v>P010</v>
      </c>
      <c r="F110" s="2" t="str">
        <f>raw_order_lines!F110</f>
        <v>公斤</v>
      </c>
      <c r="G110" s="4">
        <f>raw_order_lines!G110</f>
        <v>8.1999999999999993</v>
      </c>
      <c r="H110" s="4">
        <f>raw_order_lines!H110</f>
        <v>8.1999999999999993</v>
      </c>
      <c r="I110" s="4">
        <f>raw_order_lines!I110</f>
        <v>0</v>
      </c>
      <c r="J110" s="5">
        <f>raw_order_lines!J110</f>
        <v>5</v>
      </c>
      <c r="K110" s="2" t="str">
        <f>raw_order_lines!K110</f>
        <v>正常交付</v>
      </c>
      <c r="L110" s="2" t="str">
        <f>raw_order_lines!L110</f>
        <v>true</v>
      </c>
      <c r="M110" s="2" t="str">
        <f>INDEX(dim_products!$B$2:$B$21,MATCH($E110,dim_products!$A$2:$A$21,0))</f>
        <v>空心菜</v>
      </c>
      <c r="N110" s="2" t="str">
        <f>INDEX(dim_products!$C$2:$C$21,MATCH($E110,dim_products!$A$2:$A$21,0))</f>
        <v>散装鲜菜</v>
      </c>
      <c r="O110" s="2" t="str">
        <f>INDEX(dim_customers!$B$2:$B$7,MATCH($C110,dim_customers!$A$2:$A$7,0))</f>
        <v>模拟_青禾小学食堂</v>
      </c>
      <c r="P110" s="6">
        <f>INT((ROUND(raw_order_lines!H110*10,0)*ROUND(raw_order_lines!J110*100,0)+5)/10)/100</f>
        <v>41</v>
      </c>
      <c r="Q110" s="6">
        <f>INT((ROUND(raw_order_lines!I110*10,0)*ROUND(raw_order_lines!J110*100,0)+5)/10)/100</f>
        <v>0</v>
      </c>
      <c r="R110" s="6">
        <f t="shared" si="3"/>
        <v>41</v>
      </c>
      <c r="S110" s="2" t="str">
        <f>IF(OR(ROUND(raw_order_lines!I110*10,0)&gt;ROUND(raw_order_lines!H110*10,0),ROUND(raw_order_lines!H110*10,0)&gt;ROUND(raw_order_lines!G110*10,0),ROUND(raw_order_lines!G110*10,0)&lt;=0),"数量关系异常","")</f>
        <v/>
      </c>
      <c r="T110" s="2" t="str">
        <f>IF($F110&lt;&gt;INDEX(dim_products!$D$2:$D$21,MATCH($E110,dim_products!$A$2:$A$21,0)),"单位不一致","")</f>
        <v/>
      </c>
      <c r="U110" s="2" t="str">
        <f>IF(OR(ROUND(raw_order_lines!J110*100,0)&lt;ROUND(INDEX(dim_products!$F$2:$F$21,MATCH($E110,dim_products!$A$2:$A$21,0))*100,0),ROUND(raw_order_lines!J110*100,0)&gt;ROUND(INDEX(dim_products!$G$2:$G$21,MATCH($E110,dim_products!$A$2:$A$21,0))*100,0)),"单价越界","")</f>
        <v/>
      </c>
      <c r="V110" s="2" t="str">
        <f t="shared" si="4"/>
        <v/>
      </c>
      <c r="W110" s="2" t="str">
        <f t="shared" si="5"/>
        <v>通过</v>
      </c>
    </row>
    <row r="111" spans="1:23" ht="15">
      <c r="A111" s="2" t="str">
        <f>raw_order_lines!A111</f>
        <v>SIM-20260903-C005</v>
      </c>
      <c r="B111" s="2">
        <f>raw_order_lines!B111</f>
        <v>2</v>
      </c>
      <c r="C111" s="2" t="str">
        <f>raw_order_lines!C111</f>
        <v>C005</v>
      </c>
      <c r="D111" s="3">
        <f>raw_order_lines!D111</f>
        <v>46268</v>
      </c>
      <c r="E111" s="2" t="str">
        <f>raw_order_lines!E111</f>
        <v>P001</v>
      </c>
      <c r="F111" s="2" t="str">
        <f>raw_order_lines!F111</f>
        <v>公斤</v>
      </c>
      <c r="G111" s="4">
        <f>raw_order_lines!G111</f>
        <v>8.1999999999999993</v>
      </c>
      <c r="H111" s="4">
        <f>raw_order_lines!H111</f>
        <v>8.1999999999999993</v>
      </c>
      <c r="I111" s="4">
        <f>raw_order_lines!I111</f>
        <v>0</v>
      </c>
      <c r="J111" s="5">
        <f>raw_order_lines!J111</f>
        <v>3.3</v>
      </c>
      <c r="K111" s="2" t="str">
        <f>raw_order_lines!K111</f>
        <v>正常交付</v>
      </c>
      <c r="L111" s="2" t="str">
        <f>raw_order_lines!L111</f>
        <v>true</v>
      </c>
      <c r="M111" s="2" t="str">
        <f>INDEX(dim_products!$B$2:$B$21,MATCH($E111,dim_products!$A$2:$A$21,0))</f>
        <v>土豆</v>
      </c>
      <c r="N111" s="2" t="str">
        <f>INDEX(dim_products!$C$2:$C$21,MATCH($E111,dim_products!$A$2:$A$21,0))</f>
        <v>散装鲜菜</v>
      </c>
      <c r="O111" s="2" t="str">
        <f>INDEX(dim_customers!$B$2:$B$7,MATCH($C111,dim_customers!$A$2:$A$7,0))</f>
        <v>模拟_青禾小学食堂</v>
      </c>
      <c r="P111" s="6">
        <f>INT((ROUND(raw_order_lines!H111*10,0)*ROUND(raw_order_lines!J111*100,0)+5)/10)/100</f>
        <v>27.06</v>
      </c>
      <c r="Q111" s="6">
        <f>INT((ROUND(raw_order_lines!I111*10,0)*ROUND(raw_order_lines!J111*100,0)+5)/10)/100</f>
        <v>0</v>
      </c>
      <c r="R111" s="6">
        <f t="shared" si="3"/>
        <v>27.06</v>
      </c>
      <c r="S111" s="2" t="str">
        <f>IF(OR(ROUND(raw_order_lines!I111*10,0)&gt;ROUND(raw_order_lines!H111*10,0),ROUND(raw_order_lines!H111*10,0)&gt;ROUND(raw_order_lines!G111*10,0),ROUND(raw_order_lines!G111*10,0)&lt;=0),"数量关系异常","")</f>
        <v/>
      </c>
      <c r="T111" s="2" t="str">
        <f>IF($F111&lt;&gt;INDEX(dim_products!$D$2:$D$21,MATCH($E111,dim_products!$A$2:$A$21,0)),"单位不一致","")</f>
        <v/>
      </c>
      <c r="U111" s="2" t="str">
        <f>IF(OR(ROUND(raw_order_lines!J111*100,0)&lt;ROUND(INDEX(dim_products!$F$2:$F$21,MATCH($E111,dim_products!$A$2:$A$21,0))*100,0),ROUND(raw_order_lines!J111*100,0)&gt;ROUND(INDEX(dim_products!$G$2:$G$21,MATCH($E111,dim_products!$A$2:$A$21,0))*100,0)),"单价越界","")</f>
        <v/>
      </c>
      <c r="V111" s="2" t="str">
        <f t="shared" si="4"/>
        <v/>
      </c>
      <c r="W111" s="2" t="str">
        <f t="shared" si="5"/>
        <v>通过</v>
      </c>
    </row>
    <row r="112" spans="1:23" ht="15">
      <c r="A112" s="2" t="str">
        <f>raw_order_lines!A112</f>
        <v>SIM-20260903-C005</v>
      </c>
      <c r="B112" s="2">
        <f>raw_order_lines!B112</f>
        <v>3</v>
      </c>
      <c r="C112" s="2" t="str">
        <f>raw_order_lines!C112</f>
        <v>C005</v>
      </c>
      <c r="D112" s="3">
        <f>raw_order_lines!D112</f>
        <v>46268</v>
      </c>
      <c r="E112" s="2" t="str">
        <f>raw_order_lines!E112</f>
        <v>P008</v>
      </c>
      <c r="F112" s="2" t="str">
        <f>raw_order_lines!F112</f>
        <v>公斤</v>
      </c>
      <c r="G112" s="4">
        <f>raw_order_lines!G112</f>
        <v>13.3</v>
      </c>
      <c r="H112" s="4">
        <f>raw_order_lines!H112</f>
        <v>13.3</v>
      </c>
      <c r="I112" s="4">
        <f>raw_order_lines!I112</f>
        <v>0</v>
      </c>
      <c r="J112" s="5">
        <f>raw_order_lines!J112</f>
        <v>4.0999999999999996</v>
      </c>
      <c r="K112" s="2" t="str">
        <f>raw_order_lines!K112</f>
        <v>正常交付</v>
      </c>
      <c r="L112" s="2" t="str">
        <f>raw_order_lines!L112</f>
        <v>true</v>
      </c>
      <c r="M112" s="2" t="str">
        <f>INDEX(dim_products!$B$2:$B$21,MATCH($E112,dim_products!$A$2:$A$21,0))</f>
        <v>黄瓜</v>
      </c>
      <c r="N112" s="2" t="str">
        <f>INDEX(dim_products!$C$2:$C$21,MATCH($E112,dim_products!$A$2:$A$21,0))</f>
        <v>散装鲜菜</v>
      </c>
      <c r="O112" s="2" t="str">
        <f>INDEX(dim_customers!$B$2:$B$7,MATCH($C112,dim_customers!$A$2:$A$7,0))</f>
        <v>模拟_青禾小学食堂</v>
      </c>
      <c r="P112" s="6">
        <f>INT((ROUND(raw_order_lines!H112*10,0)*ROUND(raw_order_lines!J112*100,0)+5)/10)/100</f>
        <v>54.53</v>
      </c>
      <c r="Q112" s="6">
        <f>INT((ROUND(raw_order_lines!I112*10,0)*ROUND(raw_order_lines!J112*100,0)+5)/10)/100</f>
        <v>0</v>
      </c>
      <c r="R112" s="6">
        <f t="shared" si="3"/>
        <v>54.53</v>
      </c>
      <c r="S112" s="2" t="str">
        <f>IF(OR(ROUND(raw_order_lines!I112*10,0)&gt;ROUND(raw_order_lines!H112*10,0),ROUND(raw_order_lines!H112*10,0)&gt;ROUND(raw_order_lines!G112*10,0),ROUND(raw_order_lines!G112*10,0)&lt;=0),"数量关系异常","")</f>
        <v/>
      </c>
      <c r="T112" s="2" t="str">
        <f>IF($F112&lt;&gt;INDEX(dim_products!$D$2:$D$21,MATCH($E112,dim_products!$A$2:$A$21,0)),"单位不一致","")</f>
        <v/>
      </c>
      <c r="U112" s="2" t="str">
        <f>IF(OR(ROUND(raw_order_lines!J112*100,0)&lt;ROUND(INDEX(dim_products!$F$2:$F$21,MATCH($E112,dim_products!$A$2:$A$21,0))*100,0),ROUND(raw_order_lines!J112*100,0)&gt;ROUND(INDEX(dim_products!$G$2:$G$21,MATCH($E112,dim_products!$A$2:$A$21,0))*100,0)),"单价越界","")</f>
        <v/>
      </c>
      <c r="V112" s="2" t="str">
        <f t="shared" si="4"/>
        <v/>
      </c>
      <c r="W112" s="2" t="str">
        <f t="shared" si="5"/>
        <v>通过</v>
      </c>
    </row>
    <row r="113" spans="1:23" ht="15">
      <c r="A113" s="2" t="str">
        <f>raw_order_lines!A113</f>
        <v>SIM-20260903-C005</v>
      </c>
      <c r="B113" s="2">
        <f>raw_order_lines!B113</f>
        <v>4</v>
      </c>
      <c r="C113" s="2" t="str">
        <f>raw_order_lines!C113</f>
        <v>C005</v>
      </c>
      <c r="D113" s="3">
        <f>raw_order_lines!D113</f>
        <v>46268</v>
      </c>
      <c r="E113" s="2" t="str">
        <f>raw_order_lines!E113</f>
        <v>P009</v>
      </c>
      <c r="F113" s="2" t="str">
        <f>raw_order_lines!F113</f>
        <v>公斤</v>
      </c>
      <c r="G113" s="4">
        <f>raw_order_lines!G113</f>
        <v>7.2</v>
      </c>
      <c r="H113" s="4">
        <f>raw_order_lines!H113</f>
        <v>7.2</v>
      </c>
      <c r="I113" s="4">
        <f>raw_order_lines!I113</f>
        <v>0</v>
      </c>
      <c r="J113" s="5">
        <f>raw_order_lines!J113</f>
        <v>5</v>
      </c>
      <c r="K113" s="2" t="str">
        <f>raw_order_lines!K113</f>
        <v>正常交付</v>
      </c>
      <c r="L113" s="2" t="str">
        <f>raw_order_lines!L113</f>
        <v>true</v>
      </c>
      <c r="M113" s="2" t="str">
        <f>INDEX(dim_products!$B$2:$B$21,MATCH($E113,dim_products!$A$2:$A$21,0))</f>
        <v>西红柿</v>
      </c>
      <c r="N113" s="2" t="str">
        <f>INDEX(dim_products!$C$2:$C$21,MATCH($E113,dim_products!$A$2:$A$21,0))</f>
        <v>散装鲜菜</v>
      </c>
      <c r="O113" s="2" t="str">
        <f>INDEX(dim_customers!$B$2:$B$7,MATCH($C113,dim_customers!$A$2:$A$7,0))</f>
        <v>模拟_青禾小学食堂</v>
      </c>
      <c r="P113" s="6">
        <f>INT((ROUND(raw_order_lines!H113*10,0)*ROUND(raw_order_lines!J113*100,0)+5)/10)/100</f>
        <v>36</v>
      </c>
      <c r="Q113" s="6">
        <f>INT((ROUND(raw_order_lines!I113*10,0)*ROUND(raw_order_lines!J113*100,0)+5)/10)/100</f>
        <v>0</v>
      </c>
      <c r="R113" s="6">
        <f t="shared" si="3"/>
        <v>36</v>
      </c>
      <c r="S113" s="2" t="str">
        <f>IF(OR(ROUND(raw_order_lines!I113*10,0)&gt;ROUND(raw_order_lines!H113*10,0),ROUND(raw_order_lines!H113*10,0)&gt;ROUND(raw_order_lines!G113*10,0),ROUND(raw_order_lines!G113*10,0)&lt;=0),"数量关系异常","")</f>
        <v/>
      </c>
      <c r="T113" s="2" t="str">
        <f>IF($F113&lt;&gt;INDEX(dim_products!$D$2:$D$21,MATCH($E113,dim_products!$A$2:$A$21,0)),"单位不一致","")</f>
        <v/>
      </c>
      <c r="U113" s="2" t="str">
        <f>IF(OR(ROUND(raw_order_lines!J113*100,0)&lt;ROUND(INDEX(dim_products!$F$2:$F$21,MATCH($E113,dim_products!$A$2:$A$21,0))*100,0),ROUND(raw_order_lines!J113*100,0)&gt;ROUND(INDEX(dim_products!$G$2:$G$21,MATCH($E113,dim_products!$A$2:$A$21,0))*100,0)),"单价越界","")</f>
        <v/>
      </c>
      <c r="V113" s="2" t="str">
        <f t="shared" si="4"/>
        <v/>
      </c>
      <c r="W113" s="2" t="str">
        <f t="shared" si="5"/>
        <v>通过</v>
      </c>
    </row>
    <row r="114" spans="1:23" ht="15">
      <c r="A114" s="2" t="str">
        <f>raw_order_lines!A114</f>
        <v>SIM-20260903-C005</v>
      </c>
      <c r="B114" s="2">
        <f>raw_order_lines!B114</f>
        <v>5</v>
      </c>
      <c r="C114" s="2" t="str">
        <f>raw_order_lines!C114</f>
        <v>C005</v>
      </c>
      <c r="D114" s="3">
        <f>raw_order_lines!D114</f>
        <v>46268</v>
      </c>
      <c r="E114" s="2" t="str">
        <f>raw_order_lines!E114</f>
        <v>P013</v>
      </c>
      <c r="F114" s="2" t="str">
        <f>raw_order_lines!F114</f>
        <v>公斤</v>
      </c>
      <c r="G114" s="4">
        <f>raw_order_lines!G114</f>
        <v>8.1999999999999993</v>
      </c>
      <c r="H114" s="4">
        <f>raw_order_lines!H114</f>
        <v>8.1999999999999993</v>
      </c>
      <c r="I114" s="4">
        <f>raw_order_lines!I114</f>
        <v>0</v>
      </c>
      <c r="J114" s="5">
        <f>raw_order_lines!J114</f>
        <v>6.3</v>
      </c>
      <c r="K114" s="2" t="str">
        <f>raw_order_lines!K114</f>
        <v>正常交付</v>
      </c>
      <c r="L114" s="2" t="str">
        <f>raw_order_lines!L114</f>
        <v>true</v>
      </c>
      <c r="M114" s="2" t="str">
        <f>INDEX(dim_products!$B$2:$B$21,MATCH($E114,dim_products!$A$2:$A$21,0))</f>
        <v>豇豆</v>
      </c>
      <c r="N114" s="2" t="str">
        <f>INDEX(dim_products!$C$2:$C$21,MATCH($E114,dim_products!$A$2:$A$21,0))</f>
        <v>散装鲜菜</v>
      </c>
      <c r="O114" s="2" t="str">
        <f>INDEX(dim_customers!$B$2:$B$7,MATCH($C114,dim_customers!$A$2:$A$7,0))</f>
        <v>模拟_青禾小学食堂</v>
      </c>
      <c r="P114" s="6">
        <f>INT((ROUND(raw_order_lines!H114*10,0)*ROUND(raw_order_lines!J114*100,0)+5)/10)/100</f>
        <v>51.66</v>
      </c>
      <c r="Q114" s="6">
        <f>INT((ROUND(raw_order_lines!I114*10,0)*ROUND(raw_order_lines!J114*100,0)+5)/10)/100</f>
        <v>0</v>
      </c>
      <c r="R114" s="6">
        <f t="shared" si="3"/>
        <v>51.66</v>
      </c>
      <c r="S114" s="2" t="str">
        <f>IF(OR(ROUND(raw_order_lines!I114*10,0)&gt;ROUND(raw_order_lines!H114*10,0),ROUND(raw_order_lines!H114*10,0)&gt;ROUND(raw_order_lines!G114*10,0),ROUND(raw_order_lines!G114*10,0)&lt;=0),"数量关系异常","")</f>
        <v/>
      </c>
      <c r="T114" s="2" t="str">
        <f>IF($F114&lt;&gt;INDEX(dim_products!$D$2:$D$21,MATCH($E114,dim_products!$A$2:$A$21,0)),"单位不一致","")</f>
        <v/>
      </c>
      <c r="U114" s="2" t="str">
        <f>IF(OR(ROUND(raw_order_lines!J114*100,0)&lt;ROUND(INDEX(dim_products!$F$2:$F$21,MATCH($E114,dim_products!$A$2:$A$21,0))*100,0),ROUND(raw_order_lines!J114*100,0)&gt;ROUND(INDEX(dim_products!$G$2:$G$21,MATCH($E114,dim_products!$A$2:$A$21,0))*100,0)),"单价越界","")</f>
        <v/>
      </c>
      <c r="V114" s="2" t="str">
        <f t="shared" si="4"/>
        <v/>
      </c>
      <c r="W114" s="2" t="str">
        <f t="shared" si="5"/>
        <v>通过</v>
      </c>
    </row>
    <row r="115" spans="1:23" ht="15">
      <c r="A115" s="2" t="str">
        <f>raw_order_lines!A115</f>
        <v>SIM-20260903-C005</v>
      </c>
      <c r="B115" s="2">
        <f>raw_order_lines!B115</f>
        <v>6</v>
      </c>
      <c r="C115" s="2" t="str">
        <f>raw_order_lines!C115</f>
        <v>C005</v>
      </c>
      <c r="D115" s="3">
        <f>raw_order_lines!D115</f>
        <v>46268</v>
      </c>
      <c r="E115" s="2" t="str">
        <f>raw_order_lines!E115</f>
        <v>P005</v>
      </c>
      <c r="F115" s="2" t="str">
        <f>raw_order_lines!F115</f>
        <v>公斤</v>
      </c>
      <c r="G115" s="4">
        <f>raw_order_lines!G115</f>
        <v>16.399999999999999</v>
      </c>
      <c r="H115" s="4">
        <f>raw_order_lines!H115</f>
        <v>16.399999999999999</v>
      </c>
      <c r="I115" s="4">
        <f>raw_order_lines!I115</f>
        <v>0</v>
      </c>
      <c r="J115" s="5">
        <f>raw_order_lines!J115</f>
        <v>2.7</v>
      </c>
      <c r="K115" s="2" t="str">
        <f>raw_order_lines!K115</f>
        <v>正常交付</v>
      </c>
      <c r="L115" s="2" t="str">
        <f>raw_order_lines!L115</f>
        <v>true</v>
      </c>
      <c r="M115" s="2" t="str">
        <f>INDEX(dim_products!$B$2:$B$21,MATCH($E115,dim_products!$A$2:$A$21,0))</f>
        <v>南瓜</v>
      </c>
      <c r="N115" s="2" t="str">
        <f>INDEX(dim_products!$C$2:$C$21,MATCH($E115,dim_products!$A$2:$A$21,0))</f>
        <v>散装鲜菜</v>
      </c>
      <c r="O115" s="2" t="str">
        <f>INDEX(dim_customers!$B$2:$B$7,MATCH($C115,dim_customers!$A$2:$A$7,0))</f>
        <v>模拟_青禾小学食堂</v>
      </c>
      <c r="P115" s="6">
        <f>INT((ROUND(raw_order_lines!H115*10,0)*ROUND(raw_order_lines!J115*100,0)+5)/10)/100</f>
        <v>44.28</v>
      </c>
      <c r="Q115" s="6">
        <f>INT((ROUND(raw_order_lines!I115*10,0)*ROUND(raw_order_lines!J115*100,0)+5)/10)/100</f>
        <v>0</v>
      </c>
      <c r="R115" s="6">
        <f t="shared" si="3"/>
        <v>44.28</v>
      </c>
      <c r="S115" s="2" t="str">
        <f>IF(OR(ROUND(raw_order_lines!I115*10,0)&gt;ROUND(raw_order_lines!H115*10,0),ROUND(raw_order_lines!H115*10,0)&gt;ROUND(raw_order_lines!G115*10,0),ROUND(raw_order_lines!G115*10,0)&lt;=0),"数量关系异常","")</f>
        <v/>
      </c>
      <c r="T115" s="2" t="str">
        <f>IF($F115&lt;&gt;INDEX(dim_products!$D$2:$D$21,MATCH($E115,dim_products!$A$2:$A$21,0)),"单位不一致","")</f>
        <v/>
      </c>
      <c r="U115" s="2" t="str">
        <f>IF(OR(ROUND(raw_order_lines!J115*100,0)&lt;ROUND(INDEX(dim_products!$F$2:$F$21,MATCH($E115,dim_products!$A$2:$A$21,0))*100,0),ROUND(raw_order_lines!J115*100,0)&gt;ROUND(INDEX(dim_products!$G$2:$G$21,MATCH($E115,dim_products!$A$2:$A$21,0))*100,0)),"单价越界","")</f>
        <v/>
      </c>
      <c r="V115" s="2" t="str">
        <f t="shared" si="4"/>
        <v/>
      </c>
      <c r="W115" s="2" t="str">
        <f t="shared" si="5"/>
        <v>通过</v>
      </c>
    </row>
    <row r="116" spans="1:23" ht="15">
      <c r="A116" s="2" t="str">
        <f>raw_order_lines!A116</f>
        <v>SIM-20260903-C005</v>
      </c>
      <c r="B116" s="2">
        <f>raw_order_lines!B116</f>
        <v>7</v>
      </c>
      <c r="C116" s="2" t="str">
        <f>raw_order_lines!C116</f>
        <v>C005</v>
      </c>
      <c r="D116" s="3">
        <f>raw_order_lines!D116</f>
        <v>46268</v>
      </c>
      <c r="E116" s="2" t="str">
        <f>raw_order_lines!E116</f>
        <v>P016</v>
      </c>
      <c r="F116" s="2" t="str">
        <f>raw_order_lines!F116</f>
        <v>公斤</v>
      </c>
      <c r="G116" s="4">
        <f>raw_order_lines!G116</f>
        <v>12</v>
      </c>
      <c r="H116" s="4">
        <f>raw_order_lines!H116</f>
        <v>12</v>
      </c>
      <c r="I116" s="4">
        <f>raw_order_lines!I116</f>
        <v>0</v>
      </c>
      <c r="J116" s="5">
        <f>raw_order_lines!J116</f>
        <v>10.1</v>
      </c>
      <c r="K116" s="2" t="str">
        <f>raw_order_lines!K116</f>
        <v>正常交付</v>
      </c>
      <c r="L116" s="2" t="str">
        <f>raw_order_lines!L116</f>
        <v>true</v>
      </c>
      <c r="M116" s="2" t="str">
        <f>INDEX(dim_products!$B$2:$B$21,MATCH($E116,dim_products!$A$2:$A$21,0))</f>
        <v>鸡蛋</v>
      </c>
      <c r="N116" s="2" t="str">
        <f>INDEX(dim_products!$C$2:$C$21,MATCH($E116,dim_products!$A$2:$A$21,0))</f>
        <v>普通鲜鸡蛋按净重</v>
      </c>
      <c r="O116" s="2" t="str">
        <f>INDEX(dim_customers!$B$2:$B$7,MATCH($C116,dim_customers!$A$2:$A$7,0))</f>
        <v>模拟_青禾小学食堂</v>
      </c>
      <c r="P116" s="6">
        <f>INT((ROUND(raw_order_lines!H116*10,0)*ROUND(raw_order_lines!J116*100,0)+5)/10)/100</f>
        <v>121.2</v>
      </c>
      <c r="Q116" s="6">
        <f>INT((ROUND(raw_order_lines!I116*10,0)*ROUND(raw_order_lines!J116*100,0)+5)/10)/100</f>
        <v>0</v>
      </c>
      <c r="R116" s="6">
        <f t="shared" si="3"/>
        <v>121.2</v>
      </c>
      <c r="S116" s="2" t="str">
        <f>IF(OR(ROUND(raw_order_lines!I116*10,0)&gt;ROUND(raw_order_lines!H116*10,0),ROUND(raw_order_lines!H116*10,0)&gt;ROUND(raw_order_lines!G116*10,0),ROUND(raw_order_lines!G116*10,0)&lt;=0),"数量关系异常","")</f>
        <v/>
      </c>
      <c r="T116" s="2" t="str">
        <f>IF($F116&lt;&gt;INDEX(dim_products!$D$2:$D$21,MATCH($E116,dim_products!$A$2:$A$21,0)),"单位不一致","")</f>
        <v/>
      </c>
      <c r="U116" s="2" t="str">
        <f>IF(OR(ROUND(raw_order_lines!J116*100,0)&lt;ROUND(INDEX(dim_products!$F$2:$F$21,MATCH($E116,dim_products!$A$2:$A$21,0))*100,0),ROUND(raw_order_lines!J116*100,0)&gt;ROUND(INDEX(dim_products!$G$2:$G$21,MATCH($E116,dim_products!$A$2:$A$21,0))*100,0)),"单价越界","")</f>
        <v/>
      </c>
      <c r="V116" s="2" t="str">
        <f t="shared" si="4"/>
        <v/>
      </c>
      <c r="W116" s="2" t="str">
        <f t="shared" si="5"/>
        <v>通过</v>
      </c>
    </row>
    <row r="117" spans="1:23" ht="15">
      <c r="A117" s="2" t="str">
        <f>raw_order_lines!A117</f>
        <v>SIM-20260903-C006</v>
      </c>
      <c r="B117" s="2">
        <f>raw_order_lines!B117</f>
        <v>1</v>
      </c>
      <c r="C117" s="2" t="str">
        <f>raw_order_lines!C117</f>
        <v>C006</v>
      </c>
      <c r="D117" s="3">
        <f>raw_order_lines!D117</f>
        <v>46268</v>
      </c>
      <c r="E117" s="2" t="str">
        <f>raw_order_lines!E117</f>
        <v>P011</v>
      </c>
      <c r="F117" s="2" t="str">
        <f>raw_order_lines!F117</f>
        <v>公斤</v>
      </c>
      <c r="G117" s="4">
        <f>raw_order_lines!G117</f>
        <v>5</v>
      </c>
      <c r="H117" s="4">
        <f>raw_order_lines!H117</f>
        <v>5</v>
      </c>
      <c r="I117" s="4">
        <f>raw_order_lines!I117</f>
        <v>0</v>
      </c>
      <c r="J117" s="5">
        <f>raw_order_lines!J117</f>
        <v>4.4000000000000004</v>
      </c>
      <c r="K117" s="2" t="str">
        <f>raw_order_lines!K117</f>
        <v>正常交付</v>
      </c>
      <c r="L117" s="2" t="str">
        <f>raw_order_lines!L117</f>
        <v>true</v>
      </c>
      <c r="M117" s="2" t="str">
        <f>INDEX(dim_products!$B$2:$B$21,MATCH($E117,dim_products!$A$2:$A$21,0))</f>
        <v>红薯叶</v>
      </c>
      <c r="N117" s="2" t="str">
        <f>INDEX(dim_products!$C$2:$C$21,MATCH($E117,dim_products!$A$2:$A$21,0))</f>
        <v>散装鲜菜</v>
      </c>
      <c r="O117" s="2" t="str">
        <f>INDEX(dim_customers!$B$2:$B$7,MATCH($C117,dim_customers!$A$2:$A$7,0))</f>
        <v>模拟_溪桥医院食堂</v>
      </c>
      <c r="P117" s="6">
        <f>INT((ROUND(raw_order_lines!H117*10,0)*ROUND(raw_order_lines!J117*100,0)+5)/10)/100</f>
        <v>22</v>
      </c>
      <c r="Q117" s="6">
        <f>INT((ROUND(raw_order_lines!I117*10,0)*ROUND(raw_order_lines!J117*100,0)+5)/10)/100</f>
        <v>0</v>
      </c>
      <c r="R117" s="6">
        <f t="shared" si="3"/>
        <v>22</v>
      </c>
      <c r="S117" s="2" t="str">
        <f>IF(OR(ROUND(raw_order_lines!I117*10,0)&gt;ROUND(raw_order_lines!H117*10,0),ROUND(raw_order_lines!H117*10,0)&gt;ROUND(raw_order_lines!G117*10,0),ROUND(raw_order_lines!G117*10,0)&lt;=0),"数量关系异常","")</f>
        <v/>
      </c>
      <c r="T117" s="2" t="str">
        <f>IF($F117&lt;&gt;INDEX(dim_products!$D$2:$D$21,MATCH($E117,dim_products!$A$2:$A$21,0)),"单位不一致","")</f>
        <v/>
      </c>
      <c r="U117" s="2" t="str">
        <f>IF(OR(ROUND(raw_order_lines!J117*100,0)&lt;ROUND(INDEX(dim_products!$F$2:$F$21,MATCH($E117,dim_products!$A$2:$A$21,0))*100,0),ROUND(raw_order_lines!J117*100,0)&gt;ROUND(INDEX(dim_products!$G$2:$G$21,MATCH($E117,dim_products!$A$2:$A$21,0))*100,0)),"单价越界","")</f>
        <v/>
      </c>
      <c r="V117" s="2" t="str">
        <f t="shared" si="4"/>
        <v/>
      </c>
      <c r="W117" s="2" t="str">
        <f t="shared" si="5"/>
        <v>通过</v>
      </c>
    </row>
    <row r="118" spans="1:23" ht="15">
      <c r="A118" s="2" t="str">
        <f>raw_order_lines!A118</f>
        <v>SIM-20260903-C006</v>
      </c>
      <c r="B118" s="2">
        <f>raw_order_lines!B118</f>
        <v>2</v>
      </c>
      <c r="C118" s="2" t="str">
        <f>raw_order_lines!C118</f>
        <v>C006</v>
      </c>
      <c r="D118" s="3">
        <f>raw_order_lines!D118</f>
        <v>46268</v>
      </c>
      <c r="E118" s="2" t="str">
        <f>raw_order_lines!E118</f>
        <v>P004</v>
      </c>
      <c r="F118" s="2" t="str">
        <f>raw_order_lines!F118</f>
        <v>公斤</v>
      </c>
      <c r="G118" s="4">
        <f>raw_order_lines!G118</f>
        <v>4.4000000000000004</v>
      </c>
      <c r="H118" s="4">
        <f>raw_order_lines!H118</f>
        <v>4.4000000000000004</v>
      </c>
      <c r="I118" s="4">
        <f>raw_order_lines!I118</f>
        <v>0</v>
      </c>
      <c r="J118" s="5">
        <f>raw_order_lines!J118</f>
        <v>2.2999999999999998</v>
      </c>
      <c r="K118" s="2" t="str">
        <f>raw_order_lines!K118</f>
        <v>正常交付</v>
      </c>
      <c r="L118" s="2" t="str">
        <f>raw_order_lines!L118</f>
        <v>true</v>
      </c>
      <c r="M118" s="2" t="str">
        <f>INDEX(dim_products!$B$2:$B$21,MATCH($E118,dim_products!$A$2:$A$21,0))</f>
        <v>冬瓜</v>
      </c>
      <c r="N118" s="2" t="str">
        <f>INDEX(dim_products!$C$2:$C$21,MATCH($E118,dim_products!$A$2:$A$21,0))</f>
        <v>散装鲜菜</v>
      </c>
      <c r="O118" s="2" t="str">
        <f>INDEX(dim_customers!$B$2:$B$7,MATCH($C118,dim_customers!$A$2:$A$7,0))</f>
        <v>模拟_溪桥医院食堂</v>
      </c>
      <c r="P118" s="6">
        <f>INT((ROUND(raw_order_lines!H118*10,0)*ROUND(raw_order_lines!J118*100,0)+5)/10)/100</f>
        <v>10.119999999999999</v>
      </c>
      <c r="Q118" s="6">
        <f>INT((ROUND(raw_order_lines!I118*10,0)*ROUND(raw_order_lines!J118*100,0)+5)/10)/100</f>
        <v>0</v>
      </c>
      <c r="R118" s="6">
        <f t="shared" si="3"/>
        <v>10.119999999999999</v>
      </c>
      <c r="S118" s="2" t="str">
        <f>IF(OR(ROUND(raw_order_lines!I118*10,0)&gt;ROUND(raw_order_lines!H118*10,0),ROUND(raw_order_lines!H118*10,0)&gt;ROUND(raw_order_lines!G118*10,0),ROUND(raw_order_lines!G118*10,0)&lt;=0),"数量关系异常","")</f>
        <v/>
      </c>
      <c r="T118" s="2" t="str">
        <f>IF($F118&lt;&gt;INDEX(dim_products!$D$2:$D$21,MATCH($E118,dim_products!$A$2:$A$21,0)),"单位不一致","")</f>
        <v/>
      </c>
      <c r="U118" s="2" t="str">
        <f>IF(OR(ROUND(raw_order_lines!J118*100,0)&lt;ROUND(INDEX(dim_products!$F$2:$F$21,MATCH($E118,dim_products!$A$2:$A$21,0))*100,0),ROUND(raw_order_lines!J118*100,0)&gt;ROUND(INDEX(dim_products!$G$2:$G$21,MATCH($E118,dim_products!$A$2:$A$21,0))*100,0)),"单价越界","")</f>
        <v/>
      </c>
      <c r="V118" s="2" t="str">
        <f t="shared" si="4"/>
        <v/>
      </c>
      <c r="W118" s="2" t="str">
        <f t="shared" si="5"/>
        <v>通过</v>
      </c>
    </row>
    <row r="119" spans="1:23" ht="15">
      <c r="A119" s="2" t="str">
        <f>raw_order_lines!A119</f>
        <v>SIM-20260903-C006</v>
      </c>
      <c r="B119" s="2">
        <f>raw_order_lines!B119</f>
        <v>3</v>
      </c>
      <c r="C119" s="2" t="str">
        <f>raw_order_lines!C119</f>
        <v>C006</v>
      </c>
      <c r="D119" s="3">
        <f>raw_order_lines!D119</f>
        <v>46268</v>
      </c>
      <c r="E119" s="2" t="str">
        <f>raw_order_lines!E119</f>
        <v>P003</v>
      </c>
      <c r="F119" s="2" t="str">
        <f>raw_order_lines!F119</f>
        <v>公斤</v>
      </c>
      <c r="G119" s="4">
        <f>raw_order_lines!G119</f>
        <v>8.8000000000000007</v>
      </c>
      <c r="H119" s="4">
        <f>raw_order_lines!H119</f>
        <v>8.8000000000000007</v>
      </c>
      <c r="I119" s="4">
        <f>raw_order_lines!I119</f>
        <v>0</v>
      </c>
      <c r="J119" s="5">
        <f>raw_order_lines!J119</f>
        <v>3.3</v>
      </c>
      <c r="K119" s="2" t="str">
        <f>raw_order_lines!K119</f>
        <v>正常交付</v>
      </c>
      <c r="L119" s="2" t="str">
        <f>raw_order_lines!L119</f>
        <v>true</v>
      </c>
      <c r="M119" s="2" t="str">
        <f>INDEX(dim_products!$B$2:$B$21,MATCH($E119,dim_products!$A$2:$A$21,0))</f>
        <v>包菜</v>
      </c>
      <c r="N119" s="2" t="str">
        <f>INDEX(dim_products!$C$2:$C$21,MATCH($E119,dim_products!$A$2:$A$21,0))</f>
        <v>散装鲜菜</v>
      </c>
      <c r="O119" s="2" t="str">
        <f>INDEX(dim_customers!$B$2:$B$7,MATCH($C119,dim_customers!$A$2:$A$7,0))</f>
        <v>模拟_溪桥医院食堂</v>
      </c>
      <c r="P119" s="6">
        <f>INT((ROUND(raw_order_lines!H119*10,0)*ROUND(raw_order_lines!J119*100,0)+5)/10)/100</f>
        <v>29.04</v>
      </c>
      <c r="Q119" s="6">
        <f>INT((ROUND(raw_order_lines!I119*10,0)*ROUND(raw_order_lines!J119*100,0)+5)/10)/100</f>
        <v>0</v>
      </c>
      <c r="R119" s="6">
        <f t="shared" si="3"/>
        <v>29.04</v>
      </c>
      <c r="S119" s="2" t="str">
        <f>IF(OR(ROUND(raw_order_lines!I119*10,0)&gt;ROUND(raw_order_lines!H119*10,0),ROUND(raw_order_lines!H119*10,0)&gt;ROUND(raw_order_lines!G119*10,0),ROUND(raw_order_lines!G119*10,0)&lt;=0),"数量关系异常","")</f>
        <v/>
      </c>
      <c r="T119" s="2" t="str">
        <f>IF($F119&lt;&gt;INDEX(dim_products!$D$2:$D$21,MATCH($E119,dim_products!$A$2:$A$21,0)),"单位不一致","")</f>
        <v/>
      </c>
      <c r="U119" s="2" t="str">
        <f>IF(OR(ROUND(raw_order_lines!J119*100,0)&lt;ROUND(INDEX(dim_products!$F$2:$F$21,MATCH($E119,dim_products!$A$2:$A$21,0))*100,0),ROUND(raw_order_lines!J119*100,0)&gt;ROUND(INDEX(dim_products!$G$2:$G$21,MATCH($E119,dim_products!$A$2:$A$21,0))*100,0)),"单价越界","")</f>
        <v/>
      </c>
      <c r="V119" s="2" t="str">
        <f t="shared" si="4"/>
        <v/>
      </c>
      <c r="W119" s="2" t="str">
        <f t="shared" si="5"/>
        <v>通过</v>
      </c>
    </row>
    <row r="120" spans="1:23" ht="15">
      <c r="A120" s="2" t="str">
        <f>raw_order_lines!A120</f>
        <v>SIM-20260903-C006</v>
      </c>
      <c r="B120" s="2">
        <f>raw_order_lines!B120</f>
        <v>4</v>
      </c>
      <c r="C120" s="2" t="str">
        <f>raw_order_lines!C120</f>
        <v>C006</v>
      </c>
      <c r="D120" s="3">
        <f>raw_order_lines!D120</f>
        <v>46268</v>
      </c>
      <c r="E120" s="2" t="str">
        <f>raw_order_lines!E120</f>
        <v>P014</v>
      </c>
      <c r="F120" s="2" t="str">
        <f>raw_order_lines!F120</f>
        <v>公斤</v>
      </c>
      <c r="G120" s="4">
        <f>raw_order_lines!G120</f>
        <v>9.5</v>
      </c>
      <c r="H120" s="4">
        <f>raw_order_lines!H120</f>
        <v>9.5</v>
      </c>
      <c r="I120" s="4">
        <f>raw_order_lines!I120</f>
        <v>0</v>
      </c>
      <c r="J120" s="5">
        <f>raw_order_lines!J120</f>
        <v>4.7</v>
      </c>
      <c r="K120" s="2" t="str">
        <f>raw_order_lines!K120</f>
        <v>正常交付</v>
      </c>
      <c r="L120" s="2" t="str">
        <f>raw_order_lines!L120</f>
        <v>true</v>
      </c>
      <c r="M120" s="2" t="str">
        <f>INDEX(dim_products!$B$2:$B$21,MATCH($E120,dim_products!$A$2:$A$21,0))</f>
        <v>丝瓜</v>
      </c>
      <c r="N120" s="2" t="str">
        <f>INDEX(dim_products!$C$2:$C$21,MATCH($E120,dim_products!$A$2:$A$21,0))</f>
        <v>散装鲜菜</v>
      </c>
      <c r="O120" s="2" t="str">
        <f>INDEX(dim_customers!$B$2:$B$7,MATCH($C120,dim_customers!$A$2:$A$7,0))</f>
        <v>模拟_溪桥医院食堂</v>
      </c>
      <c r="P120" s="6">
        <f>INT((ROUND(raw_order_lines!H120*10,0)*ROUND(raw_order_lines!J120*100,0)+5)/10)/100</f>
        <v>44.65</v>
      </c>
      <c r="Q120" s="6">
        <f>INT((ROUND(raw_order_lines!I120*10,0)*ROUND(raw_order_lines!J120*100,0)+5)/10)/100</f>
        <v>0</v>
      </c>
      <c r="R120" s="6">
        <f t="shared" si="3"/>
        <v>44.65</v>
      </c>
      <c r="S120" s="2" t="str">
        <f>IF(OR(ROUND(raw_order_lines!I120*10,0)&gt;ROUND(raw_order_lines!H120*10,0),ROUND(raw_order_lines!H120*10,0)&gt;ROUND(raw_order_lines!G120*10,0),ROUND(raw_order_lines!G120*10,0)&lt;=0),"数量关系异常","")</f>
        <v/>
      </c>
      <c r="T120" s="2" t="str">
        <f>IF($F120&lt;&gt;INDEX(dim_products!$D$2:$D$21,MATCH($E120,dim_products!$A$2:$A$21,0)),"单位不一致","")</f>
        <v/>
      </c>
      <c r="U120" s="2" t="str">
        <f>IF(OR(ROUND(raw_order_lines!J120*100,0)&lt;ROUND(INDEX(dim_products!$F$2:$F$21,MATCH($E120,dim_products!$A$2:$A$21,0))*100,0),ROUND(raw_order_lines!J120*100,0)&gt;ROUND(INDEX(dim_products!$G$2:$G$21,MATCH($E120,dim_products!$A$2:$A$21,0))*100,0)),"单价越界","")</f>
        <v/>
      </c>
      <c r="V120" s="2" t="str">
        <f t="shared" si="4"/>
        <v/>
      </c>
      <c r="W120" s="2" t="str">
        <f t="shared" si="5"/>
        <v>通过</v>
      </c>
    </row>
    <row r="121" spans="1:23" ht="15">
      <c r="A121" s="2" t="str">
        <f>raw_order_lines!A121</f>
        <v>SIM-20260903-C006</v>
      </c>
      <c r="B121" s="2">
        <f>raw_order_lines!B121</f>
        <v>5</v>
      </c>
      <c r="C121" s="2" t="str">
        <f>raw_order_lines!C121</f>
        <v>C006</v>
      </c>
      <c r="D121" s="3">
        <f>raw_order_lines!D121</f>
        <v>46268</v>
      </c>
      <c r="E121" s="2" t="str">
        <f>raw_order_lines!E121</f>
        <v>P002</v>
      </c>
      <c r="F121" s="2" t="str">
        <f>raw_order_lines!F121</f>
        <v>公斤</v>
      </c>
      <c r="G121" s="4">
        <f>raw_order_lines!G121</f>
        <v>10.1</v>
      </c>
      <c r="H121" s="4">
        <f>raw_order_lines!H121</f>
        <v>10.1</v>
      </c>
      <c r="I121" s="4">
        <f>raw_order_lines!I121</f>
        <v>0</v>
      </c>
      <c r="J121" s="5">
        <f>raw_order_lines!J121</f>
        <v>2.2999999999999998</v>
      </c>
      <c r="K121" s="2" t="str">
        <f>raw_order_lines!K121</f>
        <v>正常交付</v>
      </c>
      <c r="L121" s="2" t="str">
        <f>raw_order_lines!L121</f>
        <v>true</v>
      </c>
      <c r="M121" s="2" t="str">
        <f>INDEX(dim_products!$B$2:$B$21,MATCH($E121,dim_products!$A$2:$A$21,0))</f>
        <v>白萝卜</v>
      </c>
      <c r="N121" s="2" t="str">
        <f>INDEX(dim_products!$C$2:$C$21,MATCH($E121,dim_products!$A$2:$A$21,0))</f>
        <v>散装鲜菜</v>
      </c>
      <c r="O121" s="2" t="str">
        <f>INDEX(dim_customers!$B$2:$B$7,MATCH($C121,dim_customers!$A$2:$A$7,0))</f>
        <v>模拟_溪桥医院食堂</v>
      </c>
      <c r="P121" s="6">
        <f>INT((ROUND(raw_order_lines!H121*10,0)*ROUND(raw_order_lines!J121*100,0)+5)/10)/100</f>
        <v>23.23</v>
      </c>
      <c r="Q121" s="6">
        <f>INT((ROUND(raw_order_lines!I121*10,0)*ROUND(raw_order_lines!J121*100,0)+5)/10)/100</f>
        <v>0</v>
      </c>
      <c r="R121" s="6">
        <f t="shared" si="3"/>
        <v>23.23</v>
      </c>
      <c r="S121" s="2" t="str">
        <f>IF(OR(ROUND(raw_order_lines!I121*10,0)&gt;ROUND(raw_order_lines!H121*10,0),ROUND(raw_order_lines!H121*10,0)&gt;ROUND(raw_order_lines!G121*10,0),ROUND(raw_order_lines!G121*10,0)&lt;=0),"数量关系异常","")</f>
        <v/>
      </c>
      <c r="T121" s="2" t="str">
        <f>IF($F121&lt;&gt;INDEX(dim_products!$D$2:$D$21,MATCH($E121,dim_products!$A$2:$A$21,0)),"单位不一致","")</f>
        <v/>
      </c>
      <c r="U121" s="2" t="str">
        <f>IF(OR(ROUND(raw_order_lines!J121*100,0)&lt;ROUND(INDEX(dim_products!$F$2:$F$21,MATCH($E121,dim_products!$A$2:$A$21,0))*100,0),ROUND(raw_order_lines!J121*100,0)&gt;ROUND(INDEX(dim_products!$G$2:$G$21,MATCH($E121,dim_products!$A$2:$A$21,0))*100,0)),"单价越界","")</f>
        <v/>
      </c>
      <c r="V121" s="2" t="str">
        <f t="shared" si="4"/>
        <v/>
      </c>
      <c r="W121" s="2" t="str">
        <f t="shared" si="5"/>
        <v>通过</v>
      </c>
    </row>
    <row r="122" spans="1:23" ht="15">
      <c r="A122" s="2" t="str">
        <f>raw_order_lines!A122</f>
        <v>SIM-20260903-C006</v>
      </c>
      <c r="B122" s="2">
        <f>raw_order_lines!B122</f>
        <v>6</v>
      </c>
      <c r="C122" s="2" t="str">
        <f>raw_order_lines!C122</f>
        <v>C006</v>
      </c>
      <c r="D122" s="3">
        <f>raw_order_lines!D122</f>
        <v>46268</v>
      </c>
      <c r="E122" s="2" t="str">
        <f>raw_order_lines!E122</f>
        <v>P008</v>
      </c>
      <c r="F122" s="2" t="str">
        <f>raw_order_lines!F122</f>
        <v>公斤</v>
      </c>
      <c r="G122" s="4">
        <f>raw_order_lines!G122</f>
        <v>8.1999999999999993</v>
      </c>
      <c r="H122" s="4">
        <f>raw_order_lines!H122</f>
        <v>8.1999999999999993</v>
      </c>
      <c r="I122" s="4">
        <f>raw_order_lines!I122</f>
        <v>0</v>
      </c>
      <c r="J122" s="5">
        <f>raw_order_lines!J122</f>
        <v>4.0999999999999996</v>
      </c>
      <c r="K122" s="2" t="str">
        <f>raw_order_lines!K122</f>
        <v>正常交付</v>
      </c>
      <c r="L122" s="2" t="str">
        <f>raw_order_lines!L122</f>
        <v>true</v>
      </c>
      <c r="M122" s="2" t="str">
        <f>INDEX(dim_products!$B$2:$B$21,MATCH($E122,dim_products!$A$2:$A$21,0))</f>
        <v>黄瓜</v>
      </c>
      <c r="N122" s="2" t="str">
        <f>INDEX(dim_products!$C$2:$C$21,MATCH($E122,dim_products!$A$2:$A$21,0))</f>
        <v>散装鲜菜</v>
      </c>
      <c r="O122" s="2" t="str">
        <f>INDEX(dim_customers!$B$2:$B$7,MATCH($C122,dim_customers!$A$2:$A$7,0))</f>
        <v>模拟_溪桥医院食堂</v>
      </c>
      <c r="P122" s="6">
        <f>INT((ROUND(raw_order_lines!H122*10,0)*ROUND(raw_order_lines!J122*100,0)+5)/10)/100</f>
        <v>33.619999999999997</v>
      </c>
      <c r="Q122" s="6">
        <f>INT((ROUND(raw_order_lines!I122*10,0)*ROUND(raw_order_lines!J122*100,0)+5)/10)/100</f>
        <v>0</v>
      </c>
      <c r="R122" s="6">
        <f t="shared" si="3"/>
        <v>33.619999999999997</v>
      </c>
      <c r="S122" s="2" t="str">
        <f>IF(OR(ROUND(raw_order_lines!I122*10,0)&gt;ROUND(raw_order_lines!H122*10,0),ROUND(raw_order_lines!H122*10,0)&gt;ROUND(raw_order_lines!G122*10,0),ROUND(raw_order_lines!G122*10,0)&lt;=0),"数量关系异常","")</f>
        <v/>
      </c>
      <c r="T122" s="2" t="str">
        <f>IF($F122&lt;&gt;INDEX(dim_products!$D$2:$D$21,MATCH($E122,dim_products!$A$2:$A$21,0)),"单位不一致","")</f>
        <v/>
      </c>
      <c r="U122" s="2" t="str">
        <f>IF(OR(ROUND(raw_order_lines!J122*100,0)&lt;ROUND(INDEX(dim_products!$F$2:$F$21,MATCH($E122,dim_products!$A$2:$A$21,0))*100,0),ROUND(raw_order_lines!J122*100,0)&gt;ROUND(INDEX(dim_products!$G$2:$G$21,MATCH($E122,dim_products!$A$2:$A$21,0))*100,0)),"单价越界","")</f>
        <v/>
      </c>
      <c r="V122" s="2" t="str">
        <f t="shared" si="4"/>
        <v/>
      </c>
      <c r="W122" s="2" t="str">
        <f t="shared" si="5"/>
        <v>通过</v>
      </c>
    </row>
    <row r="123" spans="1:23" ht="15">
      <c r="A123" s="2" t="str">
        <f>raw_order_lines!A123</f>
        <v>SIM-20260903-C006</v>
      </c>
      <c r="B123" s="2">
        <f>raw_order_lines!B123</f>
        <v>7</v>
      </c>
      <c r="C123" s="2" t="str">
        <f>raw_order_lines!C123</f>
        <v>C006</v>
      </c>
      <c r="D123" s="3">
        <f>raw_order_lines!D123</f>
        <v>46268</v>
      </c>
      <c r="E123" s="2" t="str">
        <f>raw_order_lines!E123</f>
        <v>P016</v>
      </c>
      <c r="F123" s="2" t="str">
        <f>raw_order_lines!F123</f>
        <v>公斤</v>
      </c>
      <c r="G123" s="4">
        <f>raw_order_lines!G123</f>
        <v>9</v>
      </c>
      <c r="H123" s="4">
        <f>raw_order_lines!H123</f>
        <v>9</v>
      </c>
      <c r="I123" s="4">
        <f>raw_order_lines!I123</f>
        <v>0</v>
      </c>
      <c r="J123" s="5">
        <f>raw_order_lines!J123</f>
        <v>10.1</v>
      </c>
      <c r="K123" s="2" t="str">
        <f>raw_order_lines!K123</f>
        <v>正常交付</v>
      </c>
      <c r="L123" s="2" t="str">
        <f>raw_order_lines!L123</f>
        <v>true</v>
      </c>
      <c r="M123" s="2" t="str">
        <f>INDEX(dim_products!$B$2:$B$21,MATCH($E123,dim_products!$A$2:$A$21,0))</f>
        <v>鸡蛋</v>
      </c>
      <c r="N123" s="2" t="str">
        <f>INDEX(dim_products!$C$2:$C$21,MATCH($E123,dim_products!$A$2:$A$21,0))</f>
        <v>普通鲜鸡蛋按净重</v>
      </c>
      <c r="O123" s="2" t="str">
        <f>INDEX(dim_customers!$B$2:$B$7,MATCH($C123,dim_customers!$A$2:$A$7,0))</f>
        <v>模拟_溪桥医院食堂</v>
      </c>
      <c r="P123" s="6">
        <f>INT((ROUND(raw_order_lines!H123*10,0)*ROUND(raw_order_lines!J123*100,0)+5)/10)/100</f>
        <v>90.9</v>
      </c>
      <c r="Q123" s="6">
        <f>INT((ROUND(raw_order_lines!I123*10,0)*ROUND(raw_order_lines!J123*100,0)+5)/10)/100</f>
        <v>0</v>
      </c>
      <c r="R123" s="6">
        <f t="shared" si="3"/>
        <v>90.9</v>
      </c>
      <c r="S123" s="2" t="str">
        <f>IF(OR(ROUND(raw_order_lines!I123*10,0)&gt;ROUND(raw_order_lines!H123*10,0),ROUND(raw_order_lines!H123*10,0)&gt;ROUND(raw_order_lines!G123*10,0),ROUND(raw_order_lines!G123*10,0)&lt;=0),"数量关系异常","")</f>
        <v/>
      </c>
      <c r="T123" s="2" t="str">
        <f>IF($F123&lt;&gt;INDEX(dim_products!$D$2:$D$21,MATCH($E123,dim_products!$A$2:$A$21,0)),"单位不一致","")</f>
        <v/>
      </c>
      <c r="U123" s="2" t="str">
        <f>IF(OR(ROUND(raw_order_lines!J123*100,0)&lt;ROUND(INDEX(dim_products!$F$2:$F$21,MATCH($E123,dim_products!$A$2:$A$21,0))*100,0),ROUND(raw_order_lines!J123*100,0)&gt;ROUND(INDEX(dim_products!$G$2:$G$21,MATCH($E123,dim_products!$A$2:$A$21,0))*100,0)),"单价越界","")</f>
        <v/>
      </c>
      <c r="V123" s="2" t="str">
        <f t="shared" si="4"/>
        <v/>
      </c>
      <c r="W123" s="2" t="str">
        <f t="shared" si="5"/>
        <v>通过</v>
      </c>
    </row>
    <row r="124" spans="1:23" ht="15">
      <c r="A124" s="2" t="str">
        <f>raw_order_lines!A124</f>
        <v>SIM-20260904-C001</v>
      </c>
      <c r="B124" s="2">
        <f>raw_order_lines!B124</f>
        <v>1</v>
      </c>
      <c r="C124" s="2" t="str">
        <f>raw_order_lines!C124</f>
        <v>C001</v>
      </c>
      <c r="D124" s="3">
        <f>raw_order_lines!D124</f>
        <v>46269</v>
      </c>
      <c r="E124" s="2" t="str">
        <f>raw_order_lines!E124</f>
        <v>P012</v>
      </c>
      <c r="F124" s="2" t="str">
        <f>raw_order_lines!F124</f>
        <v>公斤</v>
      </c>
      <c r="G124" s="4">
        <f>raw_order_lines!G124</f>
        <v>2.6</v>
      </c>
      <c r="H124" s="4">
        <f>raw_order_lines!H124</f>
        <v>2.6</v>
      </c>
      <c r="I124" s="4">
        <f>raw_order_lines!I124</f>
        <v>0</v>
      </c>
      <c r="J124" s="5">
        <f>raw_order_lines!J124</f>
        <v>4.5999999999999996</v>
      </c>
      <c r="K124" s="2" t="str">
        <f>raw_order_lines!K124</f>
        <v>正常交付</v>
      </c>
      <c r="L124" s="2" t="str">
        <f>raw_order_lines!L124</f>
        <v>true</v>
      </c>
      <c r="M124" s="2" t="str">
        <f>INDEX(dim_products!$B$2:$B$21,MATCH($E124,dim_products!$A$2:$A$21,0))</f>
        <v>小白菜</v>
      </c>
      <c r="N124" s="2" t="str">
        <f>INDEX(dim_products!$C$2:$C$21,MATCH($E124,dim_products!$A$2:$A$21,0))</f>
        <v>散装鲜菜</v>
      </c>
      <c r="O124" s="2" t="str">
        <f>INDEX(dim_customers!$B$2:$B$7,MATCH($C124,dim_customers!$A$2:$A$7,0))</f>
        <v>模拟_榕树下粉面店</v>
      </c>
      <c r="P124" s="6">
        <f>INT((ROUND(raw_order_lines!H124*10,0)*ROUND(raw_order_lines!J124*100,0)+5)/10)/100</f>
        <v>11.96</v>
      </c>
      <c r="Q124" s="6">
        <f>INT((ROUND(raw_order_lines!I124*10,0)*ROUND(raw_order_lines!J124*100,0)+5)/10)/100</f>
        <v>0</v>
      </c>
      <c r="R124" s="6">
        <f t="shared" si="3"/>
        <v>11.96</v>
      </c>
      <c r="S124" s="2" t="str">
        <f>IF(OR(ROUND(raw_order_lines!I124*10,0)&gt;ROUND(raw_order_lines!H124*10,0),ROUND(raw_order_lines!H124*10,0)&gt;ROUND(raw_order_lines!G124*10,0),ROUND(raw_order_lines!G124*10,0)&lt;=0),"数量关系异常","")</f>
        <v/>
      </c>
      <c r="T124" s="2" t="str">
        <f>IF($F124&lt;&gt;INDEX(dim_products!$D$2:$D$21,MATCH($E124,dim_products!$A$2:$A$21,0)),"单位不一致","")</f>
        <v/>
      </c>
      <c r="U124" s="2" t="str">
        <f>IF(OR(ROUND(raw_order_lines!J124*100,0)&lt;ROUND(INDEX(dim_products!$F$2:$F$21,MATCH($E124,dim_products!$A$2:$A$21,0))*100,0),ROUND(raw_order_lines!J124*100,0)&gt;ROUND(INDEX(dim_products!$G$2:$G$21,MATCH($E124,dim_products!$A$2:$A$21,0))*100,0)),"单价越界","")</f>
        <v/>
      </c>
      <c r="V124" s="2" t="str">
        <f t="shared" si="4"/>
        <v/>
      </c>
      <c r="W124" s="2" t="str">
        <f t="shared" si="5"/>
        <v>通过</v>
      </c>
    </row>
    <row r="125" spans="1:23" ht="15">
      <c r="A125" s="2" t="str">
        <f>raw_order_lines!A125</f>
        <v>SIM-20260904-C001</v>
      </c>
      <c r="B125" s="2">
        <f>raw_order_lines!B125</f>
        <v>2</v>
      </c>
      <c r="C125" s="2" t="str">
        <f>raw_order_lines!C125</f>
        <v>C001</v>
      </c>
      <c r="D125" s="3">
        <f>raw_order_lines!D125</f>
        <v>46269</v>
      </c>
      <c r="E125" s="2" t="str">
        <f>raw_order_lines!E125</f>
        <v>P008</v>
      </c>
      <c r="F125" s="2" t="str">
        <f>raw_order_lines!F125</f>
        <v>公斤</v>
      </c>
      <c r="G125" s="4">
        <f>raw_order_lines!G125</f>
        <v>2</v>
      </c>
      <c r="H125" s="4">
        <f>raw_order_lines!H125</f>
        <v>2</v>
      </c>
      <c r="I125" s="4">
        <f>raw_order_lines!I125</f>
        <v>0</v>
      </c>
      <c r="J125" s="5">
        <f>raw_order_lines!J125</f>
        <v>4.0999999999999996</v>
      </c>
      <c r="K125" s="2" t="str">
        <f>raw_order_lines!K125</f>
        <v>正常交付</v>
      </c>
      <c r="L125" s="2" t="str">
        <f>raw_order_lines!L125</f>
        <v>true</v>
      </c>
      <c r="M125" s="2" t="str">
        <f>INDEX(dim_products!$B$2:$B$21,MATCH($E125,dim_products!$A$2:$A$21,0))</f>
        <v>黄瓜</v>
      </c>
      <c r="N125" s="2" t="str">
        <f>INDEX(dim_products!$C$2:$C$21,MATCH($E125,dim_products!$A$2:$A$21,0))</f>
        <v>散装鲜菜</v>
      </c>
      <c r="O125" s="2" t="str">
        <f>INDEX(dim_customers!$B$2:$B$7,MATCH($C125,dim_customers!$A$2:$A$7,0))</f>
        <v>模拟_榕树下粉面店</v>
      </c>
      <c r="P125" s="6">
        <f>INT((ROUND(raw_order_lines!H125*10,0)*ROUND(raw_order_lines!J125*100,0)+5)/10)/100</f>
        <v>8.1999999999999993</v>
      </c>
      <c r="Q125" s="6">
        <f>INT((ROUND(raw_order_lines!I125*10,0)*ROUND(raw_order_lines!J125*100,0)+5)/10)/100</f>
        <v>0</v>
      </c>
      <c r="R125" s="6">
        <f t="shared" si="3"/>
        <v>8.1999999999999993</v>
      </c>
      <c r="S125" s="2" t="str">
        <f>IF(OR(ROUND(raw_order_lines!I125*10,0)&gt;ROUND(raw_order_lines!H125*10,0),ROUND(raw_order_lines!H125*10,0)&gt;ROUND(raw_order_lines!G125*10,0),ROUND(raw_order_lines!G125*10,0)&lt;=0),"数量关系异常","")</f>
        <v/>
      </c>
      <c r="T125" s="2" t="str">
        <f>IF($F125&lt;&gt;INDEX(dim_products!$D$2:$D$21,MATCH($E125,dim_products!$A$2:$A$21,0)),"单位不一致","")</f>
        <v/>
      </c>
      <c r="U125" s="2" t="str">
        <f>IF(OR(ROUND(raw_order_lines!J125*100,0)&lt;ROUND(INDEX(dim_products!$F$2:$F$21,MATCH($E125,dim_products!$A$2:$A$21,0))*100,0),ROUND(raw_order_lines!J125*100,0)&gt;ROUND(INDEX(dim_products!$G$2:$G$21,MATCH($E125,dim_products!$A$2:$A$21,0))*100,0)),"单价越界","")</f>
        <v/>
      </c>
      <c r="V125" s="2" t="str">
        <f t="shared" si="4"/>
        <v/>
      </c>
      <c r="W125" s="2" t="str">
        <f t="shared" si="5"/>
        <v>通过</v>
      </c>
    </row>
    <row r="126" spans="1:23" ht="15">
      <c r="A126" s="2" t="str">
        <f>raw_order_lines!A126</f>
        <v>SIM-20260904-C001</v>
      </c>
      <c r="B126" s="2">
        <f>raw_order_lines!B126</f>
        <v>3</v>
      </c>
      <c r="C126" s="2" t="str">
        <f>raw_order_lines!C126</f>
        <v>C001</v>
      </c>
      <c r="D126" s="3">
        <f>raw_order_lines!D126</f>
        <v>46269</v>
      </c>
      <c r="E126" s="2" t="str">
        <f>raw_order_lines!E126</f>
        <v>P007</v>
      </c>
      <c r="F126" s="2" t="str">
        <f>raw_order_lines!F126</f>
        <v>公斤</v>
      </c>
      <c r="G126" s="4">
        <f>raw_order_lines!G126</f>
        <v>3.1</v>
      </c>
      <c r="H126" s="4">
        <f>raw_order_lines!H126</f>
        <v>3.1</v>
      </c>
      <c r="I126" s="4">
        <f>raw_order_lines!I126</f>
        <v>0</v>
      </c>
      <c r="J126" s="5">
        <f>raw_order_lines!J126</f>
        <v>5.15</v>
      </c>
      <c r="K126" s="2" t="str">
        <f>raw_order_lines!K126</f>
        <v>正常交付</v>
      </c>
      <c r="L126" s="2" t="str">
        <f>raw_order_lines!L126</f>
        <v>true</v>
      </c>
      <c r="M126" s="2" t="str">
        <f>INDEX(dim_products!$B$2:$B$21,MATCH($E126,dim_products!$A$2:$A$21,0))</f>
        <v>青椒</v>
      </c>
      <c r="N126" s="2" t="str">
        <f>INDEX(dim_products!$C$2:$C$21,MATCH($E126,dim_products!$A$2:$A$21,0))</f>
        <v>散装鲜菜</v>
      </c>
      <c r="O126" s="2" t="str">
        <f>INDEX(dim_customers!$B$2:$B$7,MATCH($C126,dim_customers!$A$2:$A$7,0))</f>
        <v>模拟_榕树下粉面店</v>
      </c>
      <c r="P126" s="6">
        <f>INT((ROUND(raw_order_lines!H126*10,0)*ROUND(raw_order_lines!J126*100,0)+5)/10)/100</f>
        <v>15.97</v>
      </c>
      <c r="Q126" s="6">
        <f>INT((ROUND(raw_order_lines!I126*10,0)*ROUND(raw_order_lines!J126*100,0)+5)/10)/100</f>
        <v>0</v>
      </c>
      <c r="R126" s="6">
        <f t="shared" si="3"/>
        <v>15.97</v>
      </c>
      <c r="S126" s="2" t="str">
        <f>IF(OR(ROUND(raw_order_lines!I126*10,0)&gt;ROUND(raw_order_lines!H126*10,0),ROUND(raw_order_lines!H126*10,0)&gt;ROUND(raw_order_lines!G126*10,0),ROUND(raw_order_lines!G126*10,0)&lt;=0),"数量关系异常","")</f>
        <v/>
      </c>
      <c r="T126" s="2" t="str">
        <f>IF($F126&lt;&gt;INDEX(dim_products!$D$2:$D$21,MATCH($E126,dim_products!$A$2:$A$21,0)),"单位不一致","")</f>
        <v/>
      </c>
      <c r="U126" s="2" t="str">
        <f>IF(OR(ROUND(raw_order_lines!J126*100,0)&lt;ROUND(INDEX(dim_products!$F$2:$F$21,MATCH($E126,dim_products!$A$2:$A$21,0))*100,0),ROUND(raw_order_lines!J126*100,0)&gt;ROUND(INDEX(dim_products!$G$2:$G$21,MATCH($E126,dim_products!$A$2:$A$21,0))*100,0)),"单价越界","")</f>
        <v/>
      </c>
      <c r="V126" s="2" t="str">
        <f t="shared" si="4"/>
        <v/>
      </c>
      <c r="W126" s="2" t="str">
        <f t="shared" si="5"/>
        <v>通过</v>
      </c>
    </row>
    <row r="127" spans="1:23" ht="15">
      <c r="A127" s="2" t="str">
        <f>raw_order_lines!A127</f>
        <v>SIM-20260904-C001</v>
      </c>
      <c r="B127" s="2">
        <f>raw_order_lines!B127</f>
        <v>4</v>
      </c>
      <c r="C127" s="2" t="str">
        <f>raw_order_lines!C127</f>
        <v>C001</v>
      </c>
      <c r="D127" s="3">
        <f>raw_order_lines!D127</f>
        <v>46269</v>
      </c>
      <c r="E127" s="2" t="str">
        <f>raw_order_lines!E127</f>
        <v>P009</v>
      </c>
      <c r="F127" s="2" t="str">
        <f>raw_order_lines!F127</f>
        <v>公斤</v>
      </c>
      <c r="G127" s="4">
        <f>raw_order_lines!G127</f>
        <v>2.9</v>
      </c>
      <c r="H127" s="4">
        <f>raw_order_lines!H127</f>
        <v>2.9</v>
      </c>
      <c r="I127" s="4">
        <f>raw_order_lines!I127</f>
        <v>0</v>
      </c>
      <c r="J127" s="5">
        <f>raw_order_lines!J127</f>
        <v>5</v>
      </c>
      <c r="K127" s="2" t="str">
        <f>raw_order_lines!K127</f>
        <v>正常交付</v>
      </c>
      <c r="L127" s="2" t="str">
        <f>raw_order_lines!L127</f>
        <v>true</v>
      </c>
      <c r="M127" s="2" t="str">
        <f>INDEX(dim_products!$B$2:$B$21,MATCH($E127,dim_products!$A$2:$A$21,0))</f>
        <v>西红柿</v>
      </c>
      <c r="N127" s="2" t="str">
        <f>INDEX(dim_products!$C$2:$C$21,MATCH($E127,dim_products!$A$2:$A$21,0))</f>
        <v>散装鲜菜</v>
      </c>
      <c r="O127" s="2" t="str">
        <f>INDEX(dim_customers!$B$2:$B$7,MATCH($C127,dim_customers!$A$2:$A$7,0))</f>
        <v>模拟_榕树下粉面店</v>
      </c>
      <c r="P127" s="6">
        <f>INT((ROUND(raw_order_lines!H127*10,0)*ROUND(raw_order_lines!J127*100,0)+5)/10)/100</f>
        <v>14.5</v>
      </c>
      <c r="Q127" s="6">
        <f>INT((ROUND(raw_order_lines!I127*10,0)*ROUND(raw_order_lines!J127*100,0)+5)/10)/100</f>
        <v>0</v>
      </c>
      <c r="R127" s="6">
        <f t="shared" si="3"/>
        <v>14.5</v>
      </c>
      <c r="S127" s="2" t="str">
        <f>IF(OR(ROUND(raw_order_lines!I127*10,0)&gt;ROUND(raw_order_lines!H127*10,0),ROUND(raw_order_lines!H127*10,0)&gt;ROUND(raw_order_lines!G127*10,0),ROUND(raw_order_lines!G127*10,0)&lt;=0),"数量关系异常","")</f>
        <v/>
      </c>
      <c r="T127" s="2" t="str">
        <f>IF($F127&lt;&gt;INDEX(dim_products!$D$2:$D$21,MATCH($E127,dim_products!$A$2:$A$21,0)),"单位不一致","")</f>
        <v/>
      </c>
      <c r="U127" s="2" t="str">
        <f>IF(OR(ROUND(raw_order_lines!J127*100,0)&lt;ROUND(INDEX(dim_products!$F$2:$F$21,MATCH($E127,dim_products!$A$2:$A$21,0))*100,0),ROUND(raw_order_lines!J127*100,0)&gt;ROUND(INDEX(dim_products!$G$2:$G$21,MATCH($E127,dim_products!$A$2:$A$21,0))*100,0)),"单价越界","")</f>
        <v/>
      </c>
      <c r="V127" s="2" t="str">
        <f t="shared" si="4"/>
        <v/>
      </c>
      <c r="W127" s="2" t="str">
        <f t="shared" si="5"/>
        <v>通过</v>
      </c>
    </row>
    <row r="128" spans="1:23" ht="15">
      <c r="A128" s="2" t="str">
        <f>raw_order_lines!A128</f>
        <v>SIM-20260904-C001</v>
      </c>
      <c r="B128" s="2">
        <f>raw_order_lines!B128</f>
        <v>5</v>
      </c>
      <c r="C128" s="2" t="str">
        <f>raw_order_lines!C128</f>
        <v>C001</v>
      </c>
      <c r="D128" s="3">
        <f>raw_order_lines!D128</f>
        <v>46269</v>
      </c>
      <c r="E128" s="2" t="str">
        <f>raw_order_lines!E128</f>
        <v>P015</v>
      </c>
      <c r="F128" s="2" t="str">
        <f>raw_order_lines!F128</f>
        <v>公斤</v>
      </c>
      <c r="G128" s="4">
        <f>raw_order_lines!G128</f>
        <v>0.5</v>
      </c>
      <c r="H128" s="4">
        <f>raw_order_lines!H128</f>
        <v>0.3</v>
      </c>
      <c r="I128" s="4">
        <f>raw_order_lines!I128</f>
        <v>0</v>
      </c>
      <c r="J128" s="5">
        <f>raw_order_lines!J128</f>
        <v>7.3</v>
      </c>
      <c r="K128" s="2" t="str">
        <f>raw_order_lines!K128</f>
        <v>到货不足；按实际交付计费</v>
      </c>
      <c r="L128" s="2" t="str">
        <f>raw_order_lines!L128</f>
        <v>true</v>
      </c>
      <c r="M128" s="2" t="str">
        <f>INDEX(dim_products!$B$2:$B$21,MATCH($E128,dim_products!$A$2:$A$21,0))</f>
        <v>小葱</v>
      </c>
      <c r="N128" s="2" t="str">
        <f>INDEX(dim_products!$C$2:$C$21,MATCH($E128,dim_products!$A$2:$A$21,0))</f>
        <v>散装鲜菜</v>
      </c>
      <c r="O128" s="2" t="str">
        <f>INDEX(dim_customers!$B$2:$B$7,MATCH($C128,dim_customers!$A$2:$A$7,0))</f>
        <v>模拟_榕树下粉面店</v>
      </c>
      <c r="P128" s="6">
        <f>INT((ROUND(raw_order_lines!H128*10,0)*ROUND(raw_order_lines!J128*100,0)+5)/10)/100</f>
        <v>2.19</v>
      </c>
      <c r="Q128" s="6">
        <f>INT((ROUND(raw_order_lines!I128*10,0)*ROUND(raw_order_lines!J128*100,0)+5)/10)/100</f>
        <v>0</v>
      </c>
      <c r="R128" s="6">
        <f t="shared" si="3"/>
        <v>2.19</v>
      </c>
      <c r="S128" s="2" t="str">
        <f>IF(OR(ROUND(raw_order_lines!I128*10,0)&gt;ROUND(raw_order_lines!H128*10,0),ROUND(raw_order_lines!H128*10,0)&gt;ROUND(raw_order_lines!G128*10,0),ROUND(raw_order_lines!G128*10,0)&lt;=0),"数量关系异常","")</f>
        <v/>
      </c>
      <c r="T128" s="2" t="str">
        <f>IF($F128&lt;&gt;INDEX(dim_products!$D$2:$D$21,MATCH($E128,dim_products!$A$2:$A$21,0)),"单位不一致","")</f>
        <v/>
      </c>
      <c r="U128" s="2" t="str">
        <f>IF(OR(ROUND(raw_order_lines!J128*100,0)&lt;ROUND(INDEX(dim_products!$F$2:$F$21,MATCH($E128,dim_products!$A$2:$A$21,0))*100,0),ROUND(raw_order_lines!J128*100,0)&gt;ROUND(INDEX(dim_products!$G$2:$G$21,MATCH($E128,dim_products!$A$2:$A$21,0))*100,0)),"单价越界","")</f>
        <v/>
      </c>
      <c r="V128" s="2" t="str">
        <f t="shared" si="4"/>
        <v/>
      </c>
      <c r="W128" s="2" t="str">
        <f t="shared" si="5"/>
        <v>通过</v>
      </c>
    </row>
    <row r="129" spans="1:23" ht="15">
      <c r="A129" s="2" t="str">
        <f>raw_order_lines!A129</f>
        <v>SIM-20260904-C002</v>
      </c>
      <c r="B129" s="2">
        <f>raw_order_lines!B129</f>
        <v>1</v>
      </c>
      <c r="C129" s="2" t="str">
        <f>raw_order_lines!C129</f>
        <v>C002</v>
      </c>
      <c r="D129" s="3">
        <f>raw_order_lines!D129</f>
        <v>46269</v>
      </c>
      <c r="E129" s="2" t="str">
        <f>raw_order_lines!E129</f>
        <v>P012</v>
      </c>
      <c r="F129" s="2" t="str">
        <f>raw_order_lines!F129</f>
        <v>公斤</v>
      </c>
      <c r="G129" s="4">
        <f>raw_order_lines!G129</f>
        <v>4.2</v>
      </c>
      <c r="H129" s="4">
        <f>raw_order_lines!H129</f>
        <v>4.2</v>
      </c>
      <c r="I129" s="4">
        <f>raw_order_lines!I129</f>
        <v>0.5</v>
      </c>
      <c r="J129" s="5">
        <f>raw_order_lines!J129</f>
        <v>4.5999999999999996</v>
      </c>
      <c r="K129" s="2" t="str">
        <f>raw_order_lines!K129</f>
        <v>正常交付；签收时挑出黄叶退回</v>
      </c>
      <c r="L129" s="2" t="str">
        <f>raw_order_lines!L129</f>
        <v>true</v>
      </c>
      <c r="M129" s="2" t="str">
        <f>INDEX(dim_products!$B$2:$B$21,MATCH($E129,dim_products!$A$2:$A$21,0))</f>
        <v>小白菜</v>
      </c>
      <c r="N129" s="2" t="str">
        <f>INDEX(dim_products!$C$2:$C$21,MATCH($E129,dim_products!$A$2:$A$21,0))</f>
        <v>散装鲜菜</v>
      </c>
      <c r="O129" s="2" t="str">
        <f>INDEX(dim_customers!$B$2:$B$7,MATCH($C129,dim_customers!$A$2:$A$7,0))</f>
        <v>模拟_桥头家常菜馆</v>
      </c>
      <c r="P129" s="6">
        <f>INT((ROUND(raw_order_lines!H129*10,0)*ROUND(raw_order_lines!J129*100,0)+5)/10)/100</f>
        <v>19.32</v>
      </c>
      <c r="Q129" s="6">
        <f>INT((ROUND(raw_order_lines!I129*10,0)*ROUND(raw_order_lines!J129*100,0)+5)/10)/100</f>
        <v>2.2999999999999998</v>
      </c>
      <c r="R129" s="6">
        <f t="shared" si="3"/>
        <v>17.02</v>
      </c>
      <c r="S129" s="2" t="str">
        <f>IF(OR(ROUND(raw_order_lines!I129*10,0)&gt;ROUND(raw_order_lines!H129*10,0),ROUND(raw_order_lines!H129*10,0)&gt;ROUND(raw_order_lines!G129*10,0),ROUND(raw_order_lines!G129*10,0)&lt;=0),"数量关系异常","")</f>
        <v/>
      </c>
      <c r="T129" s="2" t="str">
        <f>IF($F129&lt;&gt;INDEX(dim_products!$D$2:$D$21,MATCH($E129,dim_products!$A$2:$A$21,0)),"单位不一致","")</f>
        <v/>
      </c>
      <c r="U129" s="2" t="str">
        <f>IF(OR(ROUND(raw_order_lines!J129*100,0)&lt;ROUND(INDEX(dim_products!$F$2:$F$21,MATCH($E129,dim_products!$A$2:$A$21,0))*100,0),ROUND(raw_order_lines!J129*100,0)&gt;ROUND(INDEX(dim_products!$G$2:$G$21,MATCH($E129,dim_products!$A$2:$A$21,0))*100,0)),"单价越界","")</f>
        <v/>
      </c>
      <c r="V129" s="2" t="str">
        <f t="shared" si="4"/>
        <v/>
      </c>
      <c r="W129" s="2" t="str">
        <f t="shared" si="5"/>
        <v>通过</v>
      </c>
    </row>
    <row r="130" spans="1:23" ht="15">
      <c r="A130" s="2" t="str">
        <f>raw_order_lines!A130</f>
        <v>SIM-20260904-C002</v>
      </c>
      <c r="B130" s="2">
        <f>raw_order_lines!B130</f>
        <v>2</v>
      </c>
      <c r="C130" s="2" t="str">
        <f>raw_order_lines!C130</f>
        <v>C002</v>
      </c>
      <c r="D130" s="3">
        <f>raw_order_lines!D130</f>
        <v>46269</v>
      </c>
      <c r="E130" s="2" t="str">
        <f>raw_order_lines!E130</f>
        <v>P014</v>
      </c>
      <c r="F130" s="2" t="str">
        <f>raw_order_lines!F130</f>
        <v>公斤</v>
      </c>
      <c r="G130" s="4">
        <f>raw_order_lines!G130</f>
        <v>6</v>
      </c>
      <c r="H130" s="4">
        <f>raw_order_lines!H130</f>
        <v>6</v>
      </c>
      <c r="I130" s="4">
        <f>raw_order_lines!I130</f>
        <v>0</v>
      </c>
      <c r="J130" s="5">
        <f>raw_order_lines!J130</f>
        <v>4.7</v>
      </c>
      <c r="K130" s="2" t="str">
        <f>raw_order_lines!K130</f>
        <v>正常交付</v>
      </c>
      <c r="L130" s="2" t="str">
        <f>raw_order_lines!L130</f>
        <v>true</v>
      </c>
      <c r="M130" s="2" t="str">
        <f>INDEX(dim_products!$B$2:$B$21,MATCH($E130,dim_products!$A$2:$A$21,0))</f>
        <v>丝瓜</v>
      </c>
      <c r="N130" s="2" t="str">
        <f>INDEX(dim_products!$C$2:$C$21,MATCH($E130,dim_products!$A$2:$A$21,0))</f>
        <v>散装鲜菜</v>
      </c>
      <c r="O130" s="2" t="str">
        <f>INDEX(dim_customers!$B$2:$B$7,MATCH($C130,dim_customers!$A$2:$A$7,0))</f>
        <v>模拟_桥头家常菜馆</v>
      </c>
      <c r="P130" s="6">
        <f>INT((ROUND(raw_order_lines!H130*10,0)*ROUND(raw_order_lines!J130*100,0)+5)/10)/100</f>
        <v>28.2</v>
      </c>
      <c r="Q130" s="6">
        <f>INT((ROUND(raw_order_lines!I130*10,0)*ROUND(raw_order_lines!J130*100,0)+5)/10)/100</f>
        <v>0</v>
      </c>
      <c r="R130" s="6">
        <f t="shared" ref="R130:R193" si="6">$P130-$Q130</f>
        <v>28.2</v>
      </c>
      <c r="S130" s="2" t="str">
        <f>IF(OR(ROUND(raw_order_lines!I130*10,0)&gt;ROUND(raw_order_lines!H130*10,0),ROUND(raw_order_lines!H130*10,0)&gt;ROUND(raw_order_lines!G130*10,0),ROUND(raw_order_lines!G130*10,0)&lt;=0),"数量关系异常","")</f>
        <v/>
      </c>
      <c r="T130" s="2" t="str">
        <f>IF($F130&lt;&gt;INDEX(dim_products!$D$2:$D$21,MATCH($E130,dim_products!$A$2:$A$21,0)),"单位不一致","")</f>
        <v/>
      </c>
      <c r="U130" s="2" t="str">
        <f>IF(OR(ROUND(raw_order_lines!J130*100,0)&lt;ROUND(INDEX(dim_products!$F$2:$F$21,MATCH($E130,dim_products!$A$2:$A$21,0))*100,0),ROUND(raw_order_lines!J130*100,0)&gt;ROUND(INDEX(dim_products!$G$2:$G$21,MATCH($E130,dim_products!$A$2:$A$21,0))*100,0)),"单价越界","")</f>
        <v/>
      </c>
      <c r="V130" s="2" t="str">
        <f t="shared" ref="V130:V193" si="7">IF(COUNTIFS($A$2:$A$967,$A130,$B$2:$B$967,$B130)&gt;1,"主键重复","")</f>
        <v/>
      </c>
      <c r="W130" s="2" t="str">
        <f t="shared" ref="W130:W193" si="8">IF(COUNTIF($S130:$T130,"?*")+COUNTIF($V130:$V130,"?*")&gt;0,"阻断",IF(COUNTIF($U130:$U130,"?*")&gt;0,"提示","通过"))</f>
        <v>通过</v>
      </c>
    </row>
    <row r="131" spans="1:23" ht="15">
      <c r="A131" s="2" t="str">
        <f>raw_order_lines!A131</f>
        <v>SIM-20260904-C002</v>
      </c>
      <c r="B131" s="2">
        <f>raw_order_lines!B131</f>
        <v>3</v>
      </c>
      <c r="C131" s="2" t="str">
        <f>raw_order_lines!C131</f>
        <v>C002</v>
      </c>
      <c r="D131" s="3">
        <f>raw_order_lines!D131</f>
        <v>46269</v>
      </c>
      <c r="E131" s="2" t="str">
        <f>raw_order_lines!E131</f>
        <v>P002</v>
      </c>
      <c r="F131" s="2" t="str">
        <f>raw_order_lines!F131</f>
        <v>公斤</v>
      </c>
      <c r="G131" s="4">
        <f>raw_order_lines!G131</f>
        <v>6.7</v>
      </c>
      <c r="H131" s="4">
        <f>raw_order_lines!H131</f>
        <v>6.7</v>
      </c>
      <c r="I131" s="4">
        <f>raw_order_lines!I131</f>
        <v>0</v>
      </c>
      <c r="J131" s="5">
        <f>raw_order_lines!J131</f>
        <v>2.2999999999999998</v>
      </c>
      <c r="K131" s="2" t="str">
        <f>raw_order_lines!K131</f>
        <v>正常交付</v>
      </c>
      <c r="L131" s="2" t="str">
        <f>raw_order_lines!L131</f>
        <v>true</v>
      </c>
      <c r="M131" s="2" t="str">
        <f>INDEX(dim_products!$B$2:$B$21,MATCH($E131,dim_products!$A$2:$A$21,0))</f>
        <v>白萝卜</v>
      </c>
      <c r="N131" s="2" t="str">
        <f>INDEX(dim_products!$C$2:$C$21,MATCH($E131,dim_products!$A$2:$A$21,0))</f>
        <v>散装鲜菜</v>
      </c>
      <c r="O131" s="2" t="str">
        <f>INDEX(dim_customers!$B$2:$B$7,MATCH($C131,dim_customers!$A$2:$A$7,0))</f>
        <v>模拟_桥头家常菜馆</v>
      </c>
      <c r="P131" s="6">
        <f>INT((ROUND(raw_order_lines!H131*10,0)*ROUND(raw_order_lines!J131*100,0)+5)/10)/100</f>
        <v>15.41</v>
      </c>
      <c r="Q131" s="6">
        <f>INT((ROUND(raw_order_lines!I131*10,0)*ROUND(raw_order_lines!J131*100,0)+5)/10)/100</f>
        <v>0</v>
      </c>
      <c r="R131" s="6">
        <f t="shared" si="6"/>
        <v>15.41</v>
      </c>
      <c r="S131" s="2" t="str">
        <f>IF(OR(ROUND(raw_order_lines!I131*10,0)&gt;ROUND(raw_order_lines!H131*10,0),ROUND(raw_order_lines!H131*10,0)&gt;ROUND(raw_order_lines!G131*10,0),ROUND(raw_order_lines!G131*10,0)&lt;=0),"数量关系异常","")</f>
        <v/>
      </c>
      <c r="T131" s="2" t="str">
        <f>IF($F131&lt;&gt;INDEX(dim_products!$D$2:$D$21,MATCH($E131,dim_products!$A$2:$A$21,0)),"单位不一致","")</f>
        <v/>
      </c>
      <c r="U131" s="2" t="str">
        <f>IF(OR(ROUND(raw_order_lines!J131*100,0)&lt;ROUND(INDEX(dim_products!$F$2:$F$21,MATCH($E131,dim_products!$A$2:$A$21,0))*100,0),ROUND(raw_order_lines!J131*100,0)&gt;ROUND(INDEX(dim_products!$G$2:$G$21,MATCH($E131,dim_products!$A$2:$A$21,0))*100,0)),"单价越界","")</f>
        <v/>
      </c>
      <c r="V131" s="2" t="str">
        <f t="shared" si="7"/>
        <v/>
      </c>
      <c r="W131" s="2" t="str">
        <f t="shared" si="8"/>
        <v>通过</v>
      </c>
    </row>
    <row r="132" spans="1:23" ht="15">
      <c r="A132" s="2" t="str">
        <f>raw_order_lines!A132</f>
        <v>SIM-20260904-C002</v>
      </c>
      <c r="B132" s="2">
        <f>raw_order_lines!B132</f>
        <v>4</v>
      </c>
      <c r="C132" s="2" t="str">
        <f>raw_order_lines!C132</f>
        <v>C002</v>
      </c>
      <c r="D132" s="3">
        <f>raw_order_lines!D132</f>
        <v>46269</v>
      </c>
      <c r="E132" s="2" t="str">
        <f>raw_order_lines!E132</f>
        <v>P006</v>
      </c>
      <c r="F132" s="2" t="str">
        <f>raw_order_lines!F132</f>
        <v>公斤</v>
      </c>
      <c r="G132" s="4">
        <f>raw_order_lines!G132</f>
        <v>9.1</v>
      </c>
      <c r="H132" s="4">
        <f>raw_order_lines!H132</f>
        <v>9.1</v>
      </c>
      <c r="I132" s="4">
        <f>raw_order_lines!I132</f>
        <v>0</v>
      </c>
      <c r="J132" s="5">
        <f>raw_order_lines!J132</f>
        <v>4.5999999999999996</v>
      </c>
      <c r="K132" s="2" t="str">
        <f>raw_order_lines!K132</f>
        <v>正常交付</v>
      </c>
      <c r="L132" s="2" t="str">
        <f>raw_order_lines!L132</f>
        <v>true</v>
      </c>
      <c r="M132" s="2" t="str">
        <f>INDEX(dim_products!$B$2:$B$21,MATCH($E132,dim_products!$A$2:$A$21,0))</f>
        <v>茄子</v>
      </c>
      <c r="N132" s="2" t="str">
        <f>INDEX(dim_products!$C$2:$C$21,MATCH($E132,dim_products!$A$2:$A$21,0))</f>
        <v>散装鲜菜</v>
      </c>
      <c r="O132" s="2" t="str">
        <f>INDEX(dim_customers!$B$2:$B$7,MATCH($C132,dim_customers!$A$2:$A$7,0))</f>
        <v>模拟_桥头家常菜馆</v>
      </c>
      <c r="P132" s="6">
        <f>INT((ROUND(raw_order_lines!H132*10,0)*ROUND(raw_order_lines!J132*100,0)+5)/10)/100</f>
        <v>41.86</v>
      </c>
      <c r="Q132" s="6">
        <f>INT((ROUND(raw_order_lines!I132*10,0)*ROUND(raw_order_lines!J132*100,0)+5)/10)/100</f>
        <v>0</v>
      </c>
      <c r="R132" s="6">
        <f t="shared" si="6"/>
        <v>41.86</v>
      </c>
      <c r="S132" s="2" t="str">
        <f>IF(OR(ROUND(raw_order_lines!I132*10,0)&gt;ROUND(raw_order_lines!H132*10,0),ROUND(raw_order_lines!H132*10,0)&gt;ROUND(raw_order_lines!G132*10,0),ROUND(raw_order_lines!G132*10,0)&lt;=0),"数量关系异常","")</f>
        <v/>
      </c>
      <c r="T132" s="2" t="str">
        <f>IF($F132&lt;&gt;INDEX(dim_products!$D$2:$D$21,MATCH($E132,dim_products!$A$2:$A$21,0)),"单位不一致","")</f>
        <v/>
      </c>
      <c r="U132" s="2" t="str">
        <f>IF(OR(ROUND(raw_order_lines!J132*100,0)&lt;ROUND(INDEX(dim_products!$F$2:$F$21,MATCH($E132,dim_products!$A$2:$A$21,0))*100,0),ROUND(raw_order_lines!J132*100,0)&gt;ROUND(INDEX(dim_products!$G$2:$G$21,MATCH($E132,dim_products!$A$2:$A$21,0))*100,0)),"单价越界","")</f>
        <v/>
      </c>
      <c r="V132" s="2" t="str">
        <f t="shared" si="7"/>
        <v/>
      </c>
      <c r="W132" s="2" t="str">
        <f t="shared" si="8"/>
        <v>通过</v>
      </c>
    </row>
    <row r="133" spans="1:23" ht="15">
      <c r="A133" s="2" t="str">
        <f>raw_order_lines!A133</f>
        <v>SIM-20260904-C002</v>
      </c>
      <c r="B133" s="2">
        <f>raw_order_lines!B133</f>
        <v>5</v>
      </c>
      <c r="C133" s="2" t="str">
        <f>raw_order_lines!C133</f>
        <v>C002</v>
      </c>
      <c r="D133" s="3">
        <f>raw_order_lines!D133</f>
        <v>46269</v>
      </c>
      <c r="E133" s="2" t="str">
        <f>raw_order_lines!E133</f>
        <v>P013</v>
      </c>
      <c r="F133" s="2" t="str">
        <f>raw_order_lines!F133</f>
        <v>公斤</v>
      </c>
      <c r="G133" s="4">
        <f>raw_order_lines!G133</f>
        <v>7.3</v>
      </c>
      <c r="H133" s="4">
        <f>raw_order_lines!H133</f>
        <v>7.3</v>
      </c>
      <c r="I133" s="4">
        <f>raw_order_lines!I133</f>
        <v>0</v>
      </c>
      <c r="J133" s="5">
        <f>raw_order_lines!J133</f>
        <v>6.3</v>
      </c>
      <c r="K133" s="2" t="str">
        <f>raw_order_lines!K133</f>
        <v>正常交付</v>
      </c>
      <c r="L133" s="2" t="str">
        <f>raw_order_lines!L133</f>
        <v>true</v>
      </c>
      <c r="M133" s="2" t="str">
        <f>INDEX(dim_products!$B$2:$B$21,MATCH($E133,dim_products!$A$2:$A$21,0))</f>
        <v>豇豆</v>
      </c>
      <c r="N133" s="2" t="str">
        <f>INDEX(dim_products!$C$2:$C$21,MATCH($E133,dim_products!$A$2:$A$21,0))</f>
        <v>散装鲜菜</v>
      </c>
      <c r="O133" s="2" t="str">
        <f>INDEX(dim_customers!$B$2:$B$7,MATCH($C133,dim_customers!$A$2:$A$7,0))</f>
        <v>模拟_桥头家常菜馆</v>
      </c>
      <c r="P133" s="6">
        <f>INT((ROUND(raw_order_lines!H133*10,0)*ROUND(raw_order_lines!J133*100,0)+5)/10)/100</f>
        <v>45.99</v>
      </c>
      <c r="Q133" s="6">
        <f>INT((ROUND(raw_order_lines!I133*10,0)*ROUND(raw_order_lines!J133*100,0)+5)/10)/100</f>
        <v>0</v>
      </c>
      <c r="R133" s="6">
        <f t="shared" si="6"/>
        <v>45.99</v>
      </c>
      <c r="S133" s="2" t="str">
        <f>IF(OR(ROUND(raw_order_lines!I133*10,0)&gt;ROUND(raw_order_lines!H133*10,0),ROUND(raw_order_lines!H133*10,0)&gt;ROUND(raw_order_lines!G133*10,0),ROUND(raw_order_lines!G133*10,0)&lt;=0),"数量关系异常","")</f>
        <v/>
      </c>
      <c r="T133" s="2" t="str">
        <f>IF($F133&lt;&gt;INDEX(dim_products!$D$2:$D$21,MATCH($E133,dim_products!$A$2:$A$21,0)),"单位不一致","")</f>
        <v/>
      </c>
      <c r="U133" s="2" t="str">
        <f>IF(OR(ROUND(raw_order_lines!J133*100,0)&lt;ROUND(INDEX(dim_products!$F$2:$F$21,MATCH($E133,dim_products!$A$2:$A$21,0))*100,0),ROUND(raw_order_lines!J133*100,0)&gt;ROUND(INDEX(dim_products!$G$2:$G$21,MATCH($E133,dim_products!$A$2:$A$21,0))*100,0)),"单价越界","")</f>
        <v/>
      </c>
      <c r="V133" s="2" t="str">
        <f t="shared" si="7"/>
        <v/>
      </c>
      <c r="W133" s="2" t="str">
        <f t="shared" si="8"/>
        <v>通过</v>
      </c>
    </row>
    <row r="134" spans="1:23" ht="15">
      <c r="A134" s="2" t="str">
        <f>raw_order_lines!A134</f>
        <v>SIM-20260904-C002</v>
      </c>
      <c r="B134" s="2">
        <f>raw_order_lines!B134</f>
        <v>6</v>
      </c>
      <c r="C134" s="2" t="str">
        <f>raw_order_lines!C134</f>
        <v>C002</v>
      </c>
      <c r="D134" s="3">
        <f>raw_order_lines!D134</f>
        <v>46269</v>
      </c>
      <c r="E134" s="2" t="str">
        <f>raw_order_lines!E134</f>
        <v>P015</v>
      </c>
      <c r="F134" s="2" t="str">
        <f>raw_order_lines!F134</f>
        <v>公斤</v>
      </c>
      <c r="G134" s="4">
        <f>raw_order_lines!G134</f>
        <v>1</v>
      </c>
      <c r="H134" s="4">
        <f>raw_order_lines!H134</f>
        <v>1</v>
      </c>
      <c r="I134" s="4">
        <f>raw_order_lines!I134</f>
        <v>0</v>
      </c>
      <c r="J134" s="5">
        <f>raw_order_lines!J134</f>
        <v>7.3</v>
      </c>
      <c r="K134" s="2" t="str">
        <f>raw_order_lines!K134</f>
        <v>正常交付</v>
      </c>
      <c r="L134" s="2" t="str">
        <f>raw_order_lines!L134</f>
        <v>true</v>
      </c>
      <c r="M134" s="2" t="str">
        <f>INDEX(dim_products!$B$2:$B$21,MATCH($E134,dim_products!$A$2:$A$21,0))</f>
        <v>小葱</v>
      </c>
      <c r="N134" s="2" t="str">
        <f>INDEX(dim_products!$C$2:$C$21,MATCH($E134,dim_products!$A$2:$A$21,0))</f>
        <v>散装鲜菜</v>
      </c>
      <c r="O134" s="2" t="str">
        <f>INDEX(dim_customers!$B$2:$B$7,MATCH($C134,dim_customers!$A$2:$A$7,0))</f>
        <v>模拟_桥头家常菜馆</v>
      </c>
      <c r="P134" s="6">
        <f>INT((ROUND(raw_order_lines!H134*10,0)*ROUND(raw_order_lines!J134*100,0)+5)/10)/100</f>
        <v>7.3</v>
      </c>
      <c r="Q134" s="6">
        <f>INT((ROUND(raw_order_lines!I134*10,0)*ROUND(raw_order_lines!J134*100,0)+5)/10)/100</f>
        <v>0</v>
      </c>
      <c r="R134" s="6">
        <f t="shared" si="6"/>
        <v>7.3</v>
      </c>
      <c r="S134" s="2" t="str">
        <f>IF(OR(ROUND(raw_order_lines!I134*10,0)&gt;ROUND(raw_order_lines!H134*10,0),ROUND(raw_order_lines!H134*10,0)&gt;ROUND(raw_order_lines!G134*10,0),ROUND(raw_order_lines!G134*10,0)&lt;=0),"数量关系异常","")</f>
        <v/>
      </c>
      <c r="T134" s="2" t="str">
        <f>IF($F134&lt;&gt;INDEX(dim_products!$D$2:$D$21,MATCH($E134,dim_products!$A$2:$A$21,0)),"单位不一致","")</f>
        <v/>
      </c>
      <c r="U134" s="2" t="str">
        <f>IF(OR(ROUND(raw_order_lines!J134*100,0)&lt;ROUND(INDEX(dim_products!$F$2:$F$21,MATCH($E134,dim_products!$A$2:$A$21,0))*100,0),ROUND(raw_order_lines!J134*100,0)&gt;ROUND(INDEX(dim_products!$G$2:$G$21,MATCH($E134,dim_products!$A$2:$A$21,0))*100,0)),"单价越界","")</f>
        <v/>
      </c>
      <c r="V134" s="2" t="str">
        <f t="shared" si="7"/>
        <v/>
      </c>
      <c r="W134" s="2" t="str">
        <f t="shared" si="8"/>
        <v>通过</v>
      </c>
    </row>
    <row r="135" spans="1:23" ht="15">
      <c r="A135" s="2" t="str">
        <f>raw_order_lines!A135</f>
        <v>SIM-20260904-C003</v>
      </c>
      <c r="B135" s="2">
        <f>raw_order_lines!B135</f>
        <v>1</v>
      </c>
      <c r="C135" s="2" t="str">
        <f>raw_order_lines!C135</f>
        <v>C003</v>
      </c>
      <c r="D135" s="3">
        <f>raw_order_lines!D135</f>
        <v>46269</v>
      </c>
      <c r="E135" s="2" t="str">
        <f>raw_order_lines!E135</f>
        <v>P011</v>
      </c>
      <c r="F135" s="2" t="str">
        <f>raw_order_lines!F135</f>
        <v>公斤</v>
      </c>
      <c r="G135" s="4">
        <f>raw_order_lines!G135</f>
        <v>8.6999999999999993</v>
      </c>
      <c r="H135" s="4">
        <f>raw_order_lines!H135</f>
        <v>8.6999999999999993</v>
      </c>
      <c r="I135" s="4">
        <f>raw_order_lines!I135</f>
        <v>0</v>
      </c>
      <c r="J135" s="5">
        <f>raw_order_lines!J135</f>
        <v>4.4000000000000004</v>
      </c>
      <c r="K135" s="2" t="str">
        <f>raw_order_lines!K135</f>
        <v>正常交付</v>
      </c>
      <c r="L135" s="2" t="str">
        <f>raw_order_lines!L135</f>
        <v>true</v>
      </c>
      <c r="M135" s="2" t="str">
        <f>INDEX(dim_products!$B$2:$B$21,MATCH($E135,dim_products!$A$2:$A$21,0))</f>
        <v>红薯叶</v>
      </c>
      <c r="N135" s="2" t="str">
        <f>INDEX(dim_products!$C$2:$C$21,MATCH($E135,dim_products!$A$2:$A$21,0))</f>
        <v>散装鲜菜</v>
      </c>
      <c r="O135" s="2" t="str">
        <f>INDEX(dim_customers!$B$2:$B$7,MATCH($C135,dim_customers!$A$2:$A$7,0))</f>
        <v>模拟_兴街快餐店</v>
      </c>
      <c r="P135" s="6">
        <f>INT((ROUND(raw_order_lines!H135*10,0)*ROUND(raw_order_lines!J135*100,0)+5)/10)/100</f>
        <v>38.28</v>
      </c>
      <c r="Q135" s="6">
        <f>INT((ROUND(raw_order_lines!I135*10,0)*ROUND(raw_order_lines!J135*100,0)+5)/10)/100</f>
        <v>0</v>
      </c>
      <c r="R135" s="6">
        <f t="shared" si="6"/>
        <v>38.28</v>
      </c>
      <c r="S135" s="2" t="str">
        <f>IF(OR(ROUND(raw_order_lines!I135*10,0)&gt;ROUND(raw_order_lines!H135*10,0),ROUND(raw_order_lines!H135*10,0)&gt;ROUND(raw_order_lines!G135*10,0),ROUND(raw_order_lines!G135*10,0)&lt;=0),"数量关系异常","")</f>
        <v/>
      </c>
      <c r="T135" s="2" t="str">
        <f>IF($F135&lt;&gt;INDEX(dim_products!$D$2:$D$21,MATCH($E135,dim_products!$A$2:$A$21,0)),"单位不一致","")</f>
        <v/>
      </c>
      <c r="U135" s="2" t="str">
        <f>IF(OR(ROUND(raw_order_lines!J135*100,0)&lt;ROUND(INDEX(dim_products!$F$2:$F$21,MATCH($E135,dim_products!$A$2:$A$21,0))*100,0),ROUND(raw_order_lines!J135*100,0)&gt;ROUND(INDEX(dim_products!$G$2:$G$21,MATCH($E135,dim_products!$A$2:$A$21,0))*100,0)),"单价越界","")</f>
        <v/>
      </c>
      <c r="V135" s="2" t="str">
        <f t="shared" si="7"/>
        <v/>
      </c>
      <c r="W135" s="2" t="str">
        <f t="shared" si="8"/>
        <v>通过</v>
      </c>
    </row>
    <row r="136" spans="1:23" ht="15">
      <c r="A136" s="2" t="str">
        <f>raw_order_lines!A136</f>
        <v>SIM-20260904-C003</v>
      </c>
      <c r="B136" s="2">
        <f>raw_order_lines!B136</f>
        <v>2</v>
      </c>
      <c r="C136" s="2" t="str">
        <f>raw_order_lines!C136</f>
        <v>C003</v>
      </c>
      <c r="D136" s="3">
        <f>raw_order_lines!D136</f>
        <v>46269</v>
      </c>
      <c r="E136" s="2" t="str">
        <f>raw_order_lines!E136</f>
        <v>P007</v>
      </c>
      <c r="F136" s="2" t="str">
        <f>raw_order_lines!F136</f>
        <v>公斤</v>
      </c>
      <c r="G136" s="4">
        <f>raw_order_lines!G136</f>
        <v>5.3</v>
      </c>
      <c r="H136" s="4">
        <f>raw_order_lines!H136</f>
        <v>5.3</v>
      </c>
      <c r="I136" s="4">
        <f>raw_order_lines!I136</f>
        <v>0</v>
      </c>
      <c r="J136" s="5">
        <f>raw_order_lines!J136</f>
        <v>5.15</v>
      </c>
      <c r="K136" s="2" t="str">
        <f>raw_order_lines!K136</f>
        <v>正常交付</v>
      </c>
      <c r="L136" s="2" t="str">
        <f>raw_order_lines!L136</f>
        <v>true</v>
      </c>
      <c r="M136" s="2" t="str">
        <f>INDEX(dim_products!$B$2:$B$21,MATCH($E136,dim_products!$A$2:$A$21,0))</f>
        <v>青椒</v>
      </c>
      <c r="N136" s="2" t="str">
        <f>INDEX(dim_products!$C$2:$C$21,MATCH($E136,dim_products!$A$2:$A$21,0))</f>
        <v>散装鲜菜</v>
      </c>
      <c r="O136" s="2" t="str">
        <f>INDEX(dim_customers!$B$2:$B$7,MATCH($C136,dim_customers!$A$2:$A$7,0))</f>
        <v>模拟_兴街快餐店</v>
      </c>
      <c r="P136" s="6">
        <f>INT((ROUND(raw_order_lines!H136*10,0)*ROUND(raw_order_lines!J136*100,0)+5)/10)/100</f>
        <v>27.3</v>
      </c>
      <c r="Q136" s="6">
        <f>INT((ROUND(raw_order_lines!I136*10,0)*ROUND(raw_order_lines!J136*100,0)+5)/10)/100</f>
        <v>0</v>
      </c>
      <c r="R136" s="6">
        <f t="shared" si="6"/>
        <v>27.3</v>
      </c>
      <c r="S136" s="2" t="str">
        <f>IF(OR(ROUND(raw_order_lines!I136*10,0)&gt;ROUND(raw_order_lines!H136*10,0),ROUND(raw_order_lines!H136*10,0)&gt;ROUND(raw_order_lines!G136*10,0),ROUND(raw_order_lines!G136*10,0)&lt;=0),"数量关系异常","")</f>
        <v/>
      </c>
      <c r="T136" s="2" t="str">
        <f>IF($F136&lt;&gt;INDEX(dim_products!$D$2:$D$21,MATCH($E136,dim_products!$A$2:$A$21,0)),"单位不一致","")</f>
        <v/>
      </c>
      <c r="U136" s="2" t="str">
        <f>IF(OR(ROUND(raw_order_lines!J136*100,0)&lt;ROUND(INDEX(dim_products!$F$2:$F$21,MATCH($E136,dim_products!$A$2:$A$21,0))*100,0),ROUND(raw_order_lines!J136*100,0)&gt;ROUND(INDEX(dim_products!$G$2:$G$21,MATCH($E136,dim_products!$A$2:$A$21,0))*100,0)),"单价越界","")</f>
        <v/>
      </c>
      <c r="V136" s="2" t="str">
        <f t="shared" si="7"/>
        <v/>
      </c>
      <c r="W136" s="2" t="str">
        <f t="shared" si="8"/>
        <v>通过</v>
      </c>
    </row>
    <row r="137" spans="1:23" ht="15">
      <c r="A137" s="2" t="str">
        <f>raw_order_lines!A137</f>
        <v>SIM-20260904-C003</v>
      </c>
      <c r="B137" s="2">
        <f>raw_order_lines!B137</f>
        <v>3</v>
      </c>
      <c r="C137" s="2" t="str">
        <f>raw_order_lines!C137</f>
        <v>C003</v>
      </c>
      <c r="D137" s="3">
        <f>raw_order_lines!D137</f>
        <v>46269</v>
      </c>
      <c r="E137" s="2" t="str">
        <f>raw_order_lines!E137</f>
        <v>P002</v>
      </c>
      <c r="F137" s="2" t="str">
        <f>raw_order_lines!F137</f>
        <v>公斤</v>
      </c>
      <c r="G137" s="4">
        <f>raw_order_lines!G137</f>
        <v>8</v>
      </c>
      <c r="H137" s="4">
        <f>raw_order_lines!H137</f>
        <v>8</v>
      </c>
      <c r="I137" s="4">
        <f>raw_order_lines!I137</f>
        <v>0</v>
      </c>
      <c r="J137" s="5">
        <f>raw_order_lines!J137</f>
        <v>2.2999999999999998</v>
      </c>
      <c r="K137" s="2" t="str">
        <f>raw_order_lines!K137</f>
        <v>正常交付</v>
      </c>
      <c r="L137" s="2" t="str">
        <f>raw_order_lines!L137</f>
        <v>true</v>
      </c>
      <c r="M137" s="2" t="str">
        <f>INDEX(dim_products!$B$2:$B$21,MATCH($E137,dim_products!$A$2:$A$21,0))</f>
        <v>白萝卜</v>
      </c>
      <c r="N137" s="2" t="str">
        <f>INDEX(dim_products!$C$2:$C$21,MATCH($E137,dim_products!$A$2:$A$21,0))</f>
        <v>散装鲜菜</v>
      </c>
      <c r="O137" s="2" t="str">
        <f>INDEX(dim_customers!$B$2:$B$7,MATCH($C137,dim_customers!$A$2:$A$7,0))</f>
        <v>模拟_兴街快餐店</v>
      </c>
      <c r="P137" s="6">
        <f>INT((ROUND(raw_order_lines!H137*10,0)*ROUND(raw_order_lines!J137*100,0)+5)/10)/100</f>
        <v>18.399999999999999</v>
      </c>
      <c r="Q137" s="6">
        <f>INT((ROUND(raw_order_lines!I137*10,0)*ROUND(raw_order_lines!J137*100,0)+5)/10)/100</f>
        <v>0</v>
      </c>
      <c r="R137" s="6">
        <f t="shared" si="6"/>
        <v>18.399999999999999</v>
      </c>
      <c r="S137" s="2" t="str">
        <f>IF(OR(ROUND(raw_order_lines!I137*10,0)&gt;ROUND(raw_order_lines!H137*10,0),ROUND(raw_order_lines!H137*10,0)&gt;ROUND(raw_order_lines!G137*10,0),ROUND(raw_order_lines!G137*10,0)&lt;=0),"数量关系异常","")</f>
        <v/>
      </c>
      <c r="T137" s="2" t="str">
        <f>IF($F137&lt;&gt;INDEX(dim_products!$D$2:$D$21,MATCH($E137,dim_products!$A$2:$A$21,0)),"单位不一致","")</f>
        <v/>
      </c>
      <c r="U137" s="2" t="str">
        <f>IF(OR(ROUND(raw_order_lines!J137*100,0)&lt;ROUND(INDEX(dim_products!$F$2:$F$21,MATCH($E137,dim_products!$A$2:$A$21,0))*100,0),ROUND(raw_order_lines!J137*100,0)&gt;ROUND(INDEX(dim_products!$G$2:$G$21,MATCH($E137,dim_products!$A$2:$A$21,0))*100,0)),"单价越界","")</f>
        <v/>
      </c>
      <c r="V137" s="2" t="str">
        <f t="shared" si="7"/>
        <v/>
      </c>
      <c r="W137" s="2" t="str">
        <f t="shared" si="8"/>
        <v>通过</v>
      </c>
    </row>
    <row r="138" spans="1:23" ht="15">
      <c r="A138" s="2" t="str">
        <f>raw_order_lines!A138</f>
        <v>SIM-20260904-C003</v>
      </c>
      <c r="B138" s="2">
        <f>raw_order_lines!B138</f>
        <v>4</v>
      </c>
      <c r="C138" s="2" t="str">
        <f>raw_order_lines!C138</f>
        <v>C003</v>
      </c>
      <c r="D138" s="3">
        <f>raw_order_lines!D138</f>
        <v>46269</v>
      </c>
      <c r="E138" s="2" t="str">
        <f>raw_order_lines!E138</f>
        <v>P013</v>
      </c>
      <c r="F138" s="2" t="str">
        <f>raw_order_lines!F138</f>
        <v>公斤</v>
      </c>
      <c r="G138" s="4">
        <f>raw_order_lines!G138</f>
        <v>10.7</v>
      </c>
      <c r="H138" s="4">
        <f>raw_order_lines!H138</f>
        <v>10.7</v>
      </c>
      <c r="I138" s="4">
        <f>raw_order_lines!I138</f>
        <v>0</v>
      </c>
      <c r="J138" s="5">
        <f>raw_order_lines!J138</f>
        <v>6.3</v>
      </c>
      <c r="K138" s="2" t="str">
        <f>raw_order_lines!K138</f>
        <v>正常交付</v>
      </c>
      <c r="L138" s="2" t="str">
        <f>raw_order_lines!L138</f>
        <v>true</v>
      </c>
      <c r="M138" s="2" t="str">
        <f>INDEX(dim_products!$B$2:$B$21,MATCH($E138,dim_products!$A$2:$A$21,0))</f>
        <v>豇豆</v>
      </c>
      <c r="N138" s="2" t="str">
        <f>INDEX(dim_products!$C$2:$C$21,MATCH($E138,dim_products!$A$2:$A$21,0))</f>
        <v>散装鲜菜</v>
      </c>
      <c r="O138" s="2" t="str">
        <f>INDEX(dim_customers!$B$2:$B$7,MATCH($C138,dim_customers!$A$2:$A$7,0))</f>
        <v>模拟_兴街快餐店</v>
      </c>
      <c r="P138" s="6">
        <f>INT((ROUND(raw_order_lines!H138*10,0)*ROUND(raw_order_lines!J138*100,0)+5)/10)/100</f>
        <v>67.41</v>
      </c>
      <c r="Q138" s="6">
        <f>INT((ROUND(raw_order_lines!I138*10,0)*ROUND(raw_order_lines!J138*100,0)+5)/10)/100</f>
        <v>0</v>
      </c>
      <c r="R138" s="6">
        <f t="shared" si="6"/>
        <v>67.41</v>
      </c>
      <c r="S138" s="2" t="str">
        <f>IF(OR(ROUND(raw_order_lines!I138*10,0)&gt;ROUND(raw_order_lines!H138*10,0),ROUND(raw_order_lines!H138*10,0)&gt;ROUND(raw_order_lines!G138*10,0),ROUND(raw_order_lines!G138*10,0)&lt;=0),"数量关系异常","")</f>
        <v/>
      </c>
      <c r="T138" s="2" t="str">
        <f>IF($F138&lt;&gt;INDEX(dim_products!$D$2:$D$21,MATCH($E138,dim_products!$A$2:$A$21,0)),"单位不一致","")</f>
        <v/>
      </c>
      <c r="U138" s="2" t="str">
        <f>IF(OR(ROUND(raw_order_lines!J138*100,0)&lt;ROUND(INDEX(dim_products!$F$2:$F$21,MATCH($E138,dim_products!$A$2:$A$21,0))*100,0),ROUND(raw_order_lines!J138*100,0)&gt;ROUND(INDEX(dim_products!$G$2:$G$21,MATCH($E138,dim_products!$A$2:$A$21,0))*100,0)),"单价越界","")</f>
        <v/>
      </c>
      <c r="V138" s="2" t="str">
        <f t="shared" si="7"/>
        <v/>
      </c>
      <c r="W138" s="2" t="str">
        <f t="shared" si="8"/>
        <v>通过</v>
      </c>
    </row>
    <row r="139" spans="1:23" ht="15">
      <c r="A139" s="2" t="str">
        <f>raw_order_lines!A139</f>
        <v>SIM-20260904-C003</v>
      </c>
      <c r="B139" s="2">
        <f>raw_order_lines!B139</f>
        <v>5</v>
      </c>
      <c r="C139" s="2" t="str">
        <f>raw_order_lines!C139</f>
        <v>C003</v>
      </c>
      <c r="D139" s="3">
        <f>raw_order_lines!D139</f>
        <v>46269</v>
      </c>
      <c r="E139" s="2" t="str">
        <f>raw_order_lines!E139</f>
        <v>P003</v>
      </c>
      <c r="F139" s="2" t="str">
        <f>raw_order_lines!F139</f>
        <v>公斤</v>
      </c>
      <c r="G139" s="4">
        <f>raw_order_lines!G139</f>
        <v>5.3</v>
      </c>
      <c r="H139" s="4">
        <f>raw_order_lines!H139</f>
        <v>5.3</v>
      </c>
      <c r="I139" s="4">
        <f>raw_order_lines!I139</f>
        <v>0</v>
      </c>
      <c r="J139" s="5">
        <f>raw_order_lines!J139</f>
        <v>3.3</v>
      </c>
      <c r="K139" s="2" t="str">
        <f>raw_order_lines!K139</f>
        <v>正常交付</v>
      </c>
      <c r="L139" s="2" t="str">
        <f>raw_order_lines!L139</f>
        <v>true</v>
      </c>
      <c r="M139" s="2" t="str">
        <f>INDEX(dim_products!$B$2:$B$21,MATCH($E139,dim_products!$A$2:$A$21,0))</f>
        <v>包菜</v>
      </c>
      <c r="N139" s="2" t="str">
        <f>INDEX(dim_products!$C$2:$C$21,MATCH($E139,dim_products!$A$2:$A$21,0))</f>
        <v>散装鲜菜</v>
      </c>
      <c r="O139" s="2" t="str">
        <f>INDEX(dim_customers!$B$2:$B$7,MATCH($C139,dim_customers!$A$2:$A$7,0))</f>
        <v>模拟_兴街快餐店</v>
      </c>
      <c r="P139" s="6">
        <f>INT((ROUND(raw_order_lines!H139*10,0)*ROUND(raw_order_lines!J139*100,0)+5)/10)/100</f>
        <v>17.489999999999998</v>
      </c>
      <c r="Q139" s="6">
        <f>INT((ROUND(raw_order_lines!I139*10,0)*ROUND(raw_order_lines!J139*100,0)+5)/10)/100</f>
        <v>0</v>
      </c>
      <c r="R139" s="6">
        <f t="shared" si="6"/>
        <v>17.489999999999998</v>
      </c>
      <c r="S139" s="2" t="str">
        <f>IF(OR(ROUND(raw_order_lines!I139*10,0)&gt;ROUND(raw_order_lines!H139*10,0),ROUND(raw_order_lines!H139*10,0)&gt;ROUND(raw_order_lines!G139*10,0),ROUND(raw_order_lines!G139*10,0)&lt;=0),"数量关系异常","")</f>
        <v/>
      </c>
      <c r="T139" s="2" t="str">
        <f>IF($F139&lt;&gt;INDEX(dim_products!$D$2:$D$21,MATCH($E139,dim_products!$A$2:$A$21,0)),"单位不一致","")</f>
        <v/>
      </c>
      <c r="U139" s="2" t="str">
        <f>IF(OR(ROUND(raw_order_lines!J139*100,0)&lt;ROUND(INDEX(dim_products!$F$2:$F$21,MATCH($E139,dim_products!$A$2:$A$21,0))*100,0),ROUND(raw_order_lines!J139*100,0)&gt;ROUND(INDEX(dim_products!$G$2:$G$21,MATCH($E139,dim_products!$A$2:$A$21,0))*100,0)),"单价越界","")</f>
        <v/>
      </c>
      <c r="V139" s="2" t="str">
        <f t="shared" si="7"/>
        <v/>
      </c>
      <c r="W139" s="2" t="str">
        <f t="shared" si="8"/>
        <v>通过</v>
      </c>
    </row>
    <row r="140" spans="1:23" ht="15">
      <c r="A140" s="2" t="str">
        <f>raw_order_lines!A140</f>
        <v>SIM-20260904-C003</v>
      </c>
      <c r="B140" s="2">
        <f>raw_order_lines!B140</f>
        <v>6</v>
      </c>
      <c r="C140" s="2" t="str">
        <f>raw_order_lines!C140</f>
        <v>C003</v>
      </c>
      <c r="D140" s="3">
        <f>raw_order_lines!D140</f>
        <v>46269</v>
      </c>
      <c r="E140" s="2" t="str">
        <f>raw_order_lines!E140</f>
        <v>P014</v>
      </c>
      <c r="F140" s="2" t="str">
        <f>raw_order_lines!F140</f>
        <v>公斤</v>
      </c>
      <c r="G140" s="4">
        <f>raw_order_lines!G140</f>
        <v>6</v>
      </c>
      <c r="H140" s="4">
        <f>raw_order_lines!H140</f>
        <v>6</v>
      </c>
      <c r="I140" s="4">
        <f>raw_order_lines!I140</f>
        <v>0</v>
      </c>
      <c r="J140" s="5">
        <f>raw_order_lines!J140</f>
        <v>4.7</v>
      </c>
      <c r="K140" s="2" t="str">
        <f>raw_order_lines!K140</f>
        <v>正常交付</v>
      </c>
      <c r="L140" s="2" t="str">
        <f>raw_order_lines!L140</f>
        <v>true</v>
      </c>
      <c r="M140" s="2" t="str">
        <f>INDEX(dim_products!$B$2:$B$21,MATCH($E140,dim_products!$A$2:$A$21,0))</f>
        <v>丝瓜</v>
      </c>
      <c r="N140" s="2" t="str">
        <f>INDEX(dim_products!$C$2:$C$21,MATCH($E140,dim_products!$A$2:$A$21,0))</f>
        <v>散装鲜菜</v>
      </c>
      <c r="O140" s="2" t="str">
        <f>INDEX(dim_customers!$B$2:$B$7,MATCH($C140,dim_customers!$A$2:$A$7,0))</f>
        <v>模拟_兴街快餐店</v>
      </c>
      <c r="P140" s="6">
        <f>INT((ROUND(raw_order_lines!H140*10,0)*ROUND(raw_order_lines!J140*100,0)+5)/10)/100</f>
        <v>28.2</v>
      </c>
      <c r="Q140" s="6">
        <f>INT((ROUND(raw_order_lines!I140*10,0)*ROUND(raw_order_lines!J140*100,0)+5)/10)/100</f>
        <v>0</v>
      </c>
      <c r="R140" s="6">
        <f t="shared" si="6"/>
        <v>28.2</v>
      </c>
      <c r="S140" s="2" t="str">
        <f>IF(OR(ROUND(raw_order_lines!I140*10,0)&gt;ROUND(raw_order_lines!H140*10,0),ROUND(raw_order_lines!H140*10,0)&gt;ROUND(raw_order_lines!G140*10,0),ROUND(raw_order_lines!G140*10,0)&lt;=0),"数量关系异常","")</f>
        <v/>
      </c>
      <c r="T140" s="2" t="str">
        <f>IF($F140&lt;&gt;INDEX(dim_products!$D$2:$D$21,MATCH($E140,dim_products!$A$2:$A$21,0)),"单位不一致","")</f>
        <v/>
      </c>
      <c r="U140" s="2" t="str">
        <f>IF(OR(ROUND(raw_order_lines!J140*100,0)&lt;ROUND(INDEX(dim_products!$F$2:$F$21,MATCH($E140,dim_products!$A$2:$A$21,0))*100,0),ROUND(raw_order_lines!J140*100,0)&gt;ROUND(INDEX(dim_products!$G$2:$G$21,MATCH($E140,dim_products!$A$2:$A$21,0))*100,0)),"单价越界","")</f>
        <v/>
      </c>
      <c r="V140" s="2" t="str">
        <f t="shared" si="7"/>
        <v/>
      </c>
      <c r="W140" s="2" t="str">
        <f t="shared" si="8"/>
        <v>通过</v>
      </c>
    </row>
    <row r="141" spans="1:23" ht="15">
      <c r="A141" s="2" t="str">
        <f>raw_order_lines!A141</f>
        <v>SIM-20260904-C003</v>
      </c>
      <c r="B141" s="2">
        <f>raw_order_lines!B141</f>
        <v>7</v>
      </c>
      <c r="C141" s="2" t="str">
        <f>raw_order_lines!C141</f>
        <v>C003</v>
      </c>
      <c r="D141" s="3">
        <f>raw_order_lines!D141</f>
        <v>46269</v>
      </c>
      <c r="E141" s="2" t="str">
        <f>raw_order_lines!E141</f>
        <v>P015</v>
      </c>
      <c r="F141" s="2" t="str">
        <f>raw_order_lines!F141</f>
        <v>公斤</v>
      </c>
      <c r="G141" s="4">
        <f>raw_order_lines!G141</f>
        <v>1</v>
      </c>
      <c r="H141" s="4">
        <f>raw_order_lines!H141</f>
        <v>1</v>
      </c>
      <c r="I141" s="4">
        <f>raw_order_lines!I141</f>
        <v>0</v>
      </c>
      <c r="J141" s="5">
        <f>raw_order_lines!J141</f>
        <v>7.3</v>
      </c>
      <c r="K141" s="2" t="str">
        <f>raw_order_lines!K141</f>
        <v>正常交付</v>
      </c>
      <c r="L141" s="2" t="str">
        <f>raw_order_lines!L141</f>
        <v>true</v>
      </c>
      <c r="M141" s="2" t="str">
        <f>INDEX(dim_products!$B$2:$B$21,MATCH($E141,dim_products!$A$2:$A$21,0))</f>
        <v>小葱</v>
      </c>
      <c r="N141" s="2" t="str">
        <f>INDEX(dim_products!$C$2:$C$21,MATCH($E141,dim_products!$A$2:$A$21,0))</f>
        <v>散装鲜菜</v>
      </c>
      <c r="O141" s="2" t="str">
        <f>INDEX(dim_customers!$B$2:$B$7,MATCH($C141,dim_customers!$A$2:$A$7,0))</f>
        <v>模拟_兴街快餐店</v>
      </c>
      <c r="P141" s="6">
        <f>INT((ROUND(raw_order_lines!H141*10,0)*ROUND(raw_order_lines!J141*100,0)+5)/10)/100</f>
        <v>7.3</v>
      </c>
      <c r="Q141" s="6">
        <f>INT((ROUND(raw_order_lines!I141*10,0)*ROUND(raw_order_lines!J141*100,0)+5)/10)/100</f>
        <v>0</v>
      </c>
      <c r="R141" s="6">
        <f t="shared" si="6"/>
        <v>7.3</v>
      </c>
      <c r="S141" s="2" t="str">
        <f>IF(OR(ROUND(raw_order_lines!I141*10,0)&gt;ROUND(raw_order_lines!H141*10,0),ROUND(raw_order_lines!H141*10,0)&gt;ROUND(raw_order_lines!G141*10,0),ROUND(raw_order_lines!G141*10,0)&lt;=0),"数量关系异常","")</f>
        <v/>
      </c>
      <c r="T141" s="2" t="str">
        <f>IF($F141&lt;&gt;INDEX(dim_products!$D$2:$D$21,MATCH($E141,dim_products!$A$2:$A$21,0)),"单位不一致","")</f>
        <v/>
      </c>
      <c r="U141" s="2" t="str">
        <f>IF(OR(ROUND(raw_order_lines!J141*100,0)&lt;ROUND(INDEX(dim_products!$F$2:$F$21,MATCH($E141,dim_products!$A$2:$A$21,0))*100,0),ROUND(raw_order_lines!J141*100,0)&gt;ROUND(INDEX(dim_products!$G$2:$G$21,MATCH($E141,dim_products!$A$2:$A$21,0))*100,0)),"单价越界","")</f>
        <v/>
      </c>
      <c r="V141" s="2" t="str">
        <f t="shared" si="7"/>
        <v/>
      </c>
      <c r="W141" s="2" t="str">
        <f t="shared" si="8"/>
        <v>通过</v>
      </c>
    </row>
    <row r="142" spans="1:23" ht="15">
      <c r="A142" s="2" t="str">
        <f>raw_order_lines!A142</f>
        <v>SIM-20260904-C005</v>
      </c>
      <c r="B142" s="2">
        <f>raw_order_lines!B142</f>
        <v>1</v>
      </c>
      <c r="C142" s="2" t="str">
        <f>raw_order_lines!C142</f>
        <v>C005</v>
      </c>
      <c r="D142" s="3">
        <f>raw_order_lines!D142</f>
        <v>46269</v>
      </c>
      <c r="E142" s="2" t="str">
        <f>raw_order_lines!E142</f>
        <v>P012</v>
      </c>
      <c r="F142" s="2" t="str">
        <f>raw_order_lines!F142</f>
        <v>公斤</v>
      </c>
      <c r="G142" s="4">
        <f>raw_order_lines!G142</f>
        <v>15.2</v>
      </c>
      <c r="H142" s="4">
        <f>raw_order_lines!H142</f>
        <v>15.2</v>
      </c>
      <c r="I142" s="4">
        <f>raw_order_lines!I142</f>
        <v>0</v>
      </c>
      <c r="J142" s="5">
        <f>raw_order_lines!J142</f>
        <v>4.5999999999999996</v>
      </c>
      <c r="K142" s="2" t="str">
        <f>raw_order_lines!K142</f>
        <v>正常交付</v>
      </c>
      <c r="L142" s="2" t="str">
        <f>raw_order_lines!L142</f>
        <v>true</v>
      </c>
      <c r="M142" s="2" t="str">
        <f>INDEX(dim_products!$B$2:$B$21,MATCH($E142,dim_products!$A$2:$A$21,0))</f>
        <v>小白菜</v>
      </c>
      <c r="N142" s="2" t="str">
        <f>INDEX(dim_products!$C$2:$C$21,MATCH($E142,dim_products!$A$2:$A$21,0))</f>
        <v>散装鲜菜</v>
      </c>
      <c r="O142" s="2" t="str">
        <f>INDEX(dim_customers!$B$2:$B$7,MATCH($C142,dim_customers!$A$2:$A$7,0))</f>
        <v>模拟_青禾小学食堂</v>
      </c>
      <c r="P142" s="6">
        <f>INT((ROUND(raw_order_lines!H142*10,0)*ROUND(raw_order_lines!J142*100,0)+5)/10)/100</f>
        <v>69.92</v>
      </c>
      <c r="Q142" s="6">
        <f>INT((ROUND(raw_order_lines!I142*10,0)*ROUND(raw_order_lines!J142*100,0)+5)/10)/100</f>
        <v>0</v>
      </c>
      <c r="R142" s="6">
        <f t="shared" si="6"/>
        <v>69.92</v>
      </c>
      <c r="S142" s="2" t="str">
        <f>IF(OR(ROUND(raw_order_lines!I142*10,0)&gt;ROUND(raw_order_lines!H142*10,0),ROUND(raw_order_lines!H142*10,0)&gt;ROUND(raw_order_lines!G142*10,0),ROUND(raw_order_lines!G142*10,0)&lt;=0),"数量关系异常","")</f>
        <v/>
      </c>
      <c r="T142" s="2" t="str">
        <f>IF($F142&lt;&gt;INDEX(dim_products!$D$2:$D$21,MATCH($E142,dim_products!$A$2:$A$21,0)),"单位不一致","")</f>
        <v/>
      </c>
      <c r="U142" s="2" t="str">
        <f>IF(OR(ROUND(raw_order_lines!J142*100,0)&lt;ROUND(INDEX(dim_products!$F$2:$F$21,MATCH($E142,dim_products!$A$2:$A$21,0))*100,0),ROUND(raw_order_lines!J142*100,0)&gt;ROUND(INDEX(dim_products!$G$2:$G$21,MATCH($E142,dim_products!$A$2:$A$21,0))*100,0)),"单价越界","")</f>
        <v/>
      </c>
      <c r="V142" s="2" t="str">
        <f t="shared" si="7"/>
        <v/>
      </c>
      <c r="W142" s="2" t="str">
        <f t="shared" si="8"/>
        <v>通过</v>
      </c>
    </row>
    <row r="143" spans="1:23" ht="15">
      <c r="A143" s="2" t="str">
        <f>raw_order_lines!A143</f>
        <v>SIM-20260904-C005</v>
      </c>
      <c r="B143" s="2">
        <f>raw_order_lines!B143</f>
        <v>2</v>
      </c>
      <c r="C143" s="2" t="str">
        <f>raw_order_lines!C143</f>
        <v>C005</v>
      </c>
      <c r="D143" s="3">
        <f>raw_order_lines!D143</f>
        <v>46269</v>
      </c>
      <c r="E143" s="2" t="str">
        <f>raw_order_lines!E143</f>
        <v>P008</v>
      </c>
      <c r="F143" s="2" t="str">
        <f>raw_order_lines!F143</f>
        <v>公斤</v>
      </c>
      <c r="G143" s="4">
        <f>raw_order_lines!G143</f>
        <v>11.9</v>
      </c>
      <c r="H143" s="4">
        <f>raw_order_lines!H143</f>
        <v>11.9</v>
      </c>
      <c r="I143" s="4">
        <f>raw_order_lines!I143</f>
        <v>0</v>
      </c>
      <c r="J143" s="5">
        <f>raw_order_lines!J143</f>
        <v>4.0999999999999996</v>
      </c>
      <c r="K143" s="2" t="str">
        <f>raw_order_lines!K143</f>
        <v>正常交付</v>
      </c>
      <c r="L143" s="2" t="str">
        <f>raw_order_lines!L143</f>
        <v>true</v>
      </c>
      <c r="M143" s="2" t="str">
        <f>INDEX(dim_products!$B$2:$B$21,MATCH($E143,dim_products!$A$2:$A$21,0))</f>
        <v>黄瓜</v>
      </c>
      <c r="N143" s="2" t="str">
        <f>INDEX(dim_products!$C$2:$C$21,MATCH($E143,dim_products!$A$2:$A$21,0))</f>
        <v>散装鲜菜</v>
      </c>
      <c r="O143" s="2" t="str">
        <f>INDEX(dim_customers!$B$2:$B$7,MATCH($C143,dim_customers!$A$2:$A$7,0))</f>
        <v>模拟_青禾小学食堂</v>
      </c>
      <c r="P143" s="6">
        <f>INT((ROUND(raw_order_lines!H143*10,0)*ROUND(raw_order_lines!J143*100,0)+5)/10)/100</f>
        <v>48.79</v>
      </c>
      <c r="Q143" s="6">
        <f>INT((ROUND(raw_order_lines!I143*10,0)*ROUND(raw_order_lines!J143*100,0)+5)/10)/100</f>
        <v>0</v>
      </c>
      <c r="R143" s="6">
        <f t="shared" si="6"/>
        <v>48.79</v>
      </c>
      <c r="S143" s="2" t="str">
        <f>IF(OR(ROUND(raw_order_lines!I143*10,0)&gt;ROUND(raw_order_lines!H143*10,0),ROUND(raw_order_lines!H143*10,0)&gt;ROUND(raw_order_lines!G143*10,0),ROUND(raw_order_lines!G143*10,0)&lt;=0),"数量关系异常","")</f>
        <v/>
      </c>
      <c r="T143" s="2" t="str">
        <f>IF($F143&lt;&gt;INDEX(dim_products!$D$2:$D$21,MATCH($E143,dim_products!$A$2:$A$21,0)),"单位不一致","")</f>
        <v/>
      </c>
      <c r="U143" s="2" t="str">
        <f>IF(OR(ROUND(raw_order_lines!J143*100,0)&lt;ROUND(INDEX(dim_products!$F$2:$F$21,MATCH($E143,dim_products!$A$2:$A$21,0))*100,0),ROUND(raw_order_lines!J143*100,0)&gt;ROUND(INDEX(dim_products!$G$2:$G$21,MATCH($E143,dim_products!$A$2:$A$21,0))*100,0)),"单价越界","")</f>
        <v/>
      </c>
      <c r="V143" s="2" t="str">
        <f t="shared" si="7"/>
        <v/>
      </c>
      <c r="W143" s="2" t="str">
        <f t="shared" si="8"/>
        <v>通过</v>
      </c>
    </row>
    <row r="144" spans="1:23" ht="15">
      <c r="A144" s="2" t="str">
        <f>raw_order_lines!A144</f>
        <v>SIM-20260904-C005</v>
      </c>
      <c r="B144" s="2">
        <f>raw_order_lines!B144</f>
        <v>3</v>
      </c>
      <c r="C144" s="2" t="str">
        <f>raw_order_lines!C144</f>
        <v>C005</v>
      </c>
      <c r="D144" s="3">
        <f>raw_order_lines!D144</f>
        <v>46269</v>
      </c>
      <c r="E144" s="2" t="str">
        <f>raw_order_lines!E144</f>
        <v>P003</v>
      </c>
      <c r="F144" s="2" t="str">
        <f>raw_order_lines!F144</f>
        <v>公斤</v>
      </c>
      <c r="G144" s="4">
        <f>raw_order_lines!G144</f>
        <v>8.6999999999999993</v>
      </c>
      <c r="H144" s="4">
        <f>raw_order_lines!H144</f>
        <v>8.6999999999999993</v>
      </c>
      <c r="I144" s="4">
        <f>raw_order_lines!I144</f>
        <v>0</v>
      </c>
      <c r="J144" s="5">
        <f>raw_order_lines!J144</f>
        <v>3.3</v>
      </c>
      <c r="K144" s="2" t="str">
        <f>raw_order_lines!K144</f>
        <v>正常交付</v>
      </c>
      <c r="L144" s="2" t="str">
        <f>raw_order_lines!L144</f>
        <v>true</v>
      </c>
      <c r="M144" s="2" t="str">
        <f>INDEX(dim_products!$B$2:$B$21,MATCH($E144,dim_products!$A$2:$A$21,0))</f>
        <v>包菜</v>
      </c>
      <c r="N144" s="2" t="str">
        <f>INDEX(dim_products!$C$2:$C$21,MATCH($E144,dim_products!$A$2:$A$21,0))</f>
        <v>散装鲜菜</v>
      </c>
      <c r="O144" s="2" t="str">
        <f>INDEX(dim_customers!$B$2:$B$7,MATCH($C144,dim_customers!$A$2:$A$7,0))</f>
        <v>模拟_青禾小学食堂</v>
      </c>
      <c r="P144" s="6">
        <f>INT((ROUND(raw_order_lines!H144*10,0)*ROUND(raw_order_lines!J144*100,0)+5)/10)/100</f>
        <v>28.71</v>
      </c>
      <c r="Q144" s="6">
        <f>INT((ROUND(raw_order_lines!I144*10,0)*ROUND(raw_order_lines!J144*100,0)+5)/10)/100</f>
        <v>0</v>
      </c>
      <c r="R144" s="6">
        <f t="shared" si="6"/>
        <v>28.71</v>
      </c>
      <c r="S144" s="2" t="str">
        <f>IF(OR(ROUND(raw_order_lines!I144*10,0)&gt;ROUND(raw_order_lines!H144*10,0),ROUND(raw_order_lines!H144*10,0)&gt;ROUND(raw_order_lines!G144*10,0),ROUND(raw_order_lines!G144*10,0)&lt;=0),"数量关系异常","")</f>
        <v/>
      </c>
      <c r="T144" s="2" t="str">
        <f>IF($F144&lt;&gt;INDEX(dim_products!$D$2:$D$21,MATCH($E144,dim_products!$A$2:$A$21,0)),"单位不一致","")</f>
        <v/>
      </c>
      <c r="U144" s="2" t="str">
        <f>IF(OR(ROUND(raw_order_lines!J144*100,0)&lt;ROUND(INDEX(dim_products!$F$2:$F$21,MATCH($E144,dim_products!$A$2:$A$21,0))*100,0),ROUND(raw_order_lines!J144*100,0)&gt;ROUND(INDEX(dim_products!$G$2:$G$21,MATCH($E144,dim_products!$A$2:$A$21,0))*100,0)),"单价越界","")</f>
        <v/>
      </c>
      <c r="V144" s="2" t="str">
        <f t="shared" si="7"/>
        <v/>
      </c>
      <c r="W144" s="2" t="str">
        <f t="shared" si="8"/>
        <v>通过</v>
      </c>
    </row>
    <row r="145" spans="1:23" ht="15">
      <c r="A145" s="2" t="str">
        <f>raw_order_lines!A145</f>
        <v>SIM-20260904-C005</v>
      </c>
      <c r="B145" s="2">
        <f>raw_order_lines!B145</f>
        <v>4</v>
      </c>
      <c r="C145" s="2" t="str">
        <f>raw_order_lines!C145</f>
        <v>C005</v>
      </c>
      <c r="D145" s="3">
        <f>raw_order_lines!D145</f>
        <v>46269</v>
      </c>
      <c r="E145" s="2" t="str">
        <f>raw_order_lines!E145</f>
        <v>P002</v>
      </c>
      <c r="F145" s="2" t="str">
        <f>raw_order_lines!F145</f>
        <v>公斤</v>
      </c>
      <c r="G145" s="4">
        <f>raw_order_lines!G145</f>
        <v>7.6</v>
      </c>
      <c r="H145" s="4">
        <f>raw_order_lines!H145</f>
        <v>7.6</v>
      </c>
      <c r="I145" s="4">
        <f>raw_order_lines!I145</f>
        <v>0</v>
      </c>
      <c r="J145" s="5">
        <f>raw_order_lines!J145</f>
        <v>2.2999999999999998</v>
      </c>
      <c r="K145" s="2" t="str">
        <f>raw_order_lines!K145</f>
        <v>正常交付</v>
      </c>
      <c r="L145" s="2" t="str">
        <f>raw_order_lines!L145</f>
        <v>true</v>
      </c>
      <c r="M145" s="2" t="str">
        <f>INDEX(dim_products!$B$2:$B$21,MATCH($E145,dim_products!$A$2:$A$21,0))</f>
        <v>白萝卜</v>
      </c>
      <c r="N145" s="2" t="str">
        <f>INDEX(dim_products!$C$2:$C$21,MATCH($E145,dim_products!$A$2:$A$21,0))</f>
        <v>散装鲜菜</v>
      </c>
      <c r="O145" s="2" t="str">
        <f>INDEX(dim_customers!$B$2:$B$7,MATCH($C145,dim_customers!$A$2:$A$7,0))</f>
        <v>模拟_青禾小学食堂</v>
      </c>
      <c r="P145" s="6">
        <f>INT((ROUND(raw_order_lines!H145*10,0)*ROUND(raw_order_lines!J145*100,0)+5)/10)/100</f>
        <v>17.48</v>
      </c>
      <c r="Q145" s="6">
        <f>INT((ROUND(raw_order_lines!I145*10,0)*ROUND(raw_order_lines!J145*100,0)+5)/10)/100</f>
        <v>0</v>
      </c>
      <c r="R145" s="6">
        <f t="shared" si="6"/>
        <v>17.48</v>
      </c>
      <c r="S145" s="2" t="str">
        <f>IF(OR(ROUND(raw_order_lines!I145*10,0)&gt;ROUND(raw_order_lines!H145*10,0),ROUND(raw_order_lines!H145*10,0)&gt;ROUND(raw_order_lines!G145*10,0),ROUND(raw_order_lines!G145*10,0)&lt;=0),"数量关系异常","")</f>
        <v/>
      </c>
      <c r="T145" s="2" t="str">
        <f>IF($F145&lt;&gt;INDEX(dim_products!$D$2:$D$21,MATCH($E145,dim_products!$A$2:$A$21,0)),"单位不一致","")</f>
        <v/>
      </c>
      <c r="U145" s="2" t="str">
        <f>IF(OR(ROUND(raw_order_lines!J145*100,0)&lt;ROUND(INDEX(dim_products!$F$2:$F$21,MATCH($E145,dim_products!$A$2:$A$21,0))*100,0),ROUND(raw_order_lines!J145*100,0)&gt;ROUND(INDEX(dim_products!$G$2:$G$21,MATCH($E145,dim_products!$A$2:$A$21,0))*100,0)),"单价越界","")</f>
        <v/>
      </c>
      <c r="V145" s="2" t="str">
        <f t="shared" si="7"/>
        <v/>
      </c>
      <c r="W145" s="2" t="str">
        <f t="shared" si="8"/>
        <v>通过</v>
      </c>
    </row>
    <row r="146" spans="1:23" ht="15">
      <c r="A146" s="2" t="str">
        <f>raw_order_lines!A146</f>
        <v>SIM-20260904-C005</v>
      </c>
      <c r="B146" s="2">
        <f>raw_order_lines!B146</f>
        <v>5</v>
      </c>
      <c r="C146" s="2" t="str">
        <f>raw_order_lines!C146</f>
        <v>C005</v>
      </c>
      <c r="D146" s="3">
        <f>raw_order_lines!D146</f>
        <v>46269</v>
      </c>
      <c r="E146" s="2" t="str">
        <f>raw_order_lines!E146</f>
        <v>P006</v>
      </c>
      <c r="F146" s="2" t="str">
        <f>raw_order_lines!F146</f>
        <v>公斤</v>
      </c>
      <c r="G146" s="4">
        <f>raw_order_lines!G146</f>
        <v>17.3</v>
      </c>
      <c r="H146" s="4">
        <f>raw_order_lines!H146</f>
        <v>17.3</v>
      </c>
      <c r="I146" s="4">
        <f>raw_order_lines!I146</f>
        <v>0</v>
      </c>
      <c r="J146" s="5">
        <f>raw_order_lines!J146</f>
        <v>4.5999999999999996</v>
      </c>
      <c r="K146" s="2" t="str">
        <f>raw_order_lines!K146</f>
        <v>正常交付</v>
      </c>
      <c r="L146" s="2" t="str">
        <f>raw_order_lines!L146</f>
        <v>true</v>
      </c>
      <c r="M146" s="2" t="str">
        <f>INDEX(dim_products!$B$2:$B$21,MATCH($E146,dim_products!$A$2:$A$21,0))</f>
        <v>茄子</v>
      </c>
      <c r="N146" s="2" t="str">
        <f>INDEX(dim_products!$C$2:$C$21,MATCH($E146,dim_products!$A$2:$A$21,0))</f>
        <v>散装鲜菜</v>
      </c>
      <c r="O146" s="2" t="str">
        <f>INDEX(dim_customers!$B$2:$B$7,MATCH($C146,dim_customers!$A$2:$A$7,0))</f>
        <v>模拟_青禾小学食堂</v>
      </c>
      <c r="P146" s="6">
        <f>INT((ROUND(raw_order_lines!H146*10,0)*ROUND(raw_order_lines!J146*100,0)+5)/10)/100</f>
        <v>79.58</v>
      </c>
      <c r="Q146" s="6">
        <f>INT((ROUND(raw_order_lines!I146*10,0)*ROUND(raw_order_lines!J146*100,0)+5)/10)/100</f>
        <v>0</v>
      </c>
      <c r="R146" s="6">
        <f t="shared" si="6"/>
        <v>79.58</v>
      </c>
      <c r="S146" s="2" t="str">
        <f>IF(OR(ROUND(raw_order_lines!I146*10,0)&gt;ROUND(raw_order_lines!H146*10,0),ROUND(raw_order_lines!H146*10,0)&gt;ROUND(raw_order_lines!G146*10,0),ROUND(raw_order_lines!G146*10,0)&lt;=0),"数量关系异常","")</f>
        <v/>
      </c>
      <c r="T146" s="2" t="str">
        <f>IF($F146&lt;&gt;INDEX(dim_products!$D$2:$D$21,MATCH($E146,dim_products!$A$2:$A$21,0)),"单位不一致","")</f>
        <v/>
      </c>
      <c r="U146" s="2" t="str">
        <f>IF(OR(ROUND(raw_order_lines!J146*100,0)&lt;ROUND(INDEX(dim_products!$F$2:$F$21,MATCH($E146,dim_products!$A$2:$A$21,0))*100,0),ROUND(raw_order_lines!J146*100,0)&gt;ROUND(INDEX(dim_products!$G$2:$G$21,MATCH($E146,dim_products!$A$2:$A$21,0))*100,0)),"单价越界","")</f>
        <v/>
      </c>
      <c r="V146" s="2" t="str">
        <f t="shared" si="7"/>
        <v/>
      </c>
      <c r="W146" s="2" t="str">
        <f t="shared" si="8"/>
        <v>通过</v>
      </c>
    </row>
    <row r="147" spans="1:23" ht="15">
      <c r="A147" s="2" t="str">
        <f>raw_order_lines!A147</f>
        <v>SIM-20260904-C005</v>
      </c>
      <c r="B147" s="2">
        <f>raw_order_lines!B147</f>
        <v>6</v>
      </c>
      <c r="C147" s="2" t="str">
        <f>raw_order_lines!C147</f>
        <v>C005</v>
      </c>
      <c r="D147" s="3">
        <f>raw_order_lines!D147</f>
        <v>46269</v>
      </c>
      <c r="E147" s="2" t="str">
        <f>raw_order_lines!E147</f>
        <v>P004</v>
      </c>
      <c r="F147" s="2" t="str">
        <f>raw_order_lines!F147</f>
        <v>公斤</v>
      </c>
      <c r="G147" s="4">
        <f>raw_order_lines!G147</f>
        <v>7.6</v>
      </c>
      <c r="H147" s="4">
        <f>raw_order_lines!H147</f>
        <v>7.6</v>
      </c>
      <c r="I147" s="4">
        <f>raw_order_lines!I147</f>
        <v>0</v>
      </c>
      <c r="J147" s="5">
        <f>raw_order_lines!J147</f>
        <v>2.2999999999999998</v>
      </c>
      <c r="K147" s="2" t="str">
        <f>raw_order_lines!K147</f>
        <v>正常交付</v>
      </c>
      <c r="L147" s="2" t="str">
        <f>raw_order_lines!L147</f>
        <v>true</v>
      </c>
      <c r="M147" s="2" t="str">
        <f>INDEX(dim_products!$B$2:$B$21,MATCH($E147,dim_products!$A$2:$A$21,0))</f>
        <v>冬瓜</v>
      </c>
      <c r="N147" s="2" t="str">
        <f>INDEX(dim_products!$C$2:$C$21,MATCH($E147,dim_products!$A$2:$A$21,0))</f>
        <v>散装鲜菜</v>
      </c>
      <c r="O147" s="2" t="str">
        <f>INDEX(dim_customers!$B$2:$B$7,MATCH($C147,dim_customers!$A$2:$A$7,0))</f>
        <v>模拟_青禾小学食堂</v>
      </c>
      <c r="P147" s="6">
        <f>INT((ROUND(raw_order_lines!H147*10,0)*ROUND(raw_order_lines!J147*100,0)+5)/10)/100</f>
        <v>17.48</v>
      </c>
      <c r="Q147" s="6">
        <f>INT((ROUND(raw_order_lines!I147*10,0)*ROUND(raw_order_lines!J147*100,0)+5)/10)/100</f>
        <v>0</v>
      </c>
      <c r="R147" s="6">
        <f t="shared" si="6"/>
        <v>17.48</v>
      </c>
      <c r="S147" s="2" t="str">
        <f>IF(OR(ROUND(raw_order_lines!I147*10,0)&gt;ROUND(raw_order_lines!H147*10,0),ROUND(raw_order_lines!H147*10,0)&gt;ROUND(raw_order_lines!G147*10,0),ROUND(raw_order_lines!G147*10,0)&lt;=0),"数量关系异常","")</f>
        <v/>
      </c>
      <c r="T147" s="2" t="str">
        <f>IF($F147&lt;&gt;INDEX(dim_products!$D$2:$D$21,MATCH($E147,dim_products!$A$2:$A$21,0)),"单位不一致","")</f>
        <v/>
      </c>
      <c r="U147" s="2" t="str">
        <f>IF(OR(ROUND(raw_order_lines!J147*100,0)&lt;ROUND(INDEX(dim_products!$F$2:$F$21,MATCH($E147,dim_products!$A$2:$A$21,0))*100,0),ROUND(raw_order_lines!J147*100,0)&gt;ROUND(INDEX(dim_products!$G$2:$G$21,MATCH($E147,dim_products!$A$2:$A$21,0))*100,0)),"单价越界","")</f>
        <v/>
      </c>
      <c r="V147" s="2" t="str">
        <f t="shared" si="7"/>
        <v/>
      </c>
      <c r="W147" s="2" t="str">
        <f t="shared" si="8"/>
        <v>通过</v>
      </c>
    </row>
    <row r="148" spans="1:23" ht="15">
      <c r="A148" s="2" t="str">
        <f>raw_order_lines!A148</f>
        <v>SIM-20260904-C005</v>
      </c>
      <c r="B148" s="2">
        <f>raw_order_lines!B148</f>
        <v>7</v>
      </c>
      <c r="C148" s="2" t="str">
        <f>raw_order_lines!C148</f>
        <v>C005</v>
      </c>
      <c r="D148" s="3">
        <f>raw_order_lines!D148</f>
        <v>46269</v>
      </c>
      <c r="E148" s="2" t="str">
        <f>raw_order_lines!E148</f>
        <v>P015</v>
      </c>
      <c r="F148" s="2" t="str">
        <f>raw_order_lines!F148</f>
        <v>公斤</v>
      </c>
      <c r="G148" s="4">
        <f>raw_order_lines!G148</f>
        <v>1</v>
      </c>
      <c r="H148" s="4">
        <f>raw_order_lines!H148</f>
        <v>1</v>
      </c>
      <c r="I148" s="4">
        <f>raw_order_lines!I148</f>
        <v>0</v>
      </c>
      <c r="J148" s="5">
        <f>raw_order_lines!J148</f>
        <v>7.3</v>
      </c>
      <c r="K148" s="2" t="str">
        <f>raw_order_lines!K148</f>
        <v>正常交付</v>
      </c>
      <c r="L148" s="2" t="str">
        <f>raw_order_lines!L148</f>
        <v>true</v>
      </c>
      <c r="M148" s="2" t="str">
        <f>INDEX(dim_products!$B$2:$B$21,MATCH($E148,dim_products!$A$2:$A$21,0))</f>
        <v>小葱</v>
      </c>
      <c r="N148" s="2" t="str">
        <f>INDEX(dim_products!$C$2:$C$21,MATCH($E148,dim_products!$A$2:$A$21,0))</f>
        <v>散装鲜菜</v>
      </c>
      <c r="O148" s="2" t="str">
        <f>INDEX(dim_customers!$B$2:$B$7,MATCH($C148,dim_customers!$A$2:$A$7,0))</f>
        <v>模拟_青禾小学食堂</v>
      </c>
      <c r="P148" s="6">
        <f>INT((ROUND(raw_order_lines!H148*10,0)*ROUND(raw_order_lines!J148*100,0)+5)/10)/100</f>
        <v>7.3</v>
      </c>
      <c r="Q148" s="6">
        <f>INT((ROUND(raw_order_lines!I148*10,0)*ROUND(raw_order_lines!J148*100,0)+5)/10)/100</f>
        <v>0</v>
      </c>
      <c r="R148" s="6">
        <f t="shared" si="6"/>
        <v>7.3</v>
      </c>
      <c r="S148" s="2" t="str">
        <f>IF(OR(ROUND(raw_order_lines!I148*10,0)&gt;ROUND(raw_order_lines!H148*10,0),ROUND(raw_order_lines!H148*10,0)&gt;ROUND(raw_order_lines!G148*10,0),ROUND(raw_order_lines!G148*10,0)&lt;=0),"数量关系异常","")</f>
        <v/>
      </c>
      <c r="T148" s="2" t="str">
        <f>IF($F148&lt;&gt;INDEX(dim_products!$D$2:$D$21,MATCH($E148,dim_products!$A$2:$A$21,0)),"单位不一致","")</f>
        <v/>
      </c>
      <c r="U148" s="2" t="str">
        <f>IF(OR(ROUND(raw_order_lines!J148*100,0)&lt;ROUND(INDEX(dim_products!$F$2:$F$21,MATCH($E148,dim_products!$A$2:$A$21,0))*100,0),ROUND(raw_order_lines!J148*100,0)&gt;ROUND(INDEX(dim_products!$G$2:$G$21,MATCH($E148,dim_products!$A$2:$A$21,0))*100,0)),"单价越界","")</f>
        <v/>
      </c>
      <c r="V148" s="2" t="str">
        <f t="shared" si="7"/>
        <v/>
      </c>
      <c r="W148" s="2" t="str">
        <f t="shared" si="8"/>
        <v>通过</v>
      </c>
    </row>
    <row r="149" spans="1:23" ht="15">
      <c r="A149" s="2" t="str">
        <f>raw_order_lines!A149</f>
        <v>SIM-20260904-C006</v>
      </c>
      <c r="B149" s="2">
        <f>raw_order_lines!B149</f>
        <v>1</v>
      </c>
      <c r="C149" s="2" t="str">
        <f>raw_order_lines!C149</f>
        <v>C006</v>
      </c>
      <c r="D149" s="3">
        <f>raw_order_lines!D149</f>
        <v>46269</v>
      </c>
      <c r="E149" s="2" t="str">
        <f>raw_order_lines!E149</f>
        <v>P012</v>
      </c>
      <c r="F149" s="2" t="str">
        <f>raw_order_lines!F149</f>
        <v>公斤</v>
      </c>
      <c r="G149" s="4">
        <f>raw_order_lines!G149</f>
        <v>6</v>
      </c>
      <c r="H149" s="4">
        <f>raw_order_lines!H149</f>
        <v>6</v>
      </c>
      <c r="I149" s="4">
        <f>raw_order_lines!I149</f>
        <v>0</v>
      </c>
      <c r="J149" s="5">
        <f>raw_order_lines!J149</f>
        <v>4.5999999999999996</v>
      </c>
      <c r="K149" s="2" t="str">
        <f>raw_order_lines!K149</f>
        <v>正常交付</v>
      </c>
      <c r="L149" s="2" t="str">
        <f>raw_order_lines!L149</f>
        <v>true</v>
      </c>
      <c r="M149" s="2" t="str">
        <f>INDEX(dim_products!$B$2:$B$21,MATCH($E149,dim_products!$A$2:$A$21,0))</f>
        <v>小白菜</v>
      </c>
      <c r="N149" s="2" t="str">
        <f>INDEX(dim_products!$C$2:$C$21,MATCH($E149,dim_products!$A$2:$A$21,0))</f>
        <v>散装鲜菜</v>
      </c>
      <c r="O149" s="2" t="str">
        <f>INDEX(dim_customers!$B$2:$B$7,MATCH($C149,dim_customers!$A$2:$A$7,0))</f>
        <v>模拟_溪桥医院食堂</v>
      </c>
      <c r="P149" s="6">
        <f>INT((ROUND(raw_order_lines!H149*10,0)*ROUND(raw_order_lines!J149*100,0)+5)/10)/100</f>
        <v>27.6</v>
      </c>
      <c r="Q149" s="6">
        <f>INT((ROUND(raw_order_lines!I149*10,0)*ROUND(raw_order_lines!J149*100,0)+5)/10)/100</f>
        <v>0</v>
      </c>
      <c r="R149" s="6">
        <f t="shared" si="6"/>
        <v>27.6</v>
      </c>
      <c r="S149" s="2" t="str">
        <f>IF(OR(ROUND(raw_order_lines!I149*10,0)&gt;ROUND(raw_order_lines!H149*10,0),ROUND(raw_order_lines!H149*10,0)&gt;ROUND(raw_order_lines!G149*10,0),ROUND(raw_order_lines!G149*10,0)&lt;=0),"数量关系异常","")</f>
        <v/>
      </c>
      <c r="T149" s="2" t="str">
        <f>IF($F149&lt;&gt;INDEX(dim_products!$D$2:$D$21,MATCH($E149,dim_products!$A$2:$A$21,0)),"单位不一致","")</f>
        <v/>
      </c>
      <c r="U149" s="2" t="str">
        <f>IF(OR(ROUND(raw_order_lines!J149*100,0)&lt;ROUND(INDEX(dim_products!$F$2:$F$21,MATCH($E149,dim_products!$A$2:$A$21,0))*100,0),ROUND(raw_order_lines!J149*100,0)&gt;ROUND(INDEX(dim_products!$G$2:$G$21,MATCH($E149,dim_products!$A$2:$A$21,0))*100,0)),"单价越界","")</f>
        <v/>
      </c>
      <c r="V149" s="2" t="str">
        <f t="shared" si="7"/>
        <v/>
      </c>
      <c r="W149" s="2" t="str">
        <f t="shared" si="8"/>
        <v>通过</v>
      </c>
    </row>
    <row r="150" spans="1:23" ht="15">
      <c r="A150" s="2" t="str">
        <f>raw_order_lines!A150</f>
        <v>SIM-20260904-C006</v>
      </c>
      <c r="B150" s="2">
        <f>raw_order_lines!B150</f>
        <v>2</v>
      </c>
      <c r="C150" s="2" t="str">
        <f>raw_order_lines!C150</f>
        <v>C006</v>
      </c>
      <c r="D150" s="3">
        <f>raw_order_lines!D150</f>
        <v>46269</v>
      </c>
      <c r="E150" s="2" t="str">
        <f>raw_order_lines!E150</f>
        <v>P003</v>
      </c>
      <c r="F150" s="2" t="str">
        <f>raw_order_lines!F150</f>
        <v>公斤</v>
      </c>
      <c r="G150" s="4">
        <f>raw_order_lines!G150</f>
        <v>8</v>
      </c>
      <c r="H150" s="4">
        <f>raw_order_lines!H150</f>
        <v>8</v>
      </c>
      <c r="I150" s="4">
        <f>raw_order_lines!I150</f>
        <v>0</v>
      </c>
      <c r="J150" s="5">
        <f>raw_order_lines!J150</f>
        <v>3.3</v>
      </c>
      <c r="K150" s="2" t="str">
        <f>raw_order_lines!K150</f>
        <v>正常交付</v>
      </c>
      <c r="L150" s="2" t="str">
        <f>raw_order_lines!L150</f>
        <v>true</v>
      </c>
      <c r="M150" s="2" t="str">
        <f>INDEX(dim_products!$B$2:$B$21,MATCH($E150,dim_products!$A$2:$A$21,0))</f>
        <v>包菜</v>
      </c>
      <c r="N150" s="2" t="str">
        <f>INDEX(dim_products!$C$2:$C$21,MATCH($E150,dim_products!$A$2:$A$21,0))</f>
        <v>散装鲜菜</v>
      </c>
      <c r="O150" s="2" t="str">
        <f>INDEX(dim_customers!$B$2:$B$7,MATCH($C150,dim_customers!$A$2:$A$7,0))</f>
        <v>模拟_溪桥医院食堂</v>
      </c>
      <c r="P150" s="6">
        <f>INT((ROUND(raw_order_lines!H150*10,0)*ROUND(raw_order_lines!J150*100,0)+5)/10)/100</f>
        <v>26.4</v>
      </c>
      <c r="Q150" s="6">
        <f>INT((ROUND(raw_order_lines!I150*10,0)*ROUND(raw_order_lines!J150*100,0)+5)/10)/100</f>
        <v>0</v>
      </c>
      <c r="R150" s="6">
        <f t="shared" si="6"/>
        <v>26.4</v>
      </c>
      <c r="S150" s="2" t="str">
        <f>IF(OR(ROUND(raw_order_lines!I150*10,0)&gt;ROUND(raw_order_lines!H150*10,0),ROUND(raw_order_lines!H150*10,0)&gt;ROUND(raw_order_lines!G150*10,0),ROUND(raw_order_lines!G150*10,0)&lt;=0),"数量关系异常","")</f>
        <v/>
      </c>
      <c r="T150" s="2" t="str">
        <f>IF($F150&lt;&gt;INDEX(dim_products!$D$2:$D$21,MATCH($E150,dim_products!$A$2:$A$21,0)),"单位不一致","")</f>
        <v/>
      </c>
      <c r="U150" s="2" t="str">
        <f>IF(OR(ROUND(raw_order_lines!J150*100,0)&lt;ROUND(INDEX(dim_products!$F$2:$F$21,MATCH($E150,dim_products!$A$2:$A$21,0))*100,0),ROUND(raw_order_lines!J150*100,0)&gt;ROUND(INDEX(dim_products!$G$2:$G$21,MATCH($E150,dim_products!$A$2:$A$21,0))*100,0)),"单价越界","")</f>
        <v/>
      </c>
      <c r="V150" s="2" t="str">
        <f t="shared" si="7"/>
        <v/>
      </c>
      <c r="W150" s="2" t="str">
        <f t="shared" si="8"/>
        <v>通过</v>
      </c>
    </row>
    <row r="151" spans="1:23" ht="15">
      <c r="A151" s="2" t="str">
        <f>raw_order_lines!A151</f>
        <v>SIM-20260904-C006</v>
      </c>
      <c r="B151" s="2">
        <f>raw_order_lines!B151</f>
        <v>3</v>
      </c>
      <c r="C151" s="2" t="str">
        <f>raw_order_lines!C151</f>
        <v>C006</v>
      </c>
      <c r="D151" s="3">
        <f>raw_order_lines!D151</f>
        <v>46269</v>
      </c>
      <c r="E151" s="2" t="str">
        <f>raw_order_lines!E151</f>
        <v>P002</v>
      </c>
      <c r="F151" s="2" t="str">
        <f>raw_order_lines!F151</f>
        <v>公斤</v>
      </c>
      <c r="G151" s="4">
        <f>raw_order_lines!G151</f>
        <v>8</v>
      </c>
      <c r="H151" s="4">
        <f>raw_order_lines!H151</f>
        <v>8</v>
      </c>
      <c r="I151" s="4">
        <f>raw_order_lines!I151</f>
        <v>0</v>
      </c>
      <c r="J151" s="5">
        <f>raw_order_lines!J151</f>
        <v>2.2999999999999998</v>
      </c>
      <c r="K151" s="2" t="str">
        <f>raw_order_lines!K151</f>
        <v>正常交付</v>
      </c>
      <c r="L151" s="2" t="str">
        <f>raw_order_lines!L151</f>
        <v>true</v>
      </c>
      <c r="M151" s="2" t="str">
        <f>INDEX(dim_products!$B$2:$B$21,MATCH($E151,dim_products!$A$2:$A$21,0))</f>
        <v>白萝卜</v>
      </c>
      <c r="N151" s="2" t="str">
        <f>INDEX(dim_products!$C$2:$C$21,MATCH($E151,dim_products!$A$2:$A$21,0))</f>
        <v>散装鲜菜</v>
      </c>
      <c r="O151" s="2" t="str">
        <f>INDEX(dim_customers!$B$2:$B$7,MATCH($C151,dim_customers!$A$2:$A$7,0))</f>
        <v>模拟_溪桥医院食堂</v>
      </c>
      <c r="P151" s="6">
        <f>INT((ROUND(raw_order_lines!H151*10,0)*ROUND(raw_order_lines!J151*100,0)+5)/10)/100</f>
        <v>18.399999999999999</v>
      </c>
      <c r="Q151" s="6">
        <f>INT((ROUND(raw_order_lines!I151*10,0)*ROUND(raw_order_lines!J151*100,0)+5)/10)/100</f>
        <v>0</v>
      </c>
      <c r="R151" s="6">
        <f t="shared" si="6"/>
        <v>18.399999999999999</v>
      </c>
      <c r="S151" s="2" t="str">
        <f>IF(OR(ROUND(raw_order_lines!I151*10,0)&gt;ROUND(raw_order_lines!H151*10,0),ROUND(raw_order_lines!H151*10,0)&gt;ROUND(raw_order_lines!G151*10,0),ROUND(raw_order_lines!G151*10,0)&lt;=0),"数量关系异常","")</f>
        <v/>
      </c>
      <c r="T151" s="2" t="str">
        <f>IF($F151&lt;&gt;INDEX(dim_products!$D$2:$D$21,MATCH($E151,dim_products!$A$2:$A$21,0)),"单位不一致","")</f>
        <v/>
      </c>
      <c r="U151" s="2" t="str">
        <f>IF(OR(ROUND(raw_order_lines!J151*100,0)&lt;ROUND(INDEX(dim_products!$F$2:$F$21,MATCH($E151,dim_products!$A$2:$A$21,0))*100,0),ROUND(raw_order_lines!J151*100,0)&gt;ROUND(INDEX(dim_products!$G$2:$G$21,MATCH($E151,dim_products!$A$2:$A$21,0))*100,0)),"单价越界","")</f>
        <v/>
      </c>
      <c r="V151" s="2" t="str">
        <f t="shared" si="7"/>
        <v/>
      </c>
      <c r="W151" s="2" t="str">
        <f t="shared" si="8"/>
        <v>通过</v>
      </c>
    </row>
    <row r="152" spans="1:23" ht="15">
      <c r="A152" s="2" t="str">
        <f>raw_order_lines!A152</f>
        <v>SIM-20260904-C006</v>
      </c>
      <c r="B152" s="2">
        <f>raw_order_lines!B152</f>
        <v>4</v>
      </c>
      <c r="C152" s="2" t="str">
        <f>raw_order_lines!C152</f>
        <v>C006</v>
      </c>
      <c r="D152" s="3">
        <f>raw_order_lines!D152</f>
        <v>46269</v>
      </c>
      <c r="E152" s="2" t="str">
        <f>raw_order_lines!E152</f>
        <v>P009</v>
      </c>
      <c r="F152" s="2" t="str">
        <f>raw_order_lines!F152</f>
        <v>公斤</v>
      </c>
      <c r="G152" s="4">
        <f>raw_order_lines!G152</f>
        <v>8.6</v>
      </c>
      <c r="H152" s="4">
        <f>raw_order_lines!H152</f>
        <v>8.6</v>
      </c>
      <c r="I152" s="4">
        <f>raw_order_lines!I152</f>
        <v>0</v>
      </c>
      <c r="J152" s="5">
        <f>raw_order_lines!J152</f>
        <v>5</v>
      </c>
      <c r="K152" s="2" t="str">
        <f>raw_order_lines!K152</f>
        <v>正常交付</v>
      </c>
      <c r="L152" s="2" t="str">
        <f>raw_order_lines!L152</f>
        <v>true</v>
      </c>
      <c r="M152" s="2" t="str">
        <f>INDEX(dim_products!$B$2:$B$21,MATCH($E152,dim_products!$A$2:$A$21,0))</f>
        <v>西红柿</v>
      </c>
      <c r="N152" s="2" t="str">
        <f>INDEX(dim_products!$C$2:$C$21,MATCH($E152,dim_products!$A$2:$A$21,0))</f>
        <v>散装鲜菜</v>
      </c>
      <c r="O152" s="2" t="str">
        <f>INDEX(dim_customers!$B$2:$B$7,MATCH($C152,dim_customers!$A$2:$A$7,0))</f>
        <v>模拟_溪桥医院食堂</v>
      </c>
      <c r="P152" s="6">
        <f>INT((ROUND(raw_order_lines!H152*10,0)*ROUND(raw_order_lines!J152*100,0)+5)/10)/100</f>
        <v>43</v>
      </c>
      <c r="Q152" s="6">
        <f>INT((ROUND(raw_order_lines!I152*10,0)*ROUND(raw_order_lines!J152*100,0)+5)/10)/100</f>
        <v>0</v>
      </c>
      <c r="R152" s="6">
        <f t="shared" si="6"/>
        <v>43</v>
      </c>
      <c r="S152" s="2" t="str">
        <f>IF(OR(ROUND(raw_order_lines!I152*10,0)&gt;ROUND(raw_order_lines!H152*10,0),ROUND(raw_order_lines!H152*10,0)&gt;ROUND(raw_order_lines!G152*10,0),ROUND(raw_order_lines!G152*10,0)&lt;=0),"数量关系异常","")</f>
        <v/>
      </c>
      <c r="T152" s="2" t="str">
        <f>IF($F152&lt;&gt;INDEX(dim_products!$D$2:$D$21,MATCH($E152,dim_products!$A$2:$A$21,0)),"单位不一致","")</f>
        <v/>
      </c>
      <c r="U152" s="2" t="str">
        <f>IF(OR(ROUND(raw_order_lines!J152*100,0)&lt;ROUND(INDEX(dim_products!$F$2:$F$21,MATCH($E152,dim_products!$A$2:$A$21,0))*100,0),ROUND(raw_order_lines!J152*100,0)&gt;ROUND(INDEX(dim_products!$G$2:$G$21,MATCH($E152,dim_products!$A$2:$A$21,0))*100,0)),"单价越界","")</f>
        <v/>
      </c>
      <c r="V152" s="2" t="str">
        <f t="shared" si="7"/>
        <v/>
      </c>
      <c r="W152" s="2" t="str">
        <f t="shared" si="8"/>
        <v>通过</v>
      </c>
    </row>
    <row r="153" spans="1:23" ht="15">
      <c r="A153" s="2" t="str">
        <f>raw_order_lines!A153</f>
        <v>SIM-20260904-C006</v>
      </c>
      <c r="B153" s="2">
        <f>raw_order_lines!B153</f>
        <v>5</v>
      </c>
      <c r="C153" s="2" t="str">
        <f>raw_order_lines!C153</f>
        <v>C006</v>
      </c>
      <c r="D153" s="3">
        <f>raw_order_lines!D153</f>
        <v>46269</v>
      </c>
      <c r="E153" s="2" t="str">
        <f>raw_order_lines!E153</f>
        <v>P014</v>
      </c>
      <c r="F153" s="2" t="str">
        <f>raw_order_lines!F153</f>
        <v>公斤</v>
      </c>
      <c r="G153" s="4">
        <f>raw_order_lines!G153</f>
        <v>8</v>
      </c>
      <c r="H153" s="4">
        <f>raw_order_lines!H153</f>
        <v>8</v>
      </c>
      <c r="I153" s="4">
        <f>raw_order_lines!I153</f>
        <v>0</v>
      </c>
      <c r="J153" s="5">
        <f>raw_order_lines!J153</f>
        <v>4.7</v>
      </c>
      <c r="K153" s="2" t="str">
        <f>raw_order_lines!K153</f>
        <v>正常交付</v>
      </c>
      <c r="L153" s="2" t="str">
        <f>raw_order_lines!L153</f>
        <v>true</v>
      </c>
      <c r="M153" s="2" t="str">
        <f>INDEX(dim_products!$B$2:$B$21,MATCH($E153,dim_products!$A$2:$A$21,0))</f>
        <v>丝瓜</v>
      </c>
      <c r="N153" s="2" t="str">
        <f>INDEX(dim_products!$C$2:$C$21,MATCH($E153,dim_products!$A$2:$A$21,0))</f>
        <v>散装鲜菜</v>
      </c>
      <c r="O153" s="2" t="str">
        <f>INDEX(dim_customers!$B$2:$B$7,MATCH($C153,dim_customers!$A$2:$A$7,0))</f>
        <v>模拟_溪桥医院食堂</v>
      </c>
      <c r="P153" s="6">
        <f>INT((ROUND(raw_order_lines!H153*10,0)*ROUND(raw_order_lines!J153*100,0)+5)/10)/100</f>
        <v>37.6</v>
      </c>
      <c r="Q153" s="6">
        <f>INT((ROUND(raw_order_lines!I153*10,0)*ROUND(raw_order_lines!J153*100,0)+5)/10)/100</f>
        <v>0</v>
      </c>
      <c r="R153" s="6">
        <f t="shared" si="6"/>
        <v>37.6</v>
      </c>
      <c r="S153" s="2" t="str">
        <f>IF(OR(ROUND(raw_order_lines!I153*10,0)&gt;ROUND(raw_order_lines!H153*10,0),ROUND(raw_order_lines!H153*10,0)&gt;ROUND(raw_order_lines!G153*10,0),ROUND(raw_order_lines!G153*10,0)&lt;=0),"数量关系异常","")</f>
        <v/>
      </c>
      <c r="T153" s="2" t="str">
        <f>IF($F153&lt;&gt;INDEX(dim_products!$D$2:$D$21,MATCH($E153,dim_products!$A$2:$A$21,0)),"单位不一致","")</f>
        <v/>
      </c>
      <c r="U153" s="2" t="str">
        <f>IF(OR(ROUND(raw_order_lines!J153*100,0)&lt;ROUND(INDEX(dim_products!$F$2:$F$21,MATCH($E153,dim_products!$A$2:$A$21,0))*100,0),ROUND(raw_order_lines!J153*100,0)&gt;ROUND(INDEX(dim_products!$G$2:$G$21,MATCH($E153,dim_products!$A$2:$A$21,0))*100,0)),"单价越界","")</f>
        <v/>
      </c>
      <c r="V153" s="2" t="str">
        <f t="shared" si="7"/>
        <v/>
      </c>
      <c r="W153" s="2" t="str">
        <f t="shared" si="8"/>
        <v>通过</v>
      </c>
    </row>
    <row r="154" spans="1:23" ht="15">
      <c r="A154" s="2" t="str">
        <f>raw_order_lines!A154</f>
        <v>SIM-20260904-C006</v>
      </c>
      <c r="B154" s="2">
        <f>raw_order_lines!B154</f>
        <v>6</v>
      </c>
      <c r="C154" s="2" t="str">
        <f>raw_order_lines!C154</f>
        <v>C006</v>
      </c>
      <c r="D154" s="3">
        <f>raw_order_lines!D154</f>
        <v>46269</v>
      </c>
      <c r="E154" s="2" t="str">
        <f>raw_order_lines!E154</f>
        <v>P005</v>
      </c>
      <c r="F154" s="2" t="str">
        <f>raw_order_lines!F154</f>
        <v>公斤</v>
      </c>
      <c r="G154" s="4">
        <f>raw_order_lines!G154</f>
        <v>4.7</v>
      </c>
      <c r="H154" s="4">
        <f>raw_order_lines!H154</f>
        <v>4.7</v>
      </c>
      <c r="I154" s="4">
        <f>raw_order_lines!I154</f>
        <v>0</v>
      </c>
      <c r="J154" s="5">
        <f>raw_order_lines!J154</f>
        <v>2.7</v>
      </c>
      <c r="K154" s="2" t="str">
        <f>raw_order_lines!K154</f>
        <v>正常交付</v>
      </c>
      <c r="L154" s="2" t="str">
        <f>raw_order_lines!L154</f>
        <v>true</v>
      </c>
      <c r="M154" s="2" t="str">
        <f>INDEX(dim_products!$B$2:$B$21,MATCH($E154,dim_products!$A$2:$A$21,0))</f>
        <v>南瓜</v>
      </c>
      <c r="N154" s="2" t="str">
        <f>INDEX(dim_products!$C$2:$C$21,MATCH($E154,dim_products!$A$2:$A$21,0))</f>
        <v>散装鲜菜</v>
      </c>
      <c r="O154" s="2" t="str">
        <f>INDEX(dim_customers!$B$2:$B$7,MATCH($C154,dim_customers!$A$2:$A$7,0))</f>
        <v>模拟_溪桥医院食堂</v>
      </c>
      <c r="P154" s="6">
        <f>INT((ROUND(raw_order_lines!H154*10,0)*ROUND(raw_order_lines!J154*100,0)+5)/10)/100</f>
        <v>12.69</v>
      </c>
      <c r="Q154" s="6">
        <f>INT((ROUND(raw_order_lines!I154*10,0)*ROUND(raw_order_lines!J154*100,0)+5)/10)/100</f>
        <v>0</v>
      </c>
      <c r="R154" s="6">
        <f t="shared" si="6"/>
        <v>12.69</v>
      </c>
      <c r="S154" s="2" t="str">
        <f>IF(OR(ROUND(raw_order_lines!I154*10,0)&gt;ROUND(raw_order_lines!H154*10,0),ROUND(raw_order_lines!H154*10,0)&gt;ROUND(raw_order_lines!G154*10,0),ROUND(raw_order_lines!G154*10,0)&lt;=0),"数量关系异常","")</f>
        <v/>
      </c>
      <c r="T154" s="2" t="str">
        <f>IF($F154&lt;&gt;INDEX(dim_products!$D$2:$D$21,MATCH($E154,dim_products!$A$2:$A$21,0)),"单位不一致","")</f>
        <v/>
      </c>
      <c r="U154" s="2" t="str">
        <f>IF(OR(ROUND(raw_order_lines!J154*100,0)&lt;ROUND(INDEX(dim_products!$F$2:$F$21,MATCH($E154,dim_products!$A$2:$A$21,0))*100,0),ROUND(raw_order_lines!J154*100,0)&gt;ROUND(INDEX(dim_products!$G$2:$G$21,MATCH($E154,dim_products!$A$2:$A$21,0))*100,0)),"单价越界","")</f>
        <v/>
      </c>
      <c r="V154" s="2" t="str">
        <f t="shared" si="7"/>
        <v/>
      </c>
      <c r="W154" s="2" t="str">
        <f t="shared" si="8"/>
        <v>通过</v>
      </c>
    </row>
    <row r="155" spans="1:23" ht="15">
      <c r="A155" s="2" t="str">
        <f>raw_order_lines!A155</f>
        <v>SIM-20260904-C006</v>
      </c>
      <c r="B155" s="2">
        <f>raw_order_lines!B155</f>
        <v>7</v>
      </c>
      <c r="C155" s="2" t="str">
        <f>raw_order_lines!C155</f>
        <v>C006</v>
      </c>
      <c r="D155" s="3">
        <f>raw_order_lines!D155</f>
        <v>46269</v>
      </c>
      <c r="E155" s="2" t="str">
        <f>raw_order_lines!E155</f>
        <v>P015</v>
      </c>
      <c r="F155" s="2" t="str">
        <f>raw_order_lines!F155</f>
        <v>公斤</v>
      </c>
      <c r="G155" s="4">
        <f>raw_order_lines!G155</f>
        <v>1</v>
      </c>
      <c r="H155" s="4">
        <f>raw_order_lines!H155</f>
        <v>1</v>
      </c>
      <c r="I155" s="4">
        <f>raw_order_lines!I155</f>
        <v>0</v>
      </c>
      <c r="J155" s="5">
        <f>raw_order_lines!J155</f>
        <v>7.3</v>
      </c>
      <c r="K155" s="2" t="str">
        <f>raw_order_lines!K155</f>
        <v>正常交付</v>
      </c>
      <c r="L155" s="2" t="str">
        <f>raw_order_lines!L155</f>
        <v>true</v>
      </c>
      <c r="M155" s="2" t="str">
        <f>INDEX(dim_products!$B$2:$B$21,MATCH($E155,dim_products!$A$2:$A$21,0))</f>
        <v>小葱</v>
      </c>
      <c r="N155" s="2" t="str">
        <f>INDEX(dim_products!$C$2:$C$21,MATCH($E155,dim_products!$A$2:$A$21,0))</f>
        <v>散装鲜菜</v>
      </c>
      <c r="O155" s="2" t="str">
        <f>INDEX(dim_customers!$B$2:$B$7,MATCH($C155,dim_customers!$A$2:$A$7,0))</f>
        <v>模拟_溪桥医院食堂</v>
      </c>
      <c r="P155" s="6">
        <f>INT((ROUND(raw_order_lines!H155*10,0)*ROUND(raw_order_lines!J155*100,0)+5)/10)/100</f>
        <v>7.3</v>
      </c>
      <c r="Q155" s="6">
        <f>INT((ROUND(raw_order_lines!I155*10,0)*ROUND(raw_order_lines!J155*100,0)+5)/10)/100</f>
        <v>0</v>
      </c>
      <c r="R155" s="6">
        <f t="shared" si="6"/>
        <v>7.3</v>
      </c>
      <c r="S155" s="2" t="str">
        <f>IF(OR(ROUND(raw_order_lines!I155*10,0)&gt;ROUND(raw_order_lines!H155*10,0),ROUND(raw_order_lines!H155*10,0)&gt;ROUND(raw_order_lines!G155*10,0),ROUND(raw_order_lines!G155*10,0)&lt;=0),"数量关系异常","")</f>
        <v/>
      </c>
      <c r="T155" s="2" t="str">
        <f>IF($F155&lt;&gt;INDEX(dim_products!$D$2:$D$21,MATCH($E155,dim_products!$A$2:$A$21,0)),"单位不一致","")</f>
        <v/>
      </c>
      <c r="U155" s="2" t="str">
        <f>IF(OR(ROUND(raw_order_lines!J155*100,0)&lt;ROUND(INDEX(dim_products!$F$2:$F$21,MATCH($E155,dim_products!$A$2:$A$21,0))*100,0),ROUND(raw_order_lines!J155*100,0)&gt;ROUND(INDEX(dim_products!$G$2:$G$21,MATCH($E155,dim_products!$A$2:$A$21,0))*100,0)),"单价越界","")</f>
        <v/>
      </c>
      <c r="V155" s="2" t="str">
        <f t="shared" si="7"/>
        <v/>
      </c>
      <c r="W155" s="2" t="str">
        <f t="shared" si="8"/>
        <v>通过</v>
      </c>
    </row>
    <row r="156" spans="1:23" ht="15">
      <c r="A156" s="2" t="str">
        <f>raw_order_lines!A156</f>
        <v>SIM-20260905-C001</v>
      </c>
      <c r="B156" s="2">
        <f>raw_order_lines!B156</f>
        <v>1</v>
      </c>
      <c r="C156" s="2" t="str">
        <f>raw_order_lines!C156</f>
        <v>C001</v>
      </c>
      <c r="D156" s="3">
        <f>raw_order_lines!D156</f>
        <v>46270</v>
      </c>
      <c r="E156" s="2" t="str">
        <f>raw_order_lines!E156</f>
        <v>P010</v>
      </c>
      <c r="F156" s="2" t="str">
        <f>raw_order_lines!F156</f>
        <v>公斤</v>
      </c>
      <c r="G156" s="4">
        <f>raw_order_lines!G156</f>
        <v>3.1</v>
      </c>
      <c r="H156" s="4">
        <f>raw_order_lines!H156</f>
        <v>3.1</v>
      </c>
      <c r="I156" s="4">
        <f>raw_order_lines!I156</f>
        <v>0</v>
      </c>
      <c r="J156" s="5">
        <f>raw_order_lines!J156</f>
        <v>5</v>
      </c>
      <c r="K156" s="2" t="str">
        <f>raw_order_lines!K156</f>
        <v>正常交付</v>
      </c>
      <c r="L156" s="2" t="str">
        <f>raw_order_lines!L156</f>
        <v>true</v>
      </c>
      <c r="M156" s="2" t="str">
        <f>INDEX(dim_products!$B$2:$B$21,MATCH($E156,dim_products!$A$2:$A$21,0))</f>
        <v>空心菜</v>
      </c>
      <c r="N156" s="2" t="str">
        <f>INDEX(dim_products!$C$2:$C$21,MATCH($E156,dim_products!$A$2:$A$21,0))</f>
        <v>散装鲜菜</v>
      </c>
      <c r="O156" s="2" t="str">
        <f>INDEX(dim_customers!$B$2:$B$7,MATCH($C156,dim_customers!$A$2:$A$7,0))</f>
        <v>模拟_榕树下粉面店</v>
      </c>
      <c r="P156" s="6">
        <f>INT((ROUND(raw_order_lines!H156*10,0)*ROUND(raw_order_lines!J156*100,0)+5)/10)/100</f>
        <v>15.5</v>
      </c>
      <c r="Q156" s="6">
        <f>INT((ROUND(raw_order_lines!I156*10,0)*ROUND(raw_order_lines!J156*100,0)+5)/10)/100</f>
        <v>0</v>
      </c>
      <c r="R156" s="6">
        <f t="shared" si="6"/>
        <v>15.5</v>
      </c>
      <c r="S156" s="2" t="str">
        <f>IF(OR(ROUND(raw_order_lines!I156*10,0)&gt;ROUND(raw_order_lines!H156*10,0),ROUND(raw_order_lines!H156*10,0)&gt;ROUND(raw_order_lines!G156*10,0),ROUND(raw_order_lines!G156*10,0)&lt;=0),"数量关系异常","")</f>
        <v/>
      </c>
      <c r="T156" s="2" t="str">
        <f>IF($F156&lt;&gt;INDEX(dim_products!$D$2:$D$21,MATCH($E156,dim_products!$A$2:$A$21,0)),"单位不一致","")</f>
        <v/>
      </c>
      <c r="U156" s="2" t="str">
        <f>IF(OR(ROUND(raw_order_lines!J156*100,0)&lt;ROUND(INDEX(dim_products!$F$2:$F$21,MATCH($E156,dim_products!$A$2:$A$21,0))*100,0),ROUND(raw_order_lines!J156*100,0)&gt;ROUND(INDEX(dim_products!$G$2:$G$21,MATCH($E156,dim_products!$A$2:$A$21,0))*100,0)),"单价越界","")</f>
        <v/>
      </c>
      <c r="V156" s="2" t="str">
        <f t="shared" si="7"/>
        <v/>
      </c>
      <c r="W156" s="2" t="str">
        <f t="shared" si="8"/>
        <v>通过</v>
      </c>
    </row>
    <row r="157" spans="1:23" ht="15">
      <c r="A157" s="2" t="str">
        <f>raw_order_lines!A157</f>
        <v>SIM-20260905-C001</v>
      </c>
      <c r="B157" s="2">
        <f>raw_order_lines!B157</f>
        <v>2</v>
      </c>
      <c r="C157" s="2" t="str">
        <f>raw_order_lines!C157</f>
        <v>C001</v>
      </c>
      <c r="D157" s="3">
        <f>raw_order_lines!D157</f>
        <v>46270</v>
      </c>
      <c r="E157" s="2" t="str">
        <f>raw_order_lines!E157</f>
        <v>P014</v>
      </c>
      <c r="F157" s="2" t="str">
        <f>raw_order_lines!F157</f>
        <v>公斤</v>
      </c>
      <c r="G157" s="4">
        <f>raw_order_lines!G157</f>
        <v>2.4</v>
      </c>
      <c r="H157" s="4">
        <f>raw_order_lines!H157</f>
        <v>2.4</v>
      </c>
      <c r="I157" s="4">
        <f>raw_order_lines!I157</f>
        <v>0</v>
      </c>
      <c r="J157" s="5">
        <f>raw_order_lines!J157</f>
        <v>4.7</v>
      </c>
      <c r="K157" s="2" t="str">
        <f>raw_order_lines!K157</f>
        <v>正常交付</v>
      </c>
      <c r="L157" s="2" t="str">
        <f>raw_order_lines!L157</f>
        <v>true</v>
      </c>
      <c r="M157" s="2" t="str">
        <f>INDEX(dim_products!$B$2:$B$21,MATCH($E157,dim_products!$A$2:$A$21,0))</f>
        <v>丝瓜</v>
      </c>
      <c r="N157" s="2" t="str">
        <f>INDEX(dim_products!$C$2:$C$21,MATCH($E157,dim_products!$A$2:$A$21,0))</f>
        <v>散装鲜菜</v>
      </c>
      <c r="O157" s="2" t="str">
        <f>INDEX(dim_customers!$B$2:$B$7,MATCH($C157,dim_customers!$A$2:$A$7,0))</f>
        <v>模拟_榕树下粉面店</v>
      </c>
      <c r="P157" s="6">
        <f>INT((ROUND(raw_order_lines!H157*10,0)*ROUND(raw_order_lines!J157*100,0)+5)/10)/100</f>
        <v>11.28</v>
      </c>
      <c r="Q157" s="6">
        <f>INT((ROUND(raw_order_lines!I157*10,0)*ROUND(raw_order_lines!J157*100,0)+5)/10)/100</f>
        <v>0</v>
      </c>
      <c r="R157" s="6">
        <f t="shared" si="6"/>
        <v>11.28</v>
      </c>
      <c r="S157" s="2" t="str">
        <f>IF(OR(ROUND(raw_order_lines!I157*10,0)&gt;ROUND(raw_order_lines!H157*10,0),ROUND(raw_order_lines!H157*10,0)&gt;ROUND(raw_order_lines!G157*10,0),ROUND(raw_order_lines!G157*10,0)&lt;=0),"数量关系异常","")</f>
        <v/>
      </c>
      <c r="T157" s="2" t="str">
        <f>IF($F157&lt;&gt;INDEX(dim_products!$D$2:$D$21,MATCH($E157,dim_products!$A$2:$A$21,0)),"单位不一致","")</f>
        <v/>
      </c>
      <c r="U157" s="2" t="str">
        <f>IF(OR(ROUND(raw_order_lines!J157*100,0)&lt;ROUND(INDEX(dim_products!$F$2:$F$21,MATCH($E157,dim_products!$A$2:$A$21,0))*100,0),ROUND(raw_order_lines!J157*100,0)&gt;ROUND(INDEX(dim_products!$G$2:$G$21,MATCH($E157,dim_products!$A$2:$A$21,0))*100,0)),"单价越界","")</f>
        <v/>
      </c>
      <c r="V157" s="2" t="str">
        <f t="shared" si="7"/>
        <v/>
      </c>
      <c r="W157" s="2" t="str">
        <f t="shared" si="8"/>
        <v>通过</v>
      </c>
    </row>
    <row r="158" spans="1:23" ht="15">
      <c r="A158" s="2" t="str">
        <f>raw_order_lines!A158</f>
        <v>SIM-20260905-C001</v>
      </c>
      <c r="B158" s="2">
        <f>raw_order_lines!B158</f>
        <v>3</v>
      </c>
      <c r="C158" s="2" t="str">
        <f>raw_order_lines!C158</f>
        <v>C001</v>
      </c>
      <c r="D158" s="3">
        <f>raw_order_lines!D158</f>
        <v>46270</v>
      </c>
      <c r="E158" s="2" t="str">
        <f>raw_order_lines!E158</f>
        <v>P003</v>
      </c>
      <c r="F158" s="2" t="str">
        <f>raw_order_lines!F158</f>
        <v>公斤</v>
      </c>
      <c r="G158" s="4">
        <f>raw_order_lines!G158</f>
        <v>3.1</v>
      </c>
      <c r="H158" s="4">
        <f>raw_order_lines!H158</f>
        <v>3.1</v>
      </c>
      <c r="I158" s="4">
        <f>raw_order_lines!I158</f>
        <v>0</v>
      </c>
      <c r="J158" s="5">
        <f>raw_order_lines!J158</f>
        <v>3.3</v>
      </c>
      <c r="K158" s="2" t="str">
        <f>raw_order_lines!K158</f>
        <v>正常交付</v>
      </c>
      <c r="L158" s="2" t="str">
        <f>raw_order_lines!L158</f>
        <v>true</v>
      </c>
      <c r="M158" s="2" t="str">
        <f>INDEX(dim_products!$B$2:$B$21,MATCH($E158,dim_products!$A$2:$A$21,0))</f>
        <v>包菜</v>
      </c>
      <c r="N158" s="2" t="str">
        <f>INDEX(dim_products!$C$2:$C$21,MATCH($E158,dim_products!$A$2:$A$21,0))</f>
        <v>散装鲜菜</v>
      </c>
      <c r="O158" s="2" t="str">
        <f>INDEX(dim_customers!$B$2:$B$7,MATCH($C158,dim_customers!$A$2:$A$7,0))</f>
        <v>模拟_榕树下粉面店</v>
      </c>
      <c r="P158" s="6">
        <f>INT((ROUND(raw_order_lines!H158*10,0)*ROUND(raw_order_lines!J158*100,0)+5)/10)/100</f>
        <v>10.23</v>
      </c>
      <c r="Q158" s="6">
        <f>INT((ROUND(raw_order_lines!I158*10,0)*ROUND(raw_order_lines!J158*100,0)+5)/10)/100</f>
        <v>0</v>
      </c>
      <c r="R158" s="6">
        <f t="shared" si="6"/>
        <v>10.23</v>
      </c>
      <c r="S158" s="2" t="str">
        <f>IF(OR(ROUND(raw_order_lines!I158*10,0)&gt;ROUND(raw_order_lines!H158*10,0),ROUND(raw_order_lines!H158*10,0)&gt;ROUND(raw_order_lines!G158*10,0),ROUND(raw_order_lines!G158*10,0)&lt;=0),"数量关系异常","")</f>
        <v/>
      </c>
      <c r="T158" s="2" t="str">
        <f>IF($F158&lt;&gt;INDEX(dim_products!$D$2:$D$21,MATCH($E158,dim_products!$A$2:$A$21,0)),"单位不一致","")</f>
        <v/>
      </c>
      <c r="U158" s="2" t="str">
        <f>IF(OR(ROUND(raw_order_lines!J158*100,0)&lt;ROUND(INDEX(dim_products!$F$2:$F$21,MATCH($E158,dim_products!$A$2:$A$21,0))*100,0),ROUND(raw_order_lines!J158*100,0)&gt;ROUND(INDEX(dim_products!$G$2:$G$21,MATCH($E158,dim_products!$A$2:$A$21,0))*100,0)),"单价越界","")</f>
        <v/>
      </c>
      <c r="V158" s="2" t="str">
        <f t="shared" si="7"/>
        <v/>
      </c>
      <c r="W158" s="2" t="str">
        <f t="shared" si="8"/>
        <v>通过</v>
      </c>
    </row>
    <row r="159" spans="1:23" ht="15">
      <c r="A159" s="2" t="str">
        <f>raw_order_lines!A159</f>
        <v>SIM-20260905-C001</v>
      </c>
      <c r="B159" s="2">
        <f>raw_order_lines!B159</f>
        <v>4</v>
      </c>
      <c r="C159" s="2" t="str">
        <f>raw_order_lines!C159</f>
        <v>C001</v>
      </c>
      <c r="D159" s="3">
        <f>raw_order_lines!D159</f>
        <v>46270</v>
      </c>
      <c r="E159" s="2" t="str">
        <f>raw_order_lines!E159</f>
        <v>P007</v>
      </c>
      <c r="F159" s="2" t="str">
        <f>raw_order_lines!F159</f>
        <v>公斤</v>
      </c>
      <c r="G159" s="4">
        <f>raw_order_lines!G159</f>
        <v>2.9</v>
      </c>
      <c r="H159" s="4">
        <f>raw_order_lines!H159</f>
        <v>2.9</v>
      </c>
      <c r="I159" s="4">
        <f>raw_order_lines!I159</f>
        <v>0</v>
      </c>
      <c r="J159" s="5">
        <f>raw_order_lines!J159</f>
        <v>5.15</v>
      </c>
      <c r="K159" s="2" t="str">
        <f>raw_order_lines!K159</f>
        <v>正常交付</v>
      </c>
      <c r="L159" s="2" t="str">
        <f>raw_order_lines!L159</f>
        <v>true</v>
      </c>
      <c r="M159" s="2" t="str">
        <f>INDEX(dim_products!$B$2:$B$21,MATCH($E159,dim_products!$A$2:$A$21,0))</f>
        <v>青椒</v>
      </c>
      <c r="N159" s="2" t="str">
        <f>INDEX(dim_products!$C$2:$C$21,MATCH($E159,dim_products!$A$2:$A$21,0))</f>
        <v>散装鲜菜</v>
      </c>
      <c r="O159" s="2" t="str">
        <f>INDEX(dim_customers!$B$2:$B$7,MATCH($C159,dim_customers!$A$2:$A$7,0))</f>
        <v>模拟_榕树下粉面店</v>
      </c>
      <c r="P159" s="6">
        <f>INT((ROUND(raw_order_lines!H159*10,0)*ROUND(raw_order_lines!J159*100,0)+5)/10)/100</f>
        <v>14.94</v>
      </c>
      <c r="Q159" s="6">
        <f>INT((ROUND(raw_order_lines!I159*10,0)*ROUND(raw_order_lines!J159*100,0)+5)/10)/100</f>
        <v>0</v>
      </c>
      <c r="R159" s="6">
        <f t="shared" si="6"/>
        <v>14.94</v>
      </c>
      <c r="S159" s="2" t="str">
        <f>IF(OR(ROUND(raw_order_lines!I159*10,0)&gt;ROUND(raw_order_lines!H159*10,0),ROUND(raw_order_lines!H159*10,0)&gt;ROUND(raw_order_lines!G159*10,0),ROUND(raw_order_lines!G159*10,0)&lt;=0),"数量关系异常","")</f>
        <v/>
      </c>
      <c r="T159" s="2" t="str">
        <f>IF($F159&lt;&gt;INDEX(dim_products!$D$2:$D$21,MATCH($E159,dim_products!$A$2:$A$21,0)),"单位不一致","")</f>
        <v/>
      </c>
      <c r="U159" s="2" t="str">
        <f>IF(OR(ROUND(raw_order_lines!J159*100,0)&lt;ROUND(INDEX(dim_products!$F$2:$F$21,MATCH($E159,dim_products!$A$2:$A$21,0))*100,0),ROUND(raw_order_lines!J159*100,0)&gt;ROUND(INDEX(dim_products!$G$2:$G$21,MATCH($E159,dim_products!$A$2:$A$21,0))*100,0)),"单价越界","")</f>
        <v/>
      </c>
      <c r="V159" s="2" t="str">
        <f t="shared" si="7"/>
        <v/>
      </c>
      <c r="W159" s="2" t="str">
        <f t="shared" si="8"/>
        <v>通过</v>
      </c>
    </row>
    <row r="160" spans="1:23" ht="15">
      <c r="A160" s="2" t="str">
        <f>raw_order_lines!A160</f>
        <v>SIM-20260905-C001</v>
      </c>
      <c r="B160" s="2">
        <f>raw_order_lines!B160</f>
        <v>5</v>
      </c>
      <c r="C160" s="2" t="str">
        <f>raw_order_lines!C160</f>
        <v>C001</v>
      </c>
      <c r="D160" s="3">
        <f>raw_order_lines!D160</f>
        <v>46270</v>
      </c>
      <c r="E160" s="2" t="str">
        <f>raw_order_lines!E160</f>
        <v>P016</v>
      </c>
      <c r="F160" s="2" t="str">
        <f>raw_order_lines!F160</f>
        <v>公斤</v>
      </c>
      <c r="G160" s="4">
        <f>raw_order_lines!G160</f>
        <v>3</v>
      </c>
      <c r="H160" s="4">
        <f>raw_order_lines!H160</f>
        <v>3</v>
      </c>
      <c r="I160" s="4">
        <f>raw_order_lines!I160</f>
        <v>0</v>
      </c>
      <c r="J160" s="5">
        <f>raw_order_lines!J160</f>
        <v>10.1</v>
      </c>
      <c r="K160" s="2" t="str">
        <f>raw_order_lines!K160</f>
        <v>正常交付</v>
      </c>
      <c r="L160" s="2" t="str">
        <f>raw_order_lines!L160</f>
        <v>true</v>
      </c>
      <c r="M160" s="2" t="str">
        <f>INDEX(dim_products!$B$2:$B$21,MATCH($E160,dim_products!$A$2:$A$21,0))</f>
        <v>鸡蛋</v>
      </c>
      <c r="N160" s="2" t="str">
        <f>INDEX(dim_products!$C$2:$C$21,MATCH($E160,dim_products!$A$2:$A$21,0))</f>
        <v>普通鲜鸡蛋按净重</v>
      </c>
      <c r="O160" s="2" t="str">
        <f>INDEX(dim_customers!$B$2:$B$7,MATCH($C160,dim_customers!$A$2:$A$7,0))</f>
        <v>模拟_榕树下粉面店</v>
      </c>
      <c r="P160" s="6">
        <f>INT((ROUND(raw_order_lines!H160*10,0)*ROUND(raw_order_lines!J160*100,0)+5)/10)/100</f>
        <v>30.3</v>
      </c>
      <c r="Q160" s="6">
        <f>INT((ROUND(raw_order_lines!I160*10,0)*ROUND(raw_order_lines!J160*100,0)+5)/10)/100</f>
        <v>0</v>
      </c>
      <c r="R160" s="6">
        <f t="shared" si="6"/>
        <v>30.3</v>
      </c>
      <c r="S160" s="2" t="str">
        <f>IF(OR(ROUND(raw_order_lines!I160*10,0)&gt;ROUND(raw_order_lines!H160*10,0),ROUND(raw_order_lines!H160*10,0)&gt;ROUND(raw_order_lines!G160*10,0),ROUND(raw_order_lines!G160*10,0)&lt;=0),"数量关系异常","")</f>
        <v/>
      </c>
      <c r="T160" s="2" t="str">
        <f>IF($F160&lt;&gt;INDEX(dim_products!$D$2:$D$21,MATCH($E160,dim_products!$A$2:$A$21,0)),"单位不一致","")</f>
        <v/>
      </c>
      <c r="U160" s="2" t="str">
        <f>IF(OR(ROUND(raw_order_lines!J160*100,0)&lt;ROUND(INDEX(dim_products!$F$2:$F$21,MATCH($E160,dim_products!$A$2:$A$21,0))*100,0),ROUND(raw_order_lines!J160*100,0)&gt;ROUND(INDEX(dim_products!$G$2:$G$21,MATCH($E160,dim_products!$A$2:$A$21,0))*100,0)),"单价越界","")</f>
        <v/>
      </c>
      <c r="V160" s="2" t="str">
        <f t="shared" si="7"/>
        <v/>
      </c>
      <c r="W160" s="2" t="str">
        <f t="shared" si="8"/>
        <v>通过</v>
      </c>
    </row>
    <row r="161" spans="1:23" ht="15">
      <c r="A161" s="2" t="str">
        <f>raw_order_lines!A161</f>
        <v>SIM-20260905-C002</v>
      </c>
      <c r="B161" s="2">
        <f>raw_order_lines!B161</f>
        <v>1</v>
      </c>
      <c r="C161" s="2" t="str">
        <f>raw_order_lines!C161</f>
        <v>C002</v>
      </c>
      <c r="D161" s="3">
        <f>raw_order_lines!D161</f>
        <v>46270</v>
      </c>
      <c r="E161" s="2" t="str">
        <f>raw_order_lines!E161</f>
        <v>P012</v>
      </c>
      <c r="F161" s="2" t="str">
        <f>raw_order_lines!F161</f>
        <v>公斤</v>
      </c>
      <c r="G161" s="4">
        <f>raw_order_lines!G161</f>
        <v>7.5</v>
      </c>
      <c r="H161" s="4">
        <f>raw_order_lines!H161</f>
        <v>7.5</v>
      </c>
      <c r="I161" s="4">
        <f>raw_order_lines!I161</f>
        <v>0</v>
      </c>
      <c r="J161" s="5">
        <f>raw_order_lines!J161</f>
        <v>4.5999999999999996</v>
      </c>
      <c r="K161" s="2" t="str">
        <f>raw_order_lines!K161</f>
        <v>正常交付</v>
      </c>
      <c r="L161" s="2" t="str">
        <f>raw_order_lines!L161</f>
        <v>true</v>
      </c>
      <c r="M161" s="2" t="str">
        <f>INDEX(dim_products!$B$2:$B$21,MATCH($E161,dim_products!$A$2:$A$21,0))</f>
        <v>小白菜</v>
      </c>
      <c r="N161" s="2" t="str">
        <f>INDEX(dim_products!$C$2:$C$21,MATCH($E161,dim_products!$A$2:$A$21,0))</f>
        <v>散装鲜菜</v>
      </c>
      <c r="O161" s="2" t="str">
        <f>INDEX(dim_customers!$B$2:$B$7,MATCH($C161,dim_customers!$A$2:$A$7,0))</f>
        <v>模拟_桥头家常菜馆</v>
      </c>
      <c r="P161" s="6">
        <f>INT((ROUND(raw_order_lines!H161*10,0)*ROUND(raw_order_lines!J161*100,0)+5)/10)/100</f>
        <v>34.5</v>
      </c>
      <c r="Q161" s="6">
        <f>INT((ROUND(raw_order_lines!I161*10,0)*ROUND(raw_order_lines!J161*100,0)+5)/10)/100</f>
        <v>0</v>
      </c>
      <c r="R161" s="6">
        <f t="shared" si="6"/>
        <v>34.5</v>
      </c>
      <c r="S161" s="2" t="str">
        <f>IF(OR(ROUND(raw_order_lines!I161*10,0)&gt;ROUND(raw_order_lines!H161*10,0),ROUND(raw_order_lines!H161*10,0)&gt;ROUND(raw_order_lines!G161*10,0),ROUND(raw_order_lines!G161*10,0)&lt;=0),"数量关系异常","")</f>
        <v/>
      </c>
      <c r="T161" s="2" t="str">
        <f>IF($F161&lt;&gt;INDEX(dim_products!$D$2:$D$21,MATCH($E161,dim_products!$A$2:$A$21,0)),"单位不一致","")</f>
        <v/>
      </c>
      <c r="U161" s="2" t="str">
        <f>IF(OR(ROUND(raw_order_lines!J161*100,0)&lt;ROUND(INDEX(dim_products!$F$2:$F$21,MATCH($E161,dim_products!$A$2:$A$21,0))*100,0),ROUND(raw_order_lines!J161*100,0)&gt;ROUND(INDEX(dim_products!$G$2:$G$21,MATCH($E161,dim_products!$A$2:$A$21,0))*100,0)),"单价越界","")</f>
        <v/>
      </c>
      <c r="V161" s="2" t="str">
        <f t="shared" si="7"/>
        <v/>
      </c>
      <c r="W161" s="2" t="str">
        <f t="shared" si="8"/>
        <v>通过</v>
      </c>
    </row>
    <row r="162" spans="1:23" ht="15">
      <c r="A162" s="2" t="str">
        <f>raw_order_lines!A162</f>
        <v>SIM-20260905-C002</v>
      </c>
      <c r="B162" s="2">
        <f>raw_order_lines!B162</f>
        <v>2</v>
      </c>
      <c r="C162" s="2" t="str">
        <f>raw_order_lines!C162</f>
        <v>C002</v>
      </c>
      <c r="D162" s="3">
        <f>raw_order_lines!D162</f>
        <v>46270</v>
      </c>
      <c r="E162" s="2" t="str">
        <f>raw_order_lines!E162</f>
        <v>P013</v>
      </c>
      <c r="F162" s="2" t="str">
        <f>raw_order_lines!F162</f>
        <v>公斤</v>
      </c>
      <c r="G162" s="4">
        <f>raw_order_lines!G162</f>
        <v>8.8000000000000007</v>
      </c>
      <c r="H162" s="4">
        <f>raw_order_lines!H162</f>
        <v>8.8000000000000007</v>
      </c>
      <c r="I162" s="4">
        <f>raw_order_lines!I162</f>
        <v>0</v>
      </c>
      <c r="J162" s="5">
        <f>raw_order_lines!J162</f>
        <v>6.3</v>
      </c>
      <c r="K162" s="2" t="str">
        <f>raw_order_lines!K162</f>
        <v>正常交付</v>
      </c>
      <c r="L162" s="2" t="str">
        <f>raw_order_lines!L162</f>
        <v>true</v>
      </c>
      <c r="M162" s="2" t="str">
        <f>INDEX(dim_products!$B$2:$B$21,MATCH($E162,dim_products!$A$2:$A$21,0))</f>
        <v>豇豆</v>
      </c>
      <c r="N162" s="2" t="str">
        <f>INDEX(dim_products!$C$2:$C$21,MATCH($E162,dim_products!$A$2:$A$21,0))</f>
        <v>散装鲜菜</v>
      </c>
      <c r="O162" s="2" t="str">
        <f>INDEX(dim_customers!$B$2:$B$7,MATCH($C162,dim_customers!$A$2:$A$7,0))</f>
        <v>模拟_桥头家常菜馆</v>
      </c>
      <c r="P162" s="6">
        <f>INT((ROUND(raw_order_lines!H162*10,0)*ROUND(raw_order_lines!J162*100,0)+5)/10)/100</f>
        <v>55.44</v>
      </c>
      <c r="Q162" s="6">
        <f>INT((ROUND(raw_order_lines!I162*10,0)*ROUND(raw_order_lines!J162*100,0)+5)/10)/100</f>
        <v>0</v>
      </c>
      <c r="R162" s="6">
        <f t="shared" si="6"/>
        <v>55.44</v>
      </c>
      <c r="S162" s="2" t="str">
        <f>IF(OR(ROUND(raw_order_lines!I162*10,0)&gt;ROUND(raw_order_lines!H162*10,0),ROUND(raw_order_lines!H162*10,0)&gt;ROUND(raw_order_lines!G162*10,0),ROUND(raw_order_lines!G162*10,0)&lt;=0),"数量关系异常","")</f>
        <v/>
      </c>
      <c r="T162" s="2" t="str">
        <f>IF($F162&lt;&gt;INDEX(dim_products!$D$2:$D$21,MATCH($E162,dim_products!$A$2:$A$21,0)),"单位不一致","")</f>
        <v/>
      </c>
      <c r="U162" s="2" t="str">
        <f>IF(OR(ROUND(raw_order_lines!J162*100,0)&lt;ROUND(INDEX(dim_products!$F$2:$F$21,MATCH($E162,dim_products!$A$2:$A$21,0))*100,0),ROUND(raw_order_lines!J162*100,0)&gt;ROUND(INDEX(dim_products!$G$2:$G$21,MATCH($E162,dim_products!$A$2:$A$21,0))*100,0)),"单价越界","")</f>
        <v/>
      </c>
      <c r="V162" s="2" t="str">
        <f t="shared" si="7"/>
        <v/>
      </c>
      <c r="W162" s="2" t="str">
        <f t="shared" si="8"/>
        <v>通过</v>
      </c>
    </row>
    <row r="163" spans="1:23" ht="15">
      <c r="A163" s="2" t="str">
        <f>raw_order_lines!A163</f>
        <v>SIM-20260905-C002</v>
      </c>
      <c r="B163" s="2">
        <f>raw_order_lines!B163</f>
        <v>3</v>
      </c>
      <c r="C163" s="2" t="str">
        <f>raw_order_lines!C163</f>
        <v>C002</v>
      </c>
      <c r="D163" s="3">
        <f>raw_order_lines!D163</f>
        <v>46270</v>
      </c>
      <c r="E163" s="2" t="str">
        <f>raw_order_lines!E163</f>
        <v>P003</v>
      </c>
      <c r="F163" s="2" t="str">
        <f>raw_order_lines!F163</f>
        <v>公斤</v>
      </c>
      <c r="G163" s="4">
        <f>raw_order_lines!G163</f>
        <v>6.3</v>
      </c>
      <c r="H163" s="4">
        <f>raw_order_lines!H163</f>
        <v>6.3</v>
      </c>
      <c r="I163" s="4">
        <f>raw_order_lines!I163</f>
        <v>0</v>
      </c>
      <c r="J163" s="5">
        <f>raw_order_lines!J163</f>
        <v>3.3</v>
      </c>
      <c r="K163" s="2" t="str">
        <f>raw_order_lines!K163</f>
        <v>正常交付</v>
      </c>
      <c r="L163" s="2" t="str">
        <f>raw_order_lines!L163</f>
        <v>true</v>
      </c>
      <c r="M163" s="2" t="str">
        <f>INDEX(dim_products!$B$2:$B$21,MATCH($E163,dim_products!$A$2:$A$21,0))</f>
        <v>包菜</v>
      </c>
      <c r="N163" s="2" t="str">
        <f>INDEX(dim_products!$C$2:$C$21,MATCH($E163,dim_products!$A$2:$A$21,0))</f>
        <v>散装鲜菜</v>
      </c>
      <c r="O163" s="2" t="str">
        <f>INDEX(dim_customers!$B$2:$B$7,MATCH($C163,dim_customers!$A$2:$A$7,0))</f>
        <v>模拟_桥头家常菜馆</v>
      </c>
      <c r="P163" s="6">
        <f>INT((ROUND(raw_order_lines!H163*10,0)*ROUND(raw_order_lines!J163*100,0)+5)/10)/100</f>
        <v>20.79</v>
      </c>
      <c r="Q163" s="6">
        <f>INT((ROUND(raw_order_lines!I163*10,0)*ROUND(raw_order_lines!J163*100,0)+5)/10)/100</f>
        <v>0</v>
      </c>
      <c r="R163" s="6">
        <f t="shared" si="6"/>
        <v>20.79</v>
      </c>
      <c r="S163" s="2" t="str">
        <f>IF(OR(ROUND(raw_order_lines!I163*10,0)&gt;ROUND(raw_order_lines!H163*10,0),ROUND(raw_order_lines!H163*10,0)&gt;ROUND(raw_order_lines!G163*10,0),ROUND(raw_order_lines!G163*10,0)&lt;=0),"数量关系异常","")</f>
        <v/>
      </c>
      <c r="T163" s="2" t="str">
        <f>IF($F163&lt;&gt;INDEX(dim_products!$D$2:$D$21,MATCH($E163,dim_products!$A$2:$A$21,0)),"单位不一致","")</f>
        <v/>
      </c>
      <c r="U163" s="2" t="str">
        <f>IF(OR(ROUND(raw_order_lines!J163*100,0)&lt;ROUND(INDEX(dim_products!$F$2:$F$21,MATCH($E163,dim_products!$A$2:$A$21,0))*100,0),ROUND(raw_order_lines!J163*100,0)&gt;ROUND(INDEX(dim_products!$G$2:$G$21,MATCH($E163,dim_products!$A$2:$A$21,0))*100,0)),"单价越界","")</f>
        <v/>
      </c>
      <c r="V163" s="2" t="str">
        <f t="shared" si="7"/>
        <v/>
      </c>
      <c r="W163" s="2" t="str">
        <f t="shared" si="8"/>
        <v>通过</v>
      </c>
    </row>
    <row r="164" spans="1:23" ht="15">
      <c r="A164" s="2" t="str">
        <f>raw_order_lines!A164</f>
        <v>SIM-20260905-C002</v>
      </c>
      <c r="B164" s="2">
        <f>raw_order_lines!B164</f>
        <v>4</v>
      </c>
      <c r="C164" s="2" t="str">
        <f>raw_order_lines!C164</f>
        <v>C002</v>
      </c>
      <c r="D164" s="3">
        <f>raw_order_lines!D164</f>
        <v>46270</v>
      </c>
      <c r="E164" s="2" t="str">
        <f>raw_order_lines!E164</f>
        <v>P007</v>
      </c>
      <c r="F164" s="2" t="str">
        <f>raw_order_lines!F164</f>
        <v>公斤</v>
      </c>
      <c r="G164" s="4">
        <f>raw_order_lines!G164</f>
        <v>6.9</v>
      </c>
      <c r="H164" s="4">
        <f>raw_order_lines!H164</f>
        <v>6.9</v>
      </c>
      <c r="I164" s="4">
        <f>raw_order_lines!I164</f>
        <v>0</v>
      </c>
      <c r="J164" s="5">
        <f>raw_order_lines!J164</f>
        <v>5.15</v>
      </c>
      <c r="K164" s="2" t="str">
        <f>raw_order_lines!K164</f>
        <v>正常交付</v>
      </c>
      <c r="L164" s="2" t="str">
        <f>raw_order_lines!L164</f>
        <v>true</v>
      </c>
      <c r="M164" s="2" t="str">
        <f>INDEX(dim_products!$B$2:$B$21,MATCH($E164,dim_products!$A$2:$A$21,0))</f>
        <v>青椒</v>
      </c>
      <c r="N164" s="2" t="str">
        <f>INDEX(dim_products!$C$2:$C$21,MATCH($E164,dim_products!$A$2:$A$21,0))</f>
        <v>散装鲜菜</v>
      </c>
      <c r="O164" s="2" t="str">
        <f>INDEX(dim_customers!$B$2:$B$7,MATCH($C164,dim_customers!$A$2:$A$7,0))</f>
        <v>模拟_桥头家常菜馆</v>
      </c>
      <c r="P164" s="6">
        <f>INT((ROUND(raw_order_lines!H164*10,0)*ROUND(raw_order_lines!J164*100,0)+5)/10)/100</f>
        <v>35.54</v>
      </c>
      <c r="Q164" s="6">
        <f>INT((ROUND(raw_order_lines!I164*10,0)*ROUND(raw_order_lines!J164*100,0)+5)/10)/100</f>
        <v>0</v>
      </c>
      <c r="R164" s="6">
        <f t="shared" si="6"/>
        <v>35.54</v>
      </c>
      <c r="S164" s="2" t="str">
        <f>IF(OR(ROUND(raw_order_lines!I164*10,0)&gt;ROUND(raw_order_lines!H164*10,0),ROUND(raw_order_lines!H164*10,0)&gt;ROUND(raw_order_lines!G164*10,0),ROUND(raw_order_lines!G164*10,0)&lt;=0),"数量关系异常","")</f>
        <v/>
      </c>
      <c r="T164" s="2" t="str">
        <f>IF($F164&lt;&gt;INDEX(dim_products!$D$2:$D$21,MATCH($E164,dim_products!$A$2:$A$21,0)),"单位不一致","")</f>
        <v/>
      </c>
      <c r="U164" s="2" t="str">
        <f>IF(OR(ROUND(raw_order_lines!J164*100,0)&lt;ROUND(INDEX(dim_products!$F$2:$F$21,MATCH($E164,dim_products!$A$2:$A$21,0))*100,0),ROUND(raw_order_lines!J164*100,0)&gt;ROUND(INDEX(dim_products!$G$2:$G$21,MATCH($E164,dim_products!$A$2:$A$21,0))*100,0)),"单价越界","")</f>
        <v/>
      </c>
      <c r="V164" s="2" t="str">
        <f t="shared" si="7"/>
        <v/>
      </c>
      <c r="W164" s="2" t="str">
        <f t="shared" si="8"/>
        <v>通过</v>
      </c>
    </row>
    <row r="165" spans="1:23" ht="15">
      <c r="A165" s="2" t="str">
        <f>raw_order_lines!A165</f>
        <v>SIM-20260905-C002</v>
      </c>
      <c r="B165" s="2">
        <f>raw_order_lines!B165</f>
        <v>5</v>
      </c>
      <c r="C165" s="2" t="str">
        <f>raw_order_lines!C165</f>
        <v>C002</v>
      </c>
      <c r="D165" s="3">
        <f>raw_order_lines!D165</f>
        <v>46270</v>
      </c>
      <c r="E165" s="2" t="str">
        <f>raw_order_lines!E165</f>
        <v>P008</v>
      </c>
      <c r="F165" s="2" t="str">
        <f>raw_order_lines!F165</f>
        <v>公斤</v>
      </c>
      <c r="G165" s="4">
        <f>raw_order_lines!G165</f>
        <v>9.4</v>
      </c>
      <c r="H165" s="4">
        <f>raw_order_lines!H165</f>
        <v>9.4</v>
      </c>
      <c r="I165" s="4">
        <f>raw_order_lines!I165</f>
        <v>0</v>
      </c>
      <c r="J165" s="5">
        <f>raw_order_lines!J165</f>
        <v>4.0999999999999996</v>
      </c>
      <c r="K165" s="2" t="str">
        <f>raw_order_lines!K165</f>
        <v>正常交付</v>
      </c>
      <c r="L165" s="2" t="str">
        <f>raw_order_lines!L165</f>
        <v>true</v>
      </c>
      <c r="M165" s="2" t="str">
        <f>INDEX(dim_products!$B$2:$B$21,MATCH($E165,dim_products!$A$2:$A$21,0))</f>
        <v>黄瓜</v>
      </c>
      <c r="N165" s="2" t="str">
        <f>INDEX(dim_products!$C$2:$C$21,MATCH($E165,dim_products!$A$2:$A$21,0))</f>
        <v>散装鲜菜</v>
      </c>
      <c r="O165" s="2" t="str">
        <f>INDEX(dim_customers!$B$2:$B$7,MATCH($C165,dim_customers!$A$2:$A$7,0))</f>
        <v>模拟_桥头家常菜馆</v>
      </c>
      <c r="P165" s="6">
        <f>INT((ROUND(raw_order_lines!H165*10,0)*ROUND(raw_order_lines!J165*100,0)+5)/10)/100</f>
        <v>38.54</v>
      </c>
      <c r="Q165" s="6">
        <f>INT((ROUND(raw_order_lines!I165*10,0)*ROUND(raw_order_lines!J165*100,0)+5)/10)/100</f>
        <v>0</v>
      </c>
      <c r="R165" s="6">
        <f t="shared" si="6"/>
        <v>38.54</v>
      </c>
      <c r="S165" s="2" t="str">
        <f>IF(OR(ROUND(raw_order_lines!I165*10,0)&gt;ROUND(raw_order_lines!H165*10,0),ROUND(raw_order_lines!H165*10,0)&gt;ROUND(raw_order_lines!G165*10,0),ROUND(raw_order_lines!G165*10,0)&lt;=0),"数量关系异常","")</f>
        <v/>
      </c>
      <c r="T165" s="2" t="str">
        <f>IF($F165&lt;&gt;INDEX(dim_products!$D$2:$D$21,MATCH($E165,dim_products!$A$2:$A$21,0)),"单位不一致","")</f>
        <v/>
      </c>
      <c r="U165" s="2" t="str">
        <f>IF(OR(ROUND(raw_order_lines!J165*100,0)&lt;ROUND(INDEX(dim_products!$F$2:$F$21,MATCH($E165,dim_products!$A$2:$A$21,0))*100,0),ROUND(raw_order_lines!J165*100,0)&gt;ROUND(INDEX(dim_products!$G$2:$G$21,MATCH($E165,dim_products!$A$2:$A$21,0))*100,0)),"单价越界","")</f>
        <v/>
      </c>
      <c r="V165" s="2" t="str">
        <f t="shared" si="7"/>
        <v/>
      </c>
      <c r="W165" s="2" t="str">
        <f t="shared" si="8"/>
        <v>通过</v>
      </c>
    </row>
    <row r="166" spans="1:23" ht="15">
      <c r="A166" s="2" t="str">
        <f>raw_order_lines!A166</f>
        <v>SIM-20260905-C002</v>
      </c>
      <c r="B166" s="2">
        <f>raw_order_lines!B166</f>
        <v>6</v>
      </c>
      <c r="C166" s="2" t="str">
        <f>raw_order_lines!C166</f>
        <v>C002</v>
      </c>
      <c r="D166" s="3">
        <f>raw_order_lines!D166</f>
        <v>46270</v>
      </c>
      <c r="E166" s="2" t="str">
        <f>raw_order_lines!E166</f>
        <v>P016</v>
      </c>
      <c r="F166" s="2" t="str">
        <f>raw_order_lines!F166</f>
        <v>公斤</v>
      </c>
      <c r="G166" s="4">
        <f>raw_order_lines!G166</f>
        <v>4</v>
      </c>
      <c r="H166" s="4">
        <f>raw_order_lines!H166</f>
        <v>4</v>
      </c>
      <c r="I166" s="4">
        <f>raw_order_lines!I166</f>
        <v>0</v>
      </c>
      <c r="J166" s="5">
        <f>raw_order_lines!J166</f>
        <v>10.1</v>
      </c>
      <c r="K166" s="2" t="str">
        <f>raw_order_lines!K166</f>
        <v>正常交付</v>
      </c>
      <c r="L166" s="2" t="str">
        <f>raw_order_lines!L166</f>
        <v>true</v>
      </c>
      <c r="M166" s="2" t="str">
        <f>INDEX(dim_products!$B$2:$B$21,MATCH($E166,dim_products!$A$2:$A$21,0))</f>
        <v>鸡蛋</v>
      </c>
      <c r="N166" s="2" t="str">
        <f>INDEX(dim_products!$C$2:$C$21,MATCH($E166,dim_products!$A$2:$A$21,0))</f>
        <v>普通鲜鸡蛋按净重</v>
      </c>
      <c r="O166" s="2" t="str">
        <f>INDEX(dim_customers!$B$2:$B$7,MATCH($C166,dim_customers!$A$2:$A$7,0))</f>
        <v>模拟_桥头家常菜馆</v>
      </c>
      <c r="P166" s="6">
        <f>INT((ROUND(raw_order_lines!H166*10,0)*ROUND(raw_order_lines!J166*100,0)+5)/10)/100</f>
        <v>40.4</v>
      </c>
      <c r="Q166" s="6">
        <f>INT((ROUND(raw_order_lines!I166*10,0)*ROUND(raw_order_lines!J166*100,0)+5)/10)/100</f>
        <v>0</v>
      </c>
      <c r="R166" s="6">
        <f t="shared" si="6"/>
        <v>40.4</v>
      </c>
      <c r="S166" s="2" t="str">
        <f>IF(OR(ROUND(raw_order_lines!I166*10,0)&gt;ROUND(raw_order_lines!H166*10,0),ROUND(raw_order_lines!H166*10,0)&gt;ROUND(raw_order_lines!G166*10,0),ROUND(raw_order_lines!G166*10,0)&lt;=0),"数量关系异常","")</f>
        <v/>
      </c>
      <c r="T166" s="2" t="str">
        <f>IF($F166&lt;&gt;INDEX(dim_products!$D$2:$D$21,MATCH($E166,dim_products!$A$2:$A$21,0)),"单位不一致","")</f>
        <v/>
      </c>
      <c r="U166" s="2" t="str">
        <f>IF(OR(ROUND(raw_order_lines!J166*100,0)&lt;ROUND(INDEX(dim_products!$F$2:$F$21,MATCH($E166,dim_products!$A$2:$A$21,0))*100,0),ROUND(raw_order_lines!J166*100,0)&gt;ROUND(INDEX(dim_products!$G$2:$G$21,MATCH($E166,dim_products!$A$2:$A$21,0))*100,0)),"单价越界","")</f>
        <v/>
      </c>
      <c r="V166" s="2" t="str">
        <f t="shared" si="7"/>
        <v/>
      </c>
      <c r="W166" s="2" t="str">
        <f t="shared" si="8"/>
        <v>通过</v>
      </c>
    </row>
    <row r="167" spans="1:23" ht="15">
      <c r="A167" s="2" t="str">
        <f>raw_order_lines!A167</f>
        <v>SIM-20260905-C003</v>
      </c>
      <c r="B167" s="2">
        <f>raw_order_lines!B167</f>
        <v>1</v>
      </c>
      <c r="C167" s="2" t="str">
        <f>raw_order_lines!C167</f>
        <v>C003</v>
      </c>
      <c r="D167" s="3">
        <f>raw_order_lines!D167</f>
        <v>46270</v>
      </c>
      <c r="E167" s="2" t="str">
        <f>raw_order_lines!E167</f>
        <v>P011</v>
      </c>
      <c r="F167" s="2" t="str">
        <f>raw_order_lines!F167</f>
        <v>公斤</v>
      </c>
      <c r="G167" s="4">
        <f>raw_order_lines!G167</f>
        <v>6.6</v>
      </c>
      <c r="H167" s="4">
        <f>raw_order_lines!H167</f>
        <v>6.6</v>
      </c>
      <c r="I167" s="4">
        <f>raw_order_lines!I167</f>
        <v>0</v>
      </c>
      <c r="J167" s="5">
        <f>raw_order_lines!J167</f>
        <v>4.4000000000000004</v>
      </c>
      <c r="K167" s="2" t="str">
        <f>raw_order_lines!K167</f>
        <v>正常交付</v>
      </c>
      <c r="L167" s="2" t="str">
        <f>raw_order_lines!L167</f>
        <v>true</v>
      </c>
      <c r="M167" s="2" t="str">
        <f>INDEX(dim_products!$B$2:$B$21,MATCH($E167,dim_products!$A$2:$A$21,0))</f>
        <v>红薯叶</v>
      </c>
      <c r="N167" s="2" t="str">
        <f>INDEX(dim_products!$C$2:$C$21,MATCH($E167,dim_products!$A$2:$A$21,0))</f>
        <v>散装鲜菜</v>
      </c>
      <c r="O167" s="2" t="str">
        <f>INDEX(dim_customers!$B$2:$B$7,MATCH($C167,dim_customers!$A$2:$A$7,0))</f>
        <v>模拟_兴街快餐店</v>
      </c>
      <c r="P167" s="6">
        <f>INT((ROUND(raw_order_lines!H167*10,0)*ROUND(raw_order_lines!J167*100,0)+5)/10)/100</f>
        <v>29.04</v>
      </c>
      <c r="Q167" s="6">
        <f>INT((ROUND(raw_order_lines!I167*10,0)*ROUND(raw_order_lines!J167*100,0)+5)/10)/100</f>
        <v>0</v>
      </c>
      <c r="R167" s="6">
        <f t="shared" si="6"/>
        <v>29.04</v>
      </c>
      <c r="S167" s="2" t="str">
        <f>IF(OR(ROUND(raw_order_lines!I167*10,0)&gt;ROUND(raw_order_lines!H167*10,0),ROUND(raw_order_lines!H167*10,0)&gt;ROUND(raw_order_lines!G167*10,0),ROUND(raw_order_lines!G167*10,0)&lt;=0),"数量关系异常","")</f>
        <v/>
      </c>
      <c r="T167" s="2" t="str">
        <f>IF($F167&lt;&gt;INDEX(dim_products!$D$2:$D$21,MATCH($E167,dim_products!$A$2:$A$21,0)),"单位不一致","")</f>
        <v/>
      </c>
      <c r="U167" s="2" t="str">
        <f>IF(OR(ROUND(raw_order_lines!J167*100,0)&lt;ROUND(INDEX(dim_products!$F$2:$F$21,MATCH($E167,dim_products!$A$2:$A$21,0))*100,0),ROUND(raw_order_lines!J167*100,0)&gt;ROUND(INDEX(dim_products!$G$2:$G$21,MATCH($E167,dim_products!$A$2:$A$21,0))*100,0)),"单价越界","")</f>
        <v/>
      </c>
      <c r="V167" s="2" t="str">
        <f t="shared" si="7"/>
        <v/>
      </c>
      <c r="W167" s="2" t="str">
        <f t="shared" si="8"/>
        <v>通过</v>
      </c>
    </row>
    <row r="168" spans="1:23" ht="15">
      <c r="A168" s="2" t="str">
        <f>raw_order_lines!A168</f>
        <v>SIM-20260905-C003</v>
      </c>
      <c r="B168" s="2">
        <f>raw_order_lines!B168</f>
        <v>2</v>
      </c>
      <c r="C168" s="2" t="str">
        <f>raw_order_lines!C168</f>
        <v>C003</v>
      </c>
      <c r="D168" s="3">
        <f>raw_order_lines!D168</f>
        <v>46270</v>
      </c>
      <c r="E168" s="2" t="str">
        <f>raw_order_lines!E168</f>
        <v>P009</v>
      </c>
      <c r="F168" s="2" t="str">
        <f>raw_order_lines!F168</f>
        <v>公斤</v>
      </c>
      <c r="G168" s="4">
        <f>raw_order_lines!G168</f>
        <v>6.6</v>
      </c>
      <c r="H168" s="4">
        <f>raw_order_lines!H168</f>
        <v>6.6</v>
      </c>
      <c r="I168" s="4">
        <f>raw_order_lines!I168</f>
        <v>0</v>
      </c>
      <c r="J168" s="5">
        <f>raw_order_lines!J168</f>
        <v>5</v>
      </c>
      <c r="K168" s="2" t="str">
        <f>raw_order_lines!K168</f>
        <v>正常交付</v>
      </c>
      <c r="L168" s="2" t="str">
        <f>raw_order_lines!L168</f>
        <v>true</v>
      </c>
      <c r="M168" s="2" t="str">
        <f>INDEX(dim_products!$B$2:$B$21,MATCH($E168,dim_products!$A$2:$A$21,0))</f>
        <v>西红柿</v>
      </c>
      <c r="N168" s="2" t="str">
        <f>INDEX(dim_products!$C$2:$C$21,MATCH($E168,dim_products!$A$2:$A$21,0))</f>
        <v>散装鲜菜</v>
      </c>
      <c r="O168" s="2" t="str">
        <f>INDEX(dim_customers!$B$2:$B$7,MATCH($C168,dim_customers!$A$2:$A$7,0))</f>
        <v>模拟_兴街快餐店</v>
      </c>
      <c r="P168" s="6">
        <f>INT((ROUND(raw_order_lines!H168*10,0)*ROUND(raw_order_lines!J168*100,0)+5)/10)/100</f>
        <v>33</v>
      </c>
      <c r="Q168" s="6">
        <f>INT((ROUND(raw_order_lines!I168*10,0)*ROUND(raw_order_lines!J168*100,0)+5)/10)/100</f>
        <v>0</v>
      </c>
      <c r="R168" s="6">
        <f t="shared" si="6"/>
        <v>33</v>
      </c>
      <c r="S168" s="2" t="str">
        <f>IF(OR(ROUND(raw_order_lines!I168*10,0)&gt;ROUND(raw_order_lines!H168*10,0),ROUND(raw_order_lines!H168*10,0)&gt;ROUND(raw_order_lines!G168*10,0),ROUND(raw_order_lines!G168*10,0)&lt;=0),"数量关系异常","")</f>
        <v/>
      </c>
      <c r="T168" s="2" t="str">
        <f>IF($F168&lt;&gt;INDEX(dim_products!$D$2:$D$21,MATCH($E168,dim_products!$A$2:$A$21,0)),"单位不一致","")</f>
        <v/>
      </c>
      <c r="U168" s="2" t="str">
        <f>IF(OR(ROUND(raw_order_lines!J168*100,0)&lt;ROUND(INDEX(dim_products!$F$2:$F$21,MATCH($E168,dim_products!$A$2:$A$21,0))*100,0),ROUND(raw_order_lines!J168*100,0)&gt;ROUND(INDEX(dim_products!$G$2:$G$21,MATCH($E168,dim_products!$A$2:$A$21,0))*100,0)),"单价越界","")</f>
        <v/>
      </c>
      <c r="V168" s="2" t="str">
        <f t="shared" si="7"/>
        <v/>
      </c>
      <c r="W168" s="2" t="str">
        <f t="shared" si="8"/>
        <v>通过</v>
      </c>
    </row>
    <row r="169" spans="1:23" ht="15">
      <c r="A169" s="2" t="str">
        <f>raw_order_lines!A169</f>
        <v>SIM-20260905-C003</v>
      </c>
      <c r="B169" s="2">
        <f>raw_order_lines!B169</f>
        <v>3</v>
      </c>
      <c r="C169" s="2" t="str">
        <f>raw_order_lines!C169</f>
        <v>C003</v>
      </c>
      <c r="D169" s="3">
        <f>raw_order_lines!D169</f>
        <v>46270</v>
      </c>
      <c r="E169" s="2" t="str">
        <f>raw_order_lines!E169</f>
        <v>P005</v>
      </c>
      <c r="F169" s="2" t="str">
        <f>raw_order_lines!F169</f>
        <v>公斤</v>
      </c>
      <c r="G169" s="4">
        <f>raw_order_lines!G169</f>
        <v>6.6</v>
      </c>
      <c r="H169" s="4">
        <f>raw_order_lines!H169</f>
        <v>6.6</v>
      </c>
      <c r="I169" s="4">
        <f>raw_order_lines!I169</f>
        <v>0</v>
      </c>
      <c r="J169" s="5">
        <f>raw_order_lines!J169</f>
        <v>2.7</v>
      </c>
      <c r="K169" s="2" t="str">
        <f>raw_order_lines!K169</f>
        <v>正常交付</v>
      </c>
      <c r="L169" s="2" t="str">
        <f>raw_order_lines!L169</f>
        <v>true</v>
      </c>
      <c r="M169" s="2" t="str">
        <f>INDEX(dim_products!$B$2:$B$21,MATCH($E169,dim_products!$A$2:$A$21,0))</f>
        <v>南瓜</v>
      </c>
      <c r="N169" s="2" t="str">
        <f>INDEX(dim_products!$C$2:$C$21,MATCH($E169,dim_products!$A$2:$A$21,0))</f>
        <v>散装鲜菜</v>
      </c>
      <c r="O169" s="2" t="str">
        <f>INDEX(dim_customers!$B$2:$B$7,MATCH($C169,dim_customers!$A$2:$A$7,0))</f>
        <v>模拟_兴街快餐店</v>
      </c>
      <c r="P169" s="6">
        <f>INT((ROUND(raw_order_lines!H169*10,0)*ROUND(raw_order_lines!J169*100,0)+5)/10)/100</f>
        <v>17.82</v>
      </c>
      <c r="Q169" s="6">
        <f>INT((ROUND(raw_order_lines!I169*10,0)*ROUND(raw_order_lines!J169*100,0)+5)/10)/100</f>
        <v>0</v>
      </c>
      <c r="R169" s="6">
        <f t="shared" si="6"/>
        <v>17.82</v>
      </c>
      <c r="S169" s="2" t="str">
        <f>IF(OR(ROUND(raw_order_lines!I169*10,0)&gt;ROUND(raw_order_lines!H169*10,0),ROUND(raw_order_lines!H169*10,0)&gt;ROUND(raw_order_lines!G169*10,0),ROUND(raw_order_lines!G169*10,0)&lt;=0),"数量关系异常","")</f>
        <v/>
      </c>
      <c r="T169" s="2" t="str">
        <f>IF($F169&lt;&gt;INDEX(dim_products!$D$2:$D$21,MATCH($E169,dim_products!$A$2:$A$21,0)),"单位不一致","")</f>
        <v/>
      </c>
      <c r="U169" s="2" t="str">
        <f>IF(OR(ROUND(raw_order_lines!J169*100,0)&lt;ROUND(INDEX(dim_products!$F$2:$F$21,MATCH($E169,dim_products!$A$2:$A$21,0))*100,0),ROUND(raw_order_lines!J169*100,0)&gt;ROUND(INDEX(dim_products!$G$2:$G$21,MATCH($E169,dim_products!$A$2:$A$21,0))*100,0)),"单价越界","")</f>
        <v/>
      </c>
      <c r="V169" s="2" t="str">
        <f t="shared" si="7"/>
        <v/>
      </c>
      <c r="W169" s="2" t="str">
        <f t="shared" si="8"/>
        <v>通过</v>
      </c>
    </row>
    <row r="170" spans="1:23" ht="15">
      <c r="A170" s="2" t="str">
        <f>raw_order_lines!A170</f>
        <v>SIM-20260905-C003</v>
      </c>
      <c r="B170" s="2">
        <f>raw_order_lines!B170</f>
        <v>4</v>
      </c>
      <c r="C170" s="2" t="str">
        <f>raw_order_lines!C170</f>
        <v>C003</v>
      </c>
      <c r="D170" s="3">
        <f>raw_order_lines!D170</f>
        <v>46270</v>
      </c>
      <c r="E170" s="2" t="str">
        <f>raw_order_lines!E170</f>
        <v>P001</v>
      </c>
      <c r="F170" s="2" t="str">
        <f>raw_order_lines!F170</f>
        <v>公斤</v>
      </c>
      <c r="G170" s="4">
        <f>raw_order_lines!G170</f>
        <v>4.9000000000000004</v>
      </c>
      <c r="H170" s="4">
        <f>raw_order_lines!H170</f>
        <v>4.9000000000000004</v>
      </c>
      <c r="I170" s="4">
        <f>raw_order_lines!I170</f>
        <v>0</v>
      </c>
      <c r="J170" s="5">
        <f>raw_order_lines!J170</f>
        <v>3.3</v>
      </c>
      <c r="K170" s="2" t="str">
        <f>raw_order_lines!K170</f>
        <v>正常交付</v>
      </c>
      <c r="L170" s="2" t="str">
        <f>raw_order_lines!L170</f>
        <v>true</v>
      </c>
      <c r="M170" s="2" t="str">
        <f>INDEX(dim_products!$B$2:$B$21,MATCH($E170,dim_products!$A$2:$A$21,0))</f>
        <v>土豆</v>
      </c>
      <c r="N170" s="2" t="str">
        <f>INDEX(dim_products!$C$2:$C$21,MATCH($E170,dim_products!$A$2:$A$21,0))</f>
        <v>散装鲜菜</v>
      </c>
      <c r="O170" s="2" t="str">
        <f>INDEX(dim_customers!$B$2:$B$7,MATCH($C170,dim_customers!$A$2:$A$7,0))</f>
        <v>模拟_兴街快餐店</v>
      </c>
      <c r="P170" s="6">
        <f>INT((ROUND(raw_order_lines!H170*10,0)*ROUND(raw_order_lines!J170*100,0)+5)/10)/100</f>
        <v>16.170000000000002</v>
      </c>
      <c r="Q170" s="6">
        <f>INT((ROUND(raw_order_lines!I170*10,0)*ROUND(raw_order_lines!J170*100,0)+5)/10)/100</f>
        <v>0</v>
      </c>
      <c r="R170" s="6">
        <f t="shared" si="6"/>
        <v>16.170000000000002</v>
      </c>
      <c r="S170" s="2" t="str">
        <f>IF(OR(ROUND(raw_order_lines!I170*10,0)&gt;ROUND(raw_order_lines!H170*10,0),ROUND(raw_order_lines!H170*10,0)&gt;ROUND(raw_order_lines!G170*10,0),ROUND(raw_order_lines!G170*10,0)&lt;=0),"数量关系异常","")</f>
        <v/>
      </c>
      <c r="T170" s="2" t="str">
        <f>IF($F170&lt;&gt;INDEX(dim_products!$D$2:$D$21,MATCH($E170,dim_products!$A$2:$A$21,0)),"单位不一致","")</f>
        <v/>
      </c>
      <c r="U170" s="2" t="str">
        <f>IF(OR(ROUND(raw_order_lines!J170*100,0)&lt;ROUND(INDEX(dim_products!$F$2:$F$21,MATCH($E170,dim_products!$A$2:$A$21,0))*100,0),ROUND(raw_order_lines!J170*100,0)&gt;ROUND(INDEX(dim_products!$G$2:$G$21,MATCH($E170,dim_products!$A$2:$A$21,0))*100,0)),"单价越界","")</f>
        <v/>
      </c>
      <c r="V170" s="2" t="str">
        <f t="shared" si="7"/>
        <v/>
      </c>
      <c r="W170" s="2" t="str">
        <f t="shared" si="8"/>
        <v>通过</v>
      </c>
    </row>
    <row r="171" spans="1:23" ht="15">
      <c r="A171" s="2" t="str">
        <f>raw_order_lines!A171</f>
        <v>SIM-20260905-C003</v>
      </c>
      <c r="B171" s="2">
        <f>raw_order_lines!B171</f>
        <v>5</v>
      </c>
      <c r="C171" s="2" t="str">
        <f>raw_order_lines!C171</f>
        <v>C003</v>
      </c>
      <c r="D171" s="3">
        <f>raw_order_lines!D171</f>
        <v>46270</v>
      </c>
      <c r="E171" s="2" t="str">
        <f>raw_order_lines!E171</f>
        <v>P002</v>
      </c>
      <c r="F171" s="2" t="str">
        <f>raw_order_lines!F171</f>
        <v>公斤</v>
      </c>
      <c r="G171" s="4">
        <f>raw_order_lines!G171</f>
        <v>4.9000000000000004</v>
      </c>
      <c r="H171" s="4">
        <f>raw_order_lines!H171</f>
        <v>4.9000000000000004</v>
      </c>
      <c r="I171" s="4">
        <f>raw_order_lines!I171</f>
        <v>0</v>
      </c>
      <c r="J171" s="5">
        <f>raw_order_lines!J171</f>
        <v>2.2999999999999998</v>
      </c>
      <c r="K171" s="2" t="str">
        <f>raw_order_lines!K171</f>
        <v>正常交付</v>
      </c>
      <c r="L171" s="2" t="str">
        <f>raw_order_lines!L171</f>
        <v>true</v>
      </c>
      <c r="M171" s="2" t="str">
        <f>INDEX(dim_products!$B$2:$B$21,MATCH($E171,dim_products!$A$2:$A$21,0))</f>
        <v>白萝卜</v>
      </c>
      <c r="N171" s="2" t="str">
        <f>INDEX(dim_products!$C$2:$C$21,MATCH($E171,dim_products!$A$2:$A$21,0))</f>
        <v>散装鲜菜</v>
      </c>
      <c r="O171" s="2" t="str">
        <f>INDEX(dim_customers!$B$2:$B$7,MATCH($C171,dim_customers!$A$2:$A$7,0))</f>
        <v>模拟_兴街快餐店</v>
      </c>
      <c r="P171" s="6">
        <f>INT((ROUND(raw_order_lines!H171*10,0)*ROUND(raw_order_lines!J171*100,0)+5)/10)/100</f>
        <v>11.27</v>
      </c>
      <c r="Q171" s="6">
        <f>INT((ROUND(raw_order_lines!I171*10,0)*ROUND(raw_order_lines!J171*100,0)+5)/10)/100</f>
        <v>0</v>
      </c>
      <c r="R171" s="6">
        <f t="shared" si="6"/>
        <v>11.27</v>
      </c>
      <c r="S171" s="2" t="str">
        <f>IF(OR(ROUND(raw_order_lines!I171*10,0)&gt;ROUND(raw_order_lines!H171*10,0),ROUND(raw_order_lines!H171*10,0)&gt;ROUND(raw_order_lines!G171*10,0),ROUND(raw_order_lines!G171*10,0)&lt;=0),"数量关系异常","")</f>
        <v/>
      </c>
      <c r="T171" s="2" t="str">
        <f>IF($F171&lt;&gt;INDEX(dim_products!$D$2:$D$21,MATCH($E171,dim_products!$A$2:$A$21,0)),"单位不一致","")</f>
        <v/>
      </c>
      <c r="U171" s="2" t="str">
        <f>IF(OR(ROUND(raw_order_lines!J171*100,0)&lt;ROUND(INDEX(dim_products!$F$2:$F$21,MATCH($E171,dim_products!$A$2:$A$21,0))*100,0),ROUND(raw_order_lines!J171*100,0)&gt;ROUND(INDEX(dim_products!$G$2:$G$21,MATCH($E171,dim_products!$A$2:$A$21,0))*100,0)),"单价越界","")</f>
        <v/>
      </c>
      <c r="V171" s="2" t="str">
        <f t="shared" si="7"/>
        <v/>
      </c>
      <c r="W171" s="2" t="str">
        <f t="shared" si="8"/>
        <v>通过</v>
      </c>
    </row>
    <row r="172" spans="1:23" ht="15">
      <c r="A172" s="2" t="str">
        <f>raw_order_lines!A172</f>
        <v>SIM-20260905-C003</v>
      </c>
      <c r="B172" s="2">
        <f>raw_order_lines!B172</f>
        <v>6</v>
      </c>
      <c r="C172" s="2" t="str">
        <f>raw_order_lines!C172</f>
        <v>C003</v>
      </c>
      <c r="D172" s="3">
        <f>raw_order_lines!D172</f>
        <v>46270</v>
      </c>
      <c r="E172" s="2" t="str">
        <f>raw_order_lines!E172</f>
        <v>P008</v>
      </c>
      <c r="F172" s="2" t="str">
        <f>raw_order_lines!F172</f>
        <v>公斤</v>
      </c>
      <c r="G172" s="4">
        <f>raw_order_lines!G172</f>
        <v>8.1999999999999993</v>
      </c>
      <c r="H172" s="4">
        <f>raw_order_lines!H172</f>
        <v>8.1999999999999993</v>
      </c>
      <c r="I172" s="4">
        <f>raw_order_lines!I172</f>
        <v>0</v>
      </c>
      <c r="J172" s="5">
        <f>raw_order_lines!J172</f>
        <v>4.0999999999999996</v>
      </c>
      <c r="K172" s="2" t="str">
        <f>raw_order_lines!K172</f>
        <v>正常交付</v>
      </c>
      <c r="L172" s="2" t="str">
        <f>raw_order_lines!L172</f>
        <v>true</v>
      </c>
      <c r="M172" s="2" t="str">
        <f>INDEX(dim_products!$B$2:$B$21,MATCH($E172,dim_products!$A$2:$A$21,0))</f>
        <v>黄瓜</v>
      </c>
      <c r="N172" s="2" t="str">
        <f>INDEX(dim_products!$C$2:$C$21,MATCH($E172,dim_products!$A$2:$A$21,0))</f>
        <v>散装鲜菜</v>
      </c>
      <c r="O172" s="2" t="str">
        <f>INDEX(dim_customers!$B$2:$B$7,MATCH($C172,dim_customers!$A$2:$A$7,0))</f>
        <v>模拟_兴街快餐店</v>
      </c>
      <c r="P172" s="6">
        <f>INT((ROUND(raw_order_lines!H172*10,0)*ROUND(raw_order_lines!J172*100,0)+5)/10)/100</f>
        <v>33.619999999999997</v>
      </c>
      <c r="Q172" s="6">
        <f>INT((ROUND(raw_order_lines!I172*10,0)*ROUND(raw_order_lines!J172*100,0)+5)/10)/100</f>
        <v>0</v>
      </c>
      <c r="R172" s="6">
        <f t="shared" si="6"/>
        <v>33.619999999999997</v>
      </c>
      <c r="S172" s="2" t="str">
        <f>IF(OR(ROUND(raw_order_lines!I172*10,0)&gt;ROUND(raw_order_lines!H172*10,0),ROUND(raw_order_lines!H172*10,0)&gt;ROUND(raw_order_lines!G172*10,0),ROUND(raw_order_lines!G172*10,0)&lt;=0),"数量关系异常","")</f>
        <v/>
      </c>
      <c r="T172" s="2" t="str">
        <f>IF($F172&lt;&gt;INDEX(dim_products!$D$2:$D$21,MATCH($E172,dim_products!$A$2:$A$21,0)),"单位不一致","")</f>
        <v/>
      </c>
      <c r="U172" s="2" t="str">
        <f>IF(OR(ROUND(raw_order_lines!J172*100,0)&lt;ROUND(INDEX(dim_products!$F$2:$F$21,MATCH($E172,dim_products!$A$2:$A$21,0))*100,0),ROUND(raw_order_lines!J172*100,0)&gt;ROUND(INDEX(dim_products!$G$2:$G$21,MATCH($E172,dim_products!$A$2:$A$21,0))*100,0)),"单价越界","")</f>
        <v/>
      </c>
      <c r="V172" s="2" t="str">
        <f t="shared" si="7"/>
        <v/>
      </c>
      <c r="W172" s="2" t="str">
        <f t="shared" si="8"/>
        <v>通过</v>
      </c>
    </row>
    <row r="173" spans="1:23" ht="15">
      <c r="A173" s="2" t="str">
        <f>raw_order_lines!A173</f>
        <v>SIM-20260905-C003</v>
      </c>
      <c r="B173" s="2">
        <f>raw_order_lines!B173</f>
        <v>7</v>
      </c>
      <c r="C173" s="2" t="str">
        <f>raw_order_lines!C173</f>
        <v>C003</v>
      </c>
      <c r="D173" s="3">
        <f>raw_order_lines!D173</f>
        <v>46270</v>
      </c>
      <c r="E173" s="2" t="str">
        <f>raw_order_lines!E173</f>
        <v>P016</v>
      </c>
      <c r="F173" s="2" t="str">
        <f>raw_order_lines!F173</f>
        <v>公斤</v>
      </c>
      <c r="G173" s="4">
        <f>raw_order_lines!G173</f>
        <v>6</v>
      </c>
      <c r="H173" s="4">
        <f>raw_order_lines!H173</f>
        <v>6</v>
      </c>
      <c r="I173" s="4">
        <f>raw_order_lines!I173</f>
        <v>0</v>
      </c>
      <c r="J173" s="5">
        <f>raw_order_lines!J173</f>
        <v>10.1</v>
      </c>
      <c r="K173" s="2" t="str">
        <f>raw_order_lines!K173</f>
        <v>正常交付</v>
      </c>
      <c r="L173" s="2" t="str">
        <f>raw_order_lines!L173</f>
        <v>true</v>
      </c>
      <c r="M173" s="2" t="str">
        <f>INDEX(dim_products!$B$2:$B$21,MATCH($E173,dim_products!$A$2:$A$21,0))</f>
        <v>鸡蛋</v>
      </c>
      <c r="N173" s="2" t="str">
        <f>INDEX(dim_products!$C$2:$C$21,MATCH($E173,dim_products!$A$2:$A$21,0))</f>
        <v>普通鲜鸡蛋按净重</v>
      </c>
      <c r="O173" s="2" t="str">
        <f>INDEX(dim_customers!$B$2:$B$7,MATCH($C173,dim_customers!$A$2:$A$7,0))</f>
        <v>模拟_兴街快餐店</v>
      </c>
      <c r="P173" s="6">
        <f>INT((ROUND(raw_order_lines!H173*10,0)*ROUND(raw_order_lines!J173*100,0)+5)/10)/100</f>
        <v>60.6</v>
      </c>
      <c r="Q173" s="6">
        <f>INT((ROUND(raw_order_lines!I173*10,0)*ROUND(raw_order_lines!J173*100,0)+5)/10)/100</f>
        <v>0</v>
      </c>
      <c r="R173" s="6">
        <f t="shared" si="6"/>
        <v>60.6</v>
      </c>
      <c r="S173" s="2" t="str">
        <f>IF(OR(ROUND(raw_order_lines!I173*10,0)&gt;ROUND(raw_order_lines!H173*10,0),ROUND(raw_order_lines!H173*10,0)&gt;ROUND(raw_order_lines!G173*10,0),ROUND(raw_order_lines!G173*10,0)&lt;=0),"数量关系异常","")</f>
        <v/>
      </c>
      <c r="T173" s="2" t="str">
        <f>IF($F173&lt;&gt;INDEX(dim_products!$D$2:$D$21,MATCH($E173,dim_products!$A$2:$A$21,0)),"单位不一致","")</f>
        <v/>
      </c>
      <c r="U173" s="2" t="str">
        <f>IF(OR(ROUND(raw_order_lines!J173*100,0)&lt;ROUND(INDEX(dim_products!$F$2:$F$21,MATCH($E173,dim_products!$A$2:$A$21,0))*100,0),ROUND(raw_order_lines!J173*100,0)&gt;ROUND(INDEX(dim_products!$G$2:$G$21,MATCH($E173,dim_products!$A$2:$A$21,0))*100,0)),"单价越界","")</f>
        <v/>
      </c>
      <c r="V173" s="2" t="str">
        <f t="shared" si="7"/>
        <v/>
      </c>
      <c r="W173" s="2" t="str">
        <f t="shared" si="8"/>
        <v>通过</v>
      </c>
    </row>
    <row r="174" spans="1:23" ht="15">
      <c r="A174" s="2" t="str">
        <f>raw_order_lines!A174</f>
        <v>SIM-20260905-C004</v>
      </c>
      <c r="B174" s="2">
        <f>raw_order_lines!B174</f>
        <v>1</v>
      </c>
      <c r="C174" s="2" t="str">
        <f>raw_order_lines!C174</f>
        <v>C004</v>
      </c>
      <c r="D174" s="3">
        <f>raw_order_lines!D174</f>
        <v>46270</v>
      </c>
      <c r="E174" s="2" t="str">
        <f>raw_order_lines!E174</f>
        <v>P012</v>
      </c>
      <c r="F174" s="2" t="str">
        <f>raw_order_lines!F174</f>
        <v>公斤</v>
      </c>
      <c r="G174" s="4">
        <f>raw_order_lines!G174</f>
        <v>9.4</v>
      </c>
      <c r="H174" s="4">
        <f>raw_order_lines!H174</f>
        <v>9.4</v>
      </c>
      <c r="I174" s="4">
        <f>raw_order_lines!I174</f>
        <v>0</v>
      </c>
      <c r="J174" s="5">
        <f>raw_order_lines!J174</f>
        <v>4.5999999999999996</v>
      </c>
      <c r="K174" s="2" t="str">
        <f>raw_order_lines!K174</f>
        <v>正常交付</v>
      </c>
      <c r="L174" s="2" t="str">
        <f>raw_order_lines!L174</f>
        <v>true</v>
      </c>
      <c r="M174" s="2" t="str">
        <f>INDEX(dim_products!$B$2:$B$21,MATCH($E174,dim_products!$A$2:$A$21,0))</f>
        <v>小白菜</v>
      </c>
      <c r="N174" s="2" t="str">
        <f>INDEX(dim_products!$C$2:$C$21,MATCH($E174,dim_products!$A$2:$A$21,0))</f>
        <v>散装鲜菜</v>
      </c>
      <c r="O174" s="2" t="str">
        <f>INDEX(dim_customers!$B$2:$B$7,MATCH($C174,dim_customers!$A$2:$A$7,0))</f>
        <v>模拟_田畔饭店</v>
      </c>
      <c r="P174" s="6">
        <f>INT((ROUND(raw_order_lines!H174*10,0)*ROUND(raw_order_lines!J174*100,0)+5)/10)/100</f>
        <v>43.24</v>
      </c>
      <c r="Q174" s="6">
        <f>INT((ROUND(raw_order_lines!I174*10,0)*ROUND(raw_order_lines!J174*100,0)+5)/10)/100</f>
        <v>0</v>
      </c>
      <c r="R174" s="6">
        <f t="shared" si="6"/>
        <v>43.24</v>
      </c>
      <c r="S174" s="2" t="str">
        <f>IF(OR(ROUND(raw_order_lines!I174*10,0)&gt;ROUND(raw_order_lines!H174*10,0),ROUND(raw_order_lines!H174*10,0)&gt;ROUND(raw_order_lines!G174*10,0),ROUND(raw_order_lines!G174*10,0)&lt;=0),"数量关系异常","")</f>
        <v/>
      </c>
      <c r="T174" s="2" t="str">
        <f>IF($F174&lt;&gt;INDEX(dim_products!$D$2:$D$21,MATCH($E174,dim_products!$A$2:$A$21,0)),"单位不一致","")</f>
        <v/>
      </c>
      <c r="U174" s="2" t="str">
        <f>IF(OR(ROUND(raw_order_lines!J174*100,0)&lt;ROUND(INDEX(dim_products!$F$2:$F$21,MATCH($E174,dim_products!$A$2:$A$21,0))*100,0),ROUND(raw_order_lines!J174*100,0)&gt;ROUND(INDEX(dim_products!$G$2:$G$21,MATCH($E174,dim_products!$A$2:$A$21,0))*100,0)),"单价越界","")</f>
        <v/>
      </c>
      <c r="V174" s="2" t="str">
        <f t="shared" si="7"/>
        <v/>
      </c>
      <c r="W174" s="2" t="str">
        <f t="shared" si="8"/>
        <v>通过</v>
      </c>
    </row>
    <row r="175" spans="1:23" ht="15">
      <c r="A175" s="2" t="str">
        <f>raw_order_lines!A175</f>
        <v>SIM-20260905-C004</v>
      </c>
      <c r="B175" s="2">
        <f>raw_order_lines!B175</f>
        <v>2</v>
      </c>
      <c r="C175" s="2" t="str">
        <f>raw_order_lines!C175</f>
        <v>C004</v>
      </c>
      <c r="D175" s="3">
        <f>raw_order_lines!D175</f>
        <v>46270</v>
      </c>
      <c r="E175" s="2" t="str">
        <f>raw_order_lines!E175</f>
        <v>P001</v>
      </c>
      <c r="F175" s="2" t="str">
        <f>raw_order_lines!F175</f>
        <v>公斤</v>
      </c>
      <c r="G175" s="4">
        <f>raw_order_lines!G175</f>
        <v>8.6999999999999993</v>
      </c>
      <c r="H175" s="4">
        <f>raw_order_lines!H175</f>
        <v>8.6999999999999993</v>
      </c>
      <c r="I175" s="4">
        <f>raw_order_lines!I175</f>
        <v>0</v>
      </c>
      <c r="J175" s="5">
        <f>raw_order_lines!J175</f>
        <v>3.3</v>
      </c>
      <c r="K175" s="2" t="str">
        <f>raw_order_lines!K175</f>
        <v>正常交付</v>
      </c>
      <c r="L175" s="2" t="str">
        <f>raw_order_lines!L175</f>
        <v>true</v>
      </c>
      <c r="M175" s="2" t="str">
        <f>INDEX(dim_products!$B$2:$B$21,MATCH($E175,dim_products!$A$2:$A$21,0))</f>
        <v>土豆</v>
      </c>
      <c r="N175" s="2" t="str">
        <f>INDEX(dim_products!$C$2:$C$21,MATCH($E175,dim_products!$A$2:$A$21,0))</f>
        <v>散装鲜菜</v>
      </c>
      <c r="O175" s="2" t="str">
        <f>INDEX(dim_customers!$B$2:$B$7,MATCH($C175,dim_customers!$A$2:$A$7,0))</f>
        <v>模拟_田畔饭店</v>
      </c>
      <c r="P175" s="6">
        <f>INT((ROUND(raw_order_lines!H175*10,0)*ROUND(raw_order_lines!J175*100,0)+5)/10)/100</f>
        <v>28.71</v>
      </c>
      <c r="Q175" s="6">
        <f>INT((ROUND(raw_order_lines!I175*10,0)*ROUND(raw_order_lines!J175*100,0)+5)/10)/100</f>
        <v>0</v>
      </c>
      <c r="R175" s="6">
        <f t="shared" si="6"/>
        <v>28.71</v>
      </c>
      <c r="S175" s="2" t="str">
        <f>IF(OR(ROUND(raw_order_lines!I175*10,0)&gt;ROUND(raw_order_lines!H175*10,0),ROUND(raw_order_lines!H175*10,0)&gt;ROUND(raw_order_lines!G175*10,0),ROUND(raw_order_lines!G175*10,0)&lt;=0),"数量关系异常","")</f>
        <v/>
      </c>
      <c r="T175" s="2" t="str">
        <f>IF($F175&lt;&gt;INDEX(dim_products!$D$2:$D$21,MATCH($E175,dim_products!$A$2:$A$21,0)),"单位不一致","")</f>
        <v/>
      </c>
      <c r="U175" s="2" t="str">
        <f>IF(OR(ROUND(raw_order_lines!J175*100,0)&lt;ROUND(INDEX(dim_products!$F$2:$F$21,MATCH($E175,dim_products!$A$2:$A$21,0))*100,0),ROUND(raw_order_lines!J175*100,0)&gt;ROUND(INDEX(dim_products!$G$2:$G$21,MATCH($E175,dim_products!$A$2:$A$21,0))*100,0)),"单价越界","")</f>
        <v/>
      </c>
      <c r="V175" s="2" t="str">
        <f t="shared" si="7"/>
        <v/>
      </c>
      <c r="W175" s="2" t="str">
        <f t="shared" si="8"/>
        <v>通过</v>
      </c>
    </row>
    <row r="176" spans="1:23" ht="15">
      <c r="A176" s="2" t="str">
        <f>raw_order_lines!A176</f>
        <v>SIM-20260905-C004</v>
      </c>
      <c r="B176" s="2">
        <f>raw_order_lines!B176</f>
        <v>3</v>
      </c>
      <c r="C176" s="2" t="str">
        <f>raw_order_lines!C176</f>
        <v>C004</v>
      </c>
      <c r="D176" s="3">
        <f>raw_order_lines!D176</f>
        <v>46270</v>
      </c>
      <c r="E176" s="2" t="str">
        <f>raw_order_lines!E176</f>
        <v>P008</v>
      </c>
      <c r="F176" s="2" t="str">
        <f>raw_order_lines!F176</f>
        <v>公斤</v>
      </c>
      <c r="G176" s="4">
        <f>raw_order_lines!G176</f>
        <v>5.0999999999999996</v>
      </c>
      <c r="H176" s="4">
        <f>raw_order_lines!H176</f>
        <v>5.0999999999999996</v>
      </c>
      <c r="I176" s="4">
        <f>raw_order_lines!I176</f>
        <v>0</v>
      </c>
      <c r="J176" s="5">
        <f>raw_order_lines!J176</f>
        <v>4.0999999999999996</v>
      </c>
      <c r="K176" s="2" t="str">
        <f>raw_order_lines!K176</f>
        <v>正常交付</v>
      </c>
      <c r="L176" s="2" t="str">
        <f>raw_order_lines!L176</f>
        <v>true</v>
      </c>
      <c r="M176" s="2" t="str">
        <f>INDEX(dim_products!$B$2:$B$21,MATCH($E176,dim_products!$A$2:$A$21,0))</f>
        <v>黄瓜</v>
      </c>
      <c r="N176" s="2" t="str">
        <f>INDEX(dim_products!$C$2:$C$21,MATCH($E176,dim_products!$A$2:$A$21,0))</f>
        <v>散装鲜菜</v>
      </c>
      <c r="O176" s="2" t="str">
        <f>INDEX(dim_customers!$B$2:$B$7,MATCH($C176,dim_customers!$A$2:$A$7,0))</f>
        <v>模拟_田畔饭店</v>
      </c>
      <c r="P176" s="6">
        <f>INT((ROUND(raw_order_lines!H176*10,0)*ROUND(raw_order_lines!J176*100,0)+5)/10)/100</f>
        <v>20.91</v>
      </c>
      <c r="Q176" s="6">
        <f>INT((ROUND(raw_order_lines!I176*10,0)*ROUND(raw_order_lines!J176*100,0)+5)/10)/100</f>
        <v>0</v>
      </c>
      <c r="R176" s="6">
        <f t="shared" si="6"/>
        <v>20.91</v>
      </c>
      <c r="S176" s="2" t="str">
        <f>IF(OR(ROUND(raw_order_lines!I176*10,0)&gt;ROUND(raw_order_lines!H176*10,0),ROUND(raw_order_lines!H176*10,0)&gt;ROUND(raw_order_lines!G176*10,0),ROUND(raw_order_lines!G176*10,0)&lt;=0),"数量关系异常","")</f>
        <v/>
      </c>
      <c r="T176" s="2" t="str">
        <f>IF($F176&lt;&gt;INDEX(dim_products!$D$2:$D$21,MATCH($E176,dim_products!$A$2:$A$21,0)),"单位不一致","")</f>
        <v/>
      </c>
      <c r="U176" s="2" t="str">
        <f>IF(OR(ROUND(raw_order_lines!J176*100,0)&lt;ROUND(INDEX(dim_products!$F$2:$F$21,MATCH($E176,dim_products!$A$2:$A$21,0))*100,0),ROUND(raw_order_lines!J176*100,0)&gt;ROUND(INDEX(dim_products!$G$2:$G$21,MATCH($E176,dim_products!$A$2:$A$21,0))*100,0)),"单价越界","")</f>
        <v/>
      </c>
      <c r="V176" s="2" t="str">
        <f t="shared" si="7"/>
        <v/>
      </c>
      <c r="W176" s="2" t="str">
        <f t="shared" si="8"/>
        <v>通过</v>
      </c>
    </row>
    <row r="177" spans="1:23" ht="15">
      <c r="A177" s="2" t="str">
        <f>raw_order_lines!A177</f>
        <v>SIM-20260905-C004</v>
      </c>
      <c r="B177" s="2">
        <f>raw_order_lines!B177</f>
        <v>4</v>
      </c>
      <c r="C177" s="2" t="str">
        <f>raw_order_lines!C177</f>
        <v>C004</v>
      </c>
      <c r="D177" s="3">
        <f>raw_order_lines!D177</f>
        <v>46270</v>
      </c>
      <c r="E177" s="2" t="str">
        <f>raw_order_lines!E177</f>
        <v>P003</v>
      </c>
      <c r="F177" s="2" t="str">
        <f>raw_order_lines!F177</f>
        <v>公斤</v>
      </c>
      <c r="G177" s="4">
        <f>raw_order_lines!G177</f>
        <v>5.0999999999999996</v>
      </c>
      <c r="H177" s="4">
        <f>raw_order_lines!H177</f>
        <v>4.5999999999999996</v>
      </c>
      <c r="I177" s="4">
        <f>raw_order_lines!I177</f>
        <v>0</v>
      </c>
      <c r="J177" s="5">
        <f>raw_order_lines!J177</f>
        <v>3.3</v>
      </c>
      <c r="K177" s="2" t="str">
        <f>raw_order_lines!K177</f>
        <v>到货不足；按实际交付计费</v>
      </c>
      <c r="L177" s="2" t="str">
        <f>raw_order_lines!L177</f>
        <v>true</v>
      </c>
      <c r="M177" s="2" t="str">
        <f>INDEX(dim_products!$B$2:$B$21,MATCH($E177,dim_products!$A$2:$A$21,0))</f>
        <v>包菜</v>
      </c>
      <c r="N177" s="2" t="str">
        <f>INDEX(dim_products!$C$2:$C$21,MATCH($E177,dim_products!$A$2:$A$21,0))</f>
        <v>散装鲜菜</v>
      </c>
      <c r="O177" s="2" t="str">
        <f>INDEX(dim_customers!$B$2:$B$7,MATCH($C177,dim_customers!$A$2:$A$7,0))</f>
        <v>模拟_田畔饭店</v>
      </c>
      <c r="P177" s="6">
        <f>INT((ROUND(raw_order_lines!H177*10,0)*ROUND(raw_order_lines!J177*100,0)+5)/10)/100</f>
        <v>15.18</v>
      </c>
      <c r="Q177" s="6">
        <f>INT((ROUND(raw_order_lines!I177*10,0)*ROUND(raw_order_lines!J177*100,0)+5)/10)/100</f>
        <v>0</v>
      </c>
      <c r="R177" s="6">
        <f t="shared" si="6"/>
        <v>15.18</v>
      </c>
      <c r="S177" s="2" t="str">
        <f>IF(OR(ROUND(raw_order_lines!I177*10,0)&gt;ROUND(raw_order_lines!H177*10,0),ROUND(raw_order_lines!H177*10,0)&gt;ROUND(raw_order_lines!G177*10,0),ROUND(raw_order_lines!G177*10,0)&lt;=0),"数量关系异常","")</f>
        <v/>
      </c>
      <c r="T177" s="2" t="str">
        <f>IF($F177&lt;&gt;INDEX(dim_products!$D$2:$D$21,MATCH($E177,dim_products!$A$2:$A$21,0)),"单位不一致","")</f>
        <v/>
      </c>
      <c r="U177" s="2" t="str">
        <f>IF(OR(ROUND(raw_order_lines!J177*100,0)&lt;ROUND(INDEX(dim_products!$F$2:$F$21,MATCH($E177,dim_products!$A$2:$A$21,0))*100,0),ROUND(raw_order_lines!J177*100,0)&gt;ROUND(INDEX(dim_products!$G$2:$G$21,MATCH($E177,dim_products!$A$2:$A$21,0))*100,0)),"单价越界","")</f>
        <v/>
      </c>
      <c r="V177" s="2" t="str">
        <f t="shared" si="7"/>
        <v/>
      </c>
      <c r="W177" s="2" t="str">
        <f t="shared" si="8"/>
        <v>通过</v>
      </c>
    </row>
    <row r="178" spans="1:23" ht="15">
      <c r="A178" s="2" t="str">
        <f>raw_order_lines!A178</f>
        <v>SIM-20260905-C004</v>
      </c>
      <c r="B178" s="2">
        <f>raw_order_lines!B178</f>
        <v>5</v>
      </c>
      <c r="C178" s="2" t="str">
        <f>raw_order_lines!C178</f>
        <v>C004</v>
      </c>
      <c r="D178" s="3">
        <f>raw_order_lines!D178</f>
        <v>46270</v>
      </c>
      <c r="E178" s="2" t="str">
        <f>raw_order_lines!E178</f>
        <v>P002</v>
      </c>
      <c r="F178" s="2" t="str">
        <f>raw_order_lines!F178</f>
        <v>公斤</v>
      </c>
      <c r="G178" s="4">
        <f>raw_order_lines!G178</f>
        <v>11.6</v>
      </c>
      <c r="H178" s="4">
        <f>raw_order_lines!H178</f>
        <v>11.6</v>
      </c>
      <c r="I178" s="4">
        <f>raw_order_lines!I178</f>
        <v>0</v>
      </c>
      <c r="J178" s="5">
        <f>raw_order_lines!J178</f>
        <v>2.2999999999999998</v>
      </c>
      <c r="K178" s="2" t="str">
        <f>raw_order_lines!K178</f>
        <v>正常交付</v>
      </c>
      <c r="L178" s="2" t="str">
        <f>raw_order_lines!L178</f>
        <v>true</v>
      </c>
      <c r="M178" s="2" t="str">
        <f>INDEX(dim_products!$B$2:$B$21,MATCH($E178,dim_products!$A$2:$A$21,0))</f>
        <v>白萝卜</v>
      </c>
      <c r="N178" s="2" t="str">
        <f>INDEX(dim_products!$C$2:$C$21,MATCH($E178,dim_products!$A$2:$A$21,0))</f>
        <v>散装鲜菜</v>
      </c>
      <c r="O178" s="2" t="str">
        <f>INDEX(dim_customers!$B$2:$B$7,MATCH($C178,dim_customers!$A$2:$A$7,0))</f>
        <v>模拟_田畔饭店</v>
      </c>
      <c r="P178" s="6">
        <f>INT((ROUND(raw_order_lines!H178*10,0)*ROUND(raw_order_lines!J178*100,0)+5)/10)/100</f>
        <v>26.68</v>
      </c>
      <c r="Q178" s="6">
        <f>INT((ROUND(raw_order_lines!I178*10,0)*ROUND(raw_order_lines!J178*100,0)+5)/10)/100</f>
        <v>0</v>
      </c>
      <c r="R178" s="6">
        <f t="shared" si="6"/>
        <v>26.68</v>
      </c>
      <c r="S178" s="2" t="str">
        <f>IF(OR(ROUND(raw_order_lines!I178*10,0)&gt;ROUND(raw_order_lines!H178*10,0),ROUND(raw_order_lines!H178*10,0)&gt;ROUND(raw_order_lines!G178*10,0),ROUND(raw_order_lines!G178*10,0)&lt;=0),"数量关系异常","")</f>
        <v/>
      </c>
      <c r="T178" s="2" t="str">
        <f>IF($F178&lt;&gt;INDEX(dim_products!$D$2:$D$21,MATCH($E178,dim_products!$A$2:$A$21,0)),"单位不一致","")</f>
        <v/>
      </c>
      <c r="U178" s="2" t="str">
        <f>IF(OR(ROUND(raw_order_lines!J178*100,0)&lt;ROUND(INDEX(dim_products!$F$2:$F$21,MATCH($E178,dim_products!$A$2:$A$21,0))*100,0),ROUND(raw_order_lines!J178*100,0)&gt;ROUND(INDEX(dim_products!$G$2:$G$21,MATCH($E178,dim_products!$A$2:$A$21,0))*100,0)),"单价越界","")</f>
        <v/>
      </c>
      <c r="V178" s="2" t="str">
        <f t="shared" si="7"/>
        <v/>
      </c>
      <c r="W178" s="2" t="str">
        <f t="shared" si="8"/>
        <v>通过</v>
      </c>
    </row>
    <row r="179" spans="1:23" ht="15">
      <c r="A179" s="2" t="str">
        <f>raw_order_lines!A179</f>
        <v>SIM-20260905-C004</v>
      </c>
      <c r="B179" s="2">
        <f>raw_order_lines!B179</f>
        <v>6</v>
      </c>
      <c r="C179" s="2" t="str">
        <f>raw_order_lines!C179</f>
        <v>C004</v>
      </c>
      <c r="D179" s="3">
        <f>raw_order_lines!D179</f>
        <v>46270</v>
      </c>
      <c r="E179" s="2" t="str">
        <f>raw_order_lines!E179</f>
        <v>P013</v>
      </c>
      <c r="F179" s="2" t="str">
        <f>raw_order_lines!F179</f>
        <v>公斤</v>
      </c>
      <c r="G179" s="4">
        <f>raw_order_lines!G179</f>
        <v>8.6999999999999993</v>
      </c>
      <c r="H179" s="4">
        <f>raw_order_lines!H179</f>
        <v>8.6999999999999993</v>
      </c>
      <c r="I179" s="4">
        <f>raw_order_lines!I179</f>
        <v>0</v>
      </c>
      <c r="J179" s="5">
        <f>raw_order_lines!J179</f>
        <v>6.3</v>
      </c>
      <c r="K179" s="2" t="str">
        <f>raw_order_lines!K179</f>
        <v>正常交付</v>
      </c>
      <c r="L179" s="2" t="str">
        <f>raw_order_lines!L179</f>
        <v>true</v>
      </c>
      <c r="M179" s="2" t="str">
        <f>INDEX(dim_products!$B$2:$B$21,MATCH($E179,dim_products!$A$2:$A$21,0))</f>
        <v>豇豆</v>
      </c>
      <c r="N179" s="2" t="str">
        <f>INDEX(dim_products!$C$2:$C$21,MATCH($E179,dim_products!$A$2:$A$21,0))</f>
        <v>散装鲜菜</v>
      </c>
      <c r="O179" s="2" t="str">
        <f>INDEX(dim_customers!$B$2:$B$7,MATCH($C179,dim_customers!$A$2:$A$7,0))</f>
        <v>模拟_田畔饭店</v>
      </c>
      <c r="P179" s="6">
        <f>INT((ROUND(raw_order_lines!H179*10,0)*ROUND(raw_order_lines!J179*100,0)+5)/10)/100</f>
        <v>54.81</v>
      </c>
      <c r="Q179" s="6">
        <f>INT((ROUND(raw_order_lines!I179*10,0)*ROUND(raw_order_lines!J179*100,0)+5)/10)/100</f>
        <v>0</v>
      </c>
      <c r="R179" s="6">
        <f t="shared" si="6"/>
        <v>54.81</v>
      </c>
      <c r="S179" s="2" t="str">
        <f>IF(OR(ROUND(raw_order_lines!I179*10,0)&gt;ROUND(raw_order_lines!H179*10,0),ROUND(raw_order_lines!H179*10,0)&gt;ROUND(raw_order_lines!G179*10,0),ROUND(raw_order_lines!G179*10,0)&lt;=0),"数量关系异常","")</f>
        <v/>
      </c>
      <c r="T179" s="2" t="str">
        <f>IF($F179&lt;&gt;INDEX(dim_products!$D$2:$D$21,MATCH($E179,dim_products!$A$2:$A$21,0)),"单位不一致","")</f>
        <v/>
      </c>
      <c r="U179" s="2" t="str">
        <f>IF(OR(ROUND(raw_order_lines!J179*100,0)&lt;ROUND(INDEX(dim_products!$F$2:$F$21,MATCH($E179,dim_products!$A$2:$A$21,0))*100,0),ROUND(raw_order_lines!J179*100,0)&gt;ROUND(INDEX(dim_products!$G$2:$G$21,MATCH($E179,dim_products!$A$2:$A$21,0))*100,0)),"单价越界","")</f>
        <v/>
      </c>
      <c r="V179" s="2" t="str">
        <f t="shared" si="7"/>
        <v/>
      </c>
      <c r="W179" s="2" t="str">
        <f t="shared" si="8"/>
        <v>通过</v>
      </c>
    </row>
    <row r="180" spans="1:23" ht="15">
      <c r="A180" s="2" t="str">
        <f>raw_order_lines!A180</f>
        <v>SIM-20260905-C004</v>
      </c>
      <c r="B180" s="2">
        <f>raw_order_lines!B180</f>
        <v>7</v>
      </c>
      <c r="C180" s="2" t="str">
        <f>raw_order_lines!C180</f>
        <v>C004</v>
      </c>
      <c r="D180" s="3">
        <f>raw_order_lines!D180</f>
        <v>46270</v>
      </c>
      <c r="E180" s="2" t="str">
        <f>raw_order_lines!E180</f>
        <v>P016</v>
      </c>
      <c r="F180" s="2" t="str">
        <f>raw_order_lines!F180</f>
        <v>公斤</v>
      </c>
      <c r="G180" s="4">
        <f>raw_order_lines!G180</f>
        <v>5</v>
      </c>
      <c r="H180" s="4">
        <f>raw_order_lines!H180</f>
        <v>5</v>
      </c>
      <c r="I180" s="4">
        <f>raw_order_lines!I180</f>
        <v>0</v>
      </c>
      <c r="J180" s="5">
        <f>raw_order_lines!J180</f>
        <v>10.1</v>
      </c>
      <c r="K180" s="2" t="str">
        <f>raw_order_lines!K180</f>
        <v>正常交付</v>
      </c>
      <c r="L180" s="2" t="str">
        <f>raw_order_lines!L180</f>
        <v>true</v>
      </c>
      <c r="M180" s="2" t="str">
        <f>INDEX(dim_products!$B$2:$B$21,MATCH($E180,dim_products!$A$2:$A$21,0))</f>
        <v>鸡蛋</v>
      </c>
      <c r="N180" s="2" t="str">
        <f>INDEX(dim_products!$C$2:$C$21,MATCH($E180,dim_products!$A$2:$A$21,0))</f>
        <v>普通鲜鸡蛋按净重</v>
      </c>
      <c r="O180" s="2" t="str">
        <f>INDEX(dim_customers!$B$2:$B$7,MATCH($C180,dim_customers!$A$2:$A$7,0))</f>
        <v>模拟_田畔饭店</v>
      </c>
      <c r="P180" s="6">
        <f>INT((ROUND(raw_order_lines!H180*10,0)*ROUND(raw_order_lines!J180*100,0)+5)/10)/100</f>
        <v>50.5</v>
      </c>
      <c r="Q180" s="6">
        <f>INT((ROUND(raw_order_lines!I180*10,0)*ROUND(raw_order_lines!J180*100,0)+5)/10)/100</f>
        <v>0</v>
      </c>
      <c r="R180" s="6">
        <f t="shared" si="6"/>
        <v>50.5</v>
      </c>
      <c r="S180" s="2" t="str">
        <f>IF(OR(ROUND(raw_order_lines!I180*10,0)&gt;ROUND(raw_order_lines!H180*10,0),ROUND(raw_order_lines!H180*10,0)&gt;ROUND(raw_order_lines!G180*10,0),ROUND(raw_order_lines!G180*10,0)&lt;=0),"数量关系异常","")</f>
        <v/>
      </c>
      <c r="T180" s="2" t="str">
        <f>IF($F180&lt;&gt;INDEX(dim_products!$D$2:$D$21,MATCH($E180,dim_products!$A$2:$A$21,0)),"单位不一致","")</f>
        <v/>
      </c>
      <c r="U180" s="2" t="str">
        <f>IF(OR(ROUND(raw_order_lines!J180*100,0)&lt;ROUND(INDEX(dim_products!$F$2:$F$21,MATCH($E180,dim_products!$A$2:$A$21,0))*100,0),ROUND(raw_order_lines!J180*100,0)&gt;ROUND(INDEX(dim_products!$G$2:$G$21,MATCH($E180,dim_products!$A$2:$A$21,0))*100,0)),"单价越界","")</f>
        <v/>
      </c>
      <c r="V180" s="2" t="str">
        <f t="shared" si="7"/>
        <v/>
      </c>
      <c r="W180" s="2" t="str">
        <f t="shared" si="8"/>
        <v>通过</v>
      </c>
    </row>
    <row r="181" spans="1:23" ht="15">
      <c r="A181" s="2" t="str">
        <f>raw_order_lines!A181</f>
        <v>SIM-20260905-C006</v>
      </c>
      <c r="B181" s="2">
        <f>raw_order_lines!B181</f>
        <v>1</v>
      </c>
      <c r="C181" s="2" t="str">
        <f>raw_order_lines!C181</f>
        <v>C006</v>
      </c>
      <c r="D181" s="3">
        <f>raw_order_lines!D181</f>
        <v>46270</v>
      </c>
      <c r="E181" s="2" t="str">
        <f>raw_order_lines!E181</f>
        <v>P012</v>
      </c>
      <c r="F181" s="2" t="str">
        <f>raw_order_lines!F181</f>
        <v>公斤</v>
      </c>
      <c r="G181" s="4">
        <f>raw_order_lines!G181</f>
        <v>6.1</v>
      </c>
      <c r="H181" s="4">
        <f>raw_order_lines!H181</f>
        <v>6.1</v>
      </c>
      <c r="I181" s="4">
        <f>raw_order_lines!I181</f>
        <v>0</v>
      </c>
      <c r="J181" s="5">
        <f>raw_order_lines!J181</f>
        <v>4.5999999999999996</v>
      </c>
      <c r="K181" s="2" t="str">
        <f>raw_order_lines!K181</f>
        <v>正常交付</v>
      </c>
      <c r="L181" s="2" t="str">
        <f>raw_order_lines!L181</f>
        <v>true</v>
      </c>
      <c r="M181" s="2" t="str">
        <f>INDEX(dim_products!$B$2:$B$21,MATCH($E181,dim_products!$A$2:$A$21,0))</f>
        <v>小白菜</v>
      </c>
      <c r="N181" s="2" t="str">
        <f>INDEX(dim_products!$C$2:$C$21,MATCH($E181,dim_products!$A$2:$A$21,0))</f>
        <v>散装鲜菜</v>
      </c>
      <c r="O181" s="2" t="str">
        <f>INDEX(dim_customers!$B$2:$B$7,MATCH($C181,dim_customers!$A$2:$A$7,0))</f>
        <v>模拟_溪桥医院食堂</v>
      </c>
      <c r="P181" s="6">
        <f>INT((ROUND(raw_order_lines!H181*10,0)*ROUND(raw_order_lines!J181*100,0)+5)/10)/100</f>
        <v>28.06</v>
      </c>
      <c r="Q181" s="6">
        <f>INT((ROUND(raw_order_lines!I181*10,0)*ROUND(raw_order_lines!J181*100,0)+5)/10)/100</f>
        <v>0</v>
      </c>
      <c r="R181" s="6">
        <f t="shared" si="6"/>
        <v>28.06</v>
      </c>
      <c r="S181" s="2" t="str">
        <f>IF(OR(ROUND(raw_order_lines!I181*10,0)&gt;ROUND(raw_order_lines!H181*10,0),ROUND(raw_order_lines!H181*10,0)&gt;ROUND(raw_order_lines!G181*10,0),ROUND(raw_order_lines!G181*10,0)&lt;=0),"数量关系异常","")</f>
        <v/>
      </c>
      <c r="T181" s="2" t="str">
        <f>IF($F181&lt;&gt;INDEX(dim_products!$D$2:$D$21,MATCH($E181,dim_products!$A$2:$A$21,0)),"单位不一致","")</f>
        <v/>
      </c>
      <c r="U181" s="2" t="str">
        <f>IF(OR(ROUND(raw_order_lines!J181*100,0)&lt;ROUND(INDEX(dim_products!$F$2:$F$21,MATCH($E181,dim_products!$A$2:$A$21,0))*100,0),ROUND(raw_order_lines!J181*100,0)&gt;ROUND(INDEX(dim_products!$G$2:$G$21,MATCH($E181,dim_products!$A$2:$A$21,0))*100,0)),"单价越界","")</f>
        <v/>
      </c>
      <c r="V181" s="2" t="str">
        <f t="shared" si="7"/>
        <v/>
      </c>
      <c r="W181" s="2" t="str">
        <f t="shared" si="8"/>
        <v>通过</v>
      </c>
    </row>
    <row r="182" spans="1:23" ht="15">
      <c r="A182" s="2" t="str">
        <f>raw_order_lines!A182</f>
        <v>SIM-20260905-C006</v>
      </c>
      <c r="B182" s="2">
        <f>raw_order_lines!B182</f>
        <v>2</v>
      </c>
      <c r="C182" s="2" t="str">
        <f>raw_order_lines!C182</f>
        <v>C006</v>
      </c>
      <c r="D182" s="3">
        <f>raw_order_lines!D182</f>
        <v>46270</v>
      </c>
      <c r="E182" s="2" t="str">
        <f>raw_order_lines!E182</f>
        <v>P001</v>
      </c>
      <c r="F182" s="2" t="str">
        <f>raw_order_lines!F182</f>
        <v>公斤</v>
      </c>
      <c r="G182" s="4">
        <f>raw_order_lines!G182</f>
        <v>9.4</v>
      </c>
      <c r="H182" s="4">
        <f>raw_order_lines!H182</f>
        <v>8.9</v>
      </c>
      <c r="I182" s="4">
        <f>raw_order_lines!I182</f>
        <v>0</v>
      </c>
      <c r="J182" s="5">
        <f>raw_order_lines!J182</f>
        <v>3.3</v>
      </c>
      <c r="K182" s="2" t="str">
        <f>raw_order_lines!K182</f>
        <v>到货不足；按实际交付计费</v>
      </c>
      <c r="L182" s="2" t="str">
        <f>raw_order_lines!L182</f>
        <v>true</v>
      </c>
      <c r="M182" s="2" t="str">
        <f>INDEX(dim_products!$B$2:$B$21,MATCH($E182,dim_products!$A$2:$A$21,0))</f>
        <v>土豆</v>
      </c>
      <c r="N182" s="2" t="str">
        <f>INDEX(dim_products!$C$2:$C$21,MATCH($E182,dim_products!$A$2:$A$21,0))</f>
        <v>散装鲜菜</v>
      </c>
      <c r="O182" s="2" t="str">
        <f>INDEX(dim_customers!$B$2:$B$7,MATCH($C182,dim_customers!$A$2:$A$7,0))</f>
        <v>模拟_溪桥医院食堂</v>
      </c>
      <c r="P182" s="6">
        <f>INT((ROUND(raw_order_lines!H182*10,0)*ROUND(raw_order_lines!J182*100,0)+5)/10)/100</f>
        <v>29.37</v>
      </c>
      <c r="Q182" s="6">
        <f>INT((ROUND(raw_order_lines!I182*10,0)*ROUND(raw_order_lines!J182*100,0)+5)/10)/100</f>
        <v>0</v>
      </c>
      <c r="R182" s="6">
        <f t="shared" si="6"/>
        <v>29.37</v>
      </c>
      <c r="S182" s="2" t="str">
        <f>IF(OR(ROUND(raw_order_lines!I182*10,0)&gt;ROUND(raw_order_lines!H182*10,0),ROUND(raw_order_lines!H182*10,0)&gt;ROUND(raw_order_lines!G182*10,0),ROUND(raw_order_lines!G182*10,0)&lt;=0),"数量关系异常","")</f>
        <v/>
      </c>
      <c r="T182" s="2" t="str">
        <f>IF($F182&lt;&gt;INDEX(dim_products!$D$2:$D$21,MATCH($E182,dim_products!$A$2:$A$21,0)),"单位不一致","")</f>
        <v/>
      </c>
      <c r="U182" s="2" t="str">
        <f>IF(OR(ROUND(raw_order_lines!J182*100,0)&lt;ROUND(INDEX(dim_products!$F$2:$F$21,MATCH($E182,dim_products!$A$2:$A$21,0))*100,0),ROUND(raw_order_lines!J182*100,0)&gt;ROUND(INDEX(dim_products!$G$2:$G$21,MATCH($E182,dim_products!$A$2:$A$21,0))*100,0)),"单价越界","")</f>
        <v/>
      </c>
      <c r="V182" s="2" t="str">
        <f t="shared" si="7"/>
        <v/>
      </c>
      <c r="W182" s="2" t="str">
        <f t="shared" si="8"/>
        <v>通过</v>
      </c>
    </row>
    <row r="183" spans="1:23" ht="15">
      <c r="A183" s="2" t="str">
        <f>raw_order_lines!A183</f>
        <v>SIM-20260905-C006</v>
      </c>
      <c r="B183" s="2">
        <f>raw_order_lines!B183</f>
        <v>3</v>
      </c>
      <c r="C183" s="2" t="str">
        <f>raw_order_lines!C183</f>
        <v>C006</v>
      </c>
      <c r="D183" s="3">
        <f>raw_order_lines!D183</f>
        <v>46270</v>
      </c>
      <c r="E183" s="2" t="str">
        <f>raw_order_lines!E183</f>
        <v>P007</v>
      </c>
      <c r="F183" s="2" t="str">
        <f>raw_order_lines!F183</f>
        <v>公斤</v>
      </c>
      <c r="G183" s="4">
        <f>raw_order_lines!G183</f>
        <v>8.1</v>
      </c>
      <c r="H183" s="4">
        <f>raw_order_lines!H183</f>
        <v>8.1</v>
      </c>
      <c r="I183" s="4">
        <f>raw_order_lines!I183</f>
        <v>0</v>
      </c>
      <c r="J183" s="5">
        <f>raw_order_lines!J183</f>
        <v>5.15</v>
      </c>
      <c r="K183" s="2" t="str">
        <f>raw_order_lines!K183</f>
        <v>正常交付</v>
      </c>
      <c r="L183" s="2" t="str">
        <f>raw_order_lines!L183</f>
        <v>true</v>
      </c>
      <c r="M183" s="2" t="str">
        <f>INDEX(dim_products!$B$2:$B$21,MATCH($E183,dim_products!$A$2:$A$21,0))</f>
        <v>青椒</v>
      </c>
      <c r="N183" s="2" t="str">
        <f>INDEX(dim_products!$C$2:$C$21,MATCH($E183,dim_products!$A$2:$A$21,0))</f>
        <v>散装鲜菜</v>
      </c>
      <c r="O183" s="2" t="str">
        <f>INDEX(dim_customers!$B$2:$B$7,MATCH($C183,dim_customers!$A$2:$A$7,0))</f>
        <v>模拟_溪桥医院食堂</v>
      </c>
      <c r="P183" s="6">
        <f>INT((ROUND(raw_order_lines!H183*10,0)*ROUND(raw_order_lines!J183*100,0)+5)/10)/100</f>
        <v>41.72</v>
      </c>
      <c r="Q183" s="6">
        <f>INT((ROUND(raw_order_lines!I183*10,0)*ROUND(raw_order_lines!J183*100,0)+5)/10)/100</f>
        <v>0</v>
      </c>
      <c r="R183" s="6">
        <f t="shared" si="6"/>
        <v>41.72</v>
      </c>
      <c r="S183" s="2" t="str">
        <f>IF(OR(ROUND(raw_order_lines!I183*10,0)&gt;ROUND(raw_order_lines!H183*10,0),ROUND(raw_order_lines!H183*10,0)&gt;ROUND(raw_order_lines!G183*10,0),ROUND(raw_order_lines!G183*10,0)&lt;=0),"数量关系异常","")</f>
        <v/>
      </c>
      <c r="T183" s="2" t="str">
        <f>IF($F183&lt;&gt;INDEX(dim_products!$D$2:$D$21,MATCH($E183,dim_products!$A$2:$A$21,0)),"单位不一致","")</f>
        <v/>
      </c>
      <c r="U183" s="2" t="str">
        <f>IF(OR(ROUND(raw_order_lines!J183*100,0)&lt;ROUND(INDEX(dim_products!$F$2:$F$21,MATCH($E183,dim_products!$A$2:$A$21,0))*100,0),ROUND(raw_order_lines!J183*100,0)&gt;ROUND(INDEX(dim_products!$G$2:$G$21,MATCH($E183,dim_products!$A$2:$A$21,0))*100,0)),"单价越界","")</f>
        <v/>
      </c>
      <c r="V183" s="2" t="str">
        <f t="shared" si="7"/>
        <v/>
      </c>
      <c r="W183" s="2" t="str">
        <f t="shared" si="8"/>
        <v>通过</v>
      </c>
    </row>
    <row r="184" spans="1:23" ht="15">
      <c r="A184" s="2" t="str">
        <f>raw_order_lines!A184</f>
        <v>SIM-20260905-C006</v>
      </c>
      <c r="B184" s="2">
        <f>raw_order_lines!B184</f>
        <v>4</v>
      </c>
      <c r="C184" s="2" t="str">
        <f>raw_order_lines!C184</f>
        <v>C006</v>
      </c>
      <c r="D184" s="3">
        <f>raw_order_lines!D184</f>
        <v>46270</v>
      </c>
      <c r="E184" s="2" t="str">
        <f>raw_order_lines!E184</f>
        <v>P004</v>
      </c>
      <c r="F184" s="2" t="str">
        <f>raw_order_lines!F184</f>
        <v>公斤</v>
      </c>
      <c r="G184" s="4">
        <f>raw_order_lines!G184</f>
        <v>10.8</v>
      </c>
      <c r="H184" s="4">
        <f>raw_order_lines!H184</f>
        <v>10.8</v>
      </c>
      <c r="I184" s="4">
        <f>raw_order_lines!I184</f>
        <v>0</v>
      </c>
      <c r="J184" s="5">
        <f>raw_order_lines!J184</f>
        <v>2.2999999999999998</v>
      </c>
      <c r="K184" s="2" t="str">
        <f>raw_order_lines!K184</f>
        <v>正常交付</v>
      </c>
      <c r="L184" s="2" t="str">
        <f>raw_order_lines!L184</f>
        <v>true</v>
      </c>
      <c r="M184" s="2" t="str">
        <f>INDEX(dim_products!$B$2:$B$21,MATCH($E184,dim_products!$A$2:$A$21,0))</f>
        <v>冬瓜</v>
      </c>
      <c r="N184" s="2" t="str">
        <f>INDEX(dim_products!$C$2:$C$21,MATCH($E184,dim_products!$A$2:$A$21,0))</f>
        <v>散装鲜菜</v>
      </c>
      <c r="O184" s="2" t="str">
        <f>INDEX(dim_customers!$B$2:$B$7,MATCH($C184,dim_customers!$A$2:$A$7,0))</f>
        <v>模拟_溪桥医院食堂</v>
      </c>
      <c r="P184" s="6">
        <f>INT((ROUND(raw_order_lines!H184*10,0)*ROUND(raw_order_lines!J184*100,0)+5)/10)/100</f>
        <v>24.84</v>
      </c>
      <c r="Q184" s="6">
        <f>INT((ROUND(raw_order_lines!I184*10,0)*ROUND(raw_order_lines!J184*100,0)+5)/10)/100</f>
        <v>0</v>
      </c>
      <c r="R184" s="6">
        <f t="shared" si="6"/>
        <v>24.84</v>
      </c>
      <c r="S184" s="2" t="str">
        <f>IF(OR(ROUND(raw_order_lines!I184*10,0)&gt;ROUND(raw_order_lines!H184*10,0),ROUND(raw_order_lines!H184*10,0)&gt;ROUND(raw_order_lines!G184*10,0),ROUND(raw_order_lines!G184*10,0)&lt;=0),"数量关系异常","")</f>
        <v/>
      </c>
      <c r="T184" s="2" t="str">
        <f>IF($F184&lt;&gt;INDEX(dim_products!$D$2:$D$21,MATCH($E184,dim_products!$A$2:$A$21,0)),"单位不一致","")</f>
        <v/>
      </c>
      <c r="U184" s="2" t="str">
        <f>IF(OR(ROUND(raw_order_lines!J184*100,0)&lt;ROUND(INDEX(dim_products!$F$2:$F$21,MATCH($E184,dim_products!$A$2:$A$21,0))*100,0),ROUND(raw_order_lines!J184*100,0)&gt;ROUND(INDEX(dim_products!$G$2:$G$21,MATCH($E184,dim_products!$A$2:$A$21,0))*100,0)),"单价越界","")</f>
        <v/>
      </c>
      <c r="V184" s="2" t="str">
        <f t="shared" si="7"/>
        <v/>
      </c>
      <c r="W184" s="2" t="str">
        <f t="shared" si="8"/>
        <v>通过</v>
      </c>
    </row>
    <row r="185" spans="1:23" ht="15">
      <c r="A185" s="2" t="str">
        <f>raw_order_lines!A185</f>
        <v>SIM-20260905-C006</v>
      </c>
      <c r="B185" s="2">
        <f>raw_order_lines!B185</f>
        <v>5</v>
      </c>
      <c r="C185" s="2" t="str">
        <f>raw_order_lines!C185</f>
        <v>C006</v>
      </c>
      <c r="D185" s="3">
        <f>raw_order_lines!D185</f>
        <v>46270</v>
      </c>
      <c r="E185" s="2" t="str">
        <f>raw_order_lines!E185</f>
        <v>P003</v>
      </c>
      <c r="F185" s="2" t="str">
        <f>raw_order_lines!F185</f>
        <v>公斤</v>
      </c>
      <c r="G185" s="4">
        <f>raw_order_lines!G185</f>
        <v>8.1</v>
      </c>
      <c r="H185" s="4">
        <f>raw_order_lines!H185</f>
        <v>8.1</v>
      </c>
      <c r="I185" s="4">
        <f>raw_order_lines!I185</f>
        <v>0</v>
      </c>
      <c r="J185" s="5">
        <f>raw_order_lines!J185</f>
        <v>3.3</v>
      </c>
      <c r="K185" s="2" t="str">
        <f>raw_order_lines!K185</f>
        <v>正常交付</v>
      </c>
      <c r="L185" s="2" t="str">
        <f>raw_order_lines!L185</f>
        <v>true</v>
      </c>
      <c r="M185" s="2" t="str">
        <f>INDEX(dim_products!$B$2:$B$21,MATCH($E185,dim_products!$A$2:$A$21,0))</f>
        <v>包菜</v>
      </c>
      <c r="N185" s="2" t="str">
        <f>INDEX(dim_products!$C$2:$C$21,MATCH($E185,dim_products!$A$2:$A$21,0))</f>
        <v>散装鲜菜</v>
      </c>
      <c r="O185" s="2" t="str">
        <f>INDEX(dim_customers!$B$2:$B$7,MATCH($C185,dim_customers!$A$2:$A$7,0))</f>
        <v>模拟_溪桥医院食堂</v>
      </c>
      <c r="P185" s="6">
        <f>INT((ROUND(raw_order_lines!H185*10,0)*ROUND(raw_order_lines!J185*100,0)+5)/10)/100</f>
        <v>26.73</v>
      </c>
      <c r="Q185" s="6">
        <f>INT((ROUND(raw_order_lines!I185*10,0)*ROUND(raw_order_lines!J185*100,0)+5)/10)/100</f>
        <v>0</v>
      </c>
      <c r="R185" s="6">
        <f t="shared" si="6"/>
        <v>26.73</v>
      </c>
      <c r="S185" s="2" t="str">
        <f>IF(OR(ROUND(raw_order_lines!I185*10,0)&gt;ROUND(raw_order_lines!H185*10,0),ROUND(raw_order_lines!H185*10,0)&gt;ROUND(raw_order_lines!G185*10,0),ROUND(raw_order_lines!G185*10,0)&lt;=0),"数量关系异常","")</f>
        <v/>
      </c>
      <c r="T185" s="2" t="str">
        <f>IF($F185&lt;&gt;INDEX(dim_products!$D$2:$D$21,MATCH($E185,dim_products!$A$2:$A$21,0)),"单位不一致","")</f>
        <v/>
      </c>
      <c r="U185" s="2" t="str">
        <f>IF(OR(ROUND(raw_order_lines!J185*100,0)&lt;ROUND(INDEX(dim_products!$F$2:$F$21,MATCH($E185,dim_products!$A$2:$A$21,0))*100,0),ROUND(raw_order_lines!J185*100,0)&gt;ROUND(INDEX(dim_products!$G$2:$G$21,MATCH($E185,dim_products!$A$2:$A$21,0))*100,0)),"单价越界","")</f>
        <v/>
      </c>
      <c r="V185" s="2" t="str">
        <f t="shared" si="7"/>
        <v/>
      </c>
      <c r="W185" s="2" t="str">
        <f t="shared" si="8"/>
        <v>通过</v>
      </c>
    </row>
    <row r="186" spans="1:23" ht="15">
      <c r="A186" s="2" t="str">
        <f>raw_order_lines!A186</f>
        <v>SIM-20260905-C006</v>
      </c>
      <c r="B186" s="2">
        <f>raw_order_lines!B186</f>
        <v>6</v>
      </c>
      <c r="C186" s="2" t="str">
        <f>raw_order_lines!C186</f>
        <v>C006</v>
      </c>
      <c r="D186" s="3">
        <f>raw_order_lines!D186</f>
        <v>46270</v>
      </c>
      <c r="E186" s="2" t="str">
        <f>raw_order_lines!E186</f>
        <v>P009</v>
      </c>
      <c r="F186" s="2" t="str">
        <f>raw_order_lines!F186</f>
        <v>公斤</v>
      </c>
      <c r="G186" s="4">
        <f>raw_order_lines!G186</f>
        <v>7.4</v>
      </c>
      <c r="H186" s="4">
        <f>raw_order_lines!H186</f>
        <v>7.4</v>
      </c>
      <c r="I186" s="4">
        <f>raw_order_lines!I186</f>
        <v>0</v>
      </c>
      <c r="J186" s="5">
        <f>raw_order_lines!J186</f>
        <v>5</v>
      </c>
      <c r="K186" s="2" t="str">
        <f>raw_order_lines!K186</f>
        <v>正常交付</v>
      </c>
      <c r="L186" s="2" t="str">
        <f>raw_order_lines!L186</f>
        <v>true</v>
      </c>
      <c r="M186" s="2" t="str">
        <f>INDEX(dim_products!$B$2:$B$21,MATCH($E186,dim_products!$A$2:$A$21,0))</f>
        <v>西红柿</v>
      </c>
      <c r="N186" s="2" t="str">
        <f>INDEX(dim_products!$C$2:$C$21,MATCH($E186,dim_products!$A$2:$A$21,0))</f>
        <v>散装鲜菜</v>
      </c>
      <c r="O186" s="2" t="str">
        <f>INDEX(dim_customers!$B$2:$B$7,MATCH($C186,dim_customers!$A$2:$A$7,0))</f>
        <v>模拟_溪桥医院食堂</v>
      </c>
      <c r="P186" s="6">
        <f>INT((ROUND(raw_order_lines!H186*10,0)*ROUND(raw_order_lines!J186*100,0)+5)/10)/100</f>
        <v>37</v>
      </c>
      <c r="Q186" s="6">
        <f>INT((ROUND(raw_order_lines!I186*10,0)*ROUND(raw_order_lines!J186*100,0)+5)/10)/100</f>
        <v>0</v>
      </c>
      <c r="R186" s="6">
        <f t="shared" si="6"/>
        <v>37</v>
      </c>
      <c r="S186" s="2" t="str">
        <f>IF(OR(ROUND(raw_order_lines!I186*10,0)&gt;ROUND(raw_order_lines!H186*10,0),ROUND(raw_order_lines!H186*10,0)&gt;ROUND(raw_order_lines!G186*10,0),ROUND(raw_order_lines!G186*10,0)&lt;=0),"数量关系异常","")</f>
        <v/>
      </c>
      <c r="T186" s="2" t="str">
        <f>IF($F186&lt;&gt;INDEX(dim_products!$D$2:$D$21,MATCH($E186,dim_products!$A$2:$A$21,0)),"单位不一致","")</f>
        <v/>
      </c>
      <c r="U186" s="2" t="str">
        <f>IF(OR(ROUND(raw_order_lines!J186*100,0)&lt;ROUND(INDEX(dim_products!$F$2:$F$21,MATCH($E186,dim_products!$A$2:$A$21,0))*100,0),ROUND(raw_order_lines!J186*100,0)&gt;ROUND(INDEX(dim_products!$G$2:$G$21,MATCH($E186,dim_products!$A$2:$A$21,0))*100,0)),"单价越界","")</f>
        <v/>
      </c>
      <c r="V186" s="2" t="str">
        <f t="shared" si="7"/>
        <v/>
      </c>
      <c r="W186" s="2" t="str">
        <f t="shared" si="8"/>
        <v>通过</v>
      </c>
    </row>
    <row r="187" spans="1:23" ht="15">
      <c r="A187" s="2" t="str">
        <f>raw_order_lines!A187</f>
        <v>SIM-20260905-C006</v>
      </c>
      <c r="B187" s="2">
        <f>raw_order_lines!B187</f>
        <v>7</v>
      </c>
      <c r="C187" s="2" t="str">
        <f>raw_order_lines!C187</f>
        <v>C006</v>
      </c>
      <c r="D187" s="3">
        <f>raw_order_lines!D187</f>
        <v>46270</v>
      </c>
      <c r="E187" s="2" t="str">
        <f>raw_order_lines!E187</f>
        <v>P016</v>
      </c>
      <c r="F187" s="2" t="str">
        <f>raw_order_lines!F187</f>
        <v>公斤</v>
      </c>
      <c r="G187" s="4">
        <f>raw_order_lines!G187</f>
        <v>9</v>
      </c>
      <c r="H187" s="4">
        <f>raw_order_lines!H187</f>
        <v>9</v>
      </c>
      <c r="I187" s="4">
        <f>raw_order_lines!I187</f>
        <v>0</v>
      </c>
      <c r="J187" s="5">
        <f>raw_order_lines!J187</f>
        <v>10.1</v>
      </c>
      <c r="K187" s="2" t="str">
        <f>raw_order_lines!K187</f>
        <v>正常交付</v>
      </c>
      <c r="L187" s="2" t="str">
        <f>raw_order_lines!L187</f>
        <v>true</v>
      </c>
      <c r="M187" s="2" t="str">
        <f>INDEX(dim_products!$B$2:$B$21,MATCH($E187,dim_products!$A$2:$A$21,0))</f>
        <v>鸡蛋</v>
      </c>
      <c r="N187" s="2" t="str">
        <f>INDEX(dim_products!$C$2:$C$21,MATCH($E187,dim_products!$A$2:$A$21,0))</f>
        <v>普通鲜鸡蛋按净重</v>
      </c>
      <c r="O187" s="2" t="str">
        <f>INDEX(dim_customers!$B$2:$B$7,MATCH($C187,dim_customers!$A$2:$A$7,0))</f>
        <v>模拟_溪桥医院食堂</v>
      </c>
      <c r="P187" s="6">
        <f>INT((ROUND(raw_order_lines!H187*10,0)*ROUND(raw_order_lines!J187*100,0)+5)/10)/100</f>
        <v>90.9</v>
      </c>
      <c r="Q187" s="6">
        <f>INT((ROUND(raw_order_lines!I187*10,0)*ROUND(raw_order_lines!J187*100,0)+5)/10)/100</f>
        <v>0</v>
      </c>
      <c r="R187" s="6">
        <f t="shared" si="6"/>
        <v>90.9</v>
      </c>
      <c r="S187" s="2" t="str">
        <f>IF(OR(ROUND(raw_order_lines!I187*10,0)&gt;ROUND(raw_order_lines!H187*10,0),ROUND(raw_order_lines!H187*10,0)&gt;ROUND(raw_order_lines!G187*10,0),ROUND(raw_order_lines!G187*10,0)&lt;=0),"数量关系异常","")</f>
        <v/>
      </c>
      <c r="T187" s="2" t="str">
        <f>IF($F187&lt;&gt;INDEX(dim_products!$D$2:$D$21,MATCH($E187,dim_products!$A$2:$A$21,0)),"单位不一致","")</f>
        <v/>
      </c>
      <c r="U187" s="2" t="str">
        <f>IF(OR(ROUND(raw_order_lines!J187*100,0)&lt;ROUND(INDEX(dim_products!$F$2:$F$21,MATCH($E187,dim_products!$A$2:$A$21,0))*100,0),ROUND(raw_order_lines!J187*100,0)&gt;ROUND(INDEX(dim_products!$G$2:$G$21,MATCH($E187,dim_products!$A$2:$A$21,0))*100,0)),"单价越界","")</f>
        <v/>
      </c>
      <c r="V187" s="2" t="str">
        <f t="shared" si="7"/>
        <v/>
      </c>
      <c r="W187" s="2" t="str">
        <f t="shared" si="8"/>
        <v>通过</v>
      </c>
    </row>
    <row r="188" spans="1:23" ht="15">
      <c r="A188" s="2" t="str">
        <f>raw_order_lines!A188</f>
        <v>SIM-20260906-C002</v>
      </c>
      <c r="B188" s="2">
        <f>raw_order_lines!B188</f>
        <v>1</v>
      </c>
      <c r="C188" s="2" t="str">
        <f>raw_order_lines!C188</f>
        <v>C002</v>
      </c>
      <c r="D188" s="3">
        <f>raw_order_lines!D188</f>
        <v>46271</v>
      </c>
      <c r="E188" s="2" t="str">
        <f>raw_order_lines!E188</f>
        <v>P012</v>
      </c>
      <c r="F188" s="2" t="str">
        <f>raw_order_lines!F188</f>
        <v>公斤</v>
      </c>
      <c r="G188" s="4">
        <f>raw_order_lines!G188</f>
        <v>7.8</v>
      </c>
      <c r="H188" s="4">
        <f>raw_order_lines!H188</f>
        <v>7.8</v>
      </c>
      <c r="I188" s="4">
        <f>raw_order_lines!I188</f>
        <v>0.3</v>
      </c>
      <c r="J188" s="5">
        <f>raw_order_lines!J188</f>
        <v>4.5999999999999996</v>
      </c>
      <c r="K188" s="2" t="str">
        <f>raw_order_lines!K188</f>
        <v>正常交付；签收时挑出黄叶退回</v>
      </c>
      <c r="L188" s="2" t="str">
        <f>raw_order_lines!L188</f>
        <v>true</v>
      </c>
      <c r="M188" s="2" t="str">
        <f>INDEX(dim_products!$B$2:$B$21,MATCH($E188,dim_products!$A$2:$A$21,0))</f>
        <v>小白菜</v>
      </c>
      <c r="N188" s="2" t="str">
        <f>INDEX(dim_products!$C$2:$C$21,MATCH($E188,dim_products!$A$2:$A$21,0))</f>
        <v>散装鲜菜</v>
      </c>
      <c r="O188" s="2" t="str">
        <f>INDEX(dim_customers!$B$2:$B$7,MATCH($C188,dim_customers!$A$2:$A$7,0))</f>
        <v>模拟_桥头家常菜馆</v>
      </c>
      <c r="P188" s="6">
        <f>INT((ROUND(raw_order_lines!H188*10,0)*ROUND(raw_order_lines!J188*100,0)+5)/10)/100</f>
        <v>35.880000000000003</v>
      </c>
      <c r="Q188" s="6">
        <f>INT((ROUND(raw_order_lines!I188*10,0)*ROUND(raw_order_lines!J188*100,0)+5)/10)/100</f>
        <v>1.38</v>
      </c>
      <c r="R188" s="6">
        <f t="shared" si="6"/>
        <v>34.5</v>
      </c>
      <c r="S188" s="2" t="str">
        <f>IF(OR(ROUND(raw_order_lines!I188*10,0)&gt;ROUND(raw_order_lines!H188*10,0),ROUND(raw_order_lines!H188*10,0)&gt;ROUND(raw_order_lines!G188*10,0),ROUND(raw_order_lines!G188*10,0)&lt;=0),"数量关系异常","")</f>
        <v/>
      </c>
      <c r="T188" s="2" t="str">
        <f>IF($F188&lt;&gt;INDEX(dim_products!$D$2:$D$21,MATCH($E188,dim_products!$A$2:$A$21,0)),"单位不一致","")</f>
        <v/>
      </c>
      <c r="U188" s="2" t="str">
        <f>IF(OR(ROUND(raw_order_lines!J188*100,0)&lt;ROUND(INDEX(dim_products!$F$2:$F$21,MATCH($E188,dim_products!$A$2:$A$21,0))*100,0),ROUND(raw_order_lines!J188*100,0)&gt;ROUND(INDEX(dim_products!$G$2:$G$21,MATCH($E188,dim_products!$A$2:$A$21,0))*100,0)),"单价越界","")</f>
        <v/>
      </c>
      <c r="V188" s="2" t="str">
        <f t="shared" si="7"/>
        <v/>
      </c>
      <c r="W188" s="2" t="str">
        <f t="shared" si="8"/>
        <v>通过</v>
      </c>
    </row>
    <row r="189" spans="1:23" ht="15">
      <c r="A189" s="2" t="str">
        <f>raw_order_lines!A189</f>
        <v>SIM-20260906-C002</v>
      </c>
      <c r="B189" s="2">
        <f>raw_order_lines!B189</f>
        <v>2</v>
      </c>
      <c r="C189" s="2" t="str">
        <f>raw_order_lines!C189</f>
        <v>C002</v>
      </c>
      <c r="D189" s="3">
        <f>raw_order_lines!D189</f>
        <v>46271</v>
      </c>
      <c r="E189" s="2" t="str">
        <f>raw_order_lines!E189</f>
        <v>P006</v>
      </c>
      <c r="F189" s="2" t="str">
        <f>raw_order_lines!F189</f>
        <v>公斤</v>
      </c>
      <c r="G189" s="4">
        <f>raw_order_lines!G189</f>
        <v>6.7</v>
      </c>
      <c r="H189" s="4">
        <f>raw_order_lines!H189</f>
        <v>6.7</v>
      </c>
      <c r="I189" s="4">
        <f>raw_order_lines!I189</f>
        <v>0</v>
      </c>
      <c r="J189" s="5">
        <f>raw_order_lines!J189</f>
        <v>4.5999999999999996</v>
      </c>
      <c r="K189" s="2" t="str">
        <f>raw_order_lines!K189</f>
        <v>正常交付</v>
      </c>
      <c r="L189" s="2" t="str">
        <f>raw_order_lines!L189</f>
        <v>true</v>
      </c>
      <c r="M189" s="2" t="str">
        <f>INDEX(dim_products!$B$2:$B$21,MATCH($E189,dim_products!$A$2:$A$21,0))</f>
        <v>茄子</v>
      </c>
      <c r="N189" s="2" t="str">
        <f>INDEX(dim_products!$C$2:$C$21,MATCH($E189,dim_products!$A$2:$A$21,0))</f>
        <v>散装鲜菜</v>
      </c>
      <c r="O189" s="2" t="str">
        <f>INDEX(dim_customers!$B$2:$B$7,MATCH($C189,dim_customers!$A$2:$A$7,0))</f>
        <v>模拟_桥头家常菜馆</v>
      </c>
      <c r="P189" s="6">
        <f>INT((ROUND(raw_order_lines!H189*10,0)*ROUND(raw_order_lines!J189*100,0)+5)/10)/100</f>
        <v>30.82</v>
      </c>
      <c r="Q189" s="6">
        <f>INT((ROUND(raw_order_lines!I189*10,0)*ROUND(raw_order_lines!J189*100,0)+5)/10)/100</f>
        <v>0</v>
      </c>
      <c r="R189" s="6">
        <f t="shared" si="6"/>
        <v>30.82</v>
      </c>
      <c r="S189" s="2" t="str">
        <f>IF(OR(ROUND(raw_order_lines!I189*10,0)&gt;ROUND(raw_order_lines!H189*10,0),ROUND(raw_order_lines!H189*10,0)&gt;ROUND(raw_order_lines!G189*10,0),ROUND(raw_order_lines!G189*10,0)&lt;=0),"数量关系异常","")</f>
        <v/>
      </c>
      <c r="T189" s="2" t="str">
        <f>IF($F189&lt;&gt;INDEX(dim_products!$D$2:$D$21,MATCH($E189,dim_products!$A$2:$A$21,0)),"单位不一致","")</f>
        <v/>
      </c>
      <c r="U189" s="2" t="str">
        <f>IF(OR(ROUND(raw_order_lines!J189*100,0)&lt;ROUND(INDEX(dim_products!$F$2:$F$21,MATCH($E189,dim_products!$A$2:$A$21,0))*100,0),ROUND(raw_order_lines!J189*100,0)&gt;ROUND(INDEX(dim_products!$G$2:$G$21,MATCH($E189,dim_products!$A$2:$A$21,0))*100,0)),"单价越界","")</f>
        <v/>
      </c>
      <c r="V189" s="2" t="str">
        <f t="shared" si="7"/>
        <v/>
      </c>
      <c r="W189" s="2" t="str">
        <f t="shared" si="8"/>
        <v>通过</v>
      </c>
    </row>
    <row r="190" spans="1:23" ht="15">
      <c r="A190" s="2" t="str">
        <f>raw_order_lines!A190</f>
        <v>SIM-20260906-C002</v>
      </c>
      <c r="B190" s="2">
        <f>raw_order_lines!B190</f>
        <v>3</v>
      </c>
      <c r="C190" s="2" t="str">
        <f>raw_order_lines!C190</f>
        <v>C002</v>
      </c>
      <c r="D190" s="3">
        <f>raw_order_lines!D190</f>
        <v>46271</v>
      </c>
      <c r="E190" s="2" t="str">
        <f>raw_order_lines!E190</f>
        <v>P008</v>
      </c>
      <c r="F190" s="2" t="str">
        <f>raw_order_lines!F190</f>
        <v>公斤</v>
      </c>
      <c r="G190" s="4">
        <f>raw_order_lines!G190</f>
        <v>4.0999999999999996</v>
      </c>
      <c r="H190" s="4">
        <f>raw_order_lines!H190</f>
        <v>4.0999999999999996</v>
      </c>
      <c r="I190" s="4">
        <f>raw_order_lines!I190</f>
        <v>0</v>
      </c>
      <c r="J190" s="5">
        <f>raw_order_lines!J190</f>
        <v>4.0999999999999996</v>
      </c>
      <c r="K190" s="2" t="str">
        <f>raw_order_lines!K190</f>
        <v>正常交付</v>
      </c>
      <c r="L190" s="2" t="str">
        <f>raw_order_lines!L190</f>
        <v>true</v>
      </c>
      <c r="M190" s="2" t="str">
        <f>INDEX(dim_products!$B$2:$B$21,MATCH($E190,dim_products!$A$2:$A$21,0))</f>
        <v>黄瓜</v>
      </c>
      <c r="N190" s="2" t="str">
        <f>INDEX(dim_products!$C$2:$C$21,MATCH($E190,dim_products!$A$2:$A$21,0))</f>
        <v>散装鲜菜</v>
      </c>
      <c r="O190" s="2" t="str">
        <f>INDEX(dim_customers!$B$2:$B$7,MATCH($C190,dim_customers!$A$2:$A$7,0))</f>
        <v>模拟_桥头家常菜馆</v>
      </c>
      <c r="P190" s="6">
        <f>INT((ROUND(raw_order_lines!H190*10,0)*ROUND(raw_order_lines!J190*100,0)+5)/10)/100</f>
        <v>16.809999999999999</v>
      </c>
      <c r="Q190" s="6">
        <f>INT((ROUND(raw_order_lines!I190*10,0)*ROUND(raw_order_lines!J190*100,0)+5)/10)/100</f>
        <v>0</v>
      </c>
      <c r="R190" s="6">
        <f t="shared" si="6"/>
        <v>16.809999999999999</v>
      </c>
      <c r="S190" s="2" t="str">
        <f>IF(OR(ROUND(raw_order_lines!I190*10,0)&gt;ROUND(raw_order_lines!H190*10,0),ROUND(raw_order_lines!H190*10,0)&gt;ROUND(raw_order_lines!G190*10,0),ROUND(raw_order_lines!G190*10,0)&lt;=0),"数量关系异常","")</f>
        <v/>
      </c>
      <c r="T190" s="2" t="str">
        <f>IF($F190&lt;&gt;INDEX(dim_products!$D$2:$D$21,MATCH($E190,dim_products!$A$2:$A$21,0)),"单位不一致","")</f>
        <v/>
      </c>
      <c r="U190" s="2" t="str">
        <f>IF(OR(ROUND(raw_order_lines!J190*100,0)&lt;ROUND(INDEX(dim_products!$F$2:$F$21,MATCH($E190,dim_products!$A$2:$A$21,0))*100,0),ROUND(raw_order_lines!J190*100,0)&gt;ROUND(INDEX(dim_products!$G$2:$G$21,MATCH($E190,dim_products!$A$2:$A$21,0))*100,0)),"单价越界","")</f>
        <v/>
      </c>
      <c r="V190" s="2" t="str">
        <f t="shared" si="7"/>
        <v/>
      </c>
      <c r="W190" s="2" t="str">
        <f t="shared" si="8"/>
        <v>通过</v>
      </c>
    </row>
    <row r="191" spans="1:23" ht="15">
      <c r="A191" s="2" t="str">
        <f>raw_order_lines!A191</f>
        <v>SIM-20260906-C002</v>
      </c>
      <c r="B191" s="2">
        <f>raw_order_lines!B191</f>
        <v>4</v>
      </c>
      <c r="C191" s="2" t="str">
        <f>raw_order_lines!C191</f>
        <v>C002</v>
      </c>
      <c r="D191" s="3">
        <f>raw_order_lines!D191</f>
        <v>46271</v>
      </c>
      <c r="E191" s="2" t="str">
        <f>raw_order_lines!E191</f>
        <v>P014</v>
      </c>
      <c r="F191" s="2" t="str">
        <f>raw_order_lines!F191</f>
        <v>公斤</v>
      </c>
      <c r="G191" s="4">
        <f>raw_order_lines!G191</f>
        <v>7.2</v>
      </c>
      <c r="H191" s="4">
        <f>raw_order_lines!H191</f>
        <v>7.2</v>
      </c>
      <c r="I191" s="4">
        <f>raw_order_lines!I191</f>
        <v>0</v>
      </c>
      <c r="J191" s="5">
        <f>raw_order_lines!J191</f>
        <v>4.7</v>
      </c>
      <c r="K191" s="2" t="str">
        <f>raw_order_lines!K191</f>
        <v>正常交付</v>
      </c>
      <c r="L191" s="2" t="str">
        <f>raw_order_lines!L191</f>
        <v>true</v>
      </c>
      <c r="M191" s="2" t="str">
        <f>INDEX(dim_products!$B$2:$B$21,MATCH($E191,dim_products!$A$2:$A$21,0))</f>
        <v>丝瓜</v>
      </c>
      <c r="N191" s="2" t="str">
        <f>INDEX(dim_products!$C$2:$C$21,MATCH($E191,dim_products!$A$2:$A$21,0))</f>
        <v>散装鲜菜</v>
      </c>
      <c r="O191" s="2" t="str">
        <f>INDEX(dim_customers!$B$2:$B$7,MATCH($C191,dim_customers!$A$2:$A$7,0))</f>
        <v>模拟_桥头家常菜馆</v>
      </c>
      <c r="P191" s="6">
        <f>INT((ROUND(raw_order_lines!H191*10,0)*ROUND(raw_order_lines!J191*100,0)+5)/10)/100</f>
        <v>33.840000000000003</v>
      </c>
      <c r="Q191" s="6">
        <f>INT((ROUND(raw_order_lines!I191*10,0)*ROUND(raw_order_lines!J191*100,0)+5)/10)/100</f>
        <v>0</v>
      </c>
      <c r="R191" s="6">
        <f t="shared" si="6"/>
        <v>33.840000000000003</v>
      </c>
      <c r="S191" s="2" t="str">
        <f>IF(OR(ROUND(raw_order_lines!I191*10,0)&gt;ROUND(raw_order_lines!H191*10,0),ROUND(raw_order_lines!H191*10,0)&gt;ROUND(raw_order_lines!G191*10,0),ROUND(raw_order_lines!G191*10,0)&lt;=0),"数量关系异常","")</f>
        <v/>
      </c>
      <c r="T191" s="2" t="str">
        <f>IF($F191&lt;&gt;INDEX(dim_products!$D$2:$D$21,MATCH($E191,dim_products!$A$2:$A$21,0)),"单位不一致","")</f>
        <v/>
      </c>
      <c r="U191" s="2" t="str">
        <f>IF(OR(ROUND(raw_order_lines!J191*100,0)&lt;ROUND(INDEX(dim_products!$F$2:$F$21,MATCH($E191,dim_products!$A$2:$A$21,0))*100,0),ROUND(raw_order_lines!J191*100,0)&gt;ROUND(INDEX(dim_products!$G$2:$G$21,MATCH($E191,dim_products!$A$2:$A$21,0))*100,0)),"单价越界","")</f>
        <v/>
      </c>
      <c r="V191" s="2" t="str">
        <f t="shared" si="7"/>
        <v/>
      </c>
      <c r="W191" s="2" t="str">
        <f t="shared" si="8"/>
        <v>通过</v>
      </c>
    </row>
    <row r="192" spans="1:23" ht="15">
      <c r="A192" s="2" t="str">
        <f>raw_order_lines!A192</f>
        <v>SIM-20260906-C002</v>
      </c>
      <c r="B192" s="2">
        <f>raw_order_lines!B192</f>
        <v>5</v>
      </c>
      <c r="C192" s="2" t="str">
        <f>raw_order_lines!C192</f>
        <v>C002</v>
      </c>
      <c r="D192" s="3">
        <f>raw_order_lines!D192</f>
        <v>46271</v>
      </c>
      <c r="E192" s="2" t="str">
        <f>raw_order_lines!E192</f>
        <v>P007</v>
      </c>
      <c r="F192" s="2" t="str">
        <f>raw_order_lines!F192</f>
        <v>公斤</v>
      </c>
      <c r="G192" s="4">
        <f>raw_order_lines!G192</f>
        <v>6.7</v>
      </c>
      <c r="H192" s="4">
        <f>raw_order_lines!H192</f>
        <v>6.7</v>
      </c>
      <c r="I192" s="4">
        <f>raw_order_lines!I192</f>
        <v>0</v>
      </c>
      <c r="J192" s="5">
        <f>raw_order_lines!J192</f>
        <v>5.15</v>
      </c>
      <c r="K192" s="2" t="str">
        <f>raw_order_lines!K192</f>
        <v>正常交付</v>
      </c>
      <c r="L192" s="2" t="str">
        <f>raw_order_lines!L192</f>
        <v>true</v>
      </c>
      <c r="M192" s="2" t="str">
        <f>INDEX(dim_products!$B$2:$B$21,MATCH($E192,dim_products!$A$2:$A$21,0))</f>
        <v>青椒</v>
      </c>
      <c r="N192" s="2" t="str">
        <f>INDEX(dim_products!$C$2:$C$21,MATCH($E192,dim_products!$A$2:$A$21,0))</f>
        <v>散装鲜菜</v>
      </c>
      <c r="O192" s="2" t="str">
        <f>INDEX(dim_customers!$B$2:$B$7,MATCH($C192,dim_customers!$A$2:$A$7,0))</f>
        <v>模拟_桥头家常菜馆</v>
      </c>
      <c r="P192" s="6">
        <f>INT((ROUND(raw_order_lines!H192*10,0)*ROUND(raw_order_lines!J192*100,0)+5)/10)/100</f>
        <v>34.51</v>
      </c>
      <c r="Q192" s="6">
        <f>INT((ROUND(raw_order_lines!I192*10,0)*ROUND(raw_order_lines!J192*100,0)+5)/10)/100</f>
        <v>0</v>
      </c>
      <c r="R192" s="6">
        <f t="shared" si="6"/>
        <v>34.51</v>
      </c>
      <c r="S192" s="2" t="str">
        <f>IF(OR(ROUND(raw_order_lines!I192*10,0)&gt;ROUND(raw_order_lines!H192*10,0),ROUND(raw_order_lines!H192*10,0)&gt;ROUND(raw_order_lines!G192*10,0),ROUND(raw_order_lines!G192*10,0)&lt;=0),"数量关系异常","")</f>
        <v/>
      </c>
      <c r="T192" s="2" t="str">
        <f>IF($F192&lt;&gt;INDEX(dim_products!$D$2:$D$21,MATCH($E192,dim_products!$A$2:$A$21,0)),"单位不一致","")</f>
        <v/>
      </c>
      <c r="U192" s="2" t="str">
        <f>IF(OR(ROUND(raw_order_lines!J192*100,0)&lt;ROUND(INDEX(dim_products!$F$2:$F$21,MATCH($E192,dim_products!$A$2:$A$21,0))*100,0),ROUND(raw_order_lines!J192*100,0)&gt;ROUND(INDEX(dim_products!$G$2:$G$21,MATCH($E192,dim_products!$A$2:$A$21,0))*100,0)),"单价越界","")</f>
        <v/>
      </c>
      <c r="V192" s="2" t="str">
        <f t="shared" si="7"/>
        <v/>
      </c>
      <c r="W192" s="2" t="str">
        <f t="shared" si="8"/>
        <v>通过</v>
      </c>
    </row>
    <row r="193" spans="1:23" ht="15">
      <c r="A193" s="2" t="str">
        <f>raw_order_lines!A193</f>
        <v>SIM-20260906-C002</v>
      </c>
      <c r="B193" s="2">
        <f>raw_order_lines!B193</f>
        <v>6</v>
      </c>
      <c r="C193" s="2" t="str">
        <f>raw_order_lines!C193</f>
        <v>C002</v>
      </c>
      <c r="D193" s="3">
        <f>raw_order_lines!D193</f>
        <v>46271</v>
      </c>
      <c r="E193" s="2" t="str">
        <f>raw_order_lines!E193</f>
        <v>P017</v>
      </c>
      <c r="F193" s="2" t="str">
        <f>raw_order_lines!F193</f>
        <v>袋</v>
      </c>
      <c r="G193" s="4">
        <f>raw_order_lines!G193</f>
        <v>3</v>
      </c>
      <c r="H193" s="4">
        <f>raw_order_lines!H193</f>
        <v>3</v>
      </c>
      <c r="I193" s="4">
        <f>raw_order_lines!I193</f>
        <v>0</v>
      </c>
      <c r="J193" s="5">
        <f>raw_order_lines!J193</f>
        <v>118</v>
      </c>
      <c r="K193" s="2" t="str">
        <f>raw_order_lines!K193</f>
        <v>正常交付</v>
      </c>
      <c r="L193" s="2" t="str">
        <f>raw_order_lines!L193</f>
        <v>true</v>
      </c>
      <c r="M193" s="2" t="str">
        <f>INDEX(dim_products!$B$2:$B$21,MATCH($E193,dim_products!$A$2:$A$21,0))</f>
        <v>籼米</v>
      </c>
      <c r="N193" s="2" t="str">
        <f>INDEX(dim_products!$C$2:$C$21,MATCH($E193,dim_products!$A$2:$A$21,0))</f>
        <v>25公斤/袋普通籼米</v>
      </c>
      <c r="O193" s="2" t="str">
        <f>INDEX(dim_customers!$B$2:$B$7,MATCH($C193,dim_customers!$A$2:$A$7,0))</f>
        <v>模拟_桥头家常菜馆</v>
      </c>
      <c r="P193" s="6">
        <f>INT((ROUND(raw_order_lines!H193*10,0)*ROUND(raw_order_lines!J193*100,0)+5)/10)/100</f>
        <v>354</v>
      </c>
      <c r="Q193" s="6">
        <f>INT((ROUND(raw_order_lines!I193*10,0)*ROUND(raw_order_lines!J193*100,0)+5)/10)/100</f>
        <v>0</v>
      </c>
      <c r="R193" s="6">
        <f t="shared" si="6"/>
        <v>354</v>
      </c>
      <c r="S193" s="2" t="str">
        <f>IF(OR(ROUND(raw_order_lines!I193*10,0)&gt;ROUND(raw_order_lines!H193*10,0),ROUND(raw_order_lines!H193*10,0)&gt;ROUND(raw_order_lines!G193*10,0),ROUND(raw_order_lines!G193*10,0)&lt;=0),"数量关系异常","")</f>
        <v/>
      </c>
      <c r="T193" s="2" t="str">
        <f>IF($F193&lt;&gt;INDEX(dim_products!$D$2:$D$21,MATCH($E193,dim_products!$A$2:$A$21,0)),"单位不一致","")</f>
        <v/>
      </c>
      <c r="U193" s="2" t="str">
        <f>IF(OR(ROUND(raw_order_lines!J193*100,0)&lt;ROUND(INDEX(dim_products!$F$2:$F$21,MATCH($E193,dim_products!$A$2:$A$21,0))*100,0),ROUND(raw_order_lines!J193*100,0)&gt;ROUND(INDEX(dim_products!$G$2:$G$21,MATCH($E193,dim_products!$A$2:$A$21,0))*100,0)),"单价越界","")</f>
        <v/>
      </c>
      <c r="V193" s="2" t="str">
        <f t="shared" si="7"/>
        <v/>
      </c>
      <c r="W193" s="2" t="str">
        <f t="shared" si="8"/>
        <v>通过</v>
      </c>
    </row>
    <row r="194" spans="1:23" ht="15">
      <c r="A194" s="2" t="str">
        <f>raw_order_lines!A194</f>
        <v>SIM-20260906-C002</v>
      </c>
      <c r="B194" s="2">
        <f>raw_order_lines!B194</f>
        <v>7</v>
      </c>
      <c r="C194" s="2" t="str">
        <f>raw_order_lines!C194</f>
        <v>C002</v>
      </c>
      <c r="D194" s="3">
        <f>raw_order_lines!D194</f>
        <v>46271</v>
      </c>
      <c r="E194" s="2" t="str">
        <f>raw_order_lines!E194</f>
        <v>P019</v>
      </c>
      <c r="F194" s="2" t="str">
        <f>raw_order_lines!F194</f>
        <v>桶</v>
      </c>
      <c r="G194" s="4">
        <f>raw_order_lines!G194</f>
        <v>1</v>
      </c>
      <c r="H194" s="4">
        <f>raw_order_lines!H194</f>
        <v>1</v>
      </c>
      <c r="I194" s="4">
        <f>raw_order_lines!I194</f>
        <v>0</v>
      </c>
      <c r="J194" s="5">
        <f>raw_order_lines!J194</f>
        <v>71</v>
      </c>
      <c r="K194" s="2" t="str">
        <f>raw_order_lines!K194</f>
        <v>正常交付</v>
      </c>
      <c r="L194" s="2" t="str">
        <f>raw_order_lines!L194</f>
        <v>true</v>
      </c>
      <c r="M194" s="2" t="str">
        <f>INDEX(dim_products!$B$2:$B$21,MATCH($E194,dim_products!$A$2:$A$21,0))</f>
        <v>菜籽油</v>
      </c>
      <c r="N194" s="2" t="str">
        <f>INDEX(dim_products!$C$2:$C$21,MATCH($E194,dim_products!$A$2:$A$21,0))</f>
        <v>5升/桶普通菜籽油</v>
      </c>
      <c r="O194" s="2" t="str">
        <f>INDEX(dim_customers!$B$2:$B$7,MATCH($C194,dim_customers!$A$2:$A$7,0))</f>
        <v>模拟_桥头家常菜馆</v>
      </c>
      <c r="P194" s="6">
        <f>INT((ROUND(raw_order_lines!H194*10,0)*ROUND(raw_order_lines!J194*100,0)+5)/10)/100</f>
        <v>71</v>
      </c>
      <c r="Q194" s="6">
        <f>INT((ROUND(raw_order_lines!I194*10,0)*ROUND(raw_order_lines!J194*100,0)+5)/10)/100</f>
        <v>0</v>
      </c>
      <c r="R194" s="6">
        <f t="shared" ref="R194:R257" si="9">$P194-$Q194</f>
        <v>71</v>
      </c>
      <c r="S194" s="2" t="str">
        <f>IF(OR(ROUND(raw_order_lines!I194*10,0)&gt;ROUND(raw_order_lines!H194*10,0),ROUND(raw_order_lines!H194*10,0)&gt;ROUND(raw_order_lines!G194*10,0),ROUND(raw_order_lines!G194*10,0)&lt;=0),"数量关系异常","")</f>
        <v/>
      </c>
      <c r="T194" s="2" t="str">
        <f>IF($F194&lt;&gt;INDEX(dim_products!$D$2:$D$21,MATCH($E194,dim_products!$A$2:$A$21,0)),"单位不一致","")</f>
        <v/>
      </c>
      <c r="U194" s="2" t="str">
        <f>IF(OR(ROUND(raw_order_lines!J194*100,0)&lt;ROUND(INDEX(dim_products!$F$2:$F$21,MATCH($E194,dim_products!$A$2:$A$21,0))*100,0),ROUND(raw_order_lines!J194*100,0)&gt;ROUND(INDEX(dim_products!$G$2:$G$21,MATCH($E194,dim_products!$A$2:$A$21,0))*100,0)),"单价越界","")</f>
        <v/>
      </c>
      <c r="V194" s="2" t="str">
        <f t="shared" ref="V194:V257" si="10">IF(COUNTIFS($A$2:$A$967,$A194,$B$2:$B$967,$B194)&gt;1,"主键重复","")</f>
        <v/>
      </c>
      <c r="W194" s="2" t="str">
        <f t="shared" ref="W194:W257" si="11">IF(COUNTIF($S194:$T194,"?*")+COUNTIF($V194:$V194,"?*")&gt;0,"阻断",IF(COUNTIF($U194:$U194,"?*")&gt;0,"提示","通过"))</f>
        <v>通过</v>
      </c>
    </row>
    <row r="195" spans="1:23" ht="15">
      <c r="A195" s="2" t="str">
        <f>raw_order_lines!A195</f>
        <v>SIM-20260906-C006</v>
      </c>
      <c r="B195" s="2">
        <f>raw_order_lines!B195</f>
        <v>1</v>
      </c>
      <c r="C195" s="2" t="str">
        <f>raw_order_lines!C195</f>
        <v>C006</v>
      </c>
      <c r="D195" s="3">
        <f>raw_order_lines!D195</f>
        <v>46271</v>
      </c>
      <c r="E195" s="2" t="str">
        <f>raw_order_lines!E195</f>
        <v>P011</v>
      </c>
      <c r="F195" s="2" t="str">
        <f>raw_order_lines!F195</f>
        <v>公斤</v>
      </c>
      <c r="G195" s="4">
        <f>raw_order_lines!G195</f>
        <v>7.6</v>
      </c>
      <c r="H195" s="4">
        <f>raw_order_lines!H195</f>
        <v>7.6</v>
      </c>
      <c r="I195" s="4">
        <f>raw_order_lines!I195</f>
        <v>0</v>
      </c>
      <c r="J195" s="5">
        <f>raw_order_lines!J195</f>
        <v>4.4000000000000004</v>
      </c>
      <c r="K195" s="2" t="str">
        <f>raw_order_lines!K195</f>
        <v>正常交付</v>
      </c>
      <c r="L195" s="2" t="str">
        <f>raw_order_lines!L195</f>
        <v>true</v>
      </c>
      <c r="M195" s="2" t="str">
        <f>INDEX(dim_products!$B$2:$B$21,MATCH($E195,dim_products!$A$2:$A$21,0))</f>
        <v>红薯叶</v>
      </c>
      <c r="N195" s="2" t="str">
        <f>INDEX(dim_products!$C$2:$C$21,MATCH($E195,dim_products!$A$2:$A$21,0))</f>
        <v>散装鲜菜</v>
      </c>
      <c r="O195" s="2" t="str">
        <f>INDEX(dim_customers!$B$2:$B$7,MATCH($C195,dim_customers!$A$2:$A$7,0))</f>
        <v>模拟_溪桥医院食堂</v>
      </c>
      <c r="P195" s="6">
        <f>INT((ROUND(raw_order_lines!H195*10,0)*ROUND(raw_order_lines!J195*100,0)+5)/10)/100</f>
        <v>33.44</v>
      </c>
      <c r="Q195" s="6">
        <f>INT((ROUND(raw_order_lines!I195*10,0)*ROUND(raw_order_lines!J195*100,0)+5)/10)/100</f>
        <v>0</v>
      </c>
      <c r="R195" s="6">
        <f t="shared" si="9"/>
        <v>33.44</v>
      </c>
      <c r="S195" s="2" t="str">
        <f>IF(OR(ROUND(raw_order_lines!I195*10,0)&gt;ROUND(raw_order_lines!H195*10,0),ROUND(raw_order_lines!H195*10,0)&gt;ROUND(raw_order_lines!G195*10,0),ROUND(raw_order_lines!G195*10,0)&lt;=0),"数量关系异常","")</f>
        <v/>
      </c>
      <c r="T195" s="2" t="str">
        <f>IF($F195&lt;&gt;INDEX(dim_products!$D$2:$D$21,MATCH($E195,dim_products!$A$2:$A$21,0)),"单位不一致","")</f>
        <v/>
      </c>
      <c r="U195" s="2" t="str">
        <f>IF(OR(ROUND(raw_order_lines!J195*100,0)&lt;ROUND(INDEX(dim_products!$F$2:$F$21,MATCH($E195,dim_products!$A$2:$A$21,0))*100,0),ROUND(raw_order_lines!J195*100,0)&gt;ROUND(INDEX(dim_products!$G$2:$G$21,MATCH($E195,dim_products!$A$2:$A$21,0))*100,0)),"单价越界","")</f>
        <v/>
      </c>
      <c r="V195" s="2" t="str">
        <f t="shared" si="10"/>
        <v/>
      </c>
      <c r="W195" s="2" t="str">
        <f t="shared" si="11"/>
        <v>通过</v>
      </c>
    </row>
    <row r="196" spans="1:23" ht="15">
      <c r="A196" s="2" t="str">
        <f>raw_order_lines!A196</f>
        <v>SIM-20260906-C006</v>
      </c>
      <c r="B196" s="2">
        <f>raw_order_lines!B196</f>
        <v>2</v>
      </c>
      <c r="C196" s="2" t="str">
        <f>raw_order_lines!C196</f>
        <v>C006</v>
      </c>
      <c r="D196" s="3">
        <f>raw_order_lines!D196</f>
        <v>46271</v>
      </c>
      <c r="E196" s="2" t="str">
        <f>raw_order_lines!E196</f>
        <v>P013</v>
      </c>
      <c r="F196" s="2" t="str">
        <f>raw_order_lines!F196</f>
        <v>公斤</v>
      </c>
      <c r="G196" s="4">
        <f>raw_order_lines!G196</f>
        <v>4.8</v>
      </c>
      <c r="H196" s="4">
        <f>raw_order_lines!H196</f>
        <v>4.8</v>
      </c>
      <c r="I196" s="4">
        <f>raw_order_lines!I196</f>
        <v>0</v>
      </c>
      <c r="J196" s="5">
        <f>raw_order_lines!J196</f>
        <v>6.3</v>
      </c>
      <c r="K196" s="2" t="str">
        <f>raw_order_lines!K196</f>
        <v>正常交付</v>
      </c>
      <c r="L196" s="2" t="str">
        <f>raw_order_lines!L196</f>
        <v>true</v>
      </c>
      <c r="M196" s="2" t="str">
        <f>INDEX(dim_products!$B$2:$B$21,MATCH($E196,dim_products!$A$2:$A$21,0))</f>
        <v>豇豆</v>
      </c>
      <c r="N196" s="2" t="str">
        <f>INDEX(dim_products!$C$2:$C$21,MATCH($E196,dim_products!$A$2:$A$21,0))</f>
        <v>散装鲜菜</v>
      </c>
      <c r="O196" s="2" t="str">
        <f>INDEX(dim_customers!$B$2:$B$7,MATCH($C196,dim_customers!$A$2:$A$7,0))</f>
        <v>模拟_溪桥医院食堂</v>
      </c>
      <c r="P196" s="6">
        <f>INT((ROUND(raw_order_lines!H196*10,0)*ROUND(raw_order_lines!J196*100,0)+5)/10)/100</f>
        <v>30.24</v>
      </c>
      <c r="Q196" s="6">
        <f>INT((ROUND(raw_order_lines!I196*10,0)*ROUND(raw_order_lines!J196*100,0)+5)/10)/100</f>
        <v>0</v>
      </c>
      <c r="R196" s="6">
        <f t="shared" si="9"/>
        <v>30.24</v>
      </c>
      <c r="S196" s="2" t="str">
        <f>IF(OR(ROUND(raw_order_lines!I196*10,0)&gt;ROUND(raw_order_lines!H196*10,0),ROUND(raw_order_lines!H196*10,0)&gt;ROUND(raw_order_lines!G196*10,0),ROUND(raw_order_lines!G196*10,0)&lt;=0),"数量关系异常","")</f>
        <v/>
      </c>
      <c r="T196" s="2" t="str">
        <f>IF($F196&lt;&gt;INDEX(dim_products!$D$2:$D$21,MATCH($E196,dim_products!$A$2:$A$21,0)),"单位不一致","")</f>
        <v/>
      </c>
      <c r="U196" s="2" t="str">
        <f>IF(OR(ROUND(raw_order_lines!J196*100,0)&lt;ROUND(INDEX(dim_products!$F$2:$F$21,MATCH($E196,dim_products!$A$2:$A$21,0))*100,0),ROUND(raw_order_lines!J196*100,0)&gt;ROUND(INDEX(dim_products!$G$2:$G$21,MATCH($E196,dim_products!$A$2:$A$21,0))*100,0)),"单价越界","")</f>
        <v/>
      </c>
      <c r="V196" s="2" t="str">
        <f t="shared" si="10"/>
        <v/>
      </c>
      <c r="W196" s="2" t="str">
        <f t="shared" si="11"/>
        <v>通过</v>
      </c>
    </row>
    <row r="197" spans="1:23" ht="15">
      <c r="A197" s="2" t="str">
        <f>raw_order_lines!A197</f>
        <v>SIM-20260906-C006</v>
      </c>
      <c r="B197" s="2">
        <f>raw_order_lines!B197</f>
        <v>3</v>
      </c>
      <c r="C197" s="2" t="str">
        <f>raw_order_lines!C197</f>
        <v>C006</v>
      </c>
      <c r="D197" s="3">
        <f>raw_order_lines!D197</f>
        <v>46271</v>
      </c>
      <c r="E197" s="2" t="str">
        <f>raw_order_lines!E197</f>
        <v>P002</v>
      </c>
      <c r="F197" s="2" t="str">
        <f>raw_order_lines!F197</f>
        <v>公斤</v>
      </c>
      <c r="G197" s="4">
        <f>raw_order_lines!G197</f>
        <v>11</v>
      </c>
      <c r="H197" s="4">
        <f>raw_order_lines!H197</f>
        <v>11</v>
      </c>
      <c r="I197" s="4">
        <f>raw_order_lines!I197</f>
        <v>0</v>
      </c>
      <c r="J197" s="5">
        <f>raw_order_lines!J197</f>
        <v>2.2999999999999998</v>
      </c>
      <c r="K197" s="2" t="str">
        <f>raw_order_lines!K197</f>
        <v>正常交付</v>
      </c>
      <c r="L197" s="2" t="str">
        <f>raw_order_lines!L197</f>
        <v>true</v>
      </c>
      <c r="M197" s="2" t="str">
        <f>INDEX(dim_products!$B$2:$B$21,MATCH($E197,dim_products!$A$2:$A$21,0))</f>
        <v>白萝卜</v>
      </c>
      <c r="N197" s="2" t="str">
        <f>INDEX(dim_products!$C$2:$C$21,MATCH($E197,dim_products!$A$2:$A$21,0))</f>
        <v>散装鲜菜</v>
      </c>
      <c r="O197" s="2" t="str">
        <f>INDEX(dim_customers!$B$2:$B$7,MATCH($C197,dim_customers!$A$2:$A$7,0))</f>
        <v>模拟_溪桥医院食堂</v>
      </c>
      <c r="P197" s="6">
        <f>INT((ROUND(raw_order_lines!H197*10,0)*ROUND(raw_order_lines!J197*100,0)+5)/10)/100</f>
        <v>25.3</v>
      </c>
      <c r="Q197" s="6">
        <f>INT((ROUND(raw_order_lines!I197*10,0)*ROUND(raw_order_lines!J197*100,0)+5)/10)/100</f>
        <v>0</v>
      </c>
      <c r="R197" s="6">
        <f t="shared" si="9"/>
        <v>25.3</v>
      </c>
      <c r="S197" s="2" t="str">
        <f>IF(OR(ROUND(raw_order_lines!I197*10,0)&gt;ROUND(raw_order_lines!H197*10,0),ROUND(raw_order_lines!H197*10,0)&gt;ROUND(raw_order_lines!G197*10,0),ROUND(raw_order_lines!G197*10,0)&lt;=0),"数量关系异常","")</f>
        <v/>
      </c>
      <c r="T197" s="2" t="str">
        <f>IF($F197&lt;&gt;INDEX(dim_products!$D$2:$D$21,MATCH($E197,dim_products!$A$2:$A$21,0)),"单位不一致","")</f>
        <v/>
      </c>
      <c r="U197" s="2" t="str">
        <f>IF(OR(ROUND(raw_order_lines!J197*100,0)&lt;ROUND(INDEX(dim_products!$F$2:$F$21,MATCH($E197,dim_products!$A$2:$A$21,0))*100,0),ROUND(raw_order_lines!J197*100,0)&gt;ROUND(INDEX(dim_products!$G$2:$G$21,MATCH($E197,dim_products!$A$2:$A$21,0))*100,0)),"单价越界","")</f>
        <v/>
      </c>
      <c r="V197" s="2" t="str">
        <f t="shared" si="10"/>
        <v/>
      </c>
      <c r="W197" s="2" t="str">
        <f t="shared" si="11"/>
        <v>通过</v>
      </c>
    </row>
    <row r="198" spans="1:23" ht="15">
      <c r="A198" s="2" t="str">
        <f>raw_order_lines!A198</f>
        <v>SIM-20260906-C006</v>
      </c>
      <c r="B198" s="2">
        <f>raw_order_lines!B198</f>
        <v>4</v>
      </c>
      <c r="C198" s="2" t="str">
        <f>raw_order_lines!C198</f>
        <v>C006</v>
      </c>
      <c r="D198" s="3">
        <f>raw_order_lines!D198</f>
        <v>46271</v>
      </c>
      <c r="E198" s="2" t="str">
        <f>raw_order_lines!E198</f>
        <v>P014</v>
      </c>
      <c r="F198" s="2" t="str">
        <f>raw_order_lines!F198</f>
        <v>公斤</v>
      </c>
      <c r="G198" s="4">
        <f>raw_order_lines!G198</f>
        <v>7.6</v>
      </c>
      <c r="H198" s="4">
        <f>raw_order_lines!H198</f>
        <v>7.6</v>
      </c>
      <c r="I198" s="4">
        <f>raw_order_lines!I198</f>
        <v>0</v>
      </c>
      <c r="J198" s="5">
        <f>raw_order_lines!J198</f>
        <v>4.7</v>
      </c>
      <c r="K198" s="2" t="str">
        <f>raw_order_lines!K198</f>
        <v>正常交付</v>
      </c>
      <c r="L198" s="2" t="str">
        <f>raw_order_lines!L198</f>
        <v>true</v>
      </c>
      <c r="M198" s="2" t="str">
        <f>INDEX(dim_products!$B$2:$B$21,MATCH($E198,dim_products!$A$2:$A$21,0))</f>
        <v>丝瓜</v>
      </c>
      <c r="N198" s="2" t="str">
        <f>INDEX(dim_products!$C$2:$C$21,MATCH($E198,dim_products!$A$2:$A$21,0))</f>
        <v>散装鲜菜</v>
      </c>
      <c r="O198" s="2" t="str">
        <f>INDEX(dim_customers!$B$2:$B$7,MATCH($C198,dim_customers!$A$2:$A$7,0))</f>
        <v>模拟_溪桥医院食堂</v>
      </c>
      <c r="P198" s="6">
        <f>INT((ROUND(raw_order_lines!H198*10,0)*ROUND(raw_order_lines!J198*100,0)+5)/10)/100</f>
        <v>35.72</v>
      </c>
      <c r="Q198" s="6">
        <f>INT((ROUND(raw_order_lines!I198*10,0)*ROUND(raw_order_lines!J198*100,0)+5)/10)/100</f>
        <v>0</v>
      </c>
      <c r="R198" s="6">
        <f t="shared" si="9"/>
        <v>35.72</v>
      </c>
      <c r="S198" s="2" t="str">
        <f>IF(OR(ROUND(raw_order_lines!I198*10,0)&gt;ROUND(raw_order_lines!H198*10,0),ROUND(raw_order_lines!H198*10,0)&gt;ROUND(raw_order_lines!G198*10,0),ROUND(raw_order_lines!G198*10,0)&lt;=0),"数量关系异常","")</f>
        <v/>
      </c>
      <c r="T198" s="2" t="str">
        <f>IF($F198&lt;&gt;INDEX(dim_products!$D$2:$D$21,MATCH($E198,dim_products!$A$2:$A$21,0)),"单位不一致","")</f>
        <v/>
      </c>
      <c r="U198" s="2" t="str">
        <f>IF(OR(ROUND(raw_order_lines!J198*100,0)&lt;ROUND(INDEX(dim_products!$F$2:$F$21,MATCH($E198,dim_products!$A$2:$A$21,0))*100,0),ROUND(raw_order_lines!J198*100,0)&gt;ROUND(INDEX(dim_products!$G$2:$G$21,MATCH($E198,dim_products!$A$2:$A$21,0))*100,0)),"单价越界","")</f>
        <v/>
      </c>
      <c r="V198" s="2" t="str">
        <f t="shared" si="10"/>
        <v/>
      </c>
      <c r="W198" s="2" t="str">
        <f t="shared" si="11"/>
        <v>通过</v>
      </c>
    </row>
    <row r="199" spans="1:23" ht="15">
      <c r="A199" s="2" t="str">
        <f>raw_order_lines!A199</f>
        <v>SIM-20260906-C006</v>
      </c>
      <c r="B199" s="2">
        <f>raw_order_lines!B199</f>
        <v>5</v>
      </c>
      <c r="C199" s="2" t="str">
        <f>raw_order_lines!C199</f>
        <v>C006</v>
      </c>
      <c r="D199" s="3">
        <f>raw_order_lines!D199</f>
        <v>46271</v>
      </c>
      <c r="E199" s="2" t="str">
        <f>raw_order_lines!E199</f>
        <v>P003</v>
      </c>
      <c r="F199" s="2" t="str">
        <f>raw_order_lines!F199</f>
        <v>公斤</v>
      </c>
      <c r="G199" s="4">
        <f>raw_order_lines!G199</f>
        <v>5.5</v>
      </c>
      <c r="H199" s="4">
        <f>raw_order_lines!H199</f>
        <v>5.5</v>
      </c>
      <c r="I199" s="4">
        <f>raw_order_lines!I199</f>
        <v>0</v>
      </c>
      <c r="J199" s="5">
        <f>raw_order_lines!J199</f>
        <v>3.3</v>
      </c>
      <c r="K199" s="2" t="str">
        <f>raw_order_lines!K199</f>
        <v>正常交付</v>
      </c>
      <c r="L199" s="2" t="str">
        <f>raw_order_lines!L199</f>
        <v>true</v>
      </c>
      <c r="M199" s="2" t="str">
        <f>INDEX(dim_products!$B$2:$B$21,MATCH($E199,dim_products!$A$2:$A$21,0))</f>
        <v>包菜</v>
      </c>
      <c r="N199" s="2" t="str">
        <f>INDEX(dim_products!$C$2:$C$21,MATCH($E199,dim_products!$A$2:$A$21,0))</f>
        <v>散装鲜菜</v>
      </c>
      <c r="O199" s="2" t="str">
        <f>INDEX(dim_customers!$B$2:$B$7,MATCH($C199,dim_customers!$A$2:$A$7,0))</f>
        <v>模拟_溪桥医院食堂</v>
      </c>
      <c r="P199" s="6">
        <f>INT((ROUND(raw_order_lines!H199*10,0)*ROUND(raw_order_lines!J199*100,0)+5)/10)/100</f>
        <v>18.149999999999999</v>
      </c>
      <c r="Q199" s="6">
        <f>INT((ROUND(raw_order_lines!I199*10,0)*ROUND(raw_order_lines!J199*100,0)+5)/10)/100</f>
        <v>0</v>
      </c>
      <c r="R199" s="6">
        <f t="shared" si="9"/>
        <v>18.149999999999999</v>
      </c>
      <c r="S199" s="2" t="str">
        <f>IF(OR(ROUND(raw_order_lines!I199*10,0)&gt;ROUND(raw_order_lines!H199*10,0),ROUND(raw_order_lines!H199*10,0)&gt;ROUND(raw_order_lines!G199*10,0),ROUND(raw_order_lines!G199*10,0)&lt;=0),"数量关系异常","")</f>
        <v/>
      </c>
      <c r="T199" s="2" t="str">
        <f>IF($F199&lt;&gt;INDEX(dim_products!$D$2:$D$21,MATCH($E199,dim_products!$A$2:$A$21,0)),"单位不一致","")</f>
        <v/>
      </c>
      <c r="U199" s="2" t="str">
        <f>IF(OR(ROUND(raw_order_lines!J199*100,0)&lt;ROUND(INDEX(dim_products!$F$2:$F$21,MATCH($E199,dim_products!$A$2:$A$21,0))*100,0),ROUND(raw_order_lines!J199*100,0)&gt;ROUND(INDEX(dim_products!$G$2:$G$21,MATCH($E199,dim_products!$A$2:$A$21,0))*100,0)),"单价越界","")</f>
        <v/>
      </c>
      <c r="V199" s="2" t="str">
        <f t="shared" si="10"/>
        <v/>
      </c>
      <c r="W199" s="2" t="str">
        <f t="shared" si="11"/>
        <v>通过</v>
      </c>
    </row>
    <row r="200" spans="1:23" ht="15">
      <c r="A200" s="2" t="str">
        <f>raw_order_lines!A200</f>
        <v>SIM-20260906-C006</v>
      </c>
      <c r="B200" s="2">
        <f>raw_order_lines!B200</f>
        <v>6</v>
      </c>
      <c r="C200" s="2" t="str">
        <f>raw_order_lines!C200</f>
        <v>C006</v>
      </c>
      <c r="D200" s="3">
        <f>raw_order_lines!D200</f>
        <v>46271</v>
      </c>
      <c r="E200" s="2" t="str">
        <f>raw_order_lines!E200</f>
        <v>P009</v>
      </c>
      <c r="F200" s="2" t="str">
        <f>raw_order_lines!F200</f>
        <v>公斤</v>
      </c>
      <c r="G200" s="4">
        <f>raw_order_lines!G200</f>
        <v>9.6</v>
      </c>
      <c r="H200" s="4">
        <f>raw_order_lines!H200</f>
        <v>9.6</v>
      </c>
      <c r="I200" s="4">
        <f>raw_order_lines!I200</f>
        <v>0</v>
      </c>
      <c r="J200" s="5">
        <f>raw_order_lines!J200</f>
        <v>5</v>
      </c>
      <c r="K200" s="2" t="str">
        <f>raw_order_lines!K200</f>
        <v>正常交付</v>
      </c>
      <c r="L200" s="2" t="str">
        <f>raw_order_lines!L200</f>
        <v>true</v>
      </c>
      <c r="M200" s="2" t="str">
        <f>INDEX(dim_products!$B$2:$B$21,MATCH($E200,dim_products!$A$2:$A$21,0))</f>
        <v>西红柿</v>
      </c>
      <c r="N200" s="2" t="str">
        <f>INDEX(dim_products!$C$2:$C$21,MATCH($E200,dim_products!$A$2:$A$21,0))</f>
        <v>散装鲜菜</v>
      </c>
      <c r="O200" s="2" t="str">
        <f>INDEX(dim_customers!$B$2:$B$7,MATCH($C200,dim_customers!$A$2:$A$7,0))</f>
        <v>模拟_溪桥医院食堂</v>
      </c>
      <c r="P200" s="6">
        <f>INT((ROUND(raw_order_lines!H200*10,0)*ROUND(raw_order_lines!J200*100,0)+5)/10)/100</f>
        <v>48</v>
      </c>
      <c r="Q200" s="6">
        <f>INT((ROUND(raw_order_lines!I200*10,0)*ROUND(raw_order_lines!J200*100,0)+5)/10)/100</f>
        <v>0</v>
      </c>
      <c r="R200" s="6">
        <f t="shared" si="9"/>
        <v>48</v>
      </c>
      <c r="S200" s="2" t="str">
        <f>IF(OR(ROUND(raw_order_lines!I200*10,0)&gt;ROUND(raw_order_lines!H200*10,0),ROUND(raw_order_lines!H200*10,0)&gt;ROUND(raw_order_lines!G200*10,0),ROUND(raw_order_lines!G200*10,0)&lt;=0),"数量关系异常","")</f>
        <v/>
      </c>
      <c r="T200" s="2" t="str">
        <f>IF($F200&lt;&gt;INDEX(dim_products!$D$2:$D$21,MATCH($E200,dim_products!$A$2:$A$21,0)),"单位不一致","")</f>
        <v/>
      </c>
      <c r="U200" s="2" t="str">
        <f>IF(OR(ROUND(raw_order_lines!J200*100,0)&lt;ROUND(INDEX(dim_products!$F$2:$F$21,MATCH($E200,dim_products!$A$2:$A$21,0))*100,0),ROUND(raw_order_lines!J200*100,0)&gt;ROUND(INDEX(dim_products!$G$2:$G$21,MATCH($E200,dim_products!$A$2:$A$21,0))*100,0)),"单价越界","")</f>
        <v/>
      </c>
      <c r="V200" s="2" t="str">
        <f t="shared" si="10"/>
        <v/>
      </c>
      <c r="W200" s="2" t="str">
        <f t="shared" si="11"/>
        <v>通过</v>
      </c>
    </row>
    <row r="201" spans="1:23" ht="15">
      <c r="A201" s="2" t="str">
        <f>raw_order_lines!A201</f>
        <v>SIM-20260906-C006</v>
      </c>
      <c r="B201" s="2">
        <f>raw_order_lines!B201</f>
        <v>7</v>
      </c>
      <c r="C201" s="2" t="str">
        <f>raw_order_lines!C201</f>
        <v>C006</v>
      </c>
      <c r="D201" s="3">
        <f>raw_order_lines!D201</f>
        <v>46271</v>
      </c>
      <c r="E201" s="2" t="str">
        <f>raw_order_lines!E201</f>
        <v>P017</v>
      </c>
      <c r="F201" s="2" t="str">
        <f>raw_order_lines!F201</f>
        <v>袋</v>
      </c>
      <c r="G201" s="4">
        <f>raw_order_lines!G201</f>
        <v>4</v>
      </c>
      <c r="H201" s="4">
        <f>raw_order_lines!H201</f>
        <v>4</v>
      </c>
      <c r="I201" s="4">
        <f>raw_order_lines!I201</f>
        <v>0</v>
      </c>
      <c r="J201" s="5">
        <f>raw_order_lines!J201</f>
        <v>118</v>
      </c>
      <c r="K201" s="2" t="str">
        <f>raw_order_lines!K201</f>
        <v>正常交付</v>
      </c>
      <c r="L201" s="2" t="str">
        <f>raw_order_lines!L201</f>
        <v>true</v>
      </c>
      <c r="M201" s="2" t="str">
        <f>INDEX(dim_products!$B$2:$B$21,MATCH($E201,dim_products!$A$2:$A$21,0))</f>
        <v>籼米</v>
      </c>
      <c r="N201" s="2" t="str">
        <f>INDEX(dim_products!$C$2:$C$21,MATCH($E201,dim_products!$A$2:$A$21,0))</f>
        <v>25公斤/袋普通籼米</v>
      </c>
      <c r="O201" s="2" t="str">
        <f>INDEX(dim_customers!$B$2:$B$7,MATCH($C201,dim_customers!$A$2:$A$7,0))</f>
        <v>模拟_溪桥医院食堂</v>
      </c>
      <c r="P201" s="6">
        <f>INT((ROUND(raw_order_lines!H201*10,0)*ROUND(raw_order_lines!J201*100,0)+5)/10)/100</f>
        <v>472</v>
      </c>
      <c r="Q201" s="6">
        <f>INT((ROUND(raw_order_lines!I201*10,0)*ROUND(raw_order_lines!J201*100,0)+5)/10)/100</f>
        <v>0</v>
      </c>
      <c r="R201" s="6">
        <f t="shared" si="9"/>
        <v>472</v>
      </c>
      <c r="S201" s="2" t="str">
        <f>IF(OR(ROUND(raw_order_lines!I201*10,0)&gt;ROUND(raw_order_lines!H201*10,0),ROUND(raw_order_lines!H201*10,0)&gt;ROUND(raw_order_lines!G201*10,0),ROUND(raw_order_lines!G201*10,0)&lt;=0),"数量关系异常","")</f>
        <v/>
      </c>
      <c r="T201" s="2" t="str">
        <f>IF($F201&lt;&gt;INDEX(dim_products!$D$2:$D$21,MATCH($E201,dim_products!$A$2:$A$21,0)),"单位不一致","")</f>
        <v/>
      </c>
      <c r="U201" s="2" t="str">
        <f>IF(OR(ROUND(raw_order_lines!J201*100,0)&lt;ROUND(INDEX(dim_products!$F$2:$F$21,MATCH($E201,dim_products!$A$2:$A$21,0))*100,0),ROUND(raw_order_lines!J201*100,0)&gt;ROUND(INDEX(dim_products!$G$2:$G$21,MATCH($E201,dim_products!$A$2:$A$21,0))*100,0)),"单价越界","")</f>
        <v/>
      </c>
      <c r="V201" s="2" t="str">
        <f t="shared" si="10"/>
        <v/>
      </c>
      <c r="W201" s="2" t="str">
        <f t="shared" si="11"/>
        <v>通过</v>
      </c>
    </row>
    <row r="202" spans="1:23" ht="15">
      <c r="A202" s="2" t="str">
        <f>raw_order_lines!A202</f>
        <v>SIM-20260906-C006</v>
      </c>
      <c r="B202" s="2">
        <f>raw_order_lines!B202</f>
        <v>8</v>
      </c>
      <c r="C202" s="2" t="str">
        <f>raw_order_lines!C202</f>
        <v>C006</v>
      </c>
      <c r="D202" s="3">
        <f>raw_order_lines!D202</f>
        <v>46271</v>
      </c>
      <c r="E202" s="2" t="str">
        <f>raw_order_lines!E202</f>
        <v>P020</v>
      </c>
      <c r="F202" s="2" t="str">
        <f>raw_order_lines!F202</f>
        <v>桶</v>
      </c>
      <c r="G202" s="4">
        <f>raw_order_lines!G202</f>
        <v>2</v>
      </c>
      <c r="H202" s="4">
        <f>raw_order_lines!H202</f>
        <v>2</v>
      </c>
      <c r="I202" s="4">
        <f>raw_order_lines!I202</f>
        <v>0</v>
      </c>
      <c r="J202" s="5">
        <f>raw_order_lines!J202</f>
        <v>59</v>
      </c>
      <c r="K202" s="2" t="str">
        <f>raw_order_lines!K202</f>
        <v>正常交付</v>
      </c>
      <c r="L202" s="2" t="str">
        <f>raw_order_lines!L202</f>
        <v>true</v>
      </c>
      <c r="M202" s="2" t="str">
        <f>INDEX(dim_products!$B$2:$B$21,MATCH($E202,dim_products!$A$2:$A$21,0))</f>
        <v>大豆油</v>
      </c>
      <c r="N202" s="2" t="str">
        <f>INDEX(dim_products!$C$2:$C$21,MATCH($E202,dim_products!$A$2:$A$21,0))</f>
        <v>5升/桶普通大豆油</v>
      </c>
      <c r="O202" s="2" t="str">
        <f>INDEX(dim_customers!$B$2:$B$7,MATCH($C202,dim_customers!$A$2:$A$7,0))</f>
        <v>模拟_溪桥医院食堂</v>
      </c>
      <c r="P202" s="6">
        <f>INT((ROUND(raw_order_lines!H202*10,0)*ROUND(raw_order_lines!J202*100,0)+5)/10)/100</f>
        <v>118</v>
      </c>
      <c r="Q202" s="6">
        <f>INT((ROUND(raw_order_lines!I202*10,0)*ROUND(raw_order_lines!J202*100,0)+5)/10)/100</f>
        <v>0</v>
      </c>
      <c r="R202" s="6">
        <f t="shared" si="9"/>
        <v>118</v>
      </c>
      <c r="S202" s="2" t="str">
        <f>IF(OR(ROUND(raw_order_lines!I202*10,0)&gt;ROUND(raw_order_lines!H202*10,0),ROUND(raw_order_lines!H202*10,0)&gt;ROUND(raw_order_lines!G202*10,0),ROUND(raw_order_lines!G202*10,0)&lt;=0),"数量关系异常","")</f>
        <v/>
      </c>
      <c r="T202" s="2" t="str">
        <f>IF($F202&lt;&gt;INDEX(dim_products!$D$2:$D$21,MATCH($E202,dim_products!$A$2:$A$21,0)),"单位不一致","")</f>
        <v/>
      </c>
      <c r="U202" s="2" t="str">
        <f>IF(OR(ROUND(raw_order_lines!J202*100,0)&lt;ROUND(INDEX(dim_products!$F$2:$F$21,MATCH($E202,dim_products!$A$2:$A$21,0))*100,0),ROUND(raw_order_lines!J202*100,0)&gt;ROUND(INDEX(dim_products!$G$2:$G$21,MATCH($E202,dim_products!$A$2:$A$21,0))*100,0)),"单价越界","")</f>
        <v/>
      </c>
      <c r="V202" s="2" t="str">
        <f t="shared" si="10"/>
        <v/>
      </c>
      <c r="W202" s="2" t="str">
        <f t="shared" si="11"/>
        <v>通过</v>
      </c>
    </row>
    <row r="203" spans="1:23" ht="15">
      <c r="A203" s="2" t="str">
        <f>raw_order_lines!A203</f>
        <v>SIM-20260907-C001</v>
      </c>
      <c r="B203" s="2">
        <f>raw_order_lines!B203</f>
        <v>1</v>
      </c>
      <c r="C203" s="2" t="str">
        <f>raw_order_lines!C203</f>
        <v>C001</v>
      </c>
      <c r="D203" s="3">
        <f>raw_order_lines!D203</f>
        <v>46272</v>
      </c>
      <c r="E203" s="2" t="str">
        <f>raw_order_lines!E203</f>
        <v>P010</v>
      </c>
      <c r="F203" s="2" t="str">
        <f>raw_order_lines!F203</f>
        <v>公斤</v>
      </c>
      <c r="G203" s="4">
        <f>raw_order_lines!G203</f>
        <v>3.3</v>
      </c>
      <c r="H203" s="4">
        <f>raw_order_lines!H203</f>
        <v>3.3</v>
      </c>
      <c r="I203" s="4">
        <f>raw_order_lines!I203</f>
        <v>0</v>
      </c>
      <c r="J203" s="5">
        <f>raw_order_lines!J203</f>
        <v>5</v>
      </c>
      <c r="K203" s="2" t="str">
        <f>raw_order_lines!K203</f>
        <v>正常交付</v>
      </c>
      <c r="L203" s="2" t="str">
        <f>raw_order_lines!L203</f>
        <v>true</v>
      </c>
      <c r="M203" s="2" t="str">
        <f>INDEX(dim_products!$B$2:$B$21,MATCH($E203,dim_products!$A$2:$A$21,0))</f>
        <v>空心菜</v>
      </c>
      <c r="N203" s="2" t="str">
        <f>INDEX(dim_products!$C$2:$C$21,MATCH($E203,dim_products!$A$2:$A$21,0))</f>
        <v>散装鲜菜</v>
      </c>
      <c r="O203" s="2" t="str">
        <f>INDEX(dim_customers!$B$2:$B$7,MATCH($C203,dim_customers!$A$2:$A$7,0))</f>
        <v>模拟_榕树下粉面店</v>
      </c>
      <c r="P203" s="6">
        <f>INT((ROUND(raw_order_lines!H203*10,0)*ROUND(raw_order_lines!J203*100,0)+5)/10)/100</f>
        <v>16.5</v>
      </c>
      <c r="Q203" s="6">
        <f>INT((ROUND(raw_order_lines!I203*10,0)*ROUND(raw_order_lines!J203*100,0)+5)/10)/100</f>
        <v>0</v>
      </c>
      <c r="R203" s="6">
        <f t="shared" si="9"/>
        <v>16.5</v>
      </c>
      <c r="S203" s="2" t="str">
        <f>IF(OR(ROUND(raw_order_lines!I203*10,0)&gt;ROUND(raw_order_lines!H203*10,0),ROUND(raw_order_lines!H203*10,0)&gt;ROUND(raw_order_lines!G203*10,0),ROUND(raw_order_lines!G203*10,0)&lt;=0),"数量关系异常","")</f>
        <v/>
      </c>
      <c r="T203" s="2" t="str">
        <f>IF($F203&lt;&gt;INDEX(dim_products!$D$2:$D$21,MATCH($E203,dim_products!$A$2:$A$21,0)),"单位不一致","")</f>
        <v/>
      </c>
      <c r="U203" s="2" t="str">
        <f>IF(OR(ROUND(raw_order_lines!J203*100,0)&lt;ROUND(INDEX(dim_products!$F$2:$F$21,MATCH($E203,dim_products!$A$2:$A$21,0))*100,0),ROUND(raw_order_lines!J203*100,0)&gt;ROUND(INDEX(dim_products!$G$2:$G$21,MATCH($E203,dim_products!$A$2:$A$21,0))*100,0)),"单价越界","")</f>
        <v/>
      </c>
      <c r="V203" s="2" t="str">
        <f t="shared" si="10"/>
        <v/>
      </c>
      <c r="W203" s="2" t="str">
        <f t="shared" si="11"/>
        <v>通过</v>
      </c>
    </row>
    <row r="204" spans="1:23" ht="15">
      <c r="A204" s="2" t="str">
        <f>raw_order_lines!A204</f>
        <v>SIM-20260907-C001</v>
      </c>
      <c r="B204" s="2">
        <f>raw_order_lines!B204</f>
        <v>2</v>
      </c>
      <c r="C204" s="2" t="str">
        <f>raw_order_lines!C204</f>
        <v>C001</v>
      </c>
      <c r="D204" s="3">
        <f>raw_order_lines!D204</f>
        <v>46272</v>
      </c>
      <c r="E204" s="2" t="str">
        <f>raw_order_lines!E204</f>
        <v>P005</v>
      </c>
      <c r="F204" s="2" t="str">
        <f>raw_order_lines!F204</f>
        <v>公斤</v>
      </c>
      <c r="G204" s="4">
        <f>raw_order_lines!G204</f>
        <v>2.1</v>
      </c>
      <c r="H204" s="4">
        <f>raw_order_lines!H204</f>
        <v>2.1</v>
      </c>
      <c r="I204" s="4">
        <f>raw_order_lines!I204</f>
        <v>0</v>
      </c>
      <c r="J204" s="5">
        <f>raw_order_lines!J204</f>
        <v>2.7</v>
      </c>
      <c r="K204" s="2" t="str">
        <f>raw_order_lines!K204</f>
        <v>正常交付</v>
      </c>
      <c r="L204" s="2" t="str">
        <f>raw_order_lines!L204</f>
        <v>true</v>
      </c>
      <c r="M204" s="2" t="str">
        <f>INDEX(dim_products!$B$2:$B$21,MATCH($E204,dim_products!$A$2:$A$21,0))</f>
        <v>南瓜</v>
      </c>
      <c r="N204" s="2" t="str">
        <f>INDEX(dim_products!$C$2:$C$21,MATCH($E204,dim_products!$A$2:$A$21,0))</f>
        <v>散装鲜菜</v>
      </c>
      <c r="O204" s="2" t="str">
        <f>INDEX(dim_customers!$B$2:$B$7,MATCH($C204,dim_customers!$A$2:$A$7,0))</f>
        <v>模拟_榕树下粉面店</v>
      </c>
      <c r="P204" s="6">
        <f>INT((ROUND(raw_order_lines!H204*10,0)*ROUND(raw_order_lines!J204*100,0)+5)/10)/100</f>
        <v>5.67</v>
      </c>
      <c r="Q204" s="6">
        <f>INT((ROUND(raw_order_lines!I204*10,0)*ROUND(raw_order_lines!J204*100,0)+5)/10)/100</f>
        <v>0</v>
      </c>
      <c r="R204" s="6">
        <f t="shared" si="9"/>
        <v>5.67</v>
      </c>
      <c r="S204" s="2" t="str">
        <f>IF(OR(ROUND(raw_order_lines!I204*10,0)&gt;ROUND(raw_order_lines!H204*10,0),ROUND(raw_order_lines!H204*10,0)&gt;ROUND(raw_order_lines!G204*10,0),ROUND(raw_order_lines!G204*10,0)&lt;=0),"数量关系异常","")</f>
        <v/>
      </c>
      <c r="T204" s="2" t="str">
        <f>IF($F204&lt;&gt;INDEX(dim_products!$D$2:$D$21,MATCH($E204,dim_products!$A$2:$A$21,0)),"单位不一致","")</f>
        <v/>
      </c>
      <c r="U204" s="2" t="str">
        <f>IF(OR(ROUND(raw_order_lines!J204*100,0)&lt;ROUND(INDEX(dim_products!$F$2:$F$21,MATCH($E204,dim_products!$A$2:$A$21,0))*100,0),ROUND(raw_order_lines!J204*100,0)&gt;ROUND(INDEX(dim_products!$G$2:$G$21,MATCH($E204,dim_products!$A$2:$A$21,0))*100,0)),"单价越界","")</f>
        <v/>
      </c>
      <c r="V204" s="2" t="str">
        <f t="shared" si="10"/>
        <v/>
      </c>
      <c r="W204" s="2" t="str">
        <f t="shared" si="11"/>
        <v>通过</v>
      </c>
    </row>
    <row r="205" spans="1:23" ht="15">
      <c r="A205" s="2" t="str">
        <f>raw_order_lines!A205</f>
        <v>SIM-20260907-C001</v>
      </c>
      <c r="B205" s="2">
        <f>raw_order_lines!B205</f>
        <v>3</v>
      </c>
      <c r="C205" s="2" t="str">
        <f>raw_order_lines!C205</f>
        <v>C001</v>
      </c>
      <c r="D205" s="3">
        <f>raw_order_lines!D205</f>
        <v>46272</v>
      </c>
      <c r="E205" s="2" t="str">
        <f>raw_order_lines!E205</f>
        <v>P001</v>
      </c>
      <c r="F205" s="2" t="str">
        <f>raw_order_lines!F205</f>
        <v>公斤</v>
      </c>
      <c r="G205" s="4">
        <f>raw_order_lines!G205</f>
        <v>3.3</v>
      </c>
      <c r="H205" s="4">
        <f>raw_order_lines!H205</f>
        <v>3.3</v>
      </c>
      <c r="I205" s="4">
        <f>raw_order_lines!I205</f>
        <v>0</v>
      </c>
      <c r="J205" s="5">
        <f>raw_order_lines!J205</f>
        <v>3.3</v>
      </c>
      <c r="K205" s="2" t="str">
        <f>raw_order_lines!K205</f>
        <v>正常交付</v>
      </c>
      <c r="L205" s="2" t="str">
        <f>raw_order_lines!L205</f>
        <v>true</v>
      </c>
      <c r="M205" s="2" t="str">
        <f>INDEX(dim_products!$B$2:$B$21,MATCH($E205,dim_products!$A$2:$A$21,0))</f>
        <v>土豆</v>
      </c>
      <c r="N205" s="2" t="str">
        <f>INDEX(dim_products!$C$2:$C$21,MATCH($E205,dim_products!$A$2:$A$21,0))</f>
        <v>散装鲜菜</v>
      </c>
      <c r="O205" s="2" t="str">
        <f>INDEX(dim_customers!$B$2:$B$7,MATCH($C205,dim_customers!$A$2:$A$7,0))</f>
        <v>模拟_榕树下粉面店</v>
      </c>
      <c r="P205" s="6">
        <f>INT((ROUND(raw_order_lines!H205*10,0)*ROUND(raw_order_lines!J205*100,0)+5)/10)/100</f>
        <v>10.89</v>
      </c>
      <c r="Q205" s="6">
        <f>INT((ROUND(raw_order_lines!I205*10,0)*ROUND(raw_order_lines!J205*100,0)+5)/10)/100</f>
        <v>0</v>
      </c>
      <c r="R205" s="6">
        <f t="shared" si="9"/>
        <v>10.89</v>
      </c>
      <c r="S205" s="2" t="str">
        <f>IF(OR(ROUND(raw_order_lines!I205*10,0)&gt;ROUND(raw_order_lines!H205*10,0),ROUND(raw_order_lines!H205*10,0)&gt;ROUND(raw_order_lines!G205*10,0),ROUND(raw_order_lines!G205*10,0)&lt;=0),"数量关系异常","")</f>
        <v/>
      </c>
      <c r="T205" s="2" t="str">
        <f>IF($F205&lt;&gt;INDEX(dim_products!$D$2:$D$21,MATCH($E205,dim_products!$A$2:$A$21,0)),"单位不一致","")</f>
        <v/>
      </c>
      <c r="U205" s="2" t="str">
        <f>IF(OR(ROUND(raw_order_lines!J205*100,0)&lt;ROUND(INDEX(dim_products!$F$2:$F$21,MATCH($E205,dim_products!$A$2:$A$21,0))*100,0),ROUND(raw_order_lines!J205*100,0)&gt;ROUND(INDEX(dim_products!$G$2:$G$21,MATCH($E205,dim_products!$A$2:$A$21,0))*100,0)),"单价越界","")</f>
        <v/>
      </c>
      <c r="V205" s="2" t="str">
        <f t="shared" si="10"/>
        <v/>
      </c>
      <c r="W205" s="2" t="str">
        <f t="shared" si="11"/>
        <v>通过</v>
      </c>
    </row>
    <row r="206" spans="1:23" ht="15">
      <c r="A206" s="2" t="str">
        <f>raw_order_lines!A206</f>
        <v>SIM-20260907-C001</v>
      </c>
      <c r="B206" s="2">
        <f>raw_order_lines!B206</f>
        <v>4</v>
      </c>
      <c r="C206" s="2" t="str">
        <f>raw_order_lines!C206</f>
        <v>C001</v>
      </c>
      <c r="D206" s="3">
        <f>raw_order_lines!D206</f>
        <v>46272</v>
      </c>
      <c r="E206" s="2" t="str">
        <f>raw_order_lines!E206</f>
        <v>P008</v>
      </c>
      <c r="F206" s="2" t="str">
        <f>raw_order_lines!F206</f>
        <v>公斤</v>
      </c>
      <c r="G206" s="4">
        <f>raw_order_lines!G206</f>
        <v>3.8</v>
      </c>
      <c r="H206" s="4">
        <f>raw_order_lines!H206</f>
        <v>3.8</v>
      </c>
      <c r="I206" s="4">
        <f>raw_order_lines!I206</f>
        <v>0</v>
      </c>
      <c r="J206" s="5">
        <f>raw_order_lines!J206</f>
        <v>4.0999999999999996</v>
      </c>
      <c r="K206" s="2" t="str">
        <f>raw_order_lines!K206</f>
        <v>正常交付</v>
      </c>
      <c r="L206" s="2" t="str">
        <f>raw_order_lines!L206</f>
        <v>true</v>
      </c>
      <c r="M206" s="2" t="str">
        <f>INDEX(dim_products!$B$2:$B$21,MATCH($E206,dim_products!$A$2:$A$21,0))</f>
        <v>黄瓜</v>
      </c>
      <c r="N206" s="2" t="str">
        <f>INDEX(dim_products!$C$2:$C$21,MATCH($E206,dim_products!$A$2:$A$21,0))</f>
        <v>散装鲜菜</v>
      </c>
      <c r="O206" s="2" t="str">
        <f>INDEX(dim_customers!$B$2:$B$7,MATCH($C206,dim_customers!$A$2:$A$7,0))</f>
        <v>模拟_榕树下粉面店</v>
      </c>
      <c r="P206" s="6">
        <f>INT((ROUND(raw_order_lines!H206*10,0)*ROUND(raw_order_lines!J206*100,0)+5)/10)/100</f>
        <v>15.58</v>
      </c>
      <c r="Q206" s="6">
        <f>INT((ROUND(raw_order_lines!I206*10,0)*ROUND(raw_order_lines!J206*100,0)+5)/10)/100</f>
        <v>0</v>
      </c>
      <c r="R206" s="6">
        <f t="shared" si="9"/>
        <v>15.58</v>
      </c>
      <c r="S206" s="2" t="str">
        <f>IF(OR(ROUND(raw_order_lines!I206*10,0)&gt;ROUND(raw_order_lines!H206*10,0),ROUND(raw_order_lines!H206*10,0)&gt;ROUND(raw_order_lines!G206*10,0),ROUND(raw_order_lines!G206*10,0)&lt;=0),"数量关系异常","")</f>
        <v/>
      </c>
      <c r="T206" s="2" t="str">
        <f>IF($F206&lt;&gt;INDEX(dim_products!$D$2:$D$21,MATCH($E206,dim_products!$A$2:$A$21,0)),"单位不一致","")</f>
        <v/>
      </c>
      <c r="U206" s="2" t="str">
        <f>IF(OR(ROUND(raw_order_lines!J206*100,0)&lt;ROUND(INDEX(dim_products!$F$2:$F$21,MATCH($E206,dim_products!$A$2:$A$21,0))*100,0),ROUND(raw_order_lines!J206*100,0)&gt;ROUND(INDEX(dim_products!$G$2:$G$21,MATCH($E206,dim_products!$A$2:$A$21,0))*100,0)),"单价越界","")</f>
        <v/>
      </c>
      <c r="V206" s="2" t="str">
        <f t="shared" si="10"/>
        <v/>
      </c>
      <c r="W206" s="2" t="str">
        <f t="shared" si="11"/>
        <v>通过</v>
      </c>
    </row>
    <row r="207" spans="1:23" ht="15">
      <c r="A207" s="2" t="str">
        <f>raw_order_lines!A207</f>
        <v>SIM-20260907-C001</v>
      </c>
      <c r="B207" s="2">
        <f>raw_order_lines!B207</f>
        <v>5</v>
      </c>
      <c r="C207" s="2" t="str">
        <f>raw_order_lines!C207</f>
        <v>C001</v>
      </c>
      <c r="D207" s="3">
        <f>raw_order_lines!D207</f>
        <v>46272</v>
      </c>
      <c r="E207" s="2" t="str">
        <f>raw_order_lines!E207</f>
        <v>P019</v>
      </c>
      <c r="F207" s="2" t="str">
        <f>raw_order_lines!F207</f>
        <v>桶</v>
      </c>
      <c r="G207" s="4">
        <f>raw_order_lines!G207</f>
        <v>1</v>
      </c>
      <c r="H207" s="4">
        <f>raw_order_lines!H207</f>
        <v>1</v>
      </c>
      <c r="I207" s="4">
        <f>raw_order_lines!I207</f>
        <v>0</v>
      </c>
      <c r="J207" s="5">
        <f>raw_order_lines!J207</f>
        <v>71</v>
      </c>
      <c r="K207" s="2" t="str">
        <f>raw_order_lines!K207</f>
        <v>正常交付</v>
      </c>
      <c r="L207" s="2" t="str">
        <f>raw_order_lines!L207</f>
        <v>true</v>
      </c>
      <c r="M207" s="2" t="str">
        <f>INDEX(dim_products!$B$2:$B$21,MATCH($E207,dim_products!$A$2:$A$21,0))</f>
        <v>菜籽油</v>
      </c>
      <c r="N207" s="2" t="str">
        <f>INDEX(dim_products!$C$2:$C$21,MATCH($E207,dim_products!$A$2:$A$21,0))</f>
        <v>5升/桶普通菜籽油</v>
      </c>
      <c r="O207" s="2" t="str">
        <f>INDEX(dim_customers!$B$2:$B$7,MATCH($C207,dim_customers!$A$2:$A$7,0))</f>
        <v>模拟_榕树下粉面店</v>
      </c>
      <c r="P207" s="6">
        <f>INT((ROUND(raw_order_lines!H207*10,0)*ROUND(raw_order_lines!J207*100,0)+5)/10)/100</f>
        <v>71</v>
      </c>
      <c r="Q207" s="6">
        <f>INT((ROUND(raw_order_lines!I207*10,0)*ROUND(raw_order_lines!J207*100,0)+5)/10)/100</f>
        <v>0</v>
      </c>
      <c r="R207" s="6">
        <f t="shared" si="9"/>
        <v>71</v>
      </c>
      <c r="S207" s="2" t="str">
        <f>IF(OR(ROUND(raw_order_lines!I207*10,0)&gt;ROUND(raw_order_lines!H207*10,0),ROUND(raw_order_lines!H207*10,0)&gt;ROUND(raw_order_lines!G207*10,0),ROUND(raw_order_lines!G207*10,0)&lt;=0),"数量关系异常","")</f>
        <v/>
      </c>
      <c r="T207" s="2" t="str">
        <f>IF($F207&lt;&gt;INDEX(dim_products!$D$2:$D$21,MATCH($E207,dim_products!$A$2:$A$21,0)),"单位不一致","")</f>
        <v/>
      </c>
      <c r="U207" s="2" t="str">
        <f>IF(OR(ROUND(raw_order_lines!J207*100,0)&lt;ROUND(INDEX(dim_products!$F$2:$F$21,MATCH($E207,dim_products!$A$2:$A$21,0))*100,0),ROUND(raw_order_lines!J207*100,0)&gt;ROUND(INDEX(dim_products!$G$2:$G$21,MATCH($E207,dim_products!$A$2:$A$21,0))*100,0)),"单价越界","")</f>
        <v/>
      </c>
      <c r="V207" s="2" t="str">
        <f t="shared" si="10"/>
        <v/>
      </c>
      <c r="W207" s="2" t="str">
        <f t="shared" si="11"/>
        <v>通过</v>
      </c>
    </row>
    <row r="208" spans="1:23" ht="15">
      <c r="A208" s="2" t="str">
        <f>raw_order_lines!A208</f>
        <v>SIM-20260907-C001</v>
      </c>
      <c r="B208" s="2">
        <f>raw_order_lines!B208</f>
        <v>6</v>
      </c>
      <c r="C208" s="2" t="str">
        <f>raw_order_lines!C208</f>
        <v>C001</v>
      </c>
      <c r="D208" s="3">
        <f>raw_order_lines!D208</f>
        <v>46272</v>
      </c>
      <c r="E208" s="2" t="str">
        <f>raw_order_lines!E208</f>
        <v>P018</v>
      </c>
      <c r="F208" s="2" t="str">
        <f>raw_order_lines!F208</f>
        <v>袋</v>
      </c>
      <c r="G208" s="4">
        <f>raw_order_lines!G208</f>
        <v>1</v>
      </c>
      <c r="H208" s="4">
        <f>raw_order_lines!H208</f>
        <v>1</v>
      </c>
      <c r="I208" s="4">
        <f>raw_order_lines!I208</f>
        <v>0</v>
      </c>
      <c r="J208" s="5">
        <f>raw_order_lines!J208</f>
        <v>111</v>
      </c>
      <c r="K208" s="2" t="str">
        <f>raw_order_lines!K208</f>
        <v>正常交付</v>
      </c>
      <c r="L208" s="2" t="str">
        <f>raw_order_lines!L208</f>
        <v>true</v>
      </c>
      <c r="M208" s="2" t="str">
        <f>INDEX(dim_products!$B$2:$B$21,MATCH($E208,dim_products!$A$2:$A$21,0))</f>
        <v>小麦粉</v>
      </c>
      <c r="N208" s="2" t="str">
        <f>INDEX(dim_products!$C$2:$C$21,MATCH($E208,dim_products!$A$2:$A$21,0))</f>
        <v>25公斤/袋普通小麦粉</v>
      </c>
      <c r="O208" s="2" t="str">
        <f>INDEX(dim_customers!$B$2:$B$7,MATCH($C208,dim_customers!$A$2:$A$7,0))</f>
        <v>模拟_榕树下粉面店</v>
      </c>
      <c r="P208" s="6">
        <f>INT((ROUND(raw_order_lines!H208*10,0)*ROUND(raw_order_lines!J208*100,0)+5)/10)/100</f>
        <v>111</v>
      </c>
      <c r="Q208" s="6">
        <f>INT((ROUND(raw_order_lines!I208*10,0)*ROUND(raw_order_lines!J208*100,0)+5)/10)/100</f>
        <v>0</v>
      </c>
      <c r="R208" s="6">
        <f t="shared" si="9"/>
        <v>111</v>
      </c>
      <c r="S208" s="2" t="str">
        <f>IF(OR(ROUND(raw_order_lines!I208*10,0)&gt;ROUND(raw_order_lines!H208*10,0),ROUND(raw_order_lines!H208*10,0)&gt;ROUND(raw_order_lines!G208*10,0),ROUND(raw_order_lines!G208*10,0)&lt;=0),"数量关系异常","")</f>
        <v/>
      </c>
      <c r="T208" s="2" t="str">
        <f>IF($F208&lt;&gt;INDEX(dim_products!$D$2:$D$21,MATCH($E208,dim_products!$A$2:$A$21,0)),"单位不一致","")</f>
        <v/>
      </c>
      <c r="U208" s="2" t="str">
        <f>IF(OR(ROUND(raw_order_lines!J208*100,0)&lt;ROUND(INDEX(dim_products!$F$2:$F$21,MATCH($E208,dim_products!$A$2:$A$21,0))*100,0),ROUND(raw_order_lines!J208*100,0)&gt;ROUND(INDEX(dim_products!$G$2:$G$21,MATCH($E208,dim_products!$A$2:$A$21,0))*100,0)),"单价越界","")</f>
        <v/>
      </c>
      <c r="V208" s="2" t="str">
        <f t="shared" si="10"/>
        <v/>
      </c>
      <c r="W208" s="2" t="str">
        <f t="shared" si="11"/>
        <v>通过</v>
      </c>
    </row>
    <row r="209" spans="1:23" ht="15">
      <c r="A209" s="2" t="str">
        <f>raw_order_lines!A209</f>
        <v>SIM-20260907-C003</v>
      </c>
      <c r="B209" s="2">
        <f>raw_order_lines!B209</f>
        <v>1</v>
      </c>
      <c r="C209" s="2" t="str">
        <f>raw_order_lines!C209</f>
        <v>C003</v>
      </c>
      <c r="D209" s="3">
        <f>raw_order_lines!D209</f>
        <v>46272</v>
      </c>
      <c r="E209" s="2" t="str">
        <f>raw_order_lines!E209</f>
        <v>P012</v>
      </c>
      <c r="F209" s="2" t="str">
        <f>raw_order_lines!F209</f>
        <v>公斤</v>
      </c>
      <c r="G209" s="4">
        <f>raw_order_lines!G209</f>
        <v>5.5</v>
      </c>
      <c r="H209" s="4">
        <f>raw_order_lines!H209</f>
        <v>5.5</v>
      </c>
      <c r="I209" s="4">
        <f>raw_order_lines!I209</f>
        <v>0</v>
      </c>
      <c r="J209" s="5">
        <f>raw_order_lines!J209</f>
        <v>4.5999999999999996</v>
      </c>
      <c r="K209" s="2" t="str">
        <f>raw_order_lines!K209</f>
        <v>正常交付</v>
      </c>
      <c r="L209" s="2" t="str">
        <f>raw_order_lines!L209</f>
        <v>true</v>
      </c>
      <c r="M209" s="2" t="str">
        <f>INDEX(dim_products!$B$2:$B$21,MATCH($E209,dim_products!$A$2:$A$21,0))</f>
        <v>小白菜</v>
      </c>
      <c r="N209" s="2" t="str">
        <f>INDEX(dim_products!$C$2:$C$21,MATCH($E209,dim_products!$A$2:$A$21,0))</f>
        <v>散装鲜菜</v>
      </c>
      <c r="O209" s="2" t="str">
        <f>INDEX(dim_customers!$B$2:$B$7,MATCH($C209,dim_customers!$A$2:$A$7,0))</f>
        <v>模拟_兴街快餐店</v>
      </c>
      <c r="P209" s="6">
        <f>INT((ROUND(raw_order_lines!H209*10,0)*ROUND(raw_order_lines!J209*100,0)+5)/10)/100</f>
        <v>25.3</v>
      </c>
      <c r="Q209" s="6">
        <f>INT((ROUND(raw_order_lines!I209*10,0)*ROUND(raw_order_lines!J209*100,0)+5)/10)/100</f>
        <v>0</v>
      </c>
      <c r="R209" s="6">
        <f t="shared" si="9"/>
        <v>25.3</v>
      </c>
      <c r="S209" s="2" t="str">
        <f>IF(OR(ROUND(raw_order_lines!I209*10,0)&gt;ROUND(raw_order_lines!H209*10,0),ROUND(raw_order_lines!H209*10,0)&gt;ROUND(raw_order_lines!G209*10,0),ROUND(raw_order_lines!G209*10,0)&lt;=0),"数量关系异常","")</f>
        <v/>
      </c>
      <c r="T209" s="2" t="str">
        <f>IF($F209&lt;&gt;INDEX(dim_products!$D$2:$D$21,MATCH($E209,dim_products!$A$2:$A$21,0)),"单位不一致","")</f>
        <v/>
      </c>
      <c r="U209" s="2" t="str">
        <f>IF(OR(ROUND(raw_order_lines!J209*100,0)&lt;ROUND(INDEX(dim_products!$F$2:$F$21,MATCH($E209,dim_products!$A$2:$A$21,0))*100,0),ROUND(raw_order_lines!J209*100,0)&gt;ROUND(INDEX(dim_products!$G$2:$G$21,MATCH($E209,dim_products!$A$2:$A$21,0))*100,0)),"单价越界","")</f>
        <v/>
      </c>
      <c r="V209" s="2" t="str">
        <f t="shared" si="10"/>
        <v/>
      </c>
      <c r="W209" s="2" t="str">
        <f t="shared" si="11"/>
        <v>通过</v>
      </c>
    </row>
    <row r="210" spans="1:23" ht="15">
      <c r="A210" s="2" t="str">
        <f>raw_order_lines!A210</f>
        <v>SIM-20260907-C003</v>
      </c>
      <c r="B210" s="2">
        <f>raw_order_lines!B210</f>
        <v>2</v>
      </c>
      <c r="C210" s="2" t="str">
        <f>raw_order_lines!C210</f>
        <v>C003</v>
      </c>
      <c r="D210" s="3">
        <f>raw_order_lines!D210</f>
        <v>46272</v>
      </c>
      <c r="E210" s="2" t="str">
        <f>raw_order_lines!E210</f>
        <v>P008</v>
      </c>
      <c r="F210" s="2" t="str">
        <f>raw_order_lines!F210</f>
        <v>公斤</v>
      </c>
      <c r="G210" s="4">
        <f>raw_order_lines!G210</f>
        <v>4.4000000000000004</v>
      </c>
      <c r="H210" s="4">
        <f>raw_order_lines!H210</f>
        <v>4.4000000000000004</v>
      </c>
      <c r="I210" s="4">
        <f>raw_order_lines!I210</f>
        <v>0</v>
      </c>
      <c r="J210" s="5">
        <f>raw_order_lines!J210</f>
        <v>4.0999999999999996</v>
      </c>
      <c r="K210" s="2" t="str">
        <f>raw_order_lines!K210</f>
        <v>正常交付</v>
      </c>
      <c r="L210" s="2" t="str">
        <f>raw_order_lines!L210</f>
        <v>true</v>
      </c>
      <c r="M210" s="2" t="str">
        <f>INDEX(dim_products!$B$2:$B$21,MATCH($E210,dim_products!$A$2:$A$21,0))</f>
        <v>黄瓜</v>
      </c>
      <c r="N210" s="2" t="str">
        <f>INDEX(dim_products!$C$2:$C$21,MATCH($E210,dim_products!$A$2:$A$21,0))</f>
        <v>散装鲜菜</v>
      </c>
      <c r="O210" s="2" t="str">
        <f>INDEX(dim_customers!$B$2:$B$7,MATCH($C210,dim_customers!$A$2:$A$7,0))</f>
        <v>模拟_兴街快餐店</v>
      </c>
      <c r="P210" s="6">
        <f>INT((ROUND(raw_order_lines!H210*10,0)*ROUND(raw_order_lines!J210*100,0)+5)/10)/100</f>
        <v>18.04</v>
      </c>
      <c r="Q210" s="6">
        <f>INT((ROUND(raw_order_lines!I210*10,0)*ROUND(raw_order_lines!J210*100,0)+5)/10)/100</f>
        <v>0</v>
      </c>
      <c r="R210" s="6">
        <f t="shared" si="9"/>
        <v>18.04</v>
      </c>
      <c r="S210" s="2" t="str">
        <f>IF(OR(ROUND(raw_order_lines!I210*10,0)&gt;ROUND(raw_order_lines!H210*10,0),ROUND(raw_order_lines!H210*10,0)&gt;ROUND(raw_order_lines!G210*10,0),ROUND(raw_order_lines!G210*10,0)&lt;=0),"数量关系异常","")</f>
        <v/>
      </c>
      <c r="T210" s="2" t="str">
        <f>IF($F210&lt;&gt;INDEX(dim_products!$D$2:$D$21,MATCH($E210,dim_products!$A$2:$A$21,0)),"单位不一致","")</f>
        <v/>
      </c>
      <c r="U210" s="2" t="str">
        <f>IF(OR(ROUND(raw_order_lines!J210*100,0)&lt;ROUND(INDEX(dim_products!$F$2:$F$21,MATCH($E210,dim_products!$A$2:$A$21,0))*100,0),ROUND(raw_order_lines!J210*100,0)&gt;ROUND(INDEX(dim_products!$G$2:$G$21,MATCH($E210,dim_products!$A$2:$A$21,0))*100,0)),"单价越界","")</f>
        <v/>
      </c>
      <c r="V210" s="2" t="str">
        <f t="shared" si="10"/>
        <v/>
      </c>
      <c r="W210" s="2" t="str">
        <f t="shared" si="11"/>
        <v>通过</v>
      </c>
    </row>
    <row r="211" spans="1:23" ht="15">
      <c r="A211" s="2" t="str">
        <f>raw_order_lines!A211</f>
        <v>SIM-20260907-C003</v>
      </c>
      <c r="B211" s="2">
        <f>raw_order_lines!B211</f>
        <v>3</v>
      </c>
      <c r="C211" s="2" t="str">
        <f>raw_order_lines!C211</f>
        <v>C003</v>
      </c>
      <c r="D211" s="3">
        <f>raw_order_lines!D211</f>
        <v>46272</v>
      </c>
      <c r="E211" s="2" t="str">
        <f>raw_order_lines!E211</f>
        <v>P009</v>
      </c>
      <c r="F211" s="2" t="str">
        <f>raw_order_lines!F211</f>
        <v>公斤</v>
      </c>
      <c r="G211" s="4">
        <f>raw_order_lines!G211</f>
        <v>7.2</v>
      </c>
      <c r="H211" s="4">
        <f>raw_order_lines!H211</f>
        <v>7.2</v>
      </c>
      <c r="I211" s="4">
        <f>raw_order_lines!I211</f>
        <v>0</v>
      </c>
      <c r="J211" s="5">
        <f>raw_order_lines!J211</f>
        <v>5</v>
      </c>
      <c r="K211" s="2" t="str">
        <f>raw_order_lines!K211</f>
        <v>正常交付</v>
      </c>
      <c r="L211" s="2" t="str">
        <f>raw_order_lines!L211</f>
        <v>true</v>
      </c>
      <c r="M211" s="2" t="str">
        <f>INDEX(dim_products!$B$2:$B$21,MATCH($E211,dim_products!$A$2:$A$21,0))</f>
        <v>西红柿</v>
      </c>
      <c r="N211" s="2" t="str">
        <f>INDEX(dim_products!$C$2:$C$21,MATCH($E211,dim_products!$A$2:$A$21,0))</f>
        <v>散装鲜菜</v>
      </c>
      <c r="O211" s="2" t="str">
        <f>INDEX(dim_customers!$B$2:$B$7,MATCH($C211,dim_customers!$A$2:$A$7,0))</f>
        <v>模拟_兴街快餐店</v>
      </c>
      <c r="P211" s="6">
        <f>INT((ROUND(raw_order_lines!H211*10,0)*ROUND(raw_order_lines!J211*100,0)+5)/10)/100</f>
        <v>36</v>
      </c>
      <c r="Q211" s="6">
        <f>INT((ROUND(raw_order_lines!I211*10,0)*ROUND(raw_order_lines!J211*100,0)+5)/10)/100</f>
        <v>0</v>
      </c>
      <c r="R211" s="6">
        <f t="shared" si="9"/>
        <v>36</v>
      </c>
      <c r="S211" s="2" t="str">
        <f>IF(OR(ROUND(raw_order_lines!I211*10,0)&gt;ROUND(raw_order_lines!H211*10,0),ROUND(raw_order_lines!H211*10,0)&gt;ROUND(raw_order_lines!G211*10,0),ROUND(raw_order_lines!G211*10,0)&lt;=0),"数量关系异常","")</f>
        <v/>
      </c>
      <c r="T211" s="2" t="str">
        <f>IF($F211&lt;&gt;INDEX(dim_products!$D$2:$D$21,MATCH($E211,dim_products!$A$2:$A$21,0)),"单位不一致","")</f>
        <v/>
      </c>
      <c r="U211" s="2" t="str">
        <f>IF(OR(ROUND(raw_order_lines!J211*100,0)&lt;ROUND(INDEX(dim_products!$F$2:$F$21,MATCH($E211,dim_products!$A$2:$A$21,0))*100,0),ROUND(raw_order_lines!J211*100,0)&gt;ROUND(INDEX(dim_products!$G$2:$G$21,MATCH($E211,dim_products!$A$2:$A$21,0))*100,0)),"单价越界","")</f>
        <v/>
      </c>
      <c r="V211" s="2" t="str">
        <f t="shared" si="10"/>
        <v/>
      </c>
      <c r="W211" s="2" t="str">
        <f t="shared" si="11"/>
        <v>通过</v>
      </c>
    </row>
    <row r="212" spans="1:23" ht="15">
      <c r="A212" s="2" t="str">
        <f>raw_order_lines!A212</f>
        <v>SIM-20260907-C003</v>
      </c>
      <c r="B212" s="2">
        <f>raw_order_lines!B212</f>
        <v>4</v>
      </c>
      <c r="C212" s="2" t="str">
        <f>raw_order_lines!C212</f>
        <v>C003</v>
      </c>
      <c r="D212" s="3">
        <f>raw_order_lines!D212</f>
        <v>46272</v>
      </c>
      <c r="E212" s="2" t="str">
        <f>raw_order_lines!E212</f>
        <v>P002</v>
      </c>
      <c r="F212" s="2" t="str">
        <f>raw_order_lines!F212</f>
        <v>公斤</v>
      </c>
      <c r="G212" s="4">
        <f>raw_order_lines!G212</f>
        <v>6.1</v>
      </c>
      <c r="H212" s="4">
        <f>raw_order_lines!H212</f>
        <v>5.6</v>
      </c>
      <c r="I212" s="4">
        <f>raw_order_lines!I212</f>
        <v>0</v>
      </c>
      <c r="J212" s="5">
        <f>raw_order_lines!J212</f>
        <v>2.2999999999999998</v>
      </c>
      <c r="K212" s="2" t="str">
        <f>raw_order_lines!K212</f>
        <v>到货不足；按实际交付计费</v>
      </c>
      <c r="L212" s="2" t="str">
        <f>raw_order_lines!L212</f>
        <v>true</v>
      </c>
      <c r="M212" s="2" t="str">
        <f>INDEX(dim_products!$B$2:$B$21,MATCH($E212,dim_products!$A$2:$A$21,0))</f>
        <v>白萝卜</v>
      </c>
      <c r="N212" s="2" t="str">
        <f>INDEX(dim_products!$C$2:$C$21,MATCH($E212,dim_products!$A$2:$A$21,0))</f>
        <v>散装鲜菜</v>
      </c>
      <c r="O212" s="2" t="str">
        <f>INDEX(dim_customers!$B$2:$B$7,MATCH($C212,dim_customers!$A$2:$A$7,0))</f>
        <v>模拟_兴街快餐店</v>
      </c>
      <c r="P212" s="6">
        <f>INT((ROUND(raw_order_lines!H212*10,0)*ROUND(raw_order_lines!J212*100,0)+5)/10)/100</f>
        <v>12.88</v>
      </c>
      <c r="Q212" s="6">
        <f>INT((ROUND(raw_order_lines!I212*10,0)*ROUND(raw_order_lines!J212*100,0)+5)/10)/100</f>
        <v>0</v>
      </c>
      <c r="R212" s="6">
        <f t="shared" si="9"/>
        <v>12.88</v>
      </c>
      <c r="S212" s="2" t="str">
        <f>IF(OR(ROUND(raw_order_lines!I212*10,0)&gt;ROUND(raw_order_lines!H212*10,0),ROUND(raw_order_lines!H212*10,0)&gt;ROUND(raw_order_lines!G212*10,0),ROUND(raw_order_lines!G212*10,0)&lt;=0),"数量关系异常","")</f>
        <v/>
      </c>
      <c r="T212" s="2" t="str">
        <f>IF($F212&lt;&gt;INDEX(dim_products!$D$2:$D$21,MATCH($E212,dim_products!$A$2:$A$21,0)),"单位不一致","")</f>
        <v/>
      </c>
      <c r="U212" s="2" t="str">
        <f>IF(OR(ROUND(raw_order_lines!J212*100,0)&lt;ROUND(INDEX(dim_products!$F$2:$F$21,MATCH($E212,dim_products!$A$2:$A$21,0))*100,0),ROUND(raw_order_lines!J212*100,0)&gt;ROUND(INDEX(dim_products!$G$2:$G$21,MATCH($E212,dim_products!$A$2:$A$21,0))*100,0)),"单价越界","")</f>
        <v/>
      </c>
      <c r="V212" s="2" t="str">
        <f t="shared" si="10"/>
        <v/>
      </c>
      <c r="W212" s="2" t="str">
        <f t="shared" si="11"/>
        <v>通过</v>
      </c>
    </row>
    <row r="213" spans="1:23" ht="15">
      <c r="A213" s="2" t="str">
        <f>raw_order_lines!A213</f>
        <v>SIM-20260907-C003</v>
      </c>
      <c r="B213" s="2">
        <f>raw_order_lines!B213</f>
        <v>5</v>
      </c>
      <c r="C213" s="2" t="str">
        <f>raw_order_lines!C213</f>
        <v>C003</v>
      </c>
      <c r="D213" s="3">
        <f>raw_order_lines!D213</f>
        <v>46272</v>
      </c>
      <c r="E213" s="2" t="str">
        <f>raw_order_lines!E213</f>
        <v>P006</v>
      </c>
      <c r="F213" s="2" t="str">
        <f>raw_order_lines!F213</f>
        <v>公斤</v>
      </c>
      <c r="G213" s="4">
        <f>raw_order_lines!G213</f>
        <v>8.8000000000000007</v>
      </c>
      <c r="H213" s="4">
        <f>raw_order_lines!H213</f>
        <v>8.8000000000000007</v>
      </c>
      <c r="I213" s="4">
        <f>raw_order_lines!I213</f>
        <v>0</v>
      </c>
      <c r="J213" s="5">
        <f>raw_order_lines!J213</f>
        <v>4.5999999999999996</v>
      </c>
      <c r="K213" s="2" t="str">
        <f>raw_order_lines!K213</f>
        <v>正常交付</v>
      </c>
      <c r="L213" s="2" t="str">
        <f>raw_order_lines!L213</f>
        <v>true</v>
      </c>
      <c r="M213" s="2" t="str">
        <f>INDEX(dim_products!$B$2:$B$21,MATCH($E213,dim_products!$A$2:$A$21,0))</f>
        <v>茄子</v>
      </c>
      <c r="N213" s="2" t="str">
        <f>INDEX(dim_products!$C$2:$C$21,MATCH($E213,dim_products!$A$2:$A$21,0))</f>
        <v>散装鲜菜</v>
      </c>
      <c r="O213" s="2" t="str">
        <f>INDEX(dim_customers!$B$2:$B$7,MATCH($C213,dim_customers!$A$2:$A$7,0))</f>
        <v>模拟_兴街快餐店</v>
      </c>
      <c r="P213" s="6">
        <f>INT((ROUND(raw_order_lines!H213*10,0)*ROUND(raw_order_lines!J213*100,0)+5)/10)/100</f>
        <v>40.479999999999997</v>
      </c>
      <c r="Q213" s="6">
        <f>INT((ROUND(raw_order_lines!I213*10,0)*ROUND(raw_order_lines!J213*100,0)+5)/10)/100</f>
        <v>0</v>
      </c>
      <c r="R213" s="6">
        <f t="shared" si="9"/>
        <v>40.479999999999997</v>
      </c>
      <c r="S213" s="2" t="str">
        <f>IF(OR(ROUND(raw_order_lines!I213*10,0)&gt;ROUND(raw_order_lines!H213*10,0),ROUND(raw_order_lines!H213*10,0)&gt;ROUND(raw_order_lines!G213*10,0),ROUND(raw_order_lines!G213*10,0)&lt;=0),"数量关系异常","")</f>
        <v/>
      </c>
      <c r="T213" s="2" t="str">
        <f>IF($F213&lt;&gt;INDEX(dim_products!$D$2:$D$21,MATCH($E213,dim_products!$A$2:$A$21,0)),"单位不一致","")</f>
        <v/>
      </c>
      <c r="U213" s="2" t="str">
        <f>IF(OR(ROUND(raw_order_lines!J213*100,0)&lt;ROUND(INDEX(dim_products!$F$2:$F$21,MATCH($E213,dim_products!$A$2:$A$21,0))*100,0),ROUND(raw_order_lines!J213*100,0)&gt;ROUND(INDEX(dim_products!$G$2:$G$21,MATCH($E213,dim_products!$A$2:$A$21,0))*100,0)),"单价越界","")</f>
        <v/>
      </c>
      <c r="V213" s="2" t="str">
        <f t="shared" si="10"/>
        <v/>
      </c>
      <c r="W213" s="2" t="str">
        <f t="shared" si="11"/>
        <v>通过</v>
      </c>
    </row>
    <row r="214" spans="1:23" ht="15">
      <c r="A214" s="2" t="str">
        <f>raw_order_lines!A214</f>
        <v>SIM-20260907-C003</v>
      </c>
      <c r="B214" s="2">
        <f>raw_order_lines!B214</f>
        <v>6</v>
      </c>
      <c r="C214" s="2" t="str">
        <f>raw_order_lines!C214</f>
        <v>C003</v>
      </c>
      <c r="D214" s="3">
        <f>raw_order_lines!D214</f>
        <v>46272</v>
      </c>
      <c r="E214" s="2" t="str">
        <f>raw_order_lines!E214</f>
        <v>P007</v>
      </c>
      <c r="F214" s="2" t="str">
        <f>raw_order_lines!F214</f>
        <v>公斤</v>
      </c>
      <c r="G214" s="4">
        <f>raw_order_lines!G214</f>
        <v>8.8000000000000007</v>
      </c>
      <c r="H214" s="4">
        <f>raw_order_lines!H214</f>
        <v>8.8000000000000007</v>
      </c>
      <c r="I214" s="4">
        <f>raw_order_lines!I214</f>
        <v>0</v>
      </c>
      <c r="J214" s="5">
        <f>raw_order_lines!J214</f>
        <v>5.15</v>
      </c>
      <c r="K214" s="2" t="str">
        <f>raw_order_lines!K214</f>
        <v>正常交付</v>
      </c>
      <c r="L214" s="2" t="str">
        <f>raw_order_lines!L214</f>
        <v>true</v>
      </c>
      <c r="M214" s="2" t="str">
        <f>INDEX(dim_products!$B$2:$B$21,MATCH($E214,dim_products!$A$2:$A$21,0))</f>
        <v>青椒</v>
      </c>
      <c r="N214" s="2" t="str">
        <f>INDEX(dim_products!$C$2:$C$21,MATCH($E214,dim_products!$A$2:$A$21,0))</f>
        <v>散装鲜菜</v>
      </c>
      <c r="O214" s="2" t="str">
        <f>INDEX(dim_customers!$B$2:$B$7,MATCH($C214,dim_customers!$A$2:$A$7,0))</f>
        <v>模拟_兴街快餐店</v>
      </c>
      <c r="P214" s="6">
        <f>INT((ROUND(raw_order_lines!H214*10,0)*ROUND(raw_order_lines!J214*100,0)+5)/10)/100</f>
        <v>45.32</v>
      </c>
      <c r="Q214" s="6">
        <f>INT((ROUND(raw_order_lines!I214*10,0)*ROUND(raw_order_lines!J214*100,0)+5)/10)/100</f>
        <v>0</v>
      </c>
      <c r="R214" s="6">
        <f t="shared" si="9"/>
        <v>45.32</v>
      </c>
      <c r="S214" s="2" t="str">
        <f>IF(OR(ROUND(raw_order_lines!I214*10,0)&gt;ROUND(raw_order_lines!H214*10,0),ROUND(raw_order_lines!H214*10,0)&gt;ROUND(raw_order_lines!G214*10,0),ROUND(raw_order_lines!G214*10,0)&lt;=0),"数量关系异常","")</f>
        <v/>
      </c>
      <c r="T214" s="2" t="str">
        <f>IF($F214&lt;&gt;INDEX(dim_products!$D$2:$D$21,MATCH($E214,dim_products!$A$2:$A$21,0)),"单位不一致","")</f>
        <v/>
      </c>
      <c r="U214" s="2" t="str">
        <f>IF(OR(ROUND(raw_order_lines!J214*100,0)&lt;ROUND(INDEX(dim_products!$F$2:$F$21,MATCH($E214,dim_products!$A$2:$A$21,0))*100,0),ROUND(raw_order_lines!J214*100,0)&gt;ROUND(INDEX(dim_products!$G$2:$G$21,MATCH($E214,dim_products!$A$2:$A$21,0))*100,0)),"单价越界","")</f>
        <v/>
      </c>
      <c r="V214" s="2" t="str">
        <f t="shared" si="10"/>
        <v/>
      </c>
      <c r="W214" s="2" t="str">
        <f t="shared" si="11"/>
        <v>通过</v>
      </c>
    </row>
    <row r="215" spans="1:23" ht="15">
      <c r="A215" s="2" t="str">
        <f>raw_order_lines!A215</f>
        <v>SIM-20260907-C003</v>
      </c>
      <c r="B215" s="2">
        <f>raw_order_lines!B215</f>
        <v>7</v>
      </c>
      <c r="C215" s="2" t="str">
        <f>raw_order_lines!C215</f>
        <v>C003</v>
      </c>
      <c r="D215" s="3">
        <f>raw_order_lines!D215</f>
        <v>46272</v>
      </c>
      <c r="E215" s="2" t="str">
        <f>raw_order_lines!E215</f>
        <v>P017</v>
      </c>
      <c r="F215" s="2" t="str">
        <f>raw_order_lines!F215</f>
        <v>袋</v>
      </c>
      <c r="G215" s="4">
        <f>raw_order_lines!G215</f>
        <v>5</v>
      </c>
      <c r="H215" s="4">
        <f>raw_order_lines!H215</f>
        <v>5</v>
      </c>
      <c r="I215" s="4">
        <f>raw_order_lines!I215</f>
        <v>0</v>
      </c>
      <c r="J215" s="5">
        <f>raw_order_lines!J215</f>
        <v>118</v>
      </c>
      <c r="K215" s="2" t="str">
        <f>raw_order_lines!K215</f>
        <v>正常交付</v>
      </c>
      <c r="L215" s="2" t="str">
        <f>raw_order_lines!L215</f>
        <v>true</v>
      </c>
      <c r="M215" s="2" t="str">
        <f>INDEX(dim_products!$B$2:$B$21,MATCH($E215,dim_products!$A$2:$A$21,0))</f>
        <v>籼米</v>
      </c>
      <c r="N215" s="2" t="str">
        <f>INDEX(dim_products!$C$2:$C$21,MATCH($E215,dim_products!$A$2:$A$21,0))</f>
        <v>25公斤/袋普通籼米</v>
      </c>
      <c r="O215" s="2" t="str">
        <f>INDEX(dim_customers!$B$2:$B$7,MATCH($C215,dim_customers!$A$2:$A$7,0))</f>
        <v>模拟_兴街快餐店</v>
      </c>
      <c r="P215" s="6">
        <f>INT((ROUND(raw_order_lines!H215*10,0)*ROUND(raw_order_lines!J215*100,0)+5)/10)/100</f>
        <v>590</v>
      </c>
      <c r="Q215" s="6">
        <f>INT((ROUND(raw_order_lines!I215*10,0)*ROUND(raw_order_lines!J215*100,0)+5)/10)/100</f>
        <v>0</v>
      </c>
      <c r="R215" s="6">
        <f t="shared" si="9"/>
        <v>590</v>
      </c>
      <c r="S215" s="2" t="str">
        <f>IF(OR(ROUND(raw_order_lines!I215*10,0)&gt;ROUND(raw_order_lines!H215*10,0),ROUND(raw_order_lines!H215*10,0)&gt;ROUND(raw_order_lines!G215*10,0),ROUND(raw_order_lines!G215*10,0)&lt;=0),"数量关系异常","")</f>
        <v/>
      </c>
      <c r="T215" s="2" t="str">
        <f>IF($F215&lt;&gt;INDEX(dim_products!$D$2:$D$21,MATCH($E215,dim_products!$A$2:$A$21,0)),"单位不一致","")</f>
        <v/>
      </c>
      <c r="U215" s="2" t="str">
        <f>IF(OR(ROUND(raw_order_lines!J215*100,0)&lt;ROUND(INDEX(dim_products!$F$2:$F$21,MATCH($E215,dim_products!$A$2:$A$21,0))*100,0),ROUND(raw_order_lines!J215*100,0)&gt;ROUND(INDEX(dim_products!$G$2:$G$21,MATCH($E215,dim_products!$A$2:$A$21,0))*100,0)),"单价越界","")</f>
        <v/>
      </c>
      <c r="V215" s="2" t="str">
        <f t="shared" si="10"/>
        <v/>
      </c>
      <c r="W215" s="2" t="str">
        <f t="shared" si="11"/>
        <v>通过</v>
      </c>
    </row>
    <row r="216" spans="1:23" ht="15">
      <c r="A216" s="2" t="str">
        <f>raw_order_lines!A216</f>
        <v>SIM-20260907-C003</v>
      </c>
      <c r="B216" s="2">
        <f>raw_order_lines!B216</f>
        <v>8</v>
      </c>
      <c r="C216" s="2" t="str">
        <f>raw_order_lines!C216</f>
        <v>C003</v>
      </c>
      <c r="D216" s="3">
        <f>raw_order_lines!D216</f>
        <v>46272</v>
      </c>
      <c r="E216" s="2" t="str">
        <f>raw_order_lines!E216</f>
        <v>P020</v>
      </c>
      <c r="F216" s="2" t="str">
        <f>raw_order_lines!F216</f>
        <v>桶</v>
      </c>
      <c r="G216" s="4">
        <f>raw_order_lines!G216</f>
        <v>2</v>
      </c>
      <c r="H216" s="4">
        <f>raw_order_lines!H216</f>
        <v>2</v>
      </c>
      <c r="I216" s="4">
        <f>raw_order_lines!I216</f>
        <v>0</v>
      </c>
      <c r="J216" s="5">
        <f>raw_order_lines!J216</f>
        <v>59</v>
      </c>
      <c r="K216" s="2" t="str">
        <f>raw_order_lines!K216</f>
        <v>正常交付</v>
      </c>
      <c r="L216" s="2" t="str">
        <f>raw_order_lines!L216</f>
        <v>true</v>
      </c>
      <c r="M216" s="2" t="str">
        <f>INDEX(dim_products!$B$2:$B$21,MATCH($E216,dim_products!$A$2:$A$21,0))</f>
        <v>大豆油</v>
      </c>
      <c r="N216" s="2" t="str">
        <f>INDEX(dim_products!$C$2:$C$21,MATCH($E216,dim_products!$A$2:$A$21,0))</f>
        <v>5升/桶普通大豆油</v>
      </c>
      <c r="O216" s="2" t="str">
        <f>INDEX(dim_customers!$B$2:$B$7,MATCH($C216,dim_customers!$A$2:$A$7,0))</f>
        <v>模拟_兴街快餐店</v>
      </c>
      <c r="P216" s="6">
        <f>INT((ROUND(raw_order_lines!H216*10,0)*ROUND(raw_order_lines!J216*100,0)+5)/10)/100</f>
        <v>118</v>
      </c>
      <c r="Q216" s="6">
        <f>INT((ROUND(raw_order_lines!I216*10,0)*ROUND(raw_order_lines!J216*100,0)+5)/10)/100</f>
        <v>0</v>
      </c>
      <c r="R216" s="6">
        <f t="shared" si="9"/>
        <v>118</v>
      </c>
      <c r="S216" s="2" t="str">
        <f>IF(OR(ROUND(raw_order_lines!I216*10,0)&gt;ROUND(raw_order_lines!H216*10,0),ROUND(raw_order_lines!H216*10,0)&gt;ROUND(raw_order_lines!G216*10,0),ROUND(raw_order_lines!G216*10,0)&lt;=0),"数量关系异常","")</f>
        <v/>
      </c>
      <c r="T216" s="2" t="str">
        <f>IF($F216&lt;&gt;INDEX(dim_products!$D$2:$D$21,MATCH($E216,dim_products!$A$2:$A$21,0)),"单位不一致","")</f>
        <v/>
      </c>
      <c r="U216" s="2" t="str">
        <f>IF(OR(ROUND(raw_order_lines!J216*100,0)&lt;ROUND(INDEX(dim_products!$F$2:$F$21,MATCH($E216,dim_products!$A$2:$A$21,0))*100,0),ROUND(raw_order_lines!J216*100,0)&gt;ROUND(INDEX(dim_products!$G$2:$G$21,MATCH($E216,dim_products!$A$2:$A$21,0))*100,0)),"单价越界","")</f>
        <v/>
      </c>
      <c r="V216" s="2" t="str">
        <f t="shared" si="10"/>
        <v/>
      </c>
      <c r="W216" s="2" t="str">
        <f t="shared" si="11"/>
        <v>通过</v>
      </c>
    </row>
    <row r="217" spans="1:23" ht="15">
      <c r="A217" s="2" t="str">
        <f>raw_order_lines!A217</f>
        <v>SIM-20260907-C005</v>
      </c>
      <c r="B217" s="2">
        <f>raw_order_lines!B217</f>
        <v>1</v>
      </c>
      <c r="C217" s="2" t="str">
        <f>raw_order_lines!C217</f>
        <v>C005</v>
      </c>
      <c r="D217" s="3">
        <f>raw_order_lines!D217</f>
        <v>46272</v>
      </c>
      <c r="E217" s="2" t="str">
        <f>raw_order_lines!E217</f>
        <v>P012</v>
      </c>
      <c r="F217" s="2" t="str">
        <f>raw_order_lines!F217</f>
        <v>公斤</v>
      </c>
      <c r="G217" s="4">
        <f>raw_order_lines!G217</f>
        <v>12</v>
      </c>
      <c r="H217" s="4">
        <f>raw_order_lines!H217</f>
        <v>12</v>
      </c>
      <c r="I217" s="4">
        <f>raw_order_lines!I217</f>
        <v>0</v>
      </c>
      <c r="J217" s="5">
        <f>raw_order_lines!J217</f>
        <v>4.5999999999999996</v>
      </c>
      <c r="K217" s="2" t="str">
        <f>raw_order_lines!K217</f>
        <v>正常交付</v>
      </c>
      <c r="L217" s="2" t="str">
        <f>raw_order_lines!L217</f>
        <v>true</v>
      </c>
      <c r="M217" s="2" t="str">
        <f>INDEX(dim_products!$B$2:$B$21,MATCH($E217,dim_products!$A$2:$A$21,0))</f>
        <v>小白菜</v>
      </c>
      <c r="N217" s="2" t="str">
        <f>INDEX(dim_products!$C$2:$C$21,MATCH($E217,dim_products!$A$2:$A$21,0))</f>
        <v>散装鲜菜</v>
      </c>
      <c r="O217" s="2" t="str">
        <f>INDEX(dim_customers!$B$2:$B$7,MATCH($C217,dim_customers!$A$2:$A$7,0))</f>
        <v>模拟_青禾小学食堂</v>
      </c>
      <c r="P217" s="6">
        <f>INT((ROUND(raw_order_lines!H217*10,0)*ROUND(raw_order_lines!J217*100,0)+5)/10)/100</f>
        <v>55.2</v>
      </c>
      <c r="Q217" s="6">
        <f>INT((ROUND(raw_order_lines!I217*10,0)*ROUND(raw_order_lines!J217*100,0)+5)/10)/100</f>
        <v>0</v>
      </c>
      <c r="R217" s="6">
        <f t="shared" si="9"/>
        <v>55.2</v>
      </c>
      <c r="S217" s="2" t="str">
        <f>IF(OR(ROUND(raw_order_lines!I217*10,0)&gt;ROUND(raw_order_lines!H217*10,0),ROUND(raw_order_lines!H217*10,0)&gt;ROUND(raw_order_lines!G217*10,0),ROUND(raw_order_lines!G217*10,0)&lt;=0),"数量关系异常","")</f>
        <v/>
      </c>
      <c r="T217" s="2" t="str">
        <f>IF($F217&lt;&gt;INDEX(dim_products!$D$2:$D$21,MATCH($E217,dim_products!$A$2:$A$21,0)),"单位不一致","")</f>
        <v/>
      </c>
      <c r="U217" s="2" t="str">
        <f>IF(OR(ROUND(raw_order_lines!J217*100,0)&lt;ROUND(INDEX(dim_products!$F$2:$F$21,MATCH($E217,dim_products!$A$2:$A$21,0))*100,0),ROUND(raw_order_lines!J217*100,0)&gt;ROUND(INDEX(dim_products!$G$2:$G$21,MATCH($E217,dim_products!$A$2:$A$21,0))*100,0)),"单价越界","")</f>
        <v/>
      </c>
      <c r="V217" s="2" t="str">
        <f t="shared" si="10"/>
        <v/>
      </c>
      <c r="W217" s="2" t="str">
        <f t="shared" si="11"/>
        <v>通过</v>
      </c>
    </row>
    <row r="218" spans="1:23" ht="15">
      <c r="A218" s="2" t="str">
        <f>raw_order_lines!A218</f>
        <v>SIM-20260907-C005</v>
      </c>
      <c r="B218" s="2">
        <f>raw_order_lines!B218</f>
        <v>2</v>
      </c>
      <c r="C218" s="2" t="str">
        <f>raw_order_lines!C218</f>
        <v>C005</v>
      </c>
      <c r="D218" s="3">
        <f>raw_order_lines!D218</f>
        <v>46272</v>
      </c>
      <c r="E218" s="2" t="str">
        <f>raw_order_lines!E218</f>
        <v>P006</v>
      </c>
      <c r="F218" s="2" t="str">
        <f>raw_order_lines!F218</f>
        <v>公斤</v>
      </c>
      <c r="G218" s="4">
        <f>raw_order_lines!G218</f>
        <v>9</v>
      </c>
      <c r="H218" s="4">
        <f>raw_order_lines!H218</f>
        <v>9</v>
      </c>
      <c r="I218" s="4">
        <f>raw_order_lines!I218</f>
        <v>0</v>
      </c>
      <c r="J218" s="5">
        <f>raw_order_lines!J218</f>
        <v>4.5999999999999996</v>
      </c>
      <c r="K218" s="2" t="str">
        <f>raw_order_lines!K218</f>
        <v>正常交付</v>
      </c>
      <c r="L218" s="2" t="str">
        <f>raw_order_lines!L218</f>
        <v>true</v>
      </c>
      <c r="M218" s="2" t="str">
        <f>INDEX(dim_products!$B$2:$B$21,MATCH($E218,dim_products!$A$2:$A$21,0))</f>
        <v>茄子</v>
      </c>
      <c r="N218" s="2" t="str">
        <f>INDEX(dim_products!$C$2:$C$21,MATCH($E218,dim_products!$A$2:$A$21,0))</f>
        <v>散装鲜菜</v>
      </c>
      <c r="O218" s="2" t="str">
        <f>INDEX(dim_customers!$B$2:$B$7,MATCH($C218,dim_customers!$A$2:$A$7,0))</f>
        <v>模拟_青禾小学食堂</v>
      </c>
      <c r="P218" s="6">
        <f>INT((ROUND(raw_order_lines!H218*10,0)*ROUND(raw_order_lines!J218*100,0)+5)/10)/100</f>
        <v>41.4</v>
      </c>
      <c r="Q218" s="6">
        <f>INT((ROUND(raw_order_lines!I218*10,0)*ROUND(raw_order_lines!J218*100,0)+5)/10)/100</f>
        <v>0</v>
      </c>
      <c r="R218" s="6">
        <f t="shared" si="9"/>
        <v>41.4</v>
      </c>
      <c r="S218" s="2" t="str">
        <f>IF(OR(ROUND(raw_order_lines!I218*10,0)&gt;ROUND(raw_order_lines!H218*10,0),ROUND(raw_order_lines!H218*10,0)&gt;ROUND(raw_order_lines!G218*10,0),ROUND(raw_order_lines!G218*10,0)&lt;=0),"数量关系异常","")</f>
        <v/>
      </c>
      <c r="T218" s="2" t="str">
        <f>IF($F218&lt;&gt;INDEX(dim_products!$D$2:$D$21,MATCH($E218,dim_products!$A$2:$A$21,0)),"单位不一致","")</f>
        <v/>
      </c>
      <c r="U218" s="2" t="str">
        <f>IF(OR(ROUND(raw_order_lines!J218*100,0)&lt;ROUND(INDEX(dim_products!$F$2:$F$21,MATCH($E218,dim_products!$A$2:$A$21,0))*100,0),ROUND(raw_order_lines!J218*100,0)&gt;ROUND(INDEX(dim_products!$G$2:$G$21,MATCH($E218,dim_products!$A$2:$A$21,0))*100,0)),"单价越界","")</f>
        <v/>
      </c>
      <c r="V218" s="2" t="str">
        <f t="shared" si="10"/>
        <v/>
      </c>
      <c r="W218" s="2" t="str">
        <f t="shared" si="11"/>
        <v>通过</v>
      </c>
    </row>
    <row r="219" spans="1:23" ht="15">
      <c r="A219" s="2" t="str">
        <f>raw_order_lines!A219</f>
        <v>SIM-20260907-C005</v>
      </c>
      <c r="B219" s="2">
        <f>raw_order_lines!B219</f>
        <v>3</v>
      </c>
      <c r="C219" s="2" t="str">
        <f>raw_order_lines!C219</f>
        <v>C005</v>
      </c>
      <c r="D219" s="3">
        <f>raw_order_lines!D219</f>
        <v>46272</v>
      </c>
      <c r="E219" s="2" t="str">
        <f>raw_order_lines!E219</f>
        <v>P004</v>
      </c>
      <c r="F219" s="2" t="str">
        <f>raw_order_lines!F219</f>
        <v>公斤</v>
      </c>
      <c r="G219" s="4">
        <f>raw_order_lines!G219</f>
        <v>12</v>
      </c>
      <c r="H219" s="4">
        <f>raw_order_lines!H219</f>
        <v>12</v>
      </c>
      <c r="I219" s="4">
        <f>raw_order_lines!I219</f>
        <v>0</v>
      </c>
      <c r="J219" s="5">
        <f>raw_order_lines!J219</f>
        <v>2.2999999999999998</v>
      </c>
      <c r="K219" s="2" t="str">
        <f>raw_order_lines!K219</f>
        <v>正常交付</v>
      </c>
      <c r="L219" s="2" t="str">
        <f>raw_order_lines!L219</f>
        <v>true</v>
      </c>
      <c r="M219" s="2" t="str">
        <f>INDEX(dim_products!$B$2:$B$21,MATCH($E219,dim_products!$A$2:$A$21,0))</f>
        <v>冬瓜</v>
      </c>
      <c r="N219" s="2" t="str">
        <f>INDEX(dim_products!$C$2:$C$21,MATCH($E219,dim_products!$A$2:$A$21,0))</f>
        <v>散装鲜菜</v>
      </c>
      <c r="O219" s="2" t="str">
        <f>INDEX(dim_customers!$B$2:$B$7,MATCH($C219,dim_customers!$A$2:$A$7,0))</f>
        <v>模拟_青禾小学食堂</v>
      </c>
      <c r="P219" s="6">
        <f>INT((ROUND(raw_order_lines!H219*10,0)*ROUND(raw_order_lines!J219*100,0)+5)/10)/100</f>
        <v>27.6</v>
      </c>
      <c r="Q219" s="6">
        <f>INT((ROUND(raw_order_lines!I219*10,0)*ROUND(raw_order_lines!J219*100,0)+5)/10)/100</f>
        <v>0</v>
      </c>
      <c r="R219" s="6">
        <f t="shared" si="9"/>
        <v>27.6</v>
      </c>
      <c r="S219" s="2" t="str">
        <f>IF(OR(ROUND(raw_order_lines!I219*10,0)&gt;ROUND(raw_order_lines!H219*10,0),ROUND(raw_order_lines!H219*10,0)&gt;ROUND(raw_order_lines!G219*10,0),ROUND(raw_order_lines!G219*10,0)&lt;=0),"数量关系异常","")</f>
        <v/>
      </c>
      <c r="T219" s="2" t="str">
        <f>IF($F219&lt;&gt;INDEX(dim_products!$D$2:$D$21,MATCH($E219,dim_products!$A$2:$A$21,0)),"单位不一致","")</f>
        <v/>
      </c>
      <c r="U219" s="2" t="str">
        <f>IF(OR(ROUND(raw_order_lines!J219*100,0)&lt;ROUND(INDEX(dim_products!$F$2:$F$21,MATCH($E219,dim_products!$A$2:$A$21,0))*100,0),ROUND(raw_order_lines!J219*100,0)&gt;ROUND(INDEX(dim_products!$G$2:$G$21,MATCH($E219,dim_products!$A$2:$A$21,0))*100,0)),"单价越界","")</f>
        <v/>
      </c>
      <c r="V219" s="2" t="str">
        <f t="shared" si="10"/>
        <v/>
      </c>
      <c r="W219" s="2" t="str">
        <f t="shared" si="11"/>
        <v>通过</v>
      </c>
    </row>
    <row r="220" spans="1:23" ht="15">
      <c r="A220" s="2" t="str">
        <f>raw_order_lines!A220</f>
        <v>SIM-20260907-C005</v>
      </c>
      <c r="B220" s="2">
        <f>raw_order_lines!B220</f>
        <v>4</v>
      </c>
      <c r="C220" s="2" t="str">
        <f>raw_order_lines!C220</f>
        <v>C005</v>
      </c>
      <c r="D220" s="3">
        <f>raw_order_lines!D220</f>
        <v>46272</v>
      </c>
      <c r="E220" s="2" t="str">
        <f>raw_order_lines!E220</f>
        <v>P002</v>
      </c>
      <c r="F220" s="2" t="str">
        <f>raw_order_lines!F220</f>
        <v>公斤</v>
      </c>
      <c r="G220" s="4">
        <f>raw_order_lines!G220</f>
        <v>8</v>
      </c>
      <c r="H220" s="4">
        <f>raw_order_lines!H220</f>
        <v>8</v>
      </c>
      <c r="I220" s="4">
        <f>raw_order_lines!I220</f>
        <v>0</v>
      </c>
      <c r="J220" s="5">
        <f>raw_order_lines!J220</f>
        <v>2.2999999999999998</v>
      </c>
      <c r="K220" s="2" t="str">
        <f>raw_order_lines!K220</f>
        <v>正常交付</v>
      </c>
      <c r="L220" s="2" t="str">
        <f>raw_order_lines!L220</f>
        <v>true</v>
      </c>
      <c r="M220" s="2" t="str">
        <f>INDEX(dim_products!$B$2:$B$21,MATCH($E220,dim_products!$A$2:$A$21,0))</f>
        <v>白萝卜</v>
      </c>
      <c r="N220" s="2" t="str">
        <f>INDEX(dim_products!$C$2:$C$21,MATCH($E220,dim_products!$A$2:$A$21,0))</f>
        <v>散装鲜菜</v>
      </c>
      <c r="O220" s="2" t="str">
        <f>INDEX(dim_customers!$B$2:$B$7,MATCH($C220,dim_customers!$A$2:$A$7,0))</f>
        <v>模拟_青禾小学食堂</v>
      </c>
      <c r="P220" s="6">
        <f>INT((ROUND(raw_order_lines!H220*10,0)*ROUND(raw_order_lines!J220*100,0)+5)/10)/100</f>
        <v>18.399999999999999</v>
      </c>
      <c r="Q220" s="6">
        <f>INT((ROUND(raw_order_lines!I220*10,0)*ROUND(raw_order_lines!J220*100,0)+5)/10)/100</f>
        <v>0</v>
      </c>
      <c r="R220" s="6">
        <f t="shared" si="9"/>
        <v>18.399999999999999</v>
      </c>
      <c r="S220" s="2" t="str">
        <f>IF(OR(ROUND(raw_order_lines!I220*10,0)&gt;ROUND(raw_order_lines!H220*10,0),ROUND(raw_order_lines!H220*10,0)&gt;ROUND(raw_order_lines!G220*10,0),ROUND(raw_order_lines!G220*10,0)&lt;=0),"数量关系异常","")</f>
        <v/>
      </c>
      <c r="T220" s="2" t="str">
        <f>IF($F220&lt;&gt;INDEX(dim_products!$D$2:$D$21,MATCH($E220,dim_products!$A$2:$A$21,0)),"单位不一致","")</f>
        <v/>
      </c>
      <c r="U220" s="2" t="str">
        <f>IF(OR(ROUND(raw_order_lines!J220*100,0)&lt;ROUND(INDEX(dim_products!$F$2:$F$21,MATCH($E220,dim_products!$A$2:$A$21,0))*100,0),ROUND(raw_order_lines!J220*100,0)&gt;ROUND(INDEX(dim_products!$G$2:$G$21,MATCH($E220,dim_products!$A$2:$A$21,0))*100,0)),"单价越界","")</f>
        <v/>
      </c>
      <c r="V220" s="2" t="str">
        <f t="shared" si="10"/>
        <v/>
      </c>
      <c r="W220" s="2" t="str">
        <f t="shared" si="11"/>
        <v>通过</v>
      </c>
    </row>
    <row r="221" spans="1:23" ht="15">
      <c r="A221" s="2" t="str">
        <f>raw_order_lines!A221</f>
        <v>SIM-20260907-C005</v>
      </c>
      <c r="B221" s="2">
        <f>raw_order_lines!B221</f>
        <v>5</v>
      </c>
      <c r="C221" s="2" t="str">
        <f>raw_order_lines!C221</f>
        <v>C005</v>
      </c>
      <c r="D221" s="3">
        <f>raw_order_lines!D221</f>
        <v>46272</v>
      </c>
      <c r="E221" s="2" t="str">
        <f>raw_order_lines!E221</f>
        <v>P014</v>
      </c>
      <c r="F221" s="2" t="str">
        <f>raw_order_lines!F221</f>
        <v>公斤</v>
      </c>
      <c r="G221" s="4">
        <f>raw_order_lines!G221</f>
        <v>10</v>
      </c>
      <c r="H221" s="4">
        <f>raw_order_lines!H221</f>
        <v>10</v>
      </c>
      <c r="I221" s="4">
        <f>raw_order_lines!I221</f>
        <v>0</v>
      </c>
      <c r="J221" s="5">
        <f>raw_order_lines!J221</f>
        <v>4.7</v>
      </c>
      <c r="K221" s="2" t="str">
        <f>raw_order_lines!K221</f>
        <v>正常交付</v>
      </c>
      <c r="L221" s="2" t="str">
        <f>raw_order_lines!L221</f>
        <v>true</v>
      </c>
      <c r="M221" s="2" t="str">
        <f>INDEX(dim_products!$B$2:$B$21,MATCH($E221,dim_products!$A$2:$A$21,0))</f>
        <v>丝瓜</v>
      </c>
      <c r="N221" s="2" t="str">
        <f>INDEX(dim_products!$C$2:$C$21,MATCH($E221,dim_products!$A$2:$A$21,0))</f>
        <v>散装鲜菜</v>
      </c>
      <c r="O221" s="2" t="str">
        <f>INDEX(dim_customers!$B$2:$B$7,MATCH($C221,dim_customers!$A$2:$A$7,0))</f>
        <v>模拟_青禾小学食堂</v>
      </c>
      <c r="P221" s="6">
        <f>INT((ROUND(raw_order_lines!H221*10,0)*ROUND(raw_order_lines!J221*100,0)+5)/10)/100</f>
        <v>47</v>
      </c>
      <c r="Q221" s="6">
        <f>INT((ROUND(raw_order_lines!I221*10,0)*ROUND(raw_order_lines!J221*100,0)+5)/10)/100</f>
        <v>0</v>
      </c>
      <c r="R221" s="6">
        <f t="shared" si="9"/>
        <v>47</v>
      </c>
      <c r="S221" s="2" t="str">
        <f>IF(OR(ROUND(raw_order_lines!I221*10,0)&gt;ROUND(raw_order_lines!H221*10,0),ROUND(raw_order_lines!H221*10,0)&gt;ROUND(raw_order_lines!G221*10,0),ROUND(raw_order_lines!G221*10,0)&lt;=0),"数量关系异常","")</f>
        <v/>
      </c>
      <c r="T221" s="2" t="str">
        <f>IF($F221&lt;&gt;INDEX(dim_products!$D$2:$D$21,MATCH($E221,dim_products!$A$2:$A$21,0)),"单位不一致","")</f>
        <v/>
      </c>
      <c r="U221" s="2" t="str">
        <f>IF(OR(ROUND(raw_order_lines!J221*100,0)&lt;ROUND(INDEX(dim_products!$F$2:$F$21,MATCH($E221,dim_products!$A$2:$A$21,0))*100,0),ROUND(raw_order_lines!J221*100,0)&gt;ROUND(INDEX(dim_products!$G$2:$G$21,MATCH($E221,dim_products!$A$2:$A$21,0))*100,0)),"单价越界","")</f>
        <v/>
      </c>
      <c r="V221" s="2" t="str">
        <f t="shared" si="10"/>
        <v/>
      </c>
      <c r="W221" s="2" t="str">
        <f t="shared" si="11"/>
        <v>通过</v>
      </c>
    </row>
    <row r="222" spans="1:23" ht="15">
      <c r="A222" s="2" t="str">
        <f>raw_order_lines!A222</f>
        <v>SIM-20260907-C005</v>
      </c>
      <c r="B222" s="2">
        <f>raw_order_lines!B222</f>
        <v>6</v>
      </c>
      <c r="C222" s="2" t="str">
        <f>raw_order_lines!C222</f>
        <v>C005</v>
      </c>
      <c r="D222" s="3">
        <f>raw_order_lines!D222</f>
        <v>46272</v>
      </c>
      <c r="E222" s="2" t="str">
        <f>raw_order_lines!E222</f>
        <v>P001</v>
      </c>
      <c r="F222" s="2" t="str">
        <f>raw_order_lines!F222</f>
        <v>公斤</v>
      </c>
      <c r="G222" s="4">
        <f>raw_order_lines!G222</f>
        <v>14</v>
      </c>
      <c r="H222" s="4">
        <f>raw_order_lines!H222</f>
        <v>14</v>
      </c>
      <c r="I222" s="4">
        <f>raw_order_lines!I222</f>
        <v>0</v>
      </c>
      <c r="J222" s="5">
        <f>raw_order_lines!J222</f>
        <v>3.3</v>
      </c>
      <c r="K222" s="2" t="str">
        <f>raw_order_lines!K222</f>
        <v>正常交付</v>
      </c>
      <c r="L222" s="2" t="str">
        <f>raw_order_lines!L222</f>
        <v>true</v>
      </c>
      <c r="M222" s="2" t="str">
        <f>INDEX(dim_products!$B$2:$B$21,MATCH($E222,dim_products!$A$2:$A$21,0))</f>
        <v>土豆</v>
      </c>
      <c r="N222" s="2" t="str">
        <f>INDEX(dim_products!$C$2:$C$21,MATCH($E222,dim_products!$A$2:$A$21,0))</f>
        <v>散装鲜菜</v>
      </c>
      <c r="O222" s="2" t="str">
        <f>INDEX(dim_customers!$B$2:$B$7,MATCH($C222,dim_customers!$A$2:$A$7,0))</f>
        <v>模拟_青禾小学食堂</v>
      </c>
      <c r="P222" s="6">
        <f>INT((ROUND(raw_order_lines!H222*10,0)*ROUND(raw_order_lines!J222*100,0)+5)/10)/100</f>
        <v>46.2</v>
      </c>
      <c r="Q222" s="6">
        <f>INT((ROUND(raw_order_lines!I222*10,0)*ROUND(raw_order_lines!J222*100,0)+5)/10)/100</f>
        <v>0</v>
      </c>
      <c r="R222" s="6">
        <f t="shared" si="9"/>
        <v>46.2</v>
      </c>
      <c r="S222" s="2" t="str">
        <f>IF(OR(ROUND(raw_order_lines!I222*10,0)&gt;ROUND(raw_order_lines!H222*10,0),ROUND(raw_order_lines!H222*10,0)&gt;ROUND(raw_order_lines!G222*10,0),ROUND(raw_order_lines!G222*10,0)&lt;=0),"数量关系异常","")</f>
        <v/>
      </c>
      <c r="T222" s="2" t="str">
        <f>IF($F222&lt;&gt;INDEX(dim_products!$D$2:$D$21,MATCH($E222,dim_products!$A$2:$A$21,0)),"单位不一致","")</f>
        <v/>
      </c>
      <c r="U222" s="2" t="str">
        <f>IF(OR(ROUND(raw_order_lines!J222*100,0)&lt;ROUND(INDEX(dim_products!$F$2:$F$21,MATCH($E222,dim_products!$A$2:$A$21,0))*100,0),ROUND(raw_order_lines!J222*100,0)&gt;ROUND(INDEX(dim_products!$G$2:$G$21,MATCH($E222,dim_products!$A$2:$A$21,0))*100,0)),"单价越界","")</f>
        <v/>
      </c>
      <c r="V222" s="2" t="str">
        <f t="shared" si="10"/>
        <v/>
      </c>
      <c r="W222" s="2" t="str">
        <f t="shared" si="11"/>
        <v>通过</v>
      </c>
    </row>
    <row r="223" spans="1:23" ht="15">
      <c r="A223" s="2" t="str">
        <f>raw_order_lines!A223</f>
        <v>SIM-20260907-C005</v>
      </c>
      <c r="B223" s="2">
        <f>raw_order_lines!B223</f>
        <v>7</v>
      </c>
      <c r="C223" s="2" t="str">
        <f>raw_order_lines!C223</f>
        <v>C005</v>
      </c>
      <c r="D223" s="3">
        <f>raw_order_lines!D223</f>
        <v>46272</v>
      </c>
      <c r="E223" s="2" t="str">
        <f>raw_order_lines!E223</f>
        <v>P016</v>
      </c>
      <c r="F223" s="2" t="str">
        <f>raw_order_lines!F223</f>
        <v>公斤</v>
      </c>
      <c r="G223" s="4">
        <f>raw_order_lines!G223</f>
        <v>12</v>
      </c>
      <c r="H223" s="4">
        <f>raw_order_lines!H223</f>
        <v>12</v>
      </c>
      <c r="I223" s="4">
        <f>raw_order_lines!I223</f>
        <v>0</v>
      </c>
      <c r="J223" s="5">
        <f>raw_order_lines!J223</f>
        <v>10.1</v>
      </c>
      <c r="K223" s="2" t="str">
        <f>raw_order_lines!K223</f>
        <v>正常交付</v>
      </c>
      <c r="L223" s="2" t="str">
        <f>raw_order_lines!L223</f>
        <v>true</v>
      </c>
      <c r="M223" s="2" t="str">
        <f>INDEX(dim_products!$B$2:$B$21,MATCH($E223,dim_products!$A$2:$A$21,0))</f>
        <v>鸡蛋</v>
      </c>
      <c r="N223" s="2" t="str">
        <f>INDEX(dim_products!$C$2:$C$21,MATCH($E223,dim_products!$A$2:$A$21,0))</f>
        <v>普通鲜鸡蛋按净重</v>
      </c>
      <c r="O223" s="2" t="str">
        <f>INDEX(dim_customers!$B$2:$B$7,MATCH($C223,dim_customers!$A$2:$A$7,0))</f>
        <v>模拟_青禾小学食堂</v>
      </c>
      <c r="P223" s="6">
        <f>INT((ROUND(raw_order_lines!H223*10,0)*ROUND(raw_order_lines!J223*100,0)+5)/10)/100</f>
        <v>121.2</v>
      </c>
      <c r="Q223" s="6">
        <f>INT((ROUND(raw_order_lines!I223*10,0)*ROUND(raw_order_lines!J223*100,0)+5)/10)/100</f>
        <v>0</v>
      </c>
      <c r="R223" s="6">
        <f t="shared" si="9"/>
        <v>121.2</v>
      </c>
      <c r="S223" s="2" t="str">
        <f>IF(OR(ROUND(raw_order_lines!I223*10,0)&gt;ROUND(raw_order_lines!H223*10,0),ROUND(raw_order_lines!H223*10,0)&gt;ROUND(raw_order_lines!G223*10,0),ROUND(raw_order_lines!G223*10,0)&lt;=0),"数量关系异常","")</f>
        <v/>
      </c>
      <c r="T223" s="2" t="str">
        <f>IF($F223&lt;&gt;INDEX(dim_products!$D$2:$D$21,MATCH($E223,dim_products!$A$2:$A$21,0)),"单位不一致","")</f>
        <v/>
      </c>
      <c r="U223" s="2" t="str">
        <f>IF(OR(ROUND(raw_order_lines!J223*100,0)&lt;ROUND(INDEX(dim_products!$F$2:$F$21,MATCH($E223,dim_products!$A$2:$A$21,0))*100,0),ROUND(raw_order_lines!J223*100,0)&gt;ROUND(INDEX(dim_products!$G$2:$G$21,MATCH($E223,dim_products!$A$2:$A$21,0))*100,0)),"单价越界","")</f>
        <v/>
      </c>
      <c r="V223" s="2" t="str">
        <f t="shared" si="10"/>
        <v/>
      </c>
      <c r="W223" s="2" t="str">
        <f t="shared" si="11"/>
        <v>通过</v>
      </c>
    </row>
    <row r="224" spans="1:23" ht="15">
      <c r="A224" s="2" t="str">
        <f>raw_order_lines!A224</f>
        <v>SIM-20260907-C006</v>
      </c>
      <c r="B224" s="2">
        <f>raw_order_lines!B224</f>
        <v>1</v>
      </c>
      <c r="C224" s="2" t="str">
        <f>raw_order_lines!C224</f>
        <v>C006</v>
      </c>
      <c r="D224" s="3">
        <f>raw_order_lines!D224</f>
        <v>46272</v>
      </c>
      <c r="E224" s="2" t="str">
        <f>raw_order_lines!E224</f>
        <v>P010</v>
      </c>
      <c r="F224" s="2" t="str">
        <f>raw_order_lines!F224</f>
        <v>公斤</v>
      </c>
      <c r="G224" s="4">
        <f>raw_order_lines!G224</f>
        <v>4.5999999999999996</v>
      </c>
      <c r="H224" s="4">
        <f>raw_order_lines!H224</f>
        <v>4.5999999999999996</v>
      </c>
      <c r="I224" s="4">
        <f>raw_order_lines!I224</f>
        <v>0</v>
      </c>
      <c r="J224" s="5">
        <f>raw_order_lines!J224</f>
        <v>5</v>
      </c>
      <c r="K224" s="2" t="str">
        <f>raw_order_lines!K224</f>
        <v>正常交付</v>
      </c>
      <c r="L224" s="2" t="str">
        <f>raw_order_lines!L224</f>
        <v>true</v>
      </c>
      <c r="M224" s="2" t="str">
        <f>INDEX(dim_products!$B$2:$B$21,MATCH($E224,dim_products!$A$2:$A$21,0))</f>
        <v>空心菜</v>
      </c>
      <c r="N224" s="2" t="str">
        <f>INDEX(dim_products!$C$2:$C$21,MATCH($E224,dim_products!$A$2:$A$21,0))</f>
        <v>散装鲜菜</v>
      </c>
      <c r="O224" s="2" t="str">
        <f>INDEX(dim_customers!$B$2:$B$7,MATCH($C224,dim_customers!$A$2:$A$7,0))</f>
        <v>模拟_溪桥医院食堂</v>
      </c>
      <c r="P224" s="6">
        <f>INT((ROUND(raw_order_lines!H224*10,0)*ROUND(raw_order_lines!J224*100,0)+5)/10)/100</f>
        <v>23</v>
      </c>
      <c r="Q224" s="6">
        <f>INT((ROUND(raw_order_lines!I224*10,0)*ROUND(raw_order_lines!J224*100,0)+5)/10)/100</f>
        <v>0</v>
      </c>
      <c r="R224" s="6">
        <f t="shared" si="9"/>
        <v>23</v>
      </c>
      <c r="S224" s="2" t="str">
        <f>IF(OR(ROUND(raw_order_lines!I224*10,0)&gt;ROUND(raw_order_lines!H224*10,0),ROUND(raw_order_lines!H224*10,0)&gt;ROUND(raw_order_lines!G224*10,0),ROUND(raw_order_lines!G224*10,0)&lt;=0),"数量关系异常","")</f>
        <v/>
      </c>
      <c r="T224" s="2" t="str">
        <f>IF($F224&lt;&gt;INDEX(dim_products!$D$2:$D$21,MATCH($E224,dim_products!$A$2:$A$21,0)),"单位不一致","")</f>
        <v/>
      </c>
      <c r="U224" s="2" t="str">
        <f>IF(OR(ROUND(raw_order_lines!J224*100,0)&lt;ROUND(INDEX(dim_products!$F$2:$F$21,MATCH($E224,dim_products!$A$2:$A$21,0))*100,0),ROUND(raw_order_lines!J224*100,0)&gt;ROUND(INDEX(dim_products!$G$2:$G$21,MATCH($E224,dim_products!$A$2:$A$21,0))*100,0)),"单价越界","")</f>
        <v/>
      </c>
      <c r="V224" s="2" t="str">
        <f t="shared" si="10"/>
        <v/>
      </c>
      <c r="W224" s="2" t="str">
        <f t="shared" si="11"/>
        <v>通过</v>
      </c>
    </row>
    <row r="225" spans="1:23" ht="15">
      <c r="A225" s="2" t="str">
        <f>raw_order_lines!A225</f>
        <v>SIM-20260907-C006</v>
      </c>
      <c r="B225" s="2">
        <f>raw_order_lines!B225</f>
        <v>2</v>
      </c>
      <c r="C225" s="2" t="str">
        <f>raw_order_lines!C225</f>
        <v>C006</v>
      </c>
      <c r="D225" s="3">
        <f>raw_order_lines!D225</f>
        <v>46272</v>
      </c>
      <c r="E225" s="2" t="str">
        <f>raw_order_lines!E225</f>
        <v>P001</v>
      </c>
      <c r="F225" s="2" t="str">
        <f>raw_order_lines!F225</f>
        <v>公斤</v>
      </c>
      <c r="G225" s="4">
        <f>raw_order_lines!G225</f>
        <v>8.6</v>
      </c>
      <c r="H225" s="4">
        <f>raw_order_lines!H225</f>
        <v>8.6</v>
      </c>
      <c r="I225" s="4">
        <f>raw_order_lines!I225</f>
        <v>0</v>
      </c>
      <c r="J225" s="5">
        <f>raw_order_lines!J225</f>
        <v>3.3</v>
      </c>
      <c r="K225" s="2" t="str">
        <f>raw_order_lines!K225</f>
        <v>正常交付</v>
      </c>
      <c r="L225" s="2" t="str">
        <f>raw_order_lines!L225</f>
        <v>true</v>
      </c>
      <c r="M225" s="2" t="str">
        <f>INDEX(dim_products!$B$2:$B$21,MATCH($E225,dim_products!$A$2:$A$21,0))</f>
        <v>土豆</v>
      </c>
      <c r="N225" s="2" t="str">
        <f>INDEX(dim_products!$C$2:$C$21,MATCH($E225,dim_products!$A$2:$A$21,0))</f>
        <v>散装鲜菜</v>
      </c>
      <c r="O225" s="2" t="str">
        <f>INDEX(dim_customers!$B$2:$B$7,MATCH($C225,dim_customers!$A$2:$A$7,0))</f>
        <v>模拟_溪桥医院食堂</v>
      </c>
      <c r="P225" s="6">
        <f>INT((ROUND(raw_order_lines!H225*10,0)*ROUND(raw_order_lines!J225*100,0)+5)/10)/100</f>
        <v>28.38</v>
      </c>
      <c r="Q225" s="6">
        <f>INT((ROUND(raw_order_lines!I225*10,0)*ROUND(raw_order_lines!J225*100,0)+5)/10)/100</f>
        <v>0</v>
      </c>
      <c r="R225" s="6">
        <f t="shared" si="9"/>
        <v>28.38</v>
      </c>
      <c r="S225" s="2" t="str">
        <f>IF(OR(ROUND(raw_order_lines!I225*10,0)&gt;ROUND(raw_order_lines!H225*10,0),ROUND(raw_order_lines!H225*10,0)&gt;ROUND(raw_order_lines!G225*10,0),ROUND(raw_order_lines!G225*10,0)&lt;=0),"数量关系异常","")</f>
        <v/>
      </c>
      <c r="T225" s="2" t="str">
        <f>IF($F225&lt;&gt;INDEX(dim_products!$D$2:$D$21,MATCH($E225,dim_products!$A$2:$A$21,0)),"单位不一致","")</f>
        <v/>
      </c>
      <c r="U225" s="2" t="str">
        <f>IF(OR(ROUND(raw_order_lines!J225*100,0)&lt;ROUND(INDEX(dim_products!$F$2:$F$21,MATCH($E225,dim_products!$A$2:$A$21,0))*100,0),ROUND(raw_order_lines!J225*100,0)&gt;ROUND(INDEX(dim_products!$G$2:$G$21,MATCH($E225,dim_products!$A$2:$A$21,0))*100,0)),"单价越界","")</f>
        <v/>
      </c>
      <c r="V225" s="2" t="str">
        <f t="shared" si="10"/>
        <v/>
      </c>
      <c r="W225" s="2" t="str">
        <f t="shared" si="11"/>
        <v>通过</v>
      </c>
    </row>
    <row r="226" spans="1:23" ht="15">
      <c r="A226" s="2" t="str">
        <f>raw_order_lines!A226</f>
        <v>SIM-20260907-C006</v>
      </c>
      <c r="B226" s="2">
        <f>raw_order_lines!B226</f>
        <v>3</v>
      </c>
      <c r="C226" s="2" t="str">
        <f>raw_order_lines!C226</f>
        <v>C006</v>
      </c>
      <c r="D226" s="3">
        <f>raw_order_lines!D226</f>
        <v>46272</v>
      </c>
      <c r="E226" s="2" t="str">
        <f>raw_order_lines!E226</f>
        <v>P006</v>
      </c>
      <c r="F226" s="2" t="str">
        <f>raw_order_lines!F226</f>
        <v>公斤</v>
      </c>
      <c r="G226" s="4">
        <f>raw_order_lines!G226</f>
        <v>7.3</v>
      </c>
      <c r="H226" s="4">
        <f>raw_order_lines!H226</f>
        <v>7.3</v>
      </c>
      <c r="I226" s="4">
        <f>raw_order_lines!I226</f>
        <v>0</v>
      </c>
      <c r="J226" s="5">
        <f>raw_order_lines!J226</f>
        <v>4.5999999999999996</v>
      </c>
      <c r="K226" s="2" t="str">
        <f>raw_order_lines!K226</f>
        <v>正常交付</v>
      </c>
      <c r="L226" s="2" t="str">
        <f>raw_order_lines!L226</f>
        <v>true</v>
      </c>
      <c r="M226" s="2" t="str">
        <f>INDEX(dim_products!$B$2:$B$21,MATCH($E226,dim_products!$A$2:$A$21,0))</f>
        <v>茄子</v>
      </c>
      <c r="N226" s="2" t="str">
        <f>INDEX(dim_products!$C$2:$C$21,MATCH($E226,dim_products!$A$2:$A$21,0))</f>
        <v>散装鲜菜</v>
      </c>
      <c r="O226" s="2" t="str">
        <f>INDEX(dim_customers!$B$2:$B$7,MATCH($C226,dim_customers!$A$2:$A$7,0))</f>
        <v>模拟_溪桥医院食堂</v>
      </c>
      <c r="P226" s="6">
        <f>INT((ROUND(raw_order_lines!H226*10,0)*ROUND(raw_order_lines!J226*100,0)+5)/10)/100</f>
        <v>33.58</v>
      </c>
      <c r="Q226" s="6">
        <f>INT((ROUND(raw_order_lines!I226*10,0)*ROUND(raw_order_lines!J226*100,0)+5)/10)/100</f>
        <v>0</v>
      </c>
      <c r="R226" s="6">
        <f t="shared" si="9"/>
        <v>33.58</v>
      </c>
      <c r="S226" s="2" t="str">
        <f>IF(OR(ROUND(raw_order_lines!I226*10,0)&gt;ROUND(raw_order_lines!H226*10,0),ROUND(raw_order_lines!H226*10,0)&gt;ROUND(raw_order_lines!G226*10,0),ROUND(raw_order_lines!G226*10,0)&lt;=0),"数量关系异常","")</f>
        <v/>
      </c>
      <c r="T226" s="2" t="str">
        <f>IF($F226&lt;&gt;INDEX(dim_products!$D$2:$D$21,MATCH($E226,dim_products!$A$2:$A$21,0)),"单位不一致","")</f>
        <v/>
      </c>
      <c r="U226" s="2" t="str">
        <f>IF(OR(ROUND(raw_order_lines!J226*100,0)&lt;ROUND(INDEX(dim_products!$F$2:$F$21,MATCH($E226,dim_products!$A$2:$A$21,0))*100,0),ROUND(raw_order_lines!J226*100,0)&gt;ROUND(INDEX(dim_products!$G$2:$G$21,MATCH($E226,dim_products!$A$2:$A$21,0))*100,0)),"单价越界","")</f>
        <v/>
      </c>
      <c r="V226" s="2" t="str">
        <f t="shared" si="10"/>
        <v/>
      </c>
      <c r="W226" s="2" t="str">
        <f t="shared" si="11"/>
        <v>通过</v>
      </c>
    </row>
    <row r="227" spans="1:23" ht="15">
      <c r="A227" s="2" t="str">
        <f>raw_order_lines!A227</f>
        <v>SIM-20260907-C006</v>
      </c>
      <c r="B227" s="2">
        <f>raw_order_lines!B227</f>
        <v>4</v>
      </c>
      <c r="C227" s="2" t="str">
        <f>raw_order_lines!C227</f>
        <v>C006</v>
      </c>
      <c r="D227" s="3">
        <f>raw_order_lines!D227</f>
        <v>46272</v>
      </c>
      <c r="E227" s="2" t="str">
        <f>raw_order_lines!E227</f>
        <v>P013</v>
      </c>
      <c r="F227" s="2" t="str">
        <f>raw_order_lines!F227</f>
        <v>公斤</v>
      </c>
      <c r="G227" s="4">
        <f>raw_order_lines!G227</f>
        <v>9.3000000000000007</v>
      </c>
      <c r="H227" s="4">
        <f>raw_order_lines!H227</f>
        <v>9.3000000000000007</v>
      </c>
      <c r="I227" s="4">
        <f>raw_order_lines!I227</f>
        <v>0</v>
      </c>
      <c r="J227" s="5">
        <f>raw_order_lines!J227</f>
        <v>6.3</v>
      </c>
      <c r="K227" s="2" t="str">
        <f>raw_order_lines!K227</f>
        <v>正常交付</v>
      </c>
      <c r="L227" s="2" t="str">
        <f>raw_order_lines!L227</f>
        <v>true</v>
      </c>
      <c r="M227" s="2" t="str">
        <f>INDEX(dim_products!$B$2:$B$21,MATCH($E227,dim_products!$A$2:$A$21,0))</f>
        <v>豇豆</v>
      </c>
      <c r="N227" s="2" t="str">
        <f>INDEX(dim_products!$C$2:$C$21,MATCH($E227,dim_products!$A$2:$A$21,0))</f>
        <v>散装鲜菜</v>
      </c>
      <c r="O227" s="2" t="str">
        <f>INDEX(dim_customers!$B$2:$B$7,MATCH($C227,dim_customers!$A$2:$A$7,0))</f>
        <v>模拟_溪桥医院食堂</v>
      </c>
      <c r="P227" s="6">
        <f>INT((ROUND(raw_order_lines!H227*10,0)*ROUND(raw_order_lines!J227*100,0)+5)/10)/100</f>
        <v>58.59</v>
      </c>
      <c r="Q227" s="6">
        <f>INT((ROUND(raw_order_lines!I227*10,0)*ROUND(raw_order_lines!J227*100,0)+5)/10)/100</f>
        <v>0</v>
      </c>
      <c r="R227" s="6">
        <f t="shared" si="9"/>
        <v>58.59</v>
      </c>
      <c r="S227" s="2" t="str">
        <f>IF(OR(ROUND(raw_order_lines!I227*10,0)&gt;ROUND(raw_order_lines!H227*10,0),ROUND(raw_order_lines!H227*10,0)&gt;ROUND(raw_order_lines!G227*10,0),ROUND(raw_order_lines!G227*10,0)&lt;=0),"数量关系异常","")</f>
        <v/>
      </c>
      <c r="T227" s="2" t="str">
        <f>IF($F227&lt;&gt;INDEX(dim_products!$D$2:$D$21,MATCH($E227,dim_products!$A$2:$A$21,0)),"单位不一致","")</f>
        <v/>
      </c>
      <c r="U227" s="2" t="str">
        <f>IF(OR(ROUND(raw_order_lines!J227*100,0)&lt;ROUND(INDEX(dim_products!$F$2:$F$21,MATCH($E227,dim_products!$A$2:$A$21,0))*100,0),ROUND(raw_order_lines!J227*100,0)&gt;ROUND(INDEX(dim_products!$G$2:$G$21,MATCH($E227,dim_products!$A$2:$A$21,0))*100,0)),"单价越界","")</f>
        <v/>
      </c>
      <c r="V227" s="2" t="str">
        <f t="shared" si="10"/>
        <v/>
      </c>
      <c r="W227" s="2" t="str">
        <f t="shared" si="11"/>
        <v>通过</v>
      </c>
    </row>
    <row r="228" spans="1:23" ht="15">
      <c r="A228" s="2" t="str">
        <f>raw_order_lines!A228</f>
        <v>SIM-20260907-C006</v>
      </c>
      <c r="B228" s="2">
        <f>raw_order_lines!B228</f>
        <v>5</v>
      </c>
      <c r="C228" s="2" t="str">
        <f>raw_order_lines!C228</f>
        <v>C006</v>
      </c>
      <c r="D228" s="3">
        <f>raw_order_lines!D228</f>
        <v>46272</v>
      </c>
      <c r="E228" s="2" t="str">
        <f>raw_order_lines!E228</f>
        <v>P002</v>
      </c>
      <c r="F228" s="2" t="str">
        <f>raw_order_lines!F228</f>
        <v>公斤</v>
      </c>
      <c r="G228" s="4">
        <f>raw_order_lines!G228</f>
        <v>8</v>
      </c>
      <c r="H228" s="4">
        <f>raw_order_lines!H228</f>
        <v>8</v>
      </c>
      <c r="I228" s="4">
        <f>raw_order_lines!I228</f>
        <v>0</v>
      </c>
      <c r="J228" s="5">
        <f>raw_order_lines!J228</f>
        <v>2.2999999999999998</v>
      </c>
      <c r="K228" s="2" t="str">
        <f>raw_order_lines!K228</f>
        <v>正常交付</v>
      </c>
      <c r="L228" s="2" t="str">
        <f>raw_order_lines!L228</f>
        <v>true</v>
      </c>
      <c r="M228" s="2" t="str">
        <f>INDEX(dim_products!$B$2:$B$21,MATCH($E228,dim_products!$A$2:$A$21,0))</f>
        <v>白萝卜</v>
      </c>
      <c r="N228" s="2" t="str">
        <f>INDEX(dim_products!$C$2:$C$21,MATCH($E228,dim_products!$A$2:$A$21,0))</f>
        <v>散装鲜菜</v>
      </c>
      <c r="O228" s="2" t="str">
        <f>INDEX(dim_customers!$B$2:$B$7,MATCH($C228,dim_customers!$A$2:$A$7,0))</f>
        <v>模拟_溪桥医院食堂</v>
      </c>
      <c r="P228" s="6">
        <f>INT((ROUND(raw_order_lines!H228*10,0)*ROUND(raw_order_lines!J228*100,0)+5)/10)/100</f>
        <v>18.399999999999999</v>
      </c>
      <c r="Q228" s="6">
        <f>INT((ROUND(raw_order_lines!I228*10,0)*ROUND(raw_order_lines!J228*100,0)+5)/10)/100</f>
        <v>0</v>
      </c>
      <c r="R228" s="6">
        <f t="shared" si="9"/>
        <v>18.399999999999999</v>
      </c>
      <c r="S228" s="2" t="str">
        <f>IF(OR(ROUND(raw_order_lines!I228*10,0)&gt;ROUND(raw_order_lines!H228*10,0),ROUND(raw_order_lines!H228*10,0)&gt;ROUND(raw_order_lines!G228*10,0),ROUND(raw_order_lines!G228*10,0)&lt;=0),"数量关系异常","")</f>
        <v/>
      </c>
      <c r="T228" s="2" t="str">
        <f>IF($F228&lt;&gt;INDEX(dim_products!$D$2:$D$21,MATCH($E228,dim_products!$A$2:$A$21,0)),"单位不一致","")</f>
        <v/>
      </c>
      <c r="U228" s="2" t="str">
        <f>IF(OR(ROUND(raw_order_lines!J228*100,0)&lt;ROUND(INDEX(dim_products!$F$2:$F$21,MATCH($E228,dim_products!$A$2:$A$21,0))*100,0),ROUND(raw_order_lines!J228*100,0)&gt;ROUND(INDEX(dim_products!$G$2:$G$21,MATCH($E228,dim_products!$A$2:$A$21,0))*100,0)),"单价越界","")</f>
        <v/>
      </c>
      <c r="V228" s="2" t="str">
        <f t="shared" si="10"/>
        <v/>
      </c>
      <c r="W228" s="2" t="str">
        <f t="shared" si="11"/>
        <v>通过</v>
      </c>
    </row>
    <row r="229" spans="1:23" ht="15">
      <c r="A229" s="2" t="str">
        <f>raw_order_lines!A229</f>
        <v>SIM-20260907-C006</v>
      </c>
      <c r="B229" s="2">
        <f>raw_order_lines!B229</f>
        <v>6</v>
      </c>
      <c r="C229" s="2" t="str">
        <f>raw_order_lines!C229</f>
        <v>C006</v>
      </c>
      <c r="D229" s="3">
        <f>raw_order_lines!D229</f>
        <v>46272</v>
      </c>
      <c r="E229" s="2" t="str">
        <f>raw_order_lines!E229</f>
        <v>P003</v>
      </c>
      <c r="F229" s="2" t="str">
        <f>raw_order_lines!F229</f>
        <v>公斤</v>
      </c>
      <c r="G229" s="4">
        <f>raw_order_lines!G229</f>
        <v>9.3000000000000007</v>
      </c>
      <c r="H229" s="4">
        <f>raw_order_lines!H229</f>
        <v>9.3000000000000007</v>
      </c>
      <c r="I229" s="4">
        <f>raw_order_lines!I229</f>
        <v>0</v>
      </c>
      <c r="J229" s="5">
        <f>raw_order_lines!J229</f>
        <v>3.3</v>
      </c>
      <c r="K229" s="2" t="str">
        <f>raw_order_lines!K229</f>
        <v>正常交付</v>
      </c>
      <c r="L229" s="2" t="str">
        <f>raw_order_lines!L229</f>
        <v>true</v>
      </c>
      <c r="M229" s="2" t="str">
        <f>INDEX(dim_products!$B$2:$B$21,MATCH($E229,dim_products!$A$2:$A$21,0))</f>
        <v>包菜</v>
      </c>
      <c r="N229" s="2" t="str">
        <f>INDEX(dim_products!$C$2:$C$21,MATCH($E229,dim_products!$A$2:$A$21,0))</f>
        <v>散装鲜菜</v>
      </c>
      <c r="O229" s="2" t="str">
        <f>INDEX(dim_customers!$B$2:$B$7,MATCH($C229,dim_customers!$A$2:$A$7,0))</f>
        <v>模拟_溪桥医院食堂</v>
      </c>
      <c r="P229" s="6">
        <f>INT((ROUND(raw_order_lines!H229*10,0)*ROUND(raw_order_lines!J229*100,0)+5)/10)/100</f>
        <v>30.69</v>
      </c>
      <c r="Q229" s="6">
        <f>INT((ROUND(raw_order_lines!I229*10,0)*ROUND(raw_order_lines!J229*100,0)+5)/10)/100</f>
        <v>0</v>
      </c>
      <c r="R229" s="6">
        <f t="shared" si="9"/>
        <v>30.69</v>
      </c>
      <c r="S229" s="2" t="str">
        <f>IF(OR(ROUND(raw_order_lines!I229*10,0)&gt;ROUND(raw_order_lines!H229*10,0),ROUND(raw_order_lines!H229*10,0)&gt;ROUND(raw_order_lines!G229*10,0),ROUND(raw_order_lines!G229*10,0)&lt;=0),"数量关系异常","")</f>
        <v/>
      </c>
      <c r="T229" s="2" t="str">
        <f>IF($F229&lt;&gt;INDEX(dim_products!$D$2:$D$21,MATCH($E229,dim_products!$A$2:$A$21,0)),"单位不一致","")</f>
        <v/>
      </c>
      <c r="U229" s="2" t="str">
        <f>IF(OR(ROUND(raw_order_lines!J229*100,0)&lt;ROUND(INDEX(dim_products!$F$2:$F$21,MATCH($E229,dim_products!$A$2:$A$21,0))*100,0),ROUND(raw_order_lines!J229*100,0)&gt;ROUND(INDEX(dim_products!$G$2:$G$21,MATCH($E229,dim_products!$A$2:$A$21,0))*100,0)),"单价越界","")</f>
        <v/>
      </c>
      <c r="V229" s="2" t="str">
        <f t="shared" si="10"/>
        <v/>
      </c>
      <c r="W229" s="2" t="str">
        <f t="shared" si="11"/>
        <v>通过</v>
      </c>
    </row>
    <row r="230" spans="1:23" ht="15">
      <c r="A230" s="2" t="str">
        <f>raw_order_lines!A230</f>
        <v>SIM-20260907-C006</v>
      </c>
      <c r="B230" s="2">
        <f>raw_order_lines!B230</f>
        <v>7</v>
      </c>
      <c r="C230" s="2" t="str">
        <f>raw_order_lines!C230</f>
        <v>C006</v>
      </c>
      <c r="D230" s="3">
        <f>raw_order_lines!D230</f>
        <v>46272</v>
      </c>
      <c r="E230" s="2" t="str">
        <f>raw_order_lines!E230</f>
        <v>P016</v>
      </c>
      <c r="F230" s="2" t="str">
        <f>raw_order_lines!F230</f>
        <v>公斤</v>
      </c>
      <c r="G230" s="4">
        <f>raw_order_lines!G230</f>
        <v>9</v>
      </c>
      <c r="H230" s="4">
        <f>raw_order_lines!H230</f>
        <v>9</v>
      </c>
      <c r="I230" s="4">
        <f>raw_order_lines!I230</f>
        <v>0</v>
      </c>
      <c r="J230" s="5">
        <f>raw_order_lines!J230</f>
        <v>10.1</v>
      </c>
      <c r="K230" s="2" t="str">
        <f>raw_order_lines!K230</f>
        <v>正常交付</v>
      </c>
      <c r="L230" s="2" t="str">
        <f>raw_order_lines!L230</f>
        <v>true</v>
      </c>
      <c r="M230" s="2" t="str">
        <f>INDEX(dim_products!$B$2:$B$21,MATCH($E230,dim_products!$A$2:$A$21,0))</f>
        <v>鸡蛋</v>
      </c>
      <c r="N230" s="2" t="str">
        <f>INDEX(dim_products!$C$2:$C$21,MATCH($E230,dim_products!$A$2:$A$21,0))</f>
        <v>普通鲜鸡蛋按净重</v>
      </c>
      <c r="O230" s="2" t="str">
        <f>INDEX(dim_customers!$B$2:$B$7,MATCH($C230,dim_customers!$A$2:$A$7,0))</f>
        <v>模拟_溪桥医院食堂</v>
      </c>
      <c r="P230" s="6">
        <f>INT((ROUND(raw_order_lines!H230*10,0)*ROUND(raw_order_lines!J230*100,0)+5)/10)/100</f>
        <v>90.9</v>
      </c>
      <c r="Q230" s="6">
        <f>INT((ROUND(raw_order_lines!I230*10,0)*ROUND(raw_order_lines!J230*100,0)+5)/10)/100</f>
        <v>0</v>
      </c>
      <c r="R230" s="6">
        <f t="shared" si="9"/>
        <v>90.9</v>
      </c>
      <c r="S230" s="2" t="str">
        <f>IF(OR(ROUND(raw_order_lines!I230*10,0)&gt;ROUND(raw_order_lines!H230*10,0),ROUND(raw_order_lines!H230*10,0)&gt;ROUND(raw_order_lines!G230*10,0),ROUND(raw_order_lines!G230*10,0)&lt;=0),"数量关系异常","")</f>
        <v/>
      </c>
      <c r="T230" s="2" t="str">
        <f>IF($F230&lt;&gt;INDEX(dim_products!$D$2:$D$21,MATCH($E230,dim_products!$A$2:$A$21,0)),"单位不一致","")</f>
        <v/>
      </c>
      <c r="U230" s="2" t="str">
        <f>IF(OR(ROUND(raw_order_lines!J230*100,0)&lt;ROUND(INDEX(dim_products!$F$2:$F$21,MATCH($E230,dim_products!$A$2:$A$21,0))*100,0),ROUND(raw_order_lines!J230*100,0)&gt;ROUND(INDEX(dim_products!$G$2:$G$21,MATCH($E230,dim_products!$A$2:$A$21,0))*100,0)),"单价越界","")</f>
        <v/>
      </c>
      <c r="V230" s="2" t="str">
        <f t="shared" si="10"/>
        <v/>
      </c>
      <c r="W230" s="2" t="str">
        <f t="shared" si="11"/>
        <v>通过</v>
      </c>
    </row>
    <row r="231" spans="1:23" ht="15">
      <c r="A231" s="2" t="str">
        <f>raw_order_lines!A231</f>
        <v>SIM-20260907-C006</v>
      </c>
      <c r="B231" s="2">
        <f>raw_order_lines!B231</f>
        <v>8</v>
      </c>
      <c r="C231" s="2" t="str">
        <f>raw_order_lines!C231</f>
        <v>C006</v>
      </c>
      <c r="D231" s="3">
        <f>raw_order_lines!D231</f>
        <v>46272</v>
      </c>
      <c r="E231" s="2" t="str">
        <f>raw_order_lines!E231</f>
        <v>P015</v>
      </c>
      <c r="F231" s="2" t="str">
        <f>raw_order_lines!F231</f>
        <v>公斤</v>
      </c>
      <c r="G231" s="4">
        <f>raw_order_lines!G231</f>
        <v>1</v>
      </c>
      <c r="H231" s="4">
        <f>raw_order_lines!H231</f>
        <v>1</v>
      </c>
      <c r="I231" s="4">
        <f>raw_order_lines!I231</f>
        <v>0</v>
      </c>
      <c r="J231" s="5">
        <f>raw_order_lines!J231</f>
        <v>7.3</v>
      </c>
      <c r="K231" s="2" t="str">
        <f>raw_order_lines!K231</f>
        <v>正常交付</v>
      </c>
      <c r="L231" s="2" t="str">
        <f>raw_order_lines!L231</f>
        <v>true</v>
      </c>
      <c r="M231" s="2" t="str">
        <f>INDEX(dim_products!$B$2:$B$21,MATCH($E231,dim_products!$A$2:$A$21,0))</f>
        <v>小葱</v>
      </c>
      <c r="N231" s="2" t="str">
        <f>INDEX(dim_products!$C$2:$C$21,MATCH($E231,dim_products!$A$2:$A$21,0))</f>
        <v>散装鲜菜</v>
      </c>
      <c r="O231" s="2" t="str">
        <f>INDEX(dim_customers!$B$2:$B$7,MATCH($C231,dim_customers!$A$2:$A$7,0))</f>
        <v>模拟_溪桥医院食堂</v>
      </c>
      <c r="P231" s="6">
        <f>INT((ROUND(raw_order_lines!H231*10,0)*ROUND(raw_order_lines!J231*100,0)+5)/10)/100</f>
        <v>7.3</v>
      </c>
      <c r="Q231" s="6">
        <f>INT((ROUND(raw_order_lines!I231*10,0)*ROUND(raw_order_lines!J231*100,0)+5)/10)/100</f>
        <v>0</v>
      </c>
      <c r="R231" s="6">
        <f t="shared" si="9"/>
        <v>7.3</v>
      </c>
      <c r="S231" s="2" t="str">
        <f>IF(OR(ROUND(raw_order_lines!I231*10,0)&gt;ROUND(raw_order_lines!H231*10,0),ROUND(raw_order_lines!H231*10,0)&gt;ROUND(raw_order_lines!G231*10,0),ROUND(raw_order_lines!G231*10,0)&lt;=0),"数量关系异常","")</f>
        <v/>
      </c>
      <c r="T231" s="2" t="str">
        <f>IF($F231&lt;&gt;INDEX(dim_products!$D$2:$D$21,MATCH($E231,dim_products!$A$2:$A$21,0)),"单位不一致","")</f>
        <v/>
      </c>
      <c r="U231" s="2" t="str">
        <f>IF(OR(ROUND(raw_order_lines!J231*100,0)&lt;ROUND(INDEX(dim_products!$F$2:$F$21,MATCH($E231,dim_products!$A$2:$A$21,0))*100,0),ROUND(raw_order_lines!J231*100,0)&gt;ROUND(INDEX(dim_products!$G$2:$G$21,MATCH($E231,dim_products!$A$2:$A$21,0))*100,0)),"单价越界","")</f>
        <v/>
      </c>
      <c r="V231" s="2" t="str">
        <f t="shared" si="10"/>
        <v/>
      </c>
      <c r="W231" s="2" t="str">
        <f t="shared" si="11"/>
        <v>通过</v>
      </c>
    </row>
    <row r="232" spans="1:23" ht="15">
      <c r="A232" s="2" t="str">
        <f>raw_order_lines!A232</f>
        <v>SIM-20260908-C001</v>
      </c>
      <c r="B232" s="2">
        <f>raw_order_lines!B232</f>
        <v>1</v>
      </c>
      <c r="C232" s="2" t="str">
        <f>raw_order_lines!C232</f>
        <v>C001</v>
      </c>
      <c r="D232" s="3">
        <f>raw_order_lines!D232</f>
        <v>46273</v>
      </c>
      <c r="E232" s="2" t="str">
        <f>raw_order_lines!E232</f>
        <v>P012</v>
      </c>
      <c r="F232" s="2" t="str">
        <f>raw_order_lines!F232</f>
        <v>公斤</v>
      </c>
      <c r="G232" s="4">
        <f>raw_order_lines!G232</f>
        <v>2.6</v>
      </c>
      <c r="H232" s="4">
        <f>raw_order_lines!H232</f>
        <v>2.6</v>
      </c>
      <c r="I232" s="4">
        <f>raw_order_lines!I232</f>
        <v>0</v>
      </c>
      <c r="J232" s="5">
        <f>raw_order_lines!J232</f>
        <v>5</v>
      </c>
      <c r="K232" s="2" t="str">
        <f>raw_order_lines!K232</f>
        <v>正常交付</v>
      </c>
      <c r="L232" s="2" t="str">
        <f>raw_order_lines!L232</f>
        <v>true</v>
      </c>
      <c r="M232" s="2" t="str">
        <f>INDEX(dim_products!$B$2:$B$21,MATCH($E232,dim_products!$A$2:$A$21,0))</f>
        <v>小白菜</v>
      </c>
      <c r="N232" s="2" t="str">
        <f>INDEX(dim_products!$C$2:$C$21,MATCH($E232,dim_products!$A$2:$A$21,0))</f>
        <v>散装鲜菜</v>
      </c>
      <c r="O232" s="2" t="str">
        <f>INDEX(dim_customers!$B$2:$B$7,MATCH($C232,dim_customers!$A$2:$A$7,0))</f>
        <v>模拟_榕树下粉面店</v>
      </c>
      <c r="P232" s="6">
        <f>INT((ROUND(raw_order_lines!H232*10,0)*ROUND(raw_order_lines!J232*100,0)+5)/10)/100</f>
        <v>13</v>
      </c>
      <c r="Q232" s="6">
        <f>INT((ROUND(raw_order_lines!I232*10,0)*ROUND(raw_order_lines!J232*100,0)+5)/10)/100</f>
        <v>0</v>
      </c>
      <c r="R232" s="6">
        <f t="shared" si="9"/>
        <v>13</v>
      </c>
      <c r="S232" s="2" t="str">
        <f>IF(OR(ROUND(raw_order_lines!I232*10,0)&gt;ROUND(raw_order_lines!H232*10,0),ROUND(raw_order_lines!H232*10,0)&gt;ROUND(raw_order_lines!G232*10,0),ROUND(raw_order_lines!G232*10,0)&lt;=0),"数量关系异常","")</f>
        <v/>
      </c>
      <c r="T232" s="2" t="str">
        <f>IF($F232&lt;&gt;INDEX(dim_products!$D$2:$D$21,MATCH($E232,dim_products!$A$2:$A$21,0)),"单位不一致","")</f>
        <v/>
      </c>
      <c r="U232" s="2" t="str">
        <f>IF(OR(ROUND(raw_order_lines!J232*100,0)&lt;ROUND(INDEX(dim_products!$F$2:$F$21,MATCH($E232,dim_products!$A$2:$A$21,0))*100,0),ROUND(raw_order_lines!J232*100,0)&gt;ROUND(INDEX(dim_products!$G$2:$G$21,MATCH($E232,dim_products!$A$2:$A$21,0))*100,0)),"单价越界","")</f>
        <v/>
      </c>
      <c r="V232" s="2" t="str">
        <f t="shared" si="10"/>
        <v/>
      </c>
      <c r="W232" s="2" t="str">
        <f t="shared" si="11"/>
        <v>通过</v>
      </c>
    </row>
    <row r="233" spans="1:23" ht="15">
      <c r="A233" s="2" t="str">
        <f>raw_order_lines!A233</f>
        <v>SIM-20260908-C001</v>
      </c>
      <c r="B233" s="2">
        <f>raw_order_lines!B233</f>
        <v>2</v>
      </c>
      <c r="C233" s="2" t="str">
        <f>raw_order_lines!C233</f>
        <v>C001</v>
      </c>
      <c r="D233" s="3">
        <f>raw_order_lines!D233</f>
        <v>46273</v>
      </c>
      <c r="E233" s="2" t="str">
        <f>raw_order_lines!E233</f>
        <v>P006</v>
      </c>
      <c r="F233" s="2" t="str">
        <f>raw_order_lines!F233</f>
        <v>公斤</v>
      </c>
      <c r="G233" s="4">
        <f>raw_order_lines!G233</f>
        <v>2.2999999999999998</v>
      </c>
      <c r="H233" s="4">
        <f>raw_order_lines!H233</f>
        <v>2.2999999999999998</v>
      </c>
      <c r="I233" s="4">
        <f>raw_order_lines!I233</f>
        <v>0</v>
      </c>
      <c r="J233" s="5">
        <f>raw_order_lines!J233</f>
        <v>4.8</v>
      </c>
      <c r="K233" s="2" t="str">
        <f>raw_order_lines!K233</f>
        <v>正常交付</v>
      </c>
      <c r="L233" s="2" t="str">
        <f>raw_order_lines!L233</f>
        <v>true</v>
      </c>
      <c r="M233" s="2" t="str">
        <f>INDEX(dim_products!$B$2:$B$21,MATCH($E233,dim_products!$A$2:$A$21,0))</f>
        <v>茄子</v>
      </c>
      <c r="N233" s="2" t="str">
        <f>INDEX(dim_products!$C$2:$C$21,MATCH($E233,dim_products!$A$2:$A$21,0))</f>
        <v>散装鲜菜</v>
      </c>
      <c r="O233" s="2" t="str">
        <f>INDEX(dim_customers!$B$2:$B$7,MATCH($C233,dim_customers!$A$2:$A$7,0))</f>
        <v>模拟_榕树下粉面店</v>
      </c>
      <c r="P233" s="6">
        <f>INT((ROUND(raw_order_lines!H233*10,0)*ROUND(raw_order_lines!J233*100,0)+5)/10)/100</f>
        <v>11.04</v>
      </c>
      <c r="Q233" s="6">
        <f>INT((ROUND(raw_order_lines!I233*10,0)*ROUND(raw_order_lines!J233*100,0)+5)/10)/100</f>
        <v>0</v>
      </c>
      <c r="R233" s="6">
        <f t="shared" si="9"/>
        <v>11.04</v>
      </c>
      <c r="S233" s="2" t="str">
        <f>IF(OR(ROUND(raw_order_lines!I233*10,0)&gt;ROUND(raw_order_lines!H233*10,0),ROUND(raw_order_lines!H233*10,0)&gt;ROUND(raw_order_lines!G233*10,0),ROUND(raw_order_lines!G233*10,0)&lt;=0),"数量关系异常","")</f>
        <v/>
      </c>
      <c r="T233" s="2" t="str">
        <f>IF($F233&lt;&gt;INDEX(dim_products!$D$2:$D$21,MATCH($E233,dim_products!$A$2:$A$21,0)),"单位不一致","")</f>
        <v/>
      </c>
      <c r="U233" s="2" t="str">
        <f>IF(OR(ROUND(raw_order_lines!J233*100,0)&lt;ROUND(INDEX(dim_products!$F$2:$F$21,MATCH($E233,dim_products!$A$2:$A$21,0))*100,0),ROUND(raw_order_lines!J233*100,0)&gt;ROUND(INDEX(dim_products!$G$2:$G$21,MATCH($E233,dim_products!$A$2:$A$21,0))*100,0)),"单价越界","")</f>
        <v/>
      </c>
      <c r="V233" s="2" t="str">
        <f t="shared" si="10"/>
        <v/>
      </c>
      <c r="W233" s="2" t="str">
        <f t="shared" si="11"/>
        <v>通过</v>
      </c>
    </row>
    <row r="234" spans="1:23" ht="15">
      <c r="A234" s="2" t="str">
        <f>raw_order_lines!A234</f>
        <v>SIM-20260908-C001</v>
      </c>
      <c r="B234" s="2">
        <f>raw_order_lines!B234</f>
        <v>3</v>
      </c>
      <c r="C234" s="2" t="str">
        <f>raw_order_lines!C234</f>
        <v>C001</v>
      </c>
      <c r="D234" s="3">
        <f>raw_order_lines!D234</f>
        <v>46273</v>
      </c>
      <c r="E234" s="2" t="str">
        <f>raw_order_lines!E234</f>
        <v>P014</v>
      </c>
      <c r="F234" s="2" t="str">
        <f>raw_order_lines!F234</f>
        <v>公斤</v>
      </c>
      <c r="G234" s="4">
        <f>raw_order_lines!G234</f>
        <v>3.1</v>
      </c>
      <c r="H234" s="4">
        <f>raw_order_lines!H234</f>
        <v>3.1</v>
      </c>
      <c r="I234" s="4">
        <f>raw_order_lines!I234</f>
        <v>0</v>
      </c>
      <c r="J234" s="5">
        <f>raw_order_lines!J234</f>
        <v>5</v>
      </c>
      <c r="K234" s="2" t="str">
        <f>raw_order_lines!K234</f>
        <v>正常交付</v>
      </c>
      <c r="L234" s="2" t="str">
        <f>raw_order_lines!L234</f>
        <v>true</v>
      </c>
      <c r="M234" s="2" t="str">
        <f>INDEX(dim_products!$B$2:$B$21,MATCH($E234,dim_products!$A$2:$A$21,0))</f>
        <v>丝瓜</v>
      </c>
      <c r="N234" s="2" t="str">
        <f>INDEX(dim_products!$C$2:$C$21,MATCH($E234,dim_products!$A$2:$A$21,0))</f>
        <v>散装鲜菜</v>
      </c>
      <c r="O234" s="2" t="str">
        <f>INDEX(dim_customers!$B$2:$B$7,MATCH($C234,dim_customers!$A$2:$A$7,0))</f>
        <v>模拟_榕树下粉面店</v>
      </c>
      <c r="P234" s="6">
        <f>INT((ROUND(raw_order_lines!H234*10,0)*ROUND(raw_order_lines!J234*100,0)+5)/10)/100</f>
        <v>15.5</v>
      </c>
      <c r="Q234" s="6">
        <f>INT((ROUND(raw_order_lines!I234*10,0)*ROUND(raw_order_lines!J234*100,0)+5)/10)/100</f>
        <v>0</v>
      </c>
      <c r="R234" s="6">
        <f t="shared" si="9"/>
        <v>15.5</v>
      </c>
      <c r="S234" s="2" t="str">
        <f>IF(OR(ROUND(raw_order_lines!I234*10,0)&gt;ROUND(raw_order_lines!H234*10,0),ROUND(raw_order_lines!H234*10,0)&gt;ROUND(raw_order_lines!G234*10,0),ROUND(raw_order_lines!G234*10,0)&lt;=0),"数量关系异常","")</f>
        <v/>
      </c>
      <c r="T234" s="2" t="str">
        <f>IF($F234&lt;&gt;INDEX(dim_products!$D$2:$D$21,MATCH($E234,dim_products!$A$2:$A$21,0)),"单位不一致","")</f>
        <v/>
      </c>
      <c r="U234" s="2" t="str">
        <f>IF(OR(ROUND(raw_order_lines!J234*100,0)&lt;ROUND(INDEX(dim_products!$F$2:$F$21,MATCH($E234,dim_products!$A$2:$A$21,0))*100,0),ROUND(raw_order_lines!J234*100,0)&gt;ROUND(INDEX(dim_products!$G$2:$G$21,MATCH($E234,dim_products!$A$2:$A$21,0))*100,0)),"单价越界","")</f>
        <v/>
      </c>
      <c r="V234" s="2" t="str">
        <f t="shared" si="10"/>
        <v/>
      </c>
      <c r="W234" s="2" t="str">
        <f t="shared" si="11"/>
        <v>通过</v>
      </c>
    </row>
    <row r="235" spans="1:23" ht="15">
      <c r="A235" s="2" t="str">
        <f>raw_order_lines!A235</f>
        <v>SIM-20260908-C001</v>
      </c>
      <c r="B235" s="2">
        <f>raw_order_lines!B235</f>
        <v>4</v>
      </c>
      <c r="C235" s="2" t="str">
        <f>raw_order_lines!C235</f>
        <v>C001</v>
      </c>
      <c r="D235" s="3">
        <f>raw_order_lines!D235</f>
        <v>46273</v>
      </c>
      <c r="E235" s="2" t="str">
        <f>raw_order_lines!E235</f>
        <v>P005</v>
      </c>
      <c r="F235" s="2" t="str">
        <f>raw_order_lines!F235</f>
        <v>公斤</v>
      </c>
      <c r="G235" s="4">
        <f>raw_order_lines!G235</f>
        <v>3.1</v>
      </c>
      <c r="H235" s="4">
        <f>raw_order_lines!H235</f>
        <v>3.1</v>
      </c>
      <c r="I235" s="4">
        <f>raw_order_lines!I235</f>
        <v>0</v>
      </c>
      <c r="J235" s="5">
        <f>raw_order_lines!J235</f>
        <v>2.7</v>
      </c>
      <c r="K235" s="2" t="str">
        <f>raw_order_lines!K235</f>
        <v>正常交付</v>
      </c>
      <c r="L235" s="2" t="str">
        <f>raw_order_lines!L235</f>
        <v>true</v>
      </c>
      <c r="M235" s="2" t="str">
        <f>INDEX(dim_products!$B$2:$B$21,MATCH($E235,dim_products!$A$2:$A$21,0))</f>
        <v>南瓜</v>
      </c>
      <c r="N235" s="2" t="str">
        <f>INDEX(dim_products!$C$2:$C$21,MATCH($E235,dim_products!$A$2:$A$21,0))</f>
        <v>散装鲜菜</v>
      </c>
      <c r="O235" s="2" t="str">
        <f>INDEX(dim_customers!$B$2:$B$7,MATCH($C235,dim_customers!$A$2:$A$7,0))</f>
        <v>模拟_榕树下粉面店</v>
      </c>
      <c r="P235" s="6">
        <f>INT((ROUND(raw_order_lines!H235*10,0)*ROUND(raw_order_lines!J235*100,0)+5)/10)/100</f>
        <v>8.3699999999999992</v>
      </c>
      <c r="Q235" s="6">
        <f>INT((ROUND(raw_order_lines!I235*10,0)*ROUND(raw_order_lines!J235*100,0)+5)/10)/100</f>
        <v>0</v>
      </c>
      <c r="R235" s="6">
        <f t="shared" si="9"/>
        <v>8.3699999999999992</v>
      </c>
      <c r="S235" s="2" t="str">
        <f>IF(OR(ROUND(raw_order_lines!I235*10,0)&gt;ROUND(raw_order_lines!H235*10,0),ROUND(raw_order_lines!H235*10,0)&gt;ROUND(raw_order_lines!G235*10,0),ROUND(raw_order_lines!G235*10,0)&lt;=0),"数量关系异常","")</f>
        <v/>
      </c>
      <c r="T235" s="2" t="str">
        <f>IF($F235&lt;&gt;INDEX(dim_products!$D$2:$D$21,MATCH($E235,dim_products!$A$2:$A$21,0)),"单位不一致","")</f>
        <v/>
      </c>
      <c r="U235" s="2" t="str">
        <f>IF(OR(ROUND(raw_order_lines!J235*100,0)&lt;ROUND(INDEX(dim_products!$F$2:$F$21,MATCH($E235,dim_products!$A$2:$A$21,0))*100,0),ROUND(raw_order_lines!J235*100,0)&gt;ROUND(INDEX(dim_products!$G$2:$G$21,MATCH($E235,dim_products!$A$2:$A$21,0))*100,0)),"单价越界","")</f>
        <v/>
      </c>
      <c r="V235" s="2" t="str">
        <f t="shared" si="10"/>
        <v/>
      </c>
      <c r="W235" s="2" t="str">
        <f t="shared" si="11"/>
        <v>通过</v>
      </c>
    </row>
    <row r="236" spans="1:23" ht="15">
      <c r="A236" s="2" t="str">
        <f>raw_order_lines!A236</f>
        <v>SIM-20260908-C001</v>
      </c>
      <c r="B236" s="2">
        <f>raw_order_lines!B236</f>
        <v>5</v>
      </c>
      <c r="C236" s="2" t="str">
        <f>raw_order_lines!C236</f>
        <v>C001</v>
      </c>
      <c r="D236" s="3">
        <f>raw_order_lines!D236</f>
        <v>46273</v>
      </c>
      <c r="E236" s="2" t="str">
        <f>raw_order_lines!E236</f>
        <v>P016</v>
      </c>
      <c r="F236" s="2" t="str">
        <f>raw_order_lines!F236</f>
        <v>公斤</v>
      </c>
      <c r="G236" s="4">
        <f>raw_order_lines!G236</f>
        <v>3</v>
      </c>
      <c r="H236" s="4">
        <f>raw_order_lines!H236</f>
        <v>3</v>
      </c>
      <c r="I236" s="4">
        <f>raw_order_lines!I236</f>
        <v>0</v>
      </c>
      <c r="J236" s="5">
        <f>raw_order_lines!J236</f>
        <v>10.4</v>
      </c>
      <c r="K236" s="2" t="str">
        <f>raw_order_lines!K236</f>
        <v>正常交付</v>
      </c>
      <c r="L236" s="2" t="str">
        <f>raw_order_lines!L236</f>
        <v>true</v>
      </c>
      <c r="M236" s="2" t="str">
        <f>INDEX(dim_products!$B$2:$B$21,MATCH($E236,dim_products!$A$2:$A$21,0))</f>
        <v>鸡蛋</v>
      </c>
      <c r="N236" s="2" t="str">
        <f>INDEX(dim_products!$C$2:$C$21,MATCH($E236,dim_products!$A$2:$A$21,0))</f>
        <v>普通鲜鸡蛋按净重</v>
      </c>
      <c r="O236" s="2" t="str">
        <f>INDEX(dim_customers!$B$2:$B$7,MATCH($C236,dim_customers!$A$2:$A$7,0))</f>
        <v>模拟_榕树下粉面店</v>
      </c>
      <c r="P236" s="6">
        <f>INT((ROUND(raw_order_lines!H236*10,0)*ROUND(raw_order_lines!J236*100,0)+5)/10)/100</f>
        <v>31.2</v>
      </c>
      <c r="Q236" s="6">
        <f>INT((ROUND(raw_order_lines!I236*10,0)*ROUND(raw_order_lines!J236*100,0)+5)/10)/100</f>
        <v>0</v>
      </c>
      <c r="R236" s="6">
        <f t="shared" si="9"/>
        <v>31.2</v>
      </c>
      <c r="S236" s="2" t="str">
        <f>IF(OR(ROUND(raw_order_lines!I236*10,0)&gt;ROUND(raw_order_lines!H236*10,0),ROUND(raw_order_lines!H236*10,0)&gt;ROUND(raw_order_lines!G236*10,0),ROUND(raw_order_lines!G236*10,0)&lt;=0),"数量关系异常","")</f>
        <v/>
      </c>
      <c r="T236" s="2" t="str">
        <f>IF($F236&lt;&gt;INDEX(dim_products!$D$2:$D$21,MATCH($E236,dim_products!$A$2:$A$21,0)),"单位不一致","")</f>
        <v/>
      </c>
      <c r="U236" s="2" t="str">
        <f>IF(OR(ROUND(raw_order_lines!J236*100,0)&lt;ROUND(INDEX(dim_products!$F$2:$F$21,MATCH($E236,dim_products!$A$2:$A$21,0))*100,0),ROUND(raw_order_lines!J236*100,0)&gt;ROUND(INDEX(dim_products!$G$2:$G$21,MATCH($E236,dim_products!$A$2:$A$21,0))*100,0)),"单价越界","")</f>
        <v/>
      </c>
      <c r="V236" s="2" t="str">
        <f t="shared" si="10"/>
        <v/>
      </c>
      <c r="W236" s="2" t="str">
        <f t="shared" si="11"/>
        <v>通过</v>
      </c>
    </row>
    <row r="237" spans="1:23" ht="15">
      <c r="A237" s="2" t="str">
        <f>raw_order_lines!A237</f>
        <v>SIM-20260908-C001</v>
      </c>
      <c r="B237" s="2">
        <f>raw_order_lines!B237</f>
        <v>6</v>
      </c>
      <c r="C237" s="2" t="str">
        <f>raw_order_lines!C237</f>
        <v>C001</v>
      </c>
      <c r="D237" s="3">
        <f>raw_order_lines!D237</f>
        <v>46273</v>
      </c>
      <c r="E237" s="2" t="str">
        <f>raw_order_lines!E237</f>
        <v>P015</v>
      </c>
      <c r="F237" s="2" t="str">
        <f>raw_order_lines!F237</f>
        <v>公斤</v>
      </c>
      <c r="G237" s="4">
        <f>raw_order_lines!G237</f>
        <v>0.5</v>
      </c>
      <c r="H237" s="4">
        <f>raw_order_lines!H237</f>
        <v>0.5</v>
      </c>
      <c r="I237" s="4">
        <f>raw_order_lines!I237</f>
        <v>0</v>
      </c>
      <c r="J237" s="5">
        <f>raw_order_lines!J237</f>
        <v>7.2</v>
      </c>
      <c r="K237" s="2" t="str">
        <f>raw_order_lines!K237</f>
        <v>正常交付</v>
      </c>
      <c r="L237" s="2" t="str">
        <f>raw_order_lines!L237</f>
        <v>true</v>
      </c>
      <c r="M237" s="2" t="str">
        <f>INDEX(dim_products!$B$2:$B$21,MATCH($E237,dim_products!$A$2:$A$21,0))</f>
        <v>小葱</v>
      </c>
      <c r="N237" s="2" t="str">
        <f>INDEX(dim_products!$C$2:$C$21,MATCH($E237,dim_products!$A$2:$A$21,0))</f>
        <v>散装鲜菜</v>
      </c>
      <c r="O237" s="2" t="str">
        <f>INDEX(dim_customers!$B$2:$B$7,MATCH($C237,dim_customers!$A$2:$A$7,0))</f>
        <v>模拟_榕树下粉面店</v>
      </c>
      <c r="P237" s="6">
        <f>INT((ROUND(raw_order_lines!H237*10,0)*ROUND(raw_order_lines!J237*100,0)+5)/10)/100</f>
        <v>3.6</v>
      </c>
      <c r="Q237" s="6">
        <f>INT((ROUND(raw_order_lines!I237*10,0)*ROUND(raw_order_lines!J237*100,0)+5)/10)/100</f>
        <v>0</v>
      </c>
      <c r="R237" s="6">
        <f t="shared" si="9"/>
        <v>3.6</v>
      </c>
      <c r="S237" s="2" t="str">
        <f>IF(OR(ROUND(raw_order_lines!I237*10,0)&gt;ROUND(raw_order_lines!H237*10,0),ROUND(raw_order_lines!H237*10,0)&gt;ROUND(raw_order_lines!G237*10,0),ROUND(raw_order_lines!G237*10,0)&lt;=0),"数量关系异常","")</f>
        <v/>
      </c>
      <c r="T237" s="2" t="str">
        <f>IF($F237&lt;&gt;INDEX(dim_products!$D$2:$D$21,MATCH($E237,dim_products!$A$2:$A$21,0)),"单位不一致","")</f>
        <v/>
      </c>
      <c r="U237" s="2" t="str">
        <f>IF(OR(ROUND(raw_order_lines!J237*100,0)&lt;ROUND(INDEX(dim_products!$F$2:$F$21,MATCH($E237,dim_products!$A$2:$A$21,0))*100,0),ROUND(raw_order_lines!J237*100,0)&gt;ROUND(INDEX(dim_products!$G$2:$G$21,MATCH($E237,dim_products!$A$2:$A$21,0))*100,0)),"单价越界","")</f>
        <v/>
      </c>
      <c r="V237" s="2" t="str">
        <f t="shared" si="10"/>
        <v/>
      </c>
      <c r="W237" s="2" t="str">
        <f t="shared" si="11"/>
        <v>通过</v>
      </c>
    </row>
    <row r="238" spans="1:23" ht="15">
      <c r="A238" s="2" t="str">
        <f>raw_order_lines!A238</f>
        <v>SIM-20260908-C002</v>
      </c>
      <c r="B238" s="2">
        <f>raw_order_lines!B238</f>
        <v>1</v>
      </c>
      <c r="C238" s="2" t="str">
        <f>raw_order_lines!C238</f>
        <v>C002</v>
      </c>
      <c r="D238" s="3">
        <f>raw_order_lines!D238</f>
        <v>46273</v>
      </c>
      <c r="E238" s="2" t="str">
        <f>raw_order_lines!E238</f>
        <v>P011</v>
      </c>
      <c r="F238" s="2" t="str">
        <f>raw_order_lines!F238</f>
        <v>公斤</v>
      </c>
      <c r="G238" s="4">
        <f>raw_order_lines!G238</f>
        <v>5.7</v>
      </c>
      <c r="H238" s="4">
        <f>raw_order_lines!H238</f>
        <v>5.7</v>
      </c>
      <c r="I238" s="4">
        <f>raw_order_lines!I238</f>
        <v>0.5</v>
      </c>
      <c r="J238" s="5">
        <f>raw_order_lines!J238</f>
        <v>4.3</v>
      </c>
      <c r="K238" s="2" t="str">
        <f>raw_order_lines!K238</f>
        <v>正常交付；签收时挑出黄叶退回</v>
      </c>
      <c r="L238" s="2" t="str">
        <f>raw_order_lines!L238</f>
        <v>true</v>
      </c>
      <c r="M238" s="2" t="str">
        <f>INDEX(dim_products!$B$2:$B$21,MATCH($E238,dim_products!$A$2:$A$21,0))</f>
        <v>红薯叶</v>
      </c>
      <c r="N238" s="2" t="str">
        <f>INDEX(dim_products!$C$2:$C$21,MATCH($E238,dim_products!$A$2:$A$21,0))</f>
        <v>散装鲜菜</v>
      </c>
      <c r="O238" s="2" t="str">
        <f>INDEX(dim_customers!$B$2:$B$7,MATCH($C238,dim_customers!$A$2:$A$7,0))</f>
        <v>模拟_桥头家常菜馆</v>
      </c>
      <c r="P238" s="6">
        <f>INT((ROUND(raw_order_lines!H238*10,0)*ROUND(raw_order_lines!J238*100,0)+5)/10)/100</f>
        <v>24.51</v>
      </c>
      <c r="Q238" s="6">
        <f>INT((ROUND(raw_order_lines!I238*10,0)*ROUND(raw_order_lines!J238*100,0)+5)/10)/100</f>
        <v>2.15</v>
      </c>
      <c r="R238" s="6">
        <f t="shared" si="9"/>
        <v>22.360000000000003</v>
      </c>
      <c r="S238" s="2" t="str">
        <f>IF(OR(ROUND(raw_order_lines!I238*10,0)&gt;ROUND(raw_order_lines!H238*10,0),ROUND(raw_order_lines!H238*10,0)&gt;ROUND(raw_order_lines!G238*10,0),ROUND(raw_order_lines!G238*10,0)&lt;=0),"数量关系异常","")</f>
        <v/>
      </c>
      <c r="T238" s="2" t="str">
        <f>IF($F238&lt;&gt;INDEX(dim_products!$D$2:$D$21,MATCH($E238,dim_products!$A$2:$A$21,0)),"单位不一致","")</f>
        <v/>
      </c>
      <c r="U238" s="2" t="str">
        <f>IF(OR(ROUND(raw_order_lines!J238*100,0)&lt;ROUND(INDEX(dim_products!$F$2:$F$21,MATCH($E238,dim_products!$A$2:$A$21,0))*100,0),ROUND(raw_order_lines!J238*100,0)&gt;ROUND(INDEX(dim_products!$G$2:$G$21,MATCH($E238,dim_products!$A$2:$A$21,0))*100,0)),"单价越界","")</f>
        <v/>
      </c>
      <c r="V238" s="2" t="str">
        <f t="shared" si="10"/>
        <v/>
      </c>
      <c r="W238" s="2" t="str">
        <f t="shared" si="11"/>
        <v>通过</v>
      </c>
    </row>
    <row r="239" spans="1:23" ht="15">
      <c r="A239" s="2" t="str">
        <f>raw_order_lines!A239</f>
        <v>SIM-20260908-C002</v>
      </c>
      <c r="B239" s="2">
        <f>raw_order_lines!B239</f>
        <v>2</v>
      </c>
      <c r="C239" s="2" t="str">
        <f>raw_order_lines!C239</f>
        <v>C002</v>
      </c>
      <c r="D239" s="3">
        <f>raw_order_lines!D239</f>
        <v>46273</v>
      </c>
      <c r="E239" s="2" t="str">
        <f>raw_order_lines!E239</f>
        <v>P013</v>
      </c>
      <c r="F239" s="2" t="str">
        <f>raw_order_lines!F239</f>
        <v>公斤</v>
      </c>
      <c r="G239" s="4">
        <f>raw_order_lines!G239</f>
        <v>8</v>
      </c>
      <c r="H239" s="4">
        <f>raw_order_lines!H239</f>
        <v>8</v>
      </c>
      <c r="I239" s="4">
        <f>raw_order_lines!I239</f>
        <v>0</v>
      </c>
      <c r="J239" s="5">
        <f>raw_order_lines!J239</f>
        <v>6</v>
      </c>
      <c r="K239" s="2" t="str">
        <f>raw_order_lines!K239</f>
        <v>正常交付</v>
      </c>
      <c r="L239" s="2" t="str">
        <f>raw_order_lines!L239</f>
        <v>true</v>
      </c>
      <c r="M239" s="2" t="str">
        <f>INDEX(dim_products!$B$2:$B$21,MATCH($E239,dim_products!$A$2:$A$21,0))</f>
        <v>豇豆</v>
      </c>
      <c r="N239" s="2" t="str">
        <f>INDEX(dim_products!$C$2:$C$21,MATCH($E239,dim_products!$A$2:$A$21,0))</f>
        <v>散装鲜菜</v>
      </c>
      <c r="O239" s="2" t="str">
        <f>INDEX(dim_customers!$B$2:$B$7,MATCH($C239,dim_customers!$A$2:$A$7,0))</f>
        <v>模拟_桥头家常菜馆</v>
      </c>
      <c r="P239" s="6">
        <f>INT((ROUND(raw_order_lines!H239*10,0)*ROUND(raw_order_lines!J239*100,0)+5)/10)/100</f>
        <v>48</v>
      </c>
      <c r="Q239" s="6">
        <f>INT((ROUND(raw_order_lines!I239*10,0)*ROUND(raw_order_lines!J239*100,0)+5)/10)/100</f>
        <v>0</v>
      </c>
      <c r="R239" s="6">
        <f t="shared" si="9"/>
        <v>48</v>
      </c>
      <c r="S239" s="2" t="str">
        <f>IF(OR(ROUND(raw_order_lines!I239*10,0)&gt;ROUND(raw_order_lines!H239*10,0),ROUND(raw_order_lines!H239*10,0)&gt;ROUND(raw_order_lines!G239*10,0),ROUND(raw_order_lines!G239*10,0)&lt;=0),"数量关系异常","")</f>
        <v/>
      </c>
      <c r="T239" s="2" t="str">
        <f>IF($F239&lt;&gt;INDEX(dim_products!$D$2:$D$21,MATCH($E239,dim_products!$A$2:$A$21,0)),"单位不一致","")</f>
        <v/>
      </c>
      <c r="U239" s="2" t="str">
        <f>IF(OR(ROUND(raw_order_lines!J239*100,0)&lt;ROUND(INDEX(dim_products!$F$2:$F$21,MATCH($E239,dim_products!$A$2:$A$21,0))*100,0),ROUND(raw_order_lines!J239*100,0)&gt;ROUND(INDEX(dim_products!$G$2:$G$21,MATCH($E239,dim_products!$A$2:$A$21,0))*100,0)),"单价越界","")</f>
        <v/>
      </c>
      <c r="V239" s="2" t="str">
        <f t="shared" si="10"/>
        <v/>
      </c>
      <c r="W239" s="2" t="str">
        <f t="shared" si="11"/>
        <v>通过</v>
      </c>
    </row>
    <row r="240" spans="1:23" ht="15">
      <c r="A240" s="2" t="str">
        <f>raw_order_lines!A240</f>
        <v>SIM-20260908-C002</v>
      </c>
      <c r="B240" s="2">
        <f>raw_order_lines!B240</f>
        <v>3</v>
      </c>
      <c r="C240" s="2" t="str">
        <f>raw_order_lines!C240</f>
        <v>C002</v>
      </c>
      <c r="D240" s="3">
        <f>raw_order_lines!D240</f>
        <v>46273</v>
      </c>
      <c r="E240" s="2" t="str">
        <f>raw_order_lines!E240</f>
        <v>P005</v>
      </c>
      <c r="F240" s="2" t="str">
        <f>raw_order_lines!F240</f>
        <v>公斤</v>
      </c>
      <c r="G240" s="4">
        <f>raw_order_lines!G240</f>
        <v>4</v>
      </c>
      <c r="H240" s="4">
        <f>raw_order_lines!H240</f>
        <v>4</v>
      </c>
      <c r="I240" s="4">
        <f>raw_order_lines!I240</f>
        <v>0</v>
      </c>
      <c r="J240" s="5">
        <f>raw_order_lines!J240</f>
        <v>2.7</v>
      </c>
      <c r="K240" s="2" t="str">
        <f>raw_order_lines!K240</f>
        <v>正常交付</v>
      </c>
      <c r="L240" s="2" t="str">
        <f>raw_order_lines!L240</f>
        <v>true</v>
      </c>
      <c r="M240" s="2" t="str">
        <f>INDEX(dim_products!$B$2:$B$21,MATCH($E240,dim_products!$A$2:$A$21,0))</f>
        <v>南瓜</v>
      </c>
      <c r="N240" s="2" t="str">
        <f>INDEX(dim_products!$C$2:$C$21,MATCH($E240,dim_products!$A$2:$A$21,0))</f>
        <v>散装鲜菜</v>
      </c>
      <c r="O240" s="2" t="str">
        <f>INDEX(dim_customers!$B$2:$B$7,MATCH($C240,dim_customers!$A$2:$A$7,0))</f>
        <v>模拟_桥头家常菜馆</v>
      </c>
      <c r="P240" s="6">
        <f>INT((ROUND(raw_order_lines!H240*10,0)*ROUND(raw_order_lines!J240*100,0)+5)/10)/100</f>
        <v>10.8</v>
      </c>
      <c r="Q240" s="6">
        <f>INT((ROUND(raw_order_lines!I240*10,0)*ROUND(raw_order_lines!J240*100,0)+5)/10)/100</f>
        <v>0</v>
      </c>
      <c r="R240" s="6">
        <f t="shared" si="9"/>
        <v>10.8</v>
      </c>
      <c r="S240" s="2" t="str">
        <f>IF(OR(ROUND(raw_order_lines!I240*10,0)&gt;ROUND(raw_order_lines!H240*10,0),ROUND(raw_order_lines!H240*10,0)&gt;ROUND(raw_order_lines!G240*10,0),ROUND(raw_order_lines!G240*10,0)&lt;=0),"数量关系异常","")</f>
        <v/>
      </c>
      <c r="T240" s="2" t="str">
        <f>IF($F240&lt;&gt;INDEX(dim_products!$D$2:$D$21,MATCH($E240,dim_products!$A$2:$A$21,0)),"单位不一致","")</f>
        <v/>
      </c>
      <c r="U240" s="2" t="str">
        <f>IF(OR(ROUND(raw_order_lines!J240*100,0)&lt;ROUND(INDEX(dim_products!$F$2:$F$21,MATCH($E240,dim_products!$A$2:$A$21,0))*100,0),ROUND(raw_order_lines!J240*100,0)&gt;ROUND(INDEX(dim_products!$G$2:$G$21,MATCH($E240,dim_products!$A$2:$A$21,0))*100,0)),"单价越界","")</f>
        <v/>
      </c>
      <c r="V240" s="2" t="str">
        <f t="shared" si="10"/>
        <v/>
      </c>
      <c r="W240" s="2" t="str">
        <f t="shared" si="11"/>
        <v>通过</v>
      </c>
    </row>
    <row r="241" spans="1:23" ht="15">
      <c r="A241" s="2" t="str">
        <f>raw_order_lines!A241</f>
        <v>SIM-20260908-C002</v>
      </c>
      <c r="B241" s="2">
        <f>raw_order_lines!B241</f>
        <v>4</v>
      </c>
      <c r="C241" s="2" t="str">
        <f>raw_order_lines!C241</f>
        <v>C002</v>
      </c>
      <c r="D241" s="3">
        <f>raw_order_lines!D241</f>
        <v>46273</v>
      </c>
      <c r="E241" s="2" t="str">
        <f>raw_order_lines!E241</f>
        <v>P009</v>
      </c>
      <c r="F241" s="2" t="str">
        <f>raw_order_lines!F241</f>
        <v>公斤</v>
      </c>
      <c r="G241" s="4">
        <f>raw_order_lines!G241</f>
        <v>4.5999999999999996</v>
      </c>
      <c r="H241" s="4">
        <f>raw_order_lines!H241</f>
        <v>4.5999999999999996</v>
      </c>
      <c r="I241" s="4">
        <f>raw_order_lines!I241</f>
        <v>0</v>
      </c>
      <c r="J241" s="5">
        <f>raw_order_lines!J241</f>
        <v>5</v>
      </c>
      <c r="K241" s="2" t="str">
        <f>raw_order_lines!K241</f>
        <v>正常交付</v>
      </c>
      <c r="L241" s="2" t="str">
        <f>raw_order_lines!L241</f>
        <v>true</v>
      </c>
      <c r="M241" s="2" t="str">
        <f>INDEX(dim_products!$B$2:$B$21,MATCH($E241,dim_products!$A$2:$A$21,0))</f>
        <v>西红柿</v>
      </c>
      <c r="N241" s="2" t="str">
        <f>INDEX(dim_products!$C$2:$C$21,MATCH($E241,dim_products!$A$2:$A$21,0))</f>
        <v>散装鲜菜</v>
      </c>
      <c r="O241" s="2" t="str">
        <f>INDEX(dim_customers!$B$2:$B$7,MATCH($C241,dim_customers!$A$2:$A$7,0))</f>
        <v>模拟_桥头家常菜馆</v>
      </c>
      <c r="P241" s="6">
        <f>INT((ROUND(raw_order_lines!H241*10,0)*ROUND(raw_order_lines!J241*100,0)+5)/10)/100</f>
        <v>23</v>
      </c>
      <c r="Q241" s="6">
        <f>INT((ROUND(raw_order_lines!I241*10,0)*ROUND(raw_order_lines!J241*100,0)+5)/10)/100</f>
        <v>0</v>
      </c>
      <c r="R241" s="6">
        <f t="shared" si="9"/>
        <v>23</v>
      </c>
      <c r="S241" s="2" t="str">
        <f>IF(OR(ROUND(raw_order_lines!I241*10,0)&gt;ROUND(raw_order_lines!H241*10,0),ROUND(raw_order_lines!H241*10,0)&gt;ROUND(raw_order_lines!G241*10,0),ROUND(raw_order_lines!G241*10,0)&lt;=0),"数量关系异常","")</f>
        <v/>
      </c>
      <c r="T241" s="2" t="str">
        <f>IF($F241&lt;&gt;INDEX(dim_products!$D$2:$D$21,MATCH($E241,dim_products!$A$2:$A$21,0)),"单位不一致","")</f>
        <v/>
      </c>
      <c r="U241" s="2" t="str">
        <f>IF(OR(ROUND(raw_order_lines!J241*100,0)&lt;ROUND(INDEX(dim_products!$F$2:$F$21,MATCH($E241,dim_products!$A$2:$A$21,0))*100,0),ROUND(raw_order_lines!J241*100,0)&gt;ROUND(INDEX(dim_products!$G$2:$G$21,MATCH($E241,dim_products!$A$2:$A$21,0))*100,0)),"单价越界","")</f>
        <v/>
      </c>
      <c r="V241" s="2" t="str">
        <f t="shared" si="10"/>
        <v/>
      </c>
      <c r="W241" s="2" t="str">
        <f t="shared" si="11"/>
        <v>通过</v>
      </c>
    </row>
    <row r="242" spans="1:23" ht="15">
      <c r="A242" s="2" t="str">
        <f>raw_order_lines!A242</f>
        <v>SIM-20260908-C002</v>
      </c>
      <c r="B242" s="2">
        <f>raw_order_lines!B242</f>
        <v>5</v>
      </c>
      <c r="C242" s="2" t="str">
        <f>raw_order_lines!C242</f>
        <v>C002</v>
      </c>
      <c r="D242" s="3">
        <f>raw_order_lines!D242</f>
        <v>46273</v>
      </c>
      <c r="E242" s="2" t="str">
        <f>raw_order_lines!E242</f>
        <v>P006</v>
      </c>
      <c r="F242" s="2" t="str">
        <f>raw_order_lines!F242</f>
        <v>公斤</v>
      </c>
      <c r="G242" s="4">
        <f>raw_order_lines!G242</f>
        <v>5.0999999999999996</v>
      </c>
      <c r="H242" s="4">
        <f>raw_order_lines!H242</f>
        <v>5.0999999999999996</v>
      </c>
      <c r="I242" s="4">
        <f>raw_order_lines!I242</f>
        <v>0</v>
      </c>
      <c r="J242" s="5">
        <f>raw_order_lines!J242</f>
        <v>4.8</v>
      </c>
      <c r="K242" s="2" t="str">
        <f>raw_order_lines!K242</f>
        <v>正常交付</v>
      </c>
      <c r="L242" s="2" t="str">
        <f>raw_order_lines!L242</f>
        <v>true</v>
      </c>
      <c r="M242" s="2" t="str">
        <f>INDEX(dim_products!$B$2:$B$21,MATCH($E242,dim_products!$A$2:$A$21,0))</f>
        <v>茄子</v>
      </c>
      <c r="N242" s="2" t="str">
        <f>INDEX(dim_products!$C$2:$C$21,MATCH($E242,dim_products!$A$2:$A$21,0))</f>
        <v>散装鲜菜</v>
      </c>
      <c r="O242" s="2" t="str">
        <f>INDEX(dim_customers!$B$2:$B$7,MATCH($C242,dim_customers!$A$2:$A$7,0))</f>
        <v>模拟_桥头家常菜馆</v>
      </c>
      <c r="P242" s="6">
        <f>INT((ROUND(raw_order_lines!H242*10,0)*ROUND(raw_order_lines!J242*100,0)+5)/10)/100</f>
        <v>24.48</v>
      </c>
      <c r="Q242" s="6">
        <f>INT((ROUND(raw_order_lines!I242*10,0)*ROUND(raw_order_lines!J242*100,0)+5)/10)/100</f>
        <v>0</v>
      </c>
      <c r="R242" s="6">
        <f t="shared" si="9"/>
        <v>24.48</v>
      </c>
      <c r="S242" s="2" t="str">
        <f>IF(OR(ROUND(raw_order_lines!I242*10,0)&gt;ROUND(raw_order_lines!H242*10,0),ROUND(raw_order_lines!H242*10,0)&gt;ROUND(raw_order_lines!G242*10,0),ROUND(raw_order_lines!G242*10,0)&lt;=0),"数量关系异常","")</f>
        <v/>
      </c>
      <c r="T242" s="2" t="str">
        <f>IF($F242&lt;&gt;INDEX(dim_products!$D$2:$D$21,MATCH($E242,dim_products!$A$2:$A$21,0)),"单位不一致","")</f>
        <v/>
      </c>
      <c r="U242" s="2" t="str">
        <f>IF(OR(ROUND(raw_order_lines!J242*100,0)&lt;ROUND(INDEX(dim_products!$F$2:$F$21,MATCH($E242,dim_products!$A$2:$A$21,0))*100,0),ROUND(raw_order_lines!J242*100,0)&gt;ROUND(INDEX(dim_products!$G$2:$G$21,MATCH($E242,dim_products!$A$2:$A$21,0))*100,0)),"单价越界","")</f>
        <v/>
      </c>
      <c r="V242" s="2" t="str">
        <f t="shared" si="10"/>
        <v/>
      </c>
      <c r="W242" s="2" t="str">
        <f t="shared" si="11"/>
        <v>通过</v>
      </c>
    </row>
    <row r="243" spans="1:23" ht="15">
      <c r="A243" s="2" t="str">
        <f>raw_order_lines!A243</f>
        <v>SIM-20260908-C002</v>
      </c>
      <c r="B243" s="2">
        <f>raw_order_lines!B243</f>
        <v>6</v>
      </c>
      <c r="C243" s="2" t="str">
        <f>raw_order_lines!C243</f>
        <v>C002</v>
      </c>
      <c r="D243" s="3">
        <f>raw_order_lines!D243</f>
        <v>46273</v>
      </c>
      <c r="E243" s="2" t="str">
        <f>raw_order_lines!E243</f>
        <v>P016</v>
      </c>
      <c r="F243" s="2" t="str">
        <f>raw_order_lines!F243</f>
        <v>公斤</v>
      </c>
      <c r="G243" s="4">
        <f>raw_order_lines!G243</f>
        <v>4</v>
      </c>
      <c r="H243" s="4">
        <f>raw_order_lines!H243</f>
        <v>4</v>
      </c>
      <c r="I243" s="4">
        <f>raw_order_lines!I243</f>
        <v>0</v>
      </c>
      <c r="J243" s="5">
        <f>raw_order_lines!J243</f>
        <v>10.4</v>
      </c>
      <c r="K243" s="2" t="str">
        <f>raw_order_lines!K243</f>
        <v>正常交付</v>
      </c>
      <c r="L243" s="2" t="str">
        <f>raw_order_lines!L243</f>
        <v>true</v>
      </c>
      <c r="M243" s="2" t="str">
        <f>INDEX(dim_products!$B$2:$B$21,MATCH($E243,dim_products!$A$2:$A$21,0))</f>
        <v>鸡蛋</v>
      </c>
      <c r="N243" s="2" t="str">
        <f>INDEX(dim_products!$C$2:$C$21,MATCH($E243,dim_products!$A$2:$A$21,0))</f>
        <v>普通鲜鸡蛋按净重</v>
      </c>
      <c r="O243" s="2" t="str">
        <f>INDEX(dim_customers!$B$2:$B$7,MATCH($C243,dim_customers!$A$2:$A$7,0))</f>
        <v>模拟_桥头家常菜馆</v>
      </c>
      <c r="P243" s="6">
        <f>INT((ROUND(raw_order_lines!H243*10,0)*ROUND(raw_order_lines!J243*100,0)+5)/10)/100</f>
        <v>41.6</v>
      </c>
      <c r="Q243" s="6">
        <f>INT((ROUND(raw_order_lines!I243*10,0)*ROUND(raw_order_lines!J243*100,0)+5)/10)/100</f>
        <v>0</v>
      </c>
      <c r="R243" s="6">
        <f t="shared" si="9"/>
        <v>41.6</v>
      </c>
      <c r="S243" s="2" t="str">
        <f>IF(OR(ROUND(raw_order_lines!I243*10,0)&gt;ROUND(raw_order_lines!H243*10,0),ROUND(raw_order_lines!H243*10,0)&gt;ROUND(raw_order_lines!G243*10,0),ROUND(raw_order_lines!G243*10,0)&lt;=0),"数量关系异常","")</f>
        <v/>
      </c>
      <c r="T243" s="2" t="str">
        <f>IF($F243&lt;&gt;INDEX(dim_products!$D$2:$D$21,MATCH($E243,dim_products!$A$2:$A$21,0)),"单位不一致","")</f>
        <v/>
      </c>
      <c r="U243" s="2" t="str">
        <f>IF(OR(ROUND(raw_order_lines!J243*100,0)&lt;ROUND(INDEX(dim_products!$F$2:$F$21,MATCH($E243,dim_products!$A$2:$A$21,0))*100,0),ROUND(raw_order_lines!J243*100,0)&gt;ROUND(INDEX(dim_products!$G$2:$G$21,MATCH($E243,dim_products!$A$2:$A$21,0))*100,0)),"单价越界","")</f>
        <v/>
      </c>
      <c r="V243" s="2" t="str">
        <f t="shared" si="10"/>
        <v/>
      </c>
      <c r="W243" s="2" t="str">
        <f t="shared" si="11"/>
        <v>通过</v>
      </c>
    </row>
    <row r="244" spans="1:23" ht="15">
      <c r="A244" s="2" t="str">
        <f>raw_order_lines!A244</f>
        <v>SIM-20260908-C002</v>
      </c>
      <c r="B244" s="2">
        <f>raw_order_lines!B244</f>
        <v>7</v>
      </c>
      <c r="C244" s="2" t="str">
        <f>raw_order_lines!C244</f>
        <v>C002</v>
      </c>
      <c r="D244" s="3">
        <f>raw_order_lines!D244</f>
        <v>46273</v>
      </c>
      <c r="E244" s="2" t="str">
        <f>raw_order_lines!E244</f>
        <v>P015</v>
      </c>
      <c r="F244" s="2" t="str">
        <f>raw_order_lines!F244</f>
        <v>公斤</v>
      </c>
      <c r="G244" s="4">
        <f>raw_order_lines!G244</f>
        <v>1</v>
      </c>
      <c r="H244" s="4">
        <f>raw_order_lines!H244</f>
        <v>1</v>
      </c>
      <c r="I244" s="4">
        <f>raw_order_lines!I244</f>
        <v>0</v>
      </c>
      <c r="J244" s="5">
        <f>raw_order_lines!J244</f>
        <v>7.2</v>
      </c>
      <c r="K244" s="2" t="str">
        <f>raw_order_lines!K244</f>
        <v>正常交付</v>
      </c>
      <c r="L244" s="2" t="str">
        <f>raw_order_lines!L244</f>
        <v>true</v>
      </c>
      <c r="M244" s="2" t="str">
        <f>INDEX(dim_products!$B$2:$B$21,MATCH($E244,dim_products!$A$2:$A$21,0))</f>
        <v>小葱</v>
      </c>
      <c r="N244" s="2" t="str">
        <f>INDEX(dim_products!$C$2:$C$21,MATCH($E244,dim_products!$A$2:$A$21,0))</f>
        <v>散装鲜菜</v>
      </c>
      <c r="O244" s="2" t="str">
        <f>INDEX(dim_customers!$B$2:$B$7,MATCH($C244,dim_customers!$A$2:$A$7,0))</f>
        <v>模拟_桥头家常菜馆</v>
      </c>
      <c r="P244" s="6">
        <f>INT((ROUND(raw_order_lines!H244*10,0)*ROUND(raw_order_lines!J244*100,0)+5)/10)/100</f>
        <v>7.2</v>
      </c>
      <c r="Q244" s="6">
        <f>INT((ROUND(raw_order_lines!I244*10,0)*ROUND(raw_order_lines!J244*100,0)+5)/10)/100</f>
        <v>0</v>
      </c>
      <c r="R244" s="6">
        <f t="shared" si="9"/>
        <v>7.2</v>
      </c>
      <c r="S244" s="2" t="str">
        <f>IF(OR(ROUND(raw_order_lines!I244*10,0)&gt;ROUND(raw_order_lines!H244*10,0),ROUND(raw_order_lines!H244*10,0)&gt;ROUND(raw_order_lines!G244*10,0),ROUND(raw_order_lines!G244*10,0)&lt;=0),"数量关系异常","")</f>
        <v/>
      </c>
      <c r="T244" s="2" t="str">
        <f>IF($F244&lt;&gt;INDEX(dim_products!$D$2:$D$21,MATCH($E244,dim_products!$A$2:$A$21,0)),"单位不一致","")</f>
        <v/>
      </c>
      <c r="U244" s="2" t="str">
        <f>IF(OR(ROUND(raw_order_lines!J244*100,0)&lt;ROUND(INDEX(dim_products!$F$2:$F$21,MATCH($E244,dim_products!$A$2:$A$21,0))*100,0),ROUND(raw_order_lines!J244*100,0)&gt;ROUND(INDEX(dim_products!$G$2:$G$21,MATCH($E244,dim_products!$A$2:$A$21,0))*100,0)),"单价越界","")</f>
        <v/>
      </c>
      <c r="V244" s="2" t="str">
        <f t="shared" si="10"/>
        <v/>
      </c>
      <c r="W244" s="2" t="str">
        <f t="shared" si="11"/>
        <v>通过</v>
      </c>
    </row>
    <row r="245" spans="1:23" ht="15">
      <c r="A245" s="2" t="str">
        <f>raw_order_lines!A245</f>
        <v>SIM-20260908-C003</v>
      </c>
      <c r="B245" s="2">
        <f>raw_order_lines!B245</f>
        <v>1</v>
      </c>
      <c r="C245" s="2" t="str">
        <f>raw_order_lines!C245</f>
        <v>C003</v>
      </c>
      <c r="D245" s="3">
        <f>raw_order_lines!D245</f>
        <v>46273</v>
      </c>
      <c r="E245" s="2" t="str">
        <f>raw_order_lines!E245</f>
        <v>P011</v>
      </c>
      <c r="F245" s="2" t="str">
        <f>raw_order_lines!F245</f>
        <v>公斤</v>
      </c>
      <c r="G245" s="4">
        <f>raw_order_lines!G245</f>
        <v>4.9000000000000004</v>
      </c>
      <c r="H245" s="4">
        <f>raw_order_lines!H245</f>
        <v>4.9000000000000004</v>
      </c>
      <c r="I245" s="4">
        <f>raw_order_lines!I245</f>
        <v>0.3</v>
      </c>
      <c r="J245" s="5">
        <f>raw_order_lines!J245</f>
        <v>4.3</v>
      </c>
      <c r="K245" s="2" t="str">
        <f>raw_order_lines!K245</f>
        <v>正常交付；签收时挑出黄叶退回</v>
      </c>
      <c r="L245" s="2" t="str">
        <f>raw_order_lines!L245</f>
        <v>true</v>
      </c>
      <c r="M245" s="2" t="str">
        <f>INDEX(dim_products!$B$2:$B$21,MATCH($E245,dim_products!$A$2:$A$21,0))</f>
        <v>红薯叶</v>
      </c>
      <c r="N245" s="2" t="str">
        <f>INDEX(dim_products!$C$2:$C$21,MATCH($E245,dim_products!$A$2:$A$21,0))</f>
        <v>散装鲜菜</v>
      </c>
      <c r="O245" s="2" t="str">
        <f>INDEX(dim_customers!$B$2:$B$7,MATCH($C245,dim_customers!$A$2:$A$7,0))</f>
        <v>模拟_兴街快餐店</v>
      </c>
      <c r="P245" s="6">
        <f>INT((ROUND(raw_order_lines!H245*10,0)*ROUND(raw_order_lines!J245*100,0)+5)/10)/100</f>
        <v>21.07</v>
      </c>
      <c r="Q245" s="6">
        <f>INT((ROUND(raw_order_lines!I245*10,0)*ROUND(raw_order_lines!J245*100,0)+5)/10)/100</f>
        <v>1.29</v>
      </c>
      <c r="R245" s="6">
        <f t="shared" si="9"/>
        <v>19.78</v>
      </c>
      <c r="S245" s="2" t="str">
        <f>IF(OR(ROUND(raw_order_lines!I245*10,0)&gt;ROUND(raw_order_lines!H245*10,0),ROUND(raw_order_lines!H245*10,0)&gt;ROUND(raw_order_lines!G245*10,0),ROUND(raw_order_lines!G245*10,0)&lt;=0),"数量关系异常","")</f>
        <v/>
      </c>
      <c r="T245" s="2" t="str">
        <f>IF($F245&lt;&gt;INDEX(dim_products!$D$2:$D$21,MATCH($E245,dim_products!$A$2:$A$21,0)),"单位不一致","")</f>
        <v/>
      </c>
      <c r="U245" s="2" t="str">
        <f>IF(OR(ROUND(raw_order_lines!J245*100,0)&lt;ROUND(INDEX(dim_products!$F$2:$F$21,MATCH($E245,dim_products!$A$2:$A$21,0))*100,0),ROUND(raw_order_lines!J245*100,0)&gt;ROUND(INDEX(dim_products!$G$2:$G$21,MATCH($E245,dim_products!$A$2:$A$21,0))*100,0)),"单价越界","")</f>
        <v/>
      </c>
      <c r="V245" s="2" t="str">
        <f t="shared" si="10"/>
        <v/>
      </c>
      <c r="W245" s="2" t="str">
        <f t="shared" si="11"/>
        <v>通过</v>
      </c>
    </row>
    <row r="246" spans="1:23" ht="15">
      <c r="A246" s="2" t="str">
        <f>raw_order_lines!A246</f>
        <v>SIM-20260908-C003</v>
      </c>
      <c r="B246" s="2">
        <f>raw_order_lines!B246</f>
        <v>2</v>
      </c>
      <c r="C246" s="2" t="str">
        <f>raw_order_lines!C246</f>
        <v>C003</v>
      </c>
      <c r="D246" s="3">
        <f>raw_order_lines!D246</f>
        <v>46273</v>
      </c>
      <c r="E246" s="2" t="str">
        <f>raw_order_lines!E246</f>
        <v>P003</v>
      </c>
      <c r="F246" s="2" t="str">
        <f>raw_order_lines!F246</f>
        <v>公斤</v>
      </c>
      <c r="G246" s="4">
        <f>raw_order_lines!G246</f>
        <v>8.6</v>
      </c>
      <c r="H246" s="4">
        <f>raw_order_lines!H246</f>
        <v>8.6</v>
      </c>
      <c r="I246" s="4">
        <f>raw_order_lines!I246</f>
        <v>0</v>
      </c>
      <c r="J246" s="5">
        <f>raw_order_lines!J246</f>
        <v>2.9</v>
      </c>
      <c r="K246" s="2" t="str">
        <f>raw_order_lines!K246</f>
        <v>正常交付</v>
      </c>
      <c r="L246" s="2" t="str">
        <f>raw_order_lines!L246</f>
        <v>true</v>
      </c>
      <c r="M246" s="2" t="str">
        <f>INDEX(dim_products!$B$2:$B$21,MATCH($E246,dim_products!$A$2:$A$21,0))</f>
        <v>包菜</v>
      </c>
      <c r="N246" s="2" t="str">
        <f>INDEX(dim_products!$C$2:$C$21,MATCH($E246,dim_products!$A$2:$A$21,0))</f>
        <v>散装鲜菜</v>
      </c>
      <c r="O246" s="2" t="str">
        <f>INDEX(dim_customers!$B$2:$B$7,MATCH($C246,dim_customers!$A$2:$A$7,0))</f>
        <v>模拟_兴街快餐店</v>
      </c>
      <c r="P246" s="6">
        <f>INT((ROUND(raw_order_lines!H246*10,0)*ROUND(raw_order_lines!J246*100,0)+5)/10)/100</f>
        <v>24.94</v>
      </c>
      <c r="Q246" s="6">
        <f>INT((ROUND(raw_order_lines!I246*10,0)*ROUND(raw_order_lines!J246*100,0)+5)/10)/100</f>
        <v>0</v>
      </c>
      <c r="R246" s="6">
        <f t="shared" si="9"/>
        <v>24.94</v>
      </c>
      <c r="S246" s="2" t="str">
        <f>IF(OR(ROUND(raw_order_lines!I246*10,0)&gt;ROUND(raw_order_lines!H246*10,0),ROUND(raw_order_lines!H246*10,0)&gt;ROUND(raw_order_lines!G246*10,0),ROUND(raw_order_lines!G246*10,0)&lt;=0),"数量关系异常","")</f>
        <v/>
      </c>
      <c r="T246" s="2" t="str">
        <f>IF($F246&lt;&gt;INDEX(dim_products!$D$2:$D$21,MATCH($E246,dim_products!$A$2:$A$21,0)),"单位不一致","")</f>
        <v/>
      </c>
      <c r="U246" s="2" t="str">
        <f>IF(OR(ROUND(raw_order_lines!J246*100,0)&lt;ROUND(INDEX(dim_products!$F$2:$F$21,MATCH($E246,dim_products!$A$2:$A$21,0))*100,0),ROUND(raw_order_lines!J246*100,0)&gt;ROUND(INDEX(dim_products!$G$2:$G$21,MATCH($E246,dim_products!$A$2:$A$21,0))*100,0)),"单价越界","")</f>
        <v/>
      </c>
      <c r="V246" s="2" t="str">
        <f t="shared" si="10"/>
        <v/>
      </c>
      <c r="W246" s="2" t="str">
        <f t="shared" si="11"/>
        <v>通过</v>
      </c>
    </row>
    <row r="247" spans="1:23" ht="15">
      <c r="A247" s="2" t="str">
        <f>raw_order_lines!A247</f>
        <v>SIM-20260908-C003</v>
      </c>
      <c r="B247" s="2">
        <f>raw_order_lines!B247</f>
        <v>3</v>
      </c>
      <c r="C247" s="2" t="str">
        <f>raw_order_lines!C247</f>
        <v>C003</v>
      </c>
      <c r="D247" s="3">
        <f>raw_order_lines!D247</f>
        <v>46273</v>
      </c>
      <c r="E247" s="2" t="str">
        <f>raw_order_lines!E247</f>
        <v>P014</v>
      </c>
      <c r="F247" s="2" t="str">
        <f>raw_order_lines!F247</f>
        <v>公斤</v>
      </c>
      <c r="G247" s="4">
        <f>raw_order_lines!G247</f>
        <v>5.9</v>
      </c>
      <c r="H247" s="4">
        <f>raw_order_lines!H247</f>
        <v>5.9</v>
      </c>
      <c r="I247" s="4">
        <f>raw_order_lines!I247</f>
        <v>0</v>
      </c>
      <c r="J247" s="5">
        <f>raw_order_lines!J247</f>
        <v>5</v>
      </c>
      <c r="K247" s="2" t="str">
        <f>raw_order_lines!K247</f>
        <v>正常交付</v>
      </c>
      <c r="L247" s="2" t="str">
        <f>raw_order_lines!L247</f>
        <v>true</v>
      </c>
      <c r="M247" s="2" t="str">
        <f>INDEX(dim_products!$B$2:$B$21,MATCH($E247,dim_products!$A$2:$A$21,0))</f>
        <v>丝瓜</v>
      </c>
      <c r="N247" s="2" t="str">
        <f>INDEX(dim_products!$C$2:$C$21,MATCH($E247,dim_products!$A$2:$A$21,0))</f>
        <v>散装鲜菜</v>
      </c>
      <c r="O247" s="2" t="str">
        <f>INDEX(dim_customers!$B$2:$B$7,MATCH($C247,dim_customers!$A$2:$A$7,0))</f>
        <v>模拟_兴街快餐店</v>
      </c>
      <c r="P247" s="6">
        <f>INT((ROUND(raw_order_lines!H247*10,0)*ROUND(raw_order_lines!J247*100,0)+5)/10)/100</f>
        <v>29.5</v>
      </c>
      <c r="Q247" s="6">
        <f>INT((ROUND(raw_order_lines!I247*10,0)*ROUND(raw_order_lines!J247*100,0)+5)/10)/100</f>
        <v>0</v>
      </c>
      <c r="R247" s="6">
        <f t="shared" si="9"/>
        <v>29.5</v>
      </c>
      <c r="S247" s="2" t="str">
        <f>IF(OR(ROUND(raw_order_lines!I247*10,0)&gt;ROUND(raw_order_lines!H247*10,0),ROUND(raw_order_lines!H247*10,0)&gt;ROUND(raw_order_lines!G247*10,0),ROUND(raw_order_lines!G247*10,0)&lt;=0),"数量关系异常","")</f>
        <v/>
      </c>
      <c r="T247" s="2" t="str">
        <f>IF($F247&lt;&gt;INDEX(dim_products!$D$2:$D$21,MATCH($E247,dim_products!$A$2:$A$21,0)),"单位不一致","")</f>
        <v/>
      </c>
      <c r="U247" s="2" t="str">
        <f>IF(OR(ROUND(raw_order_lines!J247*100,0)&lt;ROUND(INDEX(dim_products!$F$2:$F$21,MATCH($E247,dim_products!$A$2:$A$21,0))*100,0),ROUND(raw_order_lines!J247*100,0)&gt;ROUND(INDEX(dim_products!$G$2:$G$21,MATCH($E247,dim_products!$A$2:$A$21,0))*100,0)),"单价越界","")</f>
        <v/>
      </c>
      <c r="V247" s="2" t="str">
        <f t="shared" si="10"/>
        <v/>
      </c>
      <c r="W247" s="2" t="str">
        <f t="shared" si="11"/>
        <v>通过</v>
      </c>
    </row>
    <row r="248" spans="1:23" ht="15">
      <c r="A248" s="2" t="str">
        <f>raw_order_lines!A248</f>
        <v>SIM-20260908-C003</v>
      </c>
      <c r="B248" s="2">
        <f>raw_order_lines!B248</f>
        <v>4</v>
      </c>
      <c r="C248" s="2" t="str">
        <f>raw_order_lines!C248</f>
        <v>C003</v>
      </c>
      <c r="D248" s="3">
        <f>raw_order_lines!D248</f>
        <v>46273</v>
      </c>
      <c r="E248" s="2" t="str">
        <f>raw_order_lines!E248</f>
        <v>P008</v>
      </c>
      <c r="F248" s="2" t="str">
        <f>raw_order_lines!F248</f>
        <v>公斤</v>
      </c>
      <c r="G248" s="4">
        <f>raw_order_lines!G248</f>
        <v>8.6</v>
      </c>
      <c r="H248" s="4">
        <f>raw_order_lines!H248</f>
        <v>8.6</v>
      </c>
      <c r="I248" s="4">
        <f>raw_order_lines!I248</f>
        <v>0</v>
      </c>
      <c r="J248" s="5">
        <f>raw_order_lines!J248</f>
        <v>4.4000000000000004</v>
      </c>
      <c r="K248" s="2" t="str">
        <f>raw_order_lines!K248</f>
        <v>正常交付</v>
      </c>
      <c r="L248" s="2" t="str">
        <f>raw_order_lines!L248</f>
        <v>true</v>
      </c>
      <c r="M248" s="2" t="str">
        <f>INDEX(dim_products!$B$2:$B$21,MATCH($E248,dim_products!$A$2:$A$21,0))</f>
        <v>黄瓜</v>
      </c>
      <c r="N248" s="2" t="str">
        <f>INDEX(dim_products!$C$2:$C$21,MATCH($E248,dim_products!$A$2:$A$21,0))</f>
        <v>散装鲜菜</v>
      </c>
      <c r="O248" s="2" t="str">
        <f>INDEX(dim_customers!$B$2:$B$7,MATCH($C248,dim_customers!$A$2:$A$7,0))</f>
        <v>模拟_兴街快餐店</v>
      </c>
      <c r="P248" s="6">
        <f>INT((ROUND(raw_order_lines!H248*10,0)*ROUND(raw_order_lines!J248*100,0)+5)/10)/100</f>
        <v>37.840000000000003</v>
      </c>
      <c r="Q248" s="6">
        <f>INT((ROUND(raw_order_lines!I248*10,0)*ROUND(raw_order_lines!J248*100,0)+5)/10)/100</f>
        <v>0</v>
      </c>
      <c r="R248" s="6">
        <f t="shared" si="9"/>
        <v>37.840000000000003</v>
      </c>
      <c r="S248" s="2" t="str">
        <f>IF(OR(ROUND(raw_order_lines!I248*10,0)&gt;ROUND(raw_order_lines!H248*10,0),ROUND(raw_order_lines!H248*10,0)&gt;ROUND(raw_order_lines!G248*10,0),ROUND(raw_order_lines!G248*10,0)&lt;=0),"数量关系异常","")</f>
        <v/>
      </c>
      <c r="T248" s="2" t="str">
        <f>IF($F248&lt;&gt;INDEX(dim_products!$D$2:$D$21,MATCH($E248,dim_products!$A$2:$A$21,0)),"单位不一致","")</f>
        <v/>
      </c>
      <c r="U248" s="2" t="str">
        <f>IF(OR(ROUND(raw_order_lines!J248*100,0)&lt;ROUND(INDEX(dim_products!$F$2:$F$21,MATCH($E248,dim_products!$A$2:$A$21,0))*100,0),ROUND(raw_order_lines!J248*100,0)&gt;ROUND(INDEX(dim_products!$G$2:$G$21,MATCH($E248,dim_products!$A$2:$A$21,0))*100,0)),"单价越界","")</f>
        <v/>
      </c>
      <c r="V248" s="2" t="str">
        <f t="shared" si="10"/>
        <v/>
      </c>
      <c r="W248" s="2" t="str">
        <f t="shared" si="11"/>
        <v>通过</v>
      </c>
    </row>
    <row r="249" spans="1:23" ht="15">
      <c r="A249" s="2" t="str">
        <f>raw_order_lines!A249</f>
        <v>SIM-20260908-C003</v>
      </c>
      <c r="B249" s="2">
        <f>raw_order_lines!B249</f>
        <v>5</v>
      </c>
      <c r="C249" s="2" t="str">
        <f>raw_order_lines!C249</f>
        <v>C003</v>
      </c>
      <c r="D249" s="3">
        <f>raw_order_lines!D249</f>
        <v>46273</v>
      </c>
      <c r="E249" s="2" t="str">
        <f>raw_order_lines!E249</f>
        <v>P002</v>
      </c>
      <c r="F249" s="2" t="str">
        <f>raw_order_lines!F249</f>
        <v>公斤</v>
      </c>
      <c r="G249" s="4">
        <f>raw_order_lines!G249</f>
        <v>8.6</v>
      </c>
      <c r="H249" s="4">
        <f>raw_order_lines!H249</f>
        <v>8.6</v>
      </c>
      <c r="I249" s="4">
        <f>raw_order_lines!I249</f>
        <v>0</v>
      </c>
      <c r="J249" s="5">
        <f>raw_order_lines!J249</f>
        <v>2.7</v>
      </c>
      <c r="K249" s="2" t="str">
        <f>raw_order_lines!K249</f>
        <v>正常交付</v>
      </c>
      <c r="L249" s="2" t="str">
        <f>raw_order_lines!L249</f>
        <v>true</v>
      </c>
      <c r="M249" s="2" t="str">
        <f>INDEX(dim_products!$B$2:$B$21,MATCH($E249,dim_products!$A$2:$A$21,0))</f>
        <v>白萝卜</v>
      </c>
      <c r="N249" s="2" t="str">
        <f>INDEX(dim_products!$C$2:$C$21,MATCH($E249,dim_products!$A$2:$A$21,0))</f>
        <v>散装鲜菜</v>
      </c>
      <c r="O249" s="2" t="str">
        <f>INDEX(dim_customers!$B$2:$B$7,MATCH($C249,dim_customers!$A$2:$A$7,0))</f>
        <v>模拟_兴街快餐店</v>
      </c>
      <c r="P249" s="6">
        <f>INT((ROUND(raw_order_lines!H249*10,0)*ROUND(raw_order_lines!J249*100,0)+5)/10)/100</f>
        <v>23.22</v>
      </c>
      <c r="Q249" s="6">
        <f>INT((ROUND(raw_order_lines!I249*10,0)*ROUND(raw_order_lines!J249*100,0)+5)/10)/100</f>
        <v>0</v>
      </c>
      <c r="R249" s="6">
        <f t="shared" si="9"/>
        <v>23.22</v>
      </c>
      <c r="S249" s="2" t="str">
        <f>IF(OR(ROUND(raw_order_lines!I249*10,0)&gt;ROUND(raw_order_lines!H249*10,0),ROUND(raw_order_lines!H249*10,0)&gt;ROUND(raw_order_lines!G249*10,0),ROUND(raw_order_lines!G249*10,0)&lt;=0),"数量关系异常","")</f>
        <v/>
      </c>
      <c r="T249" s="2" t="str">
        <f>IF($F249&lt;&gt;INDEX(dim_products!$D$2:$D$21,MATCH($E249,dim_products!$A$2:$A$21,0)),"单位不一致","")</f>
        <v/>
      </c>
      <c r="U249" s="2" t="str">
        <f>IF(OR(ROUND(raw_order_lines!J249*100,0)&lt;ROUND(INDEX(dim_products!$F$2:$F$21,MATCH($E249,dim_products!$A$2:$A$21,0))*100,0),ROUND(raw_order_lines!J249*100,0)&gt;ROUND(INDEX(dim_products!$G$2:$G$21,MATCH($E249,dim_products!$A$2:$A$21,0))*100,0)),"单价越界","")</f>
        <v/>
      </c>
      <c r="V249" s="2" t="str">
        <f t="shared" si="10"/>
        <v/>
      </c>
      <c r="W249" s="2" t="str">
        <f t="shared" si="11"/>
        <v>通过</v>
      </c>
    </row>
    <row r="250" spans="1:23" ht="15">
      <c r="A250" s="2" t="str">
        <f>raw_order_lines!A250</f>
        <v>SIM-20260908-C003</v>
      </c>
      <c r="B250" s="2">
        <f>raw_order_lines!B250</f>
        <v>6</v>
      </c>
      <c r="C250" s="2" t="str">
        <f>raw_order_lines!C250</f>
        <v>C003</v>
      </c>
      <c r="D250" s="3">
        <f>raw_order_lines!D250</f>
        <v>46273</v>
      </c>
      <c r="E250" s="2" t="str">
        <f>raw_order_lines!E250</f>
        <v>P009</v>
      </c>
      <c r="F250" s="2" t="str">
        <f>raw_order_lines!F250</f>
        <v>公斤</v>
      </c>
      <c r="G250" s="4">
        <f>raw_order_lines!G250</f>
        <v>8.6</v>
      </c>
      <c r="H250" s="4">
        <f>raw_order_lines!H250</f>
        <v>8.4</v>
      </c>
      <c r="I250" s="4">
        <f>raw_order_lines!I250</f>
        <v>0</v>
      </c>
      <c r="J250" s="5">
        <f>raw_order_lines!J250</f>
        <v>5</v>
      </c>
      <c r="K250" s="2" t="str">
        <f>raw_order_lines!K250</f>
        <v>到货不足；按实际交付计费</v>
      </c>
      <c r="L250" s="2" t="str">
        <f>raw_order_lines!L250</f>
        <v>true</v>
      </c>
      <c r="M250" s="2" t="str">
        <f>INDEX(dim_products!$B$2:$B$21,MATCH($E250,dim_products!$A$2:$A$21,0))</f>
        <v>西红柿</v>
      </c>
      <c r="N250" s="2" t="str">
        <f>INDEX(dim_products!$C$2:$C$21,MATCH($E250,dim_products!$A$2:$A$21,0))</f>
        <v>散装鲜菜</v>
      </c>
      <c r="O250" s="2" t="str">
        <f>INDEX(dim_customers!$B$2:$B$7,MATCH($C250,dim_customers!$A$2:$A$7,0))</f>
        <v>模拟_兴街快餐店</v>
      </c>
      <c r="P250" s="6">
        <f>INT((ROUND(raw_order_lines!H250*10,0)*ROUND(raw_order_lines!J250*100,0)+5)/10)/100</f>
        <v>42</v>
      </c>
      <c r="Q250" s="6">
        <f>INT((ROUND(raw_order_lines!I250*10,0)*ROUND(raw_order_lines!J250*100,0)+5)/10)/100</f>
        <v>0</v>
      </c>
      <c r="R250" s="6">
        <f t="shared" si="9"/>
        <v>42</v>
      </c>
      <c r="S250" s="2" t="str">
        <f>IF(OR(ROUND(raw_order_lines!I250*10,0)&gt;ROUND(raw_order_lines!H250*10,0),ROUND(raw_order_lines!H250*10,0)&gt;ROUND(raw_order_lines!G250*10,0),ROUND(raw_order_lines!G250*10,0)&lt;=0),"数量关系异常","")</f>
        <v/>
      </c>
      <c r="T250" s="2" t="str">
        <f>IF($F250&lt;&gt;INDEX(dim_products!$D$2:$D$21,MATCH($E250,dim_products!$A$2:$A$21,0)),"单位不一致","")</f>
        <v/>
      </c>
      <c r="U250" s="2" t="str">
        <f>IF(OR(ROUND(raw_order_lines!J250*100,0)&lt;ROUND(INDEX(dim_products!$F$2:$F$21,MATCH($E250,dim_products!$A$2:$A$21,0))*100,0),ROUND(raw_order_lines!J250*100,0)&gt;ROUND(INDEX(dim_products!$G$2:$G$21,MATCH($E250,dim_products!$A$2:$A$21,0))*100,0)),"单价越界","")</f>
        <v/>
      </c>
      <c r="V250" s="2" t="str">
        <f t="shared" si="10"/>
        <v/>
      </c>
      <c r="W250" s="2" t="str">
        <f t="shared" si="11"/>
        <v>通过</v>
      </c>
    </row>
    <row r="251" spans="1:23" ht="15">
      <c r="A251" s="2" t="str">
        <f>raw_order_lines!A251</f>
        <v>SIM-20260908-C003</v>
      </c>
      <c r="B251" s="2">
        <f>raw_order_lines!B251</f>
        <v>7</v>
      </c>
      <c r="C251" s="2" t="str">
        <f>raw_order_lines!C251</f>
        <v>C003</v>
      </c>
      <c r="D251" s="3">
        <f>raw_order_lines!D251</f>
        <v>46273</v>
      </c>
      <c r="E251" s="2" t="str">
        <f>raw_order_lines!E251</f>
        <v>P016</v>
      </c>
      <c r="F251" s="2" t="str">
        <f>raw_order_lines!F251</f>
        <v>公斤</v>
      </c>
      <c r="G251" s="4">
        <f>raw_order_lines!G251</f>
        <v>6</v>
      </c>
      <c r="H251" s="4">
        <f>raw_order_lines!H251</f>
        <v>6</v>
      </c>
      <c r="I251" s="4">
        <f>raw_order_lines!I251</f>
        <v>0</v>
      </c>
      <c r="J251" s="5">
        <f>raw_order_lines!J251</f>
        <v>10.4</v>
      </c>
      <c r="K251" s="2" t="str">
        <f>raw_order_lines!K251</f>
        <v>正常交付</v>
      </c>
      <c r="L251" s="2" t="str">
        <f>raw_order_lines!L251</f>
        <v>true</v>
      </c>
      <c r="M251" s="2" t="str">
        <f>INDEX(dim_products!$B$2:$B$21,MATCH($E251,dim_products!$A$2:$A$21,0))</f>
        <v>鸡蛋</v>
      </c>
      <c r="N251" s="2" t="str">
        <f>INDEX(dim_products!$C$2:$C$21,MATCH($E251,dim_products!$A$2:$A$21,0))</f>
        <v>普通鲜鸡蛋按净重</v>
      </c>
      <c r="O251" s="2" t="str">
        <f>INDEX(dim_customers!$B$2:$B$7,MATCH($C251,dim_customers!$A$2:$A$7,0))</f>
        <v>模拟_兴街快餐店</v>
      </c>
      <c r="P251" s="6">
        <f>INT((ROUND(raw_order_lines!H251*10,0)*ROUND(raw_order_lines!J251*100,0)+5)/10)/100</f>
        <v>62.4</v>
      </c>
      <c r="Q251" s="6">
        <f>INT((ROUND(raw_order_lines!I251*10,0)*ROUND(raw_order_lines!J251*100,0)+5)/10)/100</f>
        <v>0</v>
      </c>
      <c r="R251" s="6">
        <f t="shared" si="9"/>
        <v>62.4</v>
      </c>
      <c r="S251" s="2" t="str">
        <f>IF(OR(ROUND(raw_order_lines!I251*10,0)&gt;ROUND(raw_order_lines!H251*10,0),ROUND(raw_order_lines!H251*10,0)&gt;ROUND(raw_order_lines!G251*10,0),ROUND(raw_order_lines!G251*10,0)&lt;=0),"数量关系异常","")</f>
        <v/>
      </c>
      <c r="T251" s="2" t="str">
        <f>IF($F251&lt;&gt;INDEX(dim_products!$D$2:$D$21,MATCH($E251,dim_products!$A$2:$A$21,0)),"单位不一致","")</f>
        <v/>
      </c>
      <c r="U251" s="2" t="str">
        <f>IF(OR(ROUND(raw_order_lines!J251*100,0)&lt;ROUND(INDEX(dim_products!$F$2:$F$21,MATCH($E251,dim_products!$A$2:$A$21,0))*100,0),ROUND(raw_order_lines!J251*100,0)&gt;ROUND(INDEX(dim_products!$G$2:$G$21,MATCH($E251,dim_products!$A$2:$A$21,0))*100,0)),"单价越界","")</f>
        <v/>
      </c>
      <c r="V251" s="2" t="str">
        <f t="shared" si="10"/>
        <v/>
      </c>
      <c r="W251" s="2" t="str">
        <f t="shared" si="11"/>
        <v>通过</v>
      </c>
    </row>
    <row r="252" spans="1:23" ht="15">
      <c r="A252" s="2" t="str">
        <f>raw_order_lines!A252</f>
        <v>SIM-20260908-C003</v>
      </c>
      <c r="B252" s="2">
        <f>raw_order_lines!B252</f>
        <v>8</v>
      </c>
      <c r="C252" s="2" t="str">
        <f>raw_order_lines!C252</f>
        <v>C003</v>
      </c>
      <c r="D252" s="3">
        <f>raw_order_lines!D252</f>
        <v>46273</v>
      </c>
      <c r="E252" s="2" t="str">
        <f>raw_order_lines!E252</f>
        <v>P015</v>
      </c>
      <c r="F252" s="2" t="str">
        <f>raw_order_lines!F252</f>
        <v>公斤</v>
      </c>
      <c r="G252" s="4">
        <f>raw_order_lines!G252</f>
        <v>1</v>
      </c>
      <c r="H252" s="4">
        <f>raw_order_lines!H252</f>
        <v>1</v>
      </c>
      <c r="I252" s="4">
        <f>raw_order_lines!I252</f>
        <v>0</v>
      </c>
      <c r="J252" s="5">
        <f>raw_order_lines!J252</f>
        <v>7.2</v>
      </c>
      <c r="K252" s="2" t="str">
        <f>raw_order_lines!K252</f>
        <v>正常交付</v>
      </c>
      <c r="L252" s="2" t="str">
        <f>raw_order_lines!L252</f>
        <v>true</v>
      </c>
      <c r="M252" s="2" t="str">
        <f>INDEX(dim_products!$B$2:$B$21,MATCH($E252,dim_products!$A$2:$A$21,0))</f>
        <v>小葱</v>
      </c>
      <c r="N252" s="2" t="str">
        <f>INDEX(dim_products!$C$2:$C$21,MATCH($E252,dim_products!$A$2:$A$21,0))</f>
        <v>散装鲜菜</v>
      </c>
      <c r="O252" s="2" t="str">
        <f>INDEX(dim_customers!$B$2:$B$7,MATCH($C252,dim_customers!$A$2:$A$7,0))</f>
        <v>模拟_兴街快餐店</v>
      </c>
      <c r="P252" s="6">
        <f>INT((ROUND(raw_order_lines!H252*10,0)*ROUND(raw_order_lines!J252*100,0)+5)/10)/100</f>
        <v>7.2</v>
      </c>
      <c r="Q252" s="6">
        <f>INT((ROUND(raw_order_lines!I252*10,0)*ROUND(raw_order_lines!J252*100,0)+5)/10)/100</f>
        <v>0</v>
      </c>
      <c r="R252" s="6">
        <f t="shared" si="9"/>
        <v>7.2</v>
      </c>
      <c r="S252" s="2" t="str">
        <f>IF(OR(ROUND(raw_order_lines!I252*10,0)&gt;ROUND(raw_order_lines!H252*10,0),ROUND(raw_order_lines!H252*10,0)&gt;ROUND(raw_order_lines!G252*10,0),ROUND(raw_order_lines!G252*10,0)&lt;=0),"数量关系异常","")</f>
        <v/>
      </c>
      <c r="T252" s="2" t="str">
        <f>IF($F252&lt;&gt;INDEX(dim_products!$D$2:$D$21,MATCH($E252,dim_products!$A$2:$A$21,0)),"单位不一致","")</f>
        <v/>
      </c>
      <c r="U252" s="2" t="str">
        <f>IF(OR(ROUND(raw_order_lines!J252*100,0)&lt;ROUND(INDEX(dim_products!$F$2:$F$21,MATCH($E252,dim_products!$A$2:$A$21,0))*100,0),ROUND(raw_order_lines!J252*100,0)&gt;ROUND(INDEX(dim_products!$G$2:$G$21,MATCH($E252,dim_products!$A$2:$A$21,0))*100,0)),"单价越界","")</f>
        <v/>
      </c>
      <c r="V252" s="2" t="str">
        <f t="shared" si="10"/>
        <v/>
      </c>
      <c r="W252" s="2" t="str">
        <f t="shared" si="11"/>
        <v>通过</v>
      </c>
    </row>
    <row r="253" spans="1:23" ht="15">
      <c r="A253" s="2" t="str">
        <f>raw_order_lines!A253</f>
        <v>SIM-20260908-C004</v>
      </c>
      <c r="B253" s="2">
        <f>raw_order_lines!B253</f>
        <v>1</v>
      </c>
      <c r="C253" s="2" t="str">
        <f>raw_order_lines!C253</f>
        <v>C004</v>
      </c>
      <c r="D253" s="3">
        <f>raw_order_lines!D253</f>
        <v>46273</v>
      </c>
      <c r="E253" s="2" t="str">
        <f>raw_order_lines!E253</f>
        <v>P011</v>
      </c>
      <c r="F253" s="2" t="str">
        <f>raw_order_lines!F253</f>
        <v>公斤</v>
      </c>
      <c r="G253" s="4">
        <f>raw_order_lines!G253</f>
        <v>6.4</v>
      </c>
      <c r="H253" s="4">
        <f>raw_order_lines!H253</f>
        <v>6.4</v>
      </c>
      <c r="I253" s="4">
        <f>raw_order_lines!I253</f>
        <v>0</v>
      </c>
      <c r="J253" s="5">
        <f>raw_order_lines!J253</f>
        <v>4.3</v>
      </c>
      <c r="K253" s="2" t="str">
        <f>raw_order_lines!K253</f>
        <v>正常交付</v>
      </c>
      <c r="L253" s="2" t="str">
        <f>raw_order_lines!L253</f>
        <v>true</v>
      </c>
      <c r="M253" s="2" t="str">
        <f>INDEX(dim_products!$B$2:$B$21,MATCH($E253,dim_products!$A$2:$A$21,0))</f>
        <v>红薯叶</v>
      </c>
      <c r="N253" s="2" t="str">
        <f>INDEX(dim_products!$C$2:$C$21,MATCH($E253,dim_products!$A$2:$A$21,0))</f>
        <v>散装鲜菜</v>
      </c>
      <c r="O253" s="2" t="str">
        <f>INDEX(dim_customers!$B$2:$B$7,MATCH($C253,dim_customers!$A$2:$A$7,0))</f>
        <v>模拟_田畔饭店</v>
      </c>
      <c r="P253" s="6">
        <f>INT((ROUND(raw_order_lines!H253*10,0)*ROUND(raw_order_lines!J253*100,0)+5)/10)/100</f>
        <v>27.52</v>
      </c>
      <c r="Q253" s="6">
        <f>INT((ROUND(raw_order_lines!I253*10,0)*ROUND(raw_order_lines!J253*100,0)+5)/10)/100</f>
        <v>0</v>
      </c>
      <c r="R253" s="6">
        <f t="shared" si="9"/>
        <v>27.52</v>
      </c>
      <c r="S253" s="2" t="str">
        <f>IF(OR(ROUND(raw_order_lines!I253*10,0)&gt;ROUND(raw_order_lines!H253*10,0),ROUND(raw_order_lines!H253*10,0)&gt;ROUND(raw_order_lines!G253*10,0),ROUND(raw_order_lines!G253*10,0)&lt;=0),"数量关系异常","")</f>
        <v/>
      </c>
      <c r="T253" s="2" t="str">
        <f>IF($F253&lt;&gt;INDEX(dim_products!$D$2:$D$21,MATCH($E253,dim_products!$A$2:$A$21,0)),"单位不一致","")</f>
        <v/>
      </c>
      <c r="U253" s="2" t="str">
        <f>IF(OR(ROUND(raw_order_lines!J253*100,0)&lt;ROUND(INDEX(dim_products!$F$2:$F$21,MATCH($E253,dim_products!$A$2:$A$21,0))*100,0),ROUND(raw_order_lines!J253*100,0)&gt;ROUND(INDEX(dim_products!$G$2:$G$21,MATCH($E253,dim_products!$A$2:$A$21,0))*100,0)),"单价越界","")</f>
        <v/>
      </c>
      <c r="V253" s="2" t="str">
        <f t="shared" si="10"/>
        <v/>
      </c>
      <c r="W253" s="2" t="str">
        <f t="shared" si="11"/>
        <v>通过</v>
      </c>
    </row>
    <row r="254" spans="1:23" ht="15">
      <c r="A254" s="2" t="str">
        <f>raw_order_lines!A254</f>
        <v>SIM-20260908-C004</v>
      </c>
      <c r="B254" s="2">
        <f>raw_order_lines!B254</f>
        <v>2</v>
      </c>
      <c r="C254" s="2" t="str">
        <f>raw_order_lines!C254</f>
        <v>C004</v>
      </c>
      <c r="D254" s="3">
        <f>raw_order_lines!D254</f>
        <v>46273</v>
      </c>
      <c r="E254" s="2" t="str">
        <f>raw_order_lines!E254</f>
        <v>P014</v>
      </c>
      <c r="F254" s="2" t="str">
        <f>raw_order_lines!F254</f>
        <v>公斤</v>
      </c>
      <c r="G254" s="4">
        <f>raw_order_lines!G254</f>
        <v>4.4000000000000004</v>
      </c>
      <c r="H254" s="4">
        <f>raw_order_lines!H254</f>
        <v>4.4000000000000004</v>
      </c>
      <c r="I254" s="4">
        <f>raw_order_lines!I254</f>
        <v>0</v>
      </c>
      <c r="J254" s="5">
        <f>raw_order_lines!J254</f>
        <v>5</v>
      </c>
      <c r="K254" s="2" t="str">
        <f>raw_order_lines!K254</f>
        <v>正常交付</v>
      </c>
      <c r="L254" s="2" t="str">
        <f>raw_order_lines!L254</f>
        <v>true</v>
      </c>
      <c r="M254" s="2" t="str">
        <f>INDEX(dim_products!$B$2:$B$21,MATCH($E254,dim_products!$A$2:$A$21,0))</f>
        <v>丝瓜</v>
      </c>
      <c r="N254" s="2" t="str">
        <f>INDEX(dim_products!$C$2:$C$21,MATCH($E254,dim_products!$A$2:$A$21,0))</f>
        <v>散装鲜菜</v>
      </c>
      <c r="O254" s="2" t="str">
        <f>INDEX(dim_customers!$B$2:$B$7,MATCH($C254,dim_customers!$A$2:$A$7,0))</f>
        <v>模拟_田畔饭店</v>
      </c>
      <c r="P254" s="6">
        <f>INT((ROUND(raw_order_lines!H254*10,0)*ROUND(raw_order_lines!J254*100,0)+5)/10)/100</f>
        <v>22</v>
      </c>
      <c r="Q254" s="6">
        <f>INT((ROUND(raw_order_lines!I254*10,0)*ROUND(raw_order_lines!J254*100,0)+5)/10)/100</f>
        <v>0</v>
      </c>
      <c r="R254" s="6">
        <f t="shared" si="9"/>
        <v>22</v>
      </c>
      <c r="S254" s="2" t="str">
        <f>IF(OR(ROUND(raw_order_lines!I254*10,0)&gt;ROUND(raw_order_lines!H254*10,0),ROUND(raw_order_lines!H254*10,0)&gt;ROUND(raw_order_lines!G254*10,0),ROUND(raw_order_lines!G254*10,0)&lt;=0),"数量关系异常","")</f>
        <v/>
      </c>
      <c r="T254" s="2" t="str">
        <f>IF($F254&lt;&gt;INDEX(dim_products!$D$2:$D$21,MATCH($E254,dim_products!$A$2:$A$21,0)),"单位不一致","")</f>
        <v/>
      </c>
      <c r="U254" s="2" t="str">
        <f>IF(OR(ROUND(raw_order_lines!J254*100,0)&lt;ROUND(INDEX(dim_products!$F$2:$F$21,MATCH($E254,dim_products!$A$2:$A$21,0))*100,0),ROUND(raw_order_lines!J254*100,0)&gt;ROUND(INDEX(dim_products!$G$2:$G$21,MATCH($E254,dim_products!$A$2:$A$21,0))*100,0)),"单价越界","")</f>
        <v/>
      </c>
      <c r="V254" s="2" t="str">
        <f t="shared" si="10"/>
        <v/>
      </c>
      <c r="W254" s="2" t="str">
        <f t="shared" si="11"/>
        <v>通过</v>
      </c>
    </row>
    <row r="255" spans="1:23" ht="15">
      <c r="A255" s="2" t="str">
        <f>raw_order_lines!A255</f>
        <v>SIM-20260908-C004</v>
      </c>
      <c r="B255" s="2">
        <f>raw_order_lines!B255</f>
        <v>3</v>
      </c>
      <c r="C255" s="2" t="str">
        <f>raw_order_lines!C255</f>
        <v>C004</v>
      </c>
      <c r="D255" s="3">
        <f>raw_order_lines!D255</f>
        <v>46273</v>
      </c>
      <c r="E255" s="2" t="str">
        <f>raw_order_lines!E255</f>
        <v>P001</v>
      </c>
      <c r="F255" s="2" t="str">
        <f>raw_order_lines!F255</f>
        <v>公斤</v>
      </c>
      <c r="G255" s="4">
        <f>raw_order_lines!G255</f>
        <v>5.6</v>
      </c>
      <c r="H255" s="4">
        <f>raw_order_lines!H255</f>
        <v>5.6</v>
      </c>
      <c r="I255" s="4">
        <f>raw_order_lines!I255</f>
        <v>0</v>
      </c>
      <c r="J255" s="5">
        <f>raw_order_lines!J255</f>
        <v>3.3</v>
      </c>
      <c r="K255" s="2" t="str">
        <f>raw_order_lines!K255</f>
        <v>正常交付</v>
      </c>
      <c r="L255" s="2" t="str">
        <f>raw_order_lines!L255</f>
        <v>true</v>
      </c>
      <c r="M255" s="2" t="str">
        <f>INDEX(dim_products!$B$2:$B$21,MATCH($E255,dim_products!$A$2:$A$21,0))</f>
        <v>土豆</v>
      </c>
      <c r="N255" s="2" t="str">
        <f>INDEX(dim_products!$C$2:$C$21,MATCH($E255,dim_products!$A$2:$A$21,0))</f>
        <v>散装鲜菜</v>
      </c>
      <c r="O255" s="2" t="str">
        <f>INDEX(dim_customers!$B$2:$B$7,MATCH($C255,dim_customers!$A$2:$A$7,0))</f>
        <v>模拟_田畔饭店</v>
      </c>
      <c r="P255" s="6">
        <f>INT((ROUND(raw_order_lines!H255*10,0)*ROUND(raw_order_lines!J255*100,0)+5)/10)/100</f>
        <v>18.48</v>
      </c>
      <c r="Q255" s="6">
        <f>INT((ROUND(raw_order_lines!I255*10,0)*ROUND(raw_order_lines!J255*100,0)+5)/10)/100</f>
        <v>0</v>
      </c>
      <c r="R255" s="6">
        <f t="shared" si="9"/>
        <v>18.48</v>
      </c>
      <c r="S255" s="2" t="str">
        <f>IF(OR(ROUND(raw_order_lines!I255*10,0)&gt;ROUND(raw_order_lines!H255*10,0),ROUND(raw_order_lines!H255*10,0)&gt;ROUND(raw_order_lines!G255*10,0),ROUND(raw_order_lines!G255*10,0)&lt;=0),"数量关系异常","")</f>
        <v/>
      </c>
      <c r="T255" s="2" t="str">
        <f>IF($F255&lt;&gt;INDEX(dim_products!$D$2:$D$21,MATCH($E255,dim_products!$A$2:$A$21,0)),"单位不一致","")</f>
        <v/>
      </c>
      <c r="U255" s="2" t="str">
        <f>IF(OR(ROUND(raw_order_lines!J255*100,0)&lt;ROUND(INDEX(dim_products!$F$2:$F$21,MATCH($E255,dim_products!$A$2:$A$21,0))*100,0),ROUND(raw_order_lines!J255*100,0)&gt;ROUND(INDEX(dim_products!$G$2:$G$21,MATCH($E255,dim_products!$A$2:$A$21,0))*100,0)),"单价越界","")</f>
        <v/>
      </c>
      <c r="V255" s="2" t="str">
        <f t="shared" si="10"/>
        <v/>
      </c>
      <c r="W255" s="2" t="str">
        <f t="shared" si="11"/>
        <v>通过</v>
      </c>
    </row>
    <row r="256" spans="1:23" ht="15">
      <c r="A256" s="2" t="str">
        <f>raw_order_lines!A256</f>
        <v>SIM-20260908-C004</v>
      </c>
      <c r="B256" s="2">
        <f>raw_order_lines!B256</f>
        <v>4</v>
      </c>
      <c r="C256" s="2" t="str">
        <f>raw_order_lines!C256</f>
        <v>C004</v>
      </c>
      <c r="D256" s="3">
        <f>raw_order_lines!D256</f>
        <v>46273</v>
      </c>
      <c r="E256" s="2" t="str">
        <f>raw_order_lines!E256</f>
        <v>P007</v>
      </c>
      <c r="F256" s="2" t="str">
        <f>raw_order_lines!F256</f>
        <v>公斤</v>
      </c>
      <c r="G256" s="4">
        <f>raw_order_lines!G256</f>
        <v>6.4</v>
      </c>
      <c r="H256" s="4">
        <f>raw_order_lines!H256</f>
        <v>6.4</v>
      </c>
      <c r="I256" s="4">
        <f>raw_order_lines!I256</f>
        <v>0</v>
      </c>
      <c r="J256" s="5">
        <f>raw_order_lines!J256</f>
        <v>5.45</v>
      </c>
      <c r="K256" s="2" t="str">
        <f>raw_order_lines!K256</f>
        <v>正常交付</v>
      </c>
      <c r="L256" s="2" t="str">
        <f>raw_order_lines!L256</f>
        <v>true</v>
      </c>
      <c r="M256" s="2" t="str">
        <f>INDEX(dim_products!$B$2:$B$21,MATCH($E256,dim_products!$A$2:$A$21,0))</f>
        <v>青椒</v>
      </c>
      <c r="N256" s="2" t="str">
        <f>INDEX(dim_products!$C$2:$C$21,MATCH($E256,dim_products!$A$2:$A$21,0))</f>
        <v>散装鲜菜</v>
      </c>
      <c r="O256" s="2" t="str">
        <f>INDEX(dim_customers!$B$2:$B$7,MATCH($C256,dim_customers!$A$2:$A$7,0))</f>
        <v>模拟_田畔饭店</v>
      </c>
      <c r="P256" s="6">
        <f>INT((ROUND(raw_order_lines!H256*10,0)*ROUND(raw_order_lines!J256*100,0)+5)/10)/100</f>
        <v>34.880000000000003</v>
      </c>
      <c r="Q256" s="6">
        <f>INT((ROUND(raw_order_lines!I256*10,0)*ROUND(raw_order_lines!J256*100,0)+5)/10)/100</f>
        <v>0</v>
      </c>
      <c r="R256" s="6">
        <f t="shared" si="9"/>
        <v>34.880000000000003</v>
      </c>
      <c r="S256" s="2" t="str">
        <f>IF(OR(ROUND(raw_order_lines!I256*10,0)&gt;ROUND(raw_order_lines!H256*10,0),ROUND(raw_order_lines!H256*10,0)&gt;ROUND(raw_order_lines!G256*10,0),ROUND(raw_order_lines!G256*10,0)&lt;=0),"数量关系异常","")</f>
        <v/>
      </c>
      <c r="T256" s="2" t="str">
        <f>IF($F256&lt;&gt;INDEX(dim_products!$D$2:$D$21,MATCH($E256,dim_products!$A$2:$A$21,0)),"单位不一致","")</f>
        <v/>
      </c>
      <c r="U256" s="2" t="str">
        <f>IF(OR(ROUND(raw_order_lines!J256*100,0)&lt;ROUND(INDEX(dim_products!$F$2:$F$21,MATCH($E256,dim_products!$A$2:$A$21,0))*100,0),ROUND(raw_order_lines!J256*100,0)&gt;ROUND(INDEX(dim_products!$G$2:$G$21,MATCH($E256,dim_products!$A$2:$A$21,0))*100,0)),"单价越界","")</f>
        <v/>
      </c>
      <c r="V256" s="2" t="str">
        <f t="shared" si="10"/>
        <v/>
      </c>
      <c r="W256" s="2" t="str">
        <f t="shared" si="11"/>
        <v>通过</v>
      </c>
    </row>
    <row r="257" spans="1:23" ht="15">
      <c r="A257" s="2" t="str">
        <f>raw_order_lines!A257</f>
        <v>SIM-20260908-C004</v>
      </c>
      <c r="B257" s="2">
        <f>raw_order_lines!B257</f>
        <v>5</v>
      </c>
      <c r="C257" s="2" t="str">
        <f>raw_order_lines!C257</f>
        <v>C004</v>
      </c>
      <c r="D257" s="3">
        <f>raw_order_lines!D257</f>
        <v>46273</v>
      </c>
      <c r="E257" s="2" t="str">
        <f>raw_order_lines!E257</f>
        <v>P003</v>
      </c>
      <c r="F257" s="2" t="str">
        <f>raw_order_lines!F257</f>
        <v>公斤</v>
      </c>
      <c r="G257" s="4">
        <f>raw_order_lines!G257</f>
        <v>6</v>
      </c>
      <c r="H257" s="4">
        <f>raw_order_lines!H257</f>
        <v>6</v>
      </c>
      <c r="I257" s="4">
        <f>raw_order_lines!I257</f>
        <v>0</v>
      </c>
      <c r="J257" s="5">
        <f>raw_order_lines!J257</f>
        <v>2.9</v>
      </c>
      <c r="K257" s="2" t="str">
        <f>raw_order_lines!K257</f>
        <v>正常交付</v>
      </c>
      <c r="L257" s="2" t="str">
        <f>raw_order_lines!L257</f>
        <v>true</v>
      </c>
      <c r="M257" s="2" t="str">
        <f>INDEX(dim_products!$B$2:$B$21,MATCH($E257,dim_products!$A$2:$A$21,0))</f>
        <v>包菜</v>
      </c>
      <c r="N257" s="2" t="str">
        <f>INDEX(dim_products!$C$2:$C$21,MATCH($E257,dim_products!$A$2:$A$21,0))</f>
        <v>散装鲜菜</v>
      </c>
      <c r="O257" s="2" t="str">
        <f>INDEX(dim_customers!$B$2:$B$7,MATCH($C257,dim_customers!$A$2:$A$7,0))</f>
        <v>模拟_田畔饭店</v>
      </c>
      <c r="P257" s="6">
        <f>INT((ROUND(raw_order_lines!H257*10,0)*ROUND(raw_order_lines!J257*100,0)+5)/10)/100</f>
        <v>17.399999999999999</v>
      </c>
      <c r="Q257" s="6">
        <f>INT((ROUND(raw_order_lines!I257*10,0)*ROUND(raw_order_lines!J257*100,0)+5)/10)/100</f>
        <v>0</v>
      </c>
      <c r="R257" s="6">
        <f t="shared" si="9"/>
        <v>17.399999999999999</v>
      </c>
      <c r="S257" s="2" t="str">
        <f>IF(OR(ROUND(raw_order_lines!I257*10,0)&gt;ROUND(raw_order_lines!H257*10,0),ROUND(raw_order_lines!H257*10,0)&gt;ROUND(raw_order_lines!G257*10,0),ROUND(raw_order_lines!G257*10,0)&lt;=0),"数量关系异常","")</f>
        <v/>
      </c>
      <c r="T257" s="2" t="str">
        <f>IF($F257&lt;&gt;INDEX(dim_products!$D$2:$D$21,MATCH($E257,dim_products!$A$2:$A$21,0)),"单位不一致","")</f>
        <v/>
      </c>
      <c r="U257" s="2" t="str">
        <f>IF(OR(ROUND(raw_order_lines!J257*100,0)&lt;ROUND(INDEX(dim_products!$F$2:$F$21,MATCH($E257,dim_products!$A$2:$A$21,0))*100,0),ROUND(raw_order_lines!J257*100,0)&gt;ROUND(INDEX(dim_products!$G$2:$G$21,MATCH($E257,dim_products!$A$2:$A$21,0))*100,0)),"单价越界","")</f>
        <v/>
      </c>
      <c r="V257" s="2" t="str">
        <f t="shared" si="10"/>
        <v/>
      </c>
      <c r="W257" s="2" t="str">
        <f t="shared" si="11"/>
        <v>通过</v>
      </c>
    </row>
    <row r="258" spans="1:23" ht="15">
      <c r="A258" s="2" t="str">
        <f>raw_order_lines!A258</f>
        <v>SIM-20260908-C004</v>
      </c>
      <c r="B258" s="2">
        <f>raw_order_lines!B258</f>
        <v>6</v>
      </c>
      <c r="C258" s="2" t="str">
        <f>raw_order_lines!C258</f>
        <v>C004</v>
      </c>
      <c r="D258" s="3">
        <f>raw_order_lines!D258</f>
        <v>46273</v>
      </c>
      <c r="E258" s="2" t="str">
        <f>raw_order_lines!E258</f>
        <v>P013</v>
      </c>
      <c r="F258" s="2" t="str">
        <f>raw_order_lines!F258</f>
        <v>公斤</v>
      </c>
      <c r="G258" s="4">
        <f>raw_order_lines!G258</f>
        <v>6</v>
      </c>
      <c r="H258" s="4">
        <f>raw_order_lines!H258</f>
        <v>6</v>
      </c>
      <c r="I258" s="4">
        <f>raw_order_lines!I258</f>
        <v>0</v>
      </c>
      <c r="J258" s="5">
        <f>raw_order_lines!J258</f>
        <v>6</v>
      </c>
      <c r="K258" s="2" t="str">
        <f>raw_order_lines!K258</f>
        <v>正常交付</v>
      </c>
      <c r="L258" s="2" t="str">
        <f>raw_order_lines!L258</f>
        <v>true</v>
      </c>
      <c r="M258" s="2" t="str">
        <f>INDEX(dim_products!$B$2:$B$21,MATCH($E258,dim_products!$A$2:$A$21,0))</f>
        <v>豇豆</v>
      </c>
      <c r="N258" s="2" t="str">
        <f>INDEX(dim_products!$C$2:$C$21,MATCH($E258,dim_products!$A$2:$A$21,0))</f>
        <v>散装鲜菜</v>
      </c>
      <c r="O258" s="2" t="str">
        <f>INDEX(dim_customers!$B$2:$B$7,MATCH($C258,dim_customers!$A$2:$A$7,0))</f>
        <v>模拟_田畔饭店</v>
      </c>
      <c r="P258" s="6">
        <f>INT((ROUND(raw_order_lines!H258*10,0)*ROUND(raw_order_lines!J258*100,0)+5)/10)/100</f>
        <v>36</v>
      </c>
      <c r="Q258" s="6">
        <f>INT((ROUND(raw_order_lines!I258*10,0)*ROUND(raw_order_lines!J258*100,0)+5)/10)/100</f>
        <v>0</v>
      </c>
      <c r="R258" s="6">
        <f t="shared" ref="R258:R321" si="12">$P258-$Q258</f>
        <v>36</v>
      </c>
      <c r="S258" s="2" t="str">
        <f>IF(OR(ROUND(raw_order_lines!I258*10,0)&gt;ROUND(raw_order_lines!H258*10,0),ROUND(raw_order_lines!H258*10,0)&gt;ROUND(raw_order_lines!G258*10,0),ROUND(raw_order_lines!G258*10,0)&lt;=0),"数量关系异常","")</f>
        <v/>
      </c>
      <c r="T258" s="2" t="str">
        <f>IF($F258&lt;&gt;INDEX(dim_products!$D$2:$D$21,MATCH($E258,dim_products!$A$2:$A$21,0)),"单位不一致","")</f>
        <v/>
      </c>
      <c r="U258" s="2" t="str">
        <f>IF(OR(ROUND(raw_order_lines!J258*100,0)&lt;ROUND(INDEX(dim_products!$F$2:$F$21,MATCH($E258,dim_products!$A$2:$A$21,0))*100,0),ROUND(raw_order_lines!J258*100,0)&gt;ROUND(INDEX(dim_products!$G$2:$G$21,MATCH($E258,dim_products!$A$2:$A$21,0))*100,0)),"单价越界","")</f>
        <v/>
      </c>
      <c r="V258" s="2" t="str">
        <f t="shared" ref="V258:V321" si="13">IF(COUNTIFS($A$2:$A$967,$A258,$B$2:$B$967,$B258)&gt;1,"主键重复","")</f>
        <v/>
      </c>
      <c r="W258" s="2" t="str">
        <f t="shared" ref="W258:W321" si="14">IF(COUNTIF($S258:$T258,"?*")+COUNTIF($V258:$V258,"?*")&gt;0,"阻断",IF(COUNTIF($U258:$U258,"?*")&gt;0,"提示","通过"))</f>
        <v>通过</v>
      </c>
    </row>
    <row r="259" spans="1:23" ht="15">
      <c r="A259" s="2" t="str">
        <f>raw_order_lines!A259</f>
        <v>SIM-20260908-C004</v>
      </c>
      <c r="B259" s="2">
        <f>raw_order_lines!B259</f>
        <v>7</v>
      </c>
      <c r="C259" s="2" t="str">
        <f>raw_order_lines!C259</f>
        <v>C004</v>
      </c>
      <c r="D259" s="3">
        <f>raw_order_lines!D259</f>
        <v>46273</v>
      </c>
      <c r="E259" s="2" t="str">
        <f>raw_order_lines!E259</f>
        <v>P015</v>
      </c>
      <c r="F259" s="2" t="str">
        <f>raw_order_lines!F259</f>
        <v>公斤</v>
      </c>
      <c r="G259" s="4">
        <f>raw_order_lines!G259</f>
        <v>1</v>
      </c>
      <c r="H259" s="4">
        <f>raw_order_lines!H259</f>
        <v>1</v>
      </c>
      <c r="I259" s="4">
        <f>raw_order_lines!I259</f>
        <v>0</v>
      </c>
      <c r="J259" s="5">
        <f>raw_order_lines!J259</f>
        <v>7.2</v>
      </c>
      <c r="K259" s="2" t="str">
        <f>raw_order_lines!K259</f>
        <v>正常交付</v>
      </c>
      <c r="L259" s="2" t="str">
        <f>raw_order_lines!L259</f>
        <v>true</v>
      </c>
      <c r="M259" s="2" t="str">
        <f>INDEX(dim_products!$B$2:$B$21,MATCH($E259,dim_products!$A$2:$A$21,0))</f>
        <v>小葱</v>
      </c>
      <c r="N259" s="2" t="str">
        <f>INDEX(dim_products!$C$2:$C$21,MATCH($E259,dim_products!$A$2:$A$21,0))</f>
        <v>散装鲜菜</v>
      </c>
      <c r="O259" s="2" t="str">
        <f>INDEX(dim_customers!$B$2:$B$7,MATCH($C259,dim_customers!$A$2:$A$7,0))</f>
        <v>模拟_田畔饭店</v>
      </c>
      <c r="P259" s="6">
        <f>INT((ROUND(raw_order_lines!H259*10,0)*ROUND(raw_order_lines!J259*100,0)+5)/10)/100</f>
        <v>7.2</v>
      </c>
      <c r="Q259" s="6">
        <f>INT((ROUND(raw_order_lines!I259*10,0)*ROUND(raw_order_lines!J259*100,0)+5)/10)/100</f>
        <v>0</v>
      </c>
      <c r="R259" s="6">
        <f t="shared" si="12"/>
        <v>7.2</v>
      </c>
      <c r="S259" s="2" t="str">
        <f>IF(OR(ROUND(raw_order_lines!I259*10,0)&gt;ROUND(raw_order_lines!H259*10,0),ROUND(raw_order_lines!H259*10,0)&gt;ROUND(raw_order_lines!G259*10,0),ROUND(raw_order_lines!G259*10,0)&lt;=0),"数量关系异常","")</f>
        <v/>
      </c>
      <c r="T259" s="2" t="str">
        <f>IF($F259&lt;&gt;INDEX(dim_products!$D$2:$D$21,MATCH($E259,dim_products!$A$2:$A$21,0)),"单位不一致","")</f>
        <v/>
      </c>
      <c r="U259" s="2" t="str">
        <f>IF(OR(ROUND(raw_order_lines!J259*100,0)&lt;ROUND(INDEX(dim_products!$F$2:$F$21,MATCH($E259,dim_products!$A$2:$A$21,0))*100,0),ROUND(raw_order_lines!J259*100,0)&gt;ROUND(INDEX(dim_products!$G$2:$G$21,MATCH($E259,dim_products!$A$2:$A$21,0))*100,0)),"单价越界","")</f>
        <v/>
      </c>
      <c r="V259" s="2" t="str">
        <f t="shared" si="13"/>
        <v/>
      </c>
      <c r="W259" s="2" t="str">
        <f t="shared" si="14"/>
        <v>通过</v>
      </c>
    </row>
    <row r="260" spans="1:23" ht="15">
      <c r="A260" s="2" t="str">
        <f>raw_order_lines!A260</f>
        <v>SIM-20260908-C005</v>
      </c>
      <c r="B260" s="2">
        <f>raw_order_lines!B260</f>
        <v>1</v>
      </c>
      <c r="C260" s="2" t="str">
        <f>raw_order_lines!C260</f>
        <v>C005</v>
      </c>
      <c r="D260" s="3">
        <f>raw_order_lines!D260</f>
        <v>46273</v>
      </c>
      <c r="E260" s="2" t="str">
        <f>raw_order_lines!E260</f>
        <v>P011</v>
      </c>
      <c r="F260" s="2" t="str">
        <f>raw_order_lines!F260</f>
        <v>公斤</v>
      </c>
      <c r="G260" s="4">
        <f>raw_order_lines!G260</f>
        <v>7.4</v>
      </c>
      <c r="H260" s="4">
        <f>raw_order_lines!H260</f>
        <v>7.4</v>
      </c>
      <c r="I260" s="4">
        <f>raw_order_lines!I260</f>
        <v>0</v>
      </c>
      <c r="J260" s="5">
        <f>raw_order_lines!J260</f>
        <v>4.3</v>
      </c>
      <c r="K260" s="2" t="str">
        <f>raw_order_lines!K260</f>
        <v>正常交付</v>
      </c>
      <c r="L260" s="2" t="str">
        <f>raw_order_lines!L260</f>
        <v>true</v>
      </c>
      <c r="M260" s="2" t="str">
        <f>INDEX(dim_products!$B$2:$B$21,MATCH($E260,dim_products!$A$2:$A$21,0))</f>
        <v>红薯叶</v>
      </c>
      <c r="N260" s="2" t="str">
        <f>INDEX(dim_products!$C$2:$C$21,MATCH($E260,dim_products!$A$2:$A$21,0))</f>
        <v>散装鲜菜</v>
      </c>
      <c r="O260" s="2" t="str">
        <f>INDEX(dim_customers!$B$2:$B$7,MATCH($C260,dim_customers!$A$2:$A$7,0))</f>
        <v>模拟_青禾小学食堂</v>
      </c>
      <c r="P260" s="6">
        <f>INT((ROUND(raw_order_lines!H260*10,0)*ROUND(raw_order_lines!J260*100,0)+5)/10)/100</f>
        <v>31.82</v>
      </c>
      <c r="Q260" s="6">
        <f>INT((ROUND(raw_order_lines!I260*10,0)*ROUND(raw_order_lines!J260*100,0)+5)/10)/100</f>
        <v>0</v>
      </c>
      <c r="R260" s="6">
        <f t="shared" si="12"/>
        <v>31.82</v>
      </c>
      <c r="S260" s="2" t="str">
        <f>IF(OR(ROUND(raw_order_lines!I260*10,0)&gt;ROUND(raw_order_lines!H260*10,0),ROUND(raw_order_lines!H260*10,0)&gt;ROUND(raw_order_lines!G260*10,0),ROUND(raw_order_lines!G260*10,0)&lt;=0),"数量关系异常","")</f>
        <v/>
      </c>
      <c r="T260" s="2" t="str">
        <f>IF($F260&lt;&gt;INDEX(dim_products!$D$2:$D$21,MATCH($E260,dim_products!$A$2:$A$21,0)),"单位不一致","")</f>
        <v/>
      </c>
      <c r="U260" s="2" t="str">
        <f>IF(OR(ROUND(raw_order_lines!J260*100,0)&lt;ROUND(INDEX(dim_products!$F$2:$F$21,MATCH($E260,dim_products!$A$2:$A$21,0))*100,0),ROUND(raw_order_lines!J260*100,0)&gt;ROUND(INDEX(dim_products!$G$2:$G$21,MATCH($E260,dim_products!$A$2:$A$21,0))*100,0)),"单价越界","")</f>
        <v/>
      </c>
      <c r="V260" s="2" t="str">
        <f t="shared" si="13"/>
        <v/>
      </c>
      <c r="W260" s="2" t="str">
        <f t="shared" si="14"/>
        <v>通过</v>
      </c>
    </row>
    <row r="261" spans="1:23" ht="15">
      <c r="A261" s="2" t="str">
        <f>raw_order_lines!A261</f>
        <v>SIM-20260908-C005</v>
      </c>
      <c r="B261" s="2">
        <f>raw_order_lines!B261</f>
        <v>2</v>
      </c>
      <c r="C261" s="2" t="str">
        <f>raw_order_lines!C261</f>
        <v>C005</v>
      </c>
      <c r="D261" s="3">
        <f>raw_order_lines!D261</f>
        <v>46273</v>
      </c>
      <c r="E261" s="2" t="str">
        <f>raw_order_lines!E261</f>
        <v>P001</v>
      </c>
      <c r="F261" s="2" t="str">
        <f>raw_order_lines!F261</f>
        <v>公斤</v>
      </c>
      <c r="G261" s="4">
        <f>raw_order_lines!G261</f>
        <v>6.5</v>
      </c>
      <c r="H261" s="4">
        <f>raw_order_lines!H261</f>
        <v>6.5</v>
      </c>
      <c r="I261" s="4">
        <f>raw_order_lines!I261</f>
        <v>0</v>
      </c>
      <c r="J261" s="5">
        <f>raw_order_lines!J261</f>
        <v>3.3</v>
      </c>
      <c r="K261" s="2" t="str">
        <f>raw_order_lines!K261</f>
        <v>正常交付</v>
      </c>
      <c r="L261" s="2" t="str">
        <f>raw_order_lines!L261</f>
        <v>true</v>
      </c>
      <c r="M261" s="2" t="str">
        <f>INDEX(dim_products!$B$2:$B$21,MATCH($E261,dim_products!$A$2:$A$21,0))</f>
        <v>土豆</v>
      </c>
      <c r="N261" s="2" t="str">
        <f>INDEX(dim_products!$C$2:$C$21,MATCH($E261,dim_products!$A$2:$A$21,0))</f>
        <v>散装鲜菜</v>
      </c>
      <c r="O261" s="2" t="str">
        <f>INDEX(dim_customers!$B$2:$B$7,MATCH($C261,dim_customers!$A$2:$A$7,0))</f>
        <v>模拟_青禾小学食堂</v>
      </c>
      <c r="P261" s="6">
        <f>INT((ROUND(raw_order_lines!H261*10,0)*ROUND(raw_order_lines!J261*100,0)+5)/10)/100</f>
        <v>21.45</v>
      </c>
      <c r="Q261" s="6">
        <f>INT((ROUND(raw_order_lines!I261*10,0)*ROUND(raw_order_lines!J261*100,0)+5)/10)/100</f>
        <v>0</v>
      </c>
      <c r="R261" s="6">
        <f t="shared" si="12"/>
        <v>21.45</v>
      </c>
      <c r="S261" s="2" t="str">
        <f>IF(OR(ROUND(raw_order_lines!I261*10,0)&gt;ROUND(raw_order_lines!H261*10,0),ROUND(raw_order_lines!H261*10,0)&gt;ROUND(raw_order_lines!G261*10,0),ROUND(raw_order_lines!G261*10,0)&lt;=0),"数量关系异常","")</f>
        <v/>
      </c>
      <c r="T261" s="2" t="str">
        <f>IF($F261&lt;&gt;INDEX(dim_products!$D$2:$D$21,MATCH($E261,dim_products!$A$2:$A$21,0)),"单位不一致","")</f>
        <v/>
      </c>
      <c r="U261" s="2" t="str">
        <f>IF(OR(ROUND(raw_order_lines!J261*100,0)&lt;ROUND(INDEX(dim_products!$F$2:$F$21,MATCH($E261,dim_products!$A$2:$A$21,0))*100,0),ROUND(raw_order_lines!J261*100,0)&gt;ROUND(INDEX(dim_products!$G$2:$G$21,MATCH($E261,dim_products!$A$2:$A$21,0))*100,0)),"单价越界","")</f>
        <v/>
      </c>
      <c r="V261" s="2" t="str">
        <f t="shared" si="13"/>
        <v/>
      </c>
      <c r="W261" s="2" t="str">
        <f t="shared" si="14"/>
        <v>通过</v>
      </c>
    </row>
    <row r="262" spans="1:23" ht="15">
      <c r="A262" s="2" t="str">
        <f>raw_order_lines!A262</f>
        <v>SIM-20260908-C005</v>
      </c>
      <c r="B262" s="2">
        <f>raw_order_lines!B262</f>
        <v>3</v>
      </c>
      <c r="C262" s="2" t="str">
        <f>raw_order_lines!C262</f>
        <v>C005</v>
      </c>
      <c r="D262" s="3">
        <f>raw_order_lines!D262</f>
        <v>46273</v>
      </c>
      <c r="E262" s="2" t="str">
        <f>raw_order_lines!E262</f>
        <v>P002</v>
      </c>
      <c r="F262" s="2" t="str">
        <f>raw_order_lines!F262</f>
        <v>公斤</v>
      </c>
      <c r="G262" s="4">
        <f>raw_order_lines!G262</f>
        <v>6.5</v>
      </c>
      <c r="H262" s="4">
        <f>raw_order_lines!H262</f>
        <v>6.2</v>
      </c>
      <c r="I262" s="4">
        <f>raw_order_lines!I262</f>
        <v>0</v>
      </c>
      <c r="J262" s="5">
        <f>raw_order_lines!J262</f>
        <v>2.7</v>
      </c>
      <c r="K262" s="2" t="str">
        <f>raw_order_lines!K262</f>
        <v>到货不足；按实际交付计费</v>
      </c>
      <c r="L262" s="2" t="str">
        <f>raw_order_lines!L262</f>
        <v>true</v>
      </c>
      <c r="M262" s="2" t="str">
        <f>INDEX(dim_products!$B$2:$B$21,MATCH($E262,dim_products!$A$2:$A$21,0))</f>
        <v>白萝卜</v>
      </c>
      <c r="N262" s="2" t="str">
        <f>INDEX(dim_products!$C$2:$C$21,MATCH($E262,dim_products!$A$2:$A$21,0))</f>
        <v>散装鲜菜</v>
      </c>
      <c r="O262" s="2" t="str">
        <f>INDEX(dim_customers!$B$2:$B$7,MATCH($C262,dim_customers!$A$2:$A$7,0))</f>
        <v>模拟_青禾小学食堂</v>
      </c>
      <c r="P262" s="6">
        <f>INT((ROUND(raw_order_lines!H262*10,0)*ROUND(raw_order_lines!J262*100,0)+5)/10)/100</f>
        <v>16.739999999999998</v>
      </c>
      <c r="Q262" s="6">
        <f>INT((ROUND(raw_order_lines!I262*10,0)*ROUND(raw_order_lines!J262*100,0)+5)/10)/100</f>
        <v>0</v>
      </c>
      <c r="R262" s="6">
        <f t="shared" si="12"/>
        <v>16.739999999999998</v>
      </c>
      <c r="S262" s="2" t="str">
        <f>IF(OR(ROUND(raw_order_lines!I262*10,0)&gt;ROUND(raw_order_lines!H262*10,0),ROUND(raw_order_lines!H262*10,0)&gt;ROUND(raw_order_lines!G262*10,0),ROUND(raw_order_lines!G262*10,0)&lt;=0),"数量关系异常","")</f>
        <v/>
      </c>
      <c r="T262" s="2" t="str">
        <f>IF($F262&lt;&gt;INDEX(dim_products!$D$2:$D$21,MATCH($E262,dim_products!$A$2:$A$21,0)),"单位不一致","")</f>
        <v/>
      </c>
      <c r="U262" s="2" t="str">
        <f>IF(OR(ROUND(raw_order_lines!J262*100,0)&lt;ROUND(INDEX(dim_products!$F$2:$F$21,MATCH($E262,dim_products!$A$2:$A$21,0))*100,0),ROUND(raw_order_lines!J262*100,0)&gt;ROUND(INDEX(dim_products!$G$2:$G$21,MATCH($E262,dim_products!$A$2:$A$21,0))*100,0)),"单价越界","")</f>
        <v/>
      </c>
      <c r="V262" s="2" t="str">
        <f t="shared" si="13"/>
        <v/>
      </c>
      <c r="W262" s="2" t="str">
        <f t="shared" si="14"/>
        <v>通过</v>
      </c>
    </row>
    <row r="263" spans="1:23" ht="15">
      <c r="A263" s="2" t="str">
        <f>raw_order_lines!A263</f>
        <v>SIM-20260908-C005</v>
      </c>
      <c r="B263" s="2">
        <f>raw_order_lines!B263</f>
        <v>4</v>
      </c>
      <c r="C263" s="2" t="str">
        <f>raw_order_lines!C263</f>
        <v>C005</v>
      </c>
      <c r="D263" s="3">
        <f>raw_order_lines!D263</f>
        <v>46273</v>
      </c>
      <c r="E263" s="2" t="str">
        <f>raw_order_lines!E263</f>
        <v>P003</v>
      </c>
      <c r="F263" s="2" t="str">
        <f>raw_order_lines!F263</f>
        <v>公斤</v>
      </c>
      <c r="G263" s="4">
        <f>raw_order_lines!G263</f>
        <v>14.9</v>
      </c>
      <c r="H263" s="4">
        <f>raw_order_lines!H263</f>
        <v>14.9</v>
      </c>
      <c r="I263" s="4">
        <f>raw_order_lines!I263</f>
        <v>0</v>
      </c>
      <c r="J263" s="5">
        <f>raw_order_lines!J263</f>
        <v>2.9</v>
      </c>
      <c r="K263" s="2" t="str">
        <f>raw_order_lines!K263</f>
        <v>正常交付</v>
      </c>
      <c r="L263" s="2" t="str">
        <f>raw_order_lines!L263</f>
        <v>true</v>
      </c>
      <c r="M263" s="2" t="str">
        <f>INDEX(dim_products!$B$2:$B$21,MATCH($E263,dim_products!$A$2:$A$21,0))</f>
        <v>包菜</v>
      </c>
      <c r="N263" s="2" t="str">
        <f>INDEX(dim_products!$C$2:$C$21,MATCH($E263,dim_products!$A$2:$A$21,0))</f>
        <v>散装鲜菜</v>
      </c>
      <c r="O263" s="2" t="str">
        <f>INDEX(dim_customers!$B$2:$B$7,MATCH($C263,dim_customers!$A$2:$A$7,0))</f>
        <v>模拟_青禾小学食堂</v>
      </c>
      <c r="P263" s="6">
        <f>INT((ROUND(raw_order_lines!H263*10,0)*ROUND(raw_order_lines!J263*100,0)+5)/10)/100</f>
        <v>43.21</v>
      </c>
      <c r="Q263" s="6">
        <f>INT((ROUND(raw_order_lines!I263*10,0)*ROUND(raw_order_lines!J263*100,0)+5)/10)/100</f>
        <v>0</v>
      </c>
      <c r="R263" s="6">
        <f t="shared" si="12"/>
        <v>43.21</v>
      </c>
      <c r="S263" s="2" t="str">
        <f>IF(OR(ROUND(raw_order_lines!I263*10,0)&gt;ROUND(raw_order_lines!H263*10,0),ROUND(raw_order_lines!H263*10,0)&gt;ROUND(raw_order_lines!G263*10,0),ROUND(raw_order_lines!G263*10,0)&lt;=0),"数量关系异常","")</f>
        <v/>
      </c>
      <c r="T263" s="2" t="str">
        <f>IF($F263&lt;&gt;INDEX(dim_products!$D$2:$D$21,MATCH($E263,dim_products!$A$2:$A$21,0)),"单位不一致","")</f>
        <v/>
      </c>
      <c r="U263" s="2" t="str">
        <f>IF(OR(ROUND(raw_order_lines!J263*100,0)&lt;ROUND(INDEX(dim_products!$F$2:$F$21,MATCH($E263,dim_products!$A$2:$A$21,0))*100,0),ROUND(raw_order_lines!J263*100,0)&gt;ROUND(INDEX(dim_products!$G$2:$G$21,MATCH($E263,dim_products!$A$2:$A$21,0))*100,0)),"单价越界","")</f>
        <v/>
      </c>
      <c r="V263" s="2" t="str">
        <f t="shared" si="13"/>
        <v/>
      </c>
      <c r="W263" s="2" t="str">
        <f t="shared" si="14"/>
        <v>通过</v>
      </c>
    </row>
    <row r="264" spans="1:23" ht="15">
      <c r="A264" s="2" t="str">
        <f>raw_order_lines!A264</f>
        <v>SIM-20260908-C005</v>
      </c>
      <c r="B264" s="2">
        <f>raw_order_lines!B264</f>
        <v>5</v>
      </c>
      <c r="C264" s="2" t="str">
        <f>raw_order_lines!C264</f>
        <v>C005</v>
      </c>
      <c r="D264" s="3">
        <f>raw_order_lines!D264</f>
        <v>46273</v>
      </c>
      <c r="E264" s="2" t="str">
        <f>raw_order_lines!E264</f>
        <v>P009</v>
      </c>
      <c r="F264" s="2" t="str">
        <f>raw_order_lines!F264</f>
        <v>公斤</v>
      </c>
      <c r="G264" s="4">
        <f>raw_order_lines!G264</f>
        <v>10.199999999999999</v>
      </c>
      <c r="H264" s="4">
        <f>raw_order_lines!H264</f>
        <v>10.199999999999999</v>
      </c>
      <c r="I264" s="4">
        <f>raw_order_lines!I264</f>
        <v>0</v>
      </c>
      <c r="J264" s="5">
        <f>raw_order_lines!J264</f>
        <v>5</v>
      </c>
      <c r="K264" s="2" t="str">
        <f>raw_order_lines!K264</f>
        <v>正常交付</v>
      </c>
      <c r="L264" s="2" t="str">
        <f>raw_order_lines!L264</f>
        <v>true</v>
      </c>
      <c r="M264" s="2" t="str">
        <f>INDEX(dim_products!$B$2:$B$21,MATCH($E264,dim_products!$A$2:$A$21,0))</f>
        <v>西红柿</v>
      </c>
      <c r="N264" s="2" t="str">
        <f>INDEX(dim_products!$C$2:$C$21,MATCH($E264,dim_products!$A$2:$A$21,0))</f>
        <v>散装鲜菜</v>
      </c>
      <c r="O264" s="2" t="str">
        <f>INDEX(dim_customers!$B$2:$B$7,MATCH($C264,dim_customers!$A$2:$A$7,0))</f>
        <v>模拟_青禾小学食堂</v>
      </c>
      <c r="P264" s="6">
        <f>INT((ROUND(raw_order_lines!H264*10,0)*ROUND(raw_order_lines!J264*100,0)+5)/10)/100</f>
        <v>51</v>
      </c>
      <c r="Q264" s="6">
        <f>INT((ROUND(raw_order_lines!I264*10,0)*ROUND(raw_order_lines!J264*100,0)+5)/10)/100</f>
        <v>0</v>
      </c>
      <c r="R264" s="6">
        <f t="shared" si="12"/>
        <v>51</v>
      </c>
      <c r="S264" s="2" t="str">
        <f>IF(OR(ROUND(raw_order_lines!I264*10,0)&gt;ROUND(raw_order_lines!H264*10,0),ROUND(raw_order_lines!H264*10,0)&gt;ROUND(raw_order_lines!G264*10,0),ROUND(raw_order_lines!G264*10,0)&lt;=0),"数量关系异常","")</f>
        <v/>
      </c>
      <c r="T264" s="2" t="str">
        <f>IF($F264&lt;&gt;INDEX(dim_products!$D$2:$D$21,MATCH($E264,dim_products!$A$2:$A$21,0)),"单位不一致","")</f>
        <v/>
      </c>
      <c r="U264" s="2" t="str">
        <f>IF(OR(ROUND(raw_order_lines!J264*100,0)&lt;ROUND(INDEX(dim_products!$F$2:$F$21,MATCH($E264,dim_products!$A$2:$A$21,0))*100,0),ROUND(raw_order_lines!J264*100,0)&gt;ROUND(INDEX(dim_products!$G$2:$G$21,MATCH($E264,dim_products!$A$2:$A$21,0))*100,0)),"单价越界","")</f>
        <v/>
      </c>
      <c r="V264" s="2" t="str">
        <f t="shared" si="13"/>
        <v/>
      </c>
      <c r="W264" s="2" t="str">
        <f t="shared" si="14"/>
        <v>通过</v>
      </c>
    </row>
    <row r="265" spans="1:23" ht="15">
      <c r="A265" s="2" t="str">
        <f>raw_order_lines!A265</f>
        <v>SIM-20260908-C005</v>
      </c>
      <c r="B265" s="2">
        <f>raw_order_lines!B265</f>
        <v>6</v>
      </c>
      <c r="C265" s="2" t="str">
        <f>raw_order_lines!C265</f>
        <v>C005</v>
      </c>
      <c r="D265" s="3">
        <f>raw_order_lines!D265</f>
        <v>46273</v>
      </c>
      <c r="E265" s="2" t="str">
        <f>raw_order_lines!E265</f>
        <v>P013</v>
      </c>
      <c r="F265" s="2" t="str">
        <f>raw_order_lines!F265</f>
        <v>公斤</v>
      </c>
      <c r="G265" s="4">
        <f>raw_order_lines!G265</f>
        <v>10.199999999999999</v>
      </c>
      <c r="H265" s="4">
        <f>raw_order_lines!H265</f>
        <v>10.199999999999999</v>
      </c>
      <c r="I265" s="4">
        <f>raw_order_lines!I265</f>
        <v>0</v>
      </c>
      <c r="J265" s="5">
        <f>raw_order_lines!J265</f>
        <v>6</v>
      </c>
      <c r="K265" s="2" t="str">
        <f>raw_order_lines!K265</f>
        <v>正常交付</v>
      </c>
      <c r="L265" s="2" t="str">
        <f>raw_order_lines!L265</f>
        <v>true</v>
      </c>
      <c r="M265" s="2" t="str">
        <f>INDEX(dim_products!$B$2:$B$21,MATCH($E265,dim_products!$A$2:$A$21,0))</f>
        <v>豇豆</v>
      </c>
      <c r="N265" s="2" t="str">
        <f>INDEX(dim_products!$C$2:$C$21,MATCH($E265,dim_products!$A$2:$A$21,0))</f>
        <v>散装鲜菜</v>
      </c>
      <c r="O265" s="2" t="str">
        <f>INDEX(dim_customers!$B$2:$B$7,MATCH($C265,dim_customers!$A$2:$A$7,0))</f>
        <v>模拟_青禾小学食堂</v>
      </c>
      <c r="P265" s="6">
        <f>INT((ROUND(raw_order_lines!H265*10,0)*ROUND(raw_order_lines!J265*100,0)+5)/10)/100</f>
        <v>61.2</v>
      </c>
      <c r="Q265" s="6">
        <f>INT((ROUND(raw_order_lines!I265*10,0)*ROUND(raw_order_lines!J265*100,0)+5)/10)/100</f>
        <v>0</v>
      </c>
      <c r="R265" s="6">
        <f t="shared" si="12"/>
        <v>61.2</v>
      </c>
      <c r="S265" s="2" t="str">
        <f>IF(OR(ROUND(raw_order_lines!I265*10,0)&gt;ROUND(raw_order_lines!H265*10,0),ROUND(raw_order_lines!H265*10,0)&gt;ROUND(raw_order_lines!G265*10,0),ROUND(raw_order_lines!G265*10,0)&lt;=0),"数量关系异常","")</f>
        <v/>
      </c>
      <c r="T265" s="2" t="str">
        <f>IF($F265&lt;&gt;INDEX(dim_products!$D$2:$D$21,MATCH($E265,dim_products!$A$2:$A$21,0)),"单位不一致","")</f>
        <v/>
      </c>
      <c r="U265" s="2" t="str">
        <f>IF(OR(ROUND(raw_order_lines!J265*100,0)&lt;ROUND(INDEX(dim_products!$F$2:$F$21,MATCH($E265,dim_products!$A$2:$A$21,0))*100,0),ROUND(raw_order_lines!J265*100,0)&gt;ROUND(INDEX(dim_products!$G$2:$G$21,MATCH($E265,dim_products!$A$2:$A$21,0))*100,0)),"单价越界","")</f>
        <v/>
      </c>
      <c r="V265" s="2" t="str">
        <f t="shared" si="13"/>
        <v/>
      </c>
      <c r="W265" s="2" t="str">
        <f t="shared" si="14"/>
        <v>通过</v>
      </c>
    </row>
    <row r="266" spans="1:23" ht="15">
      <c r="A266" s="2" t="str">
        <f>raw_order_lines!A266</f>
        <v>SIM-20260908-C005</v>
      </c>
      <c r="B266" s="2">
        <f>raw_order_lines!B266</f>
        <v>7</v>
      </c>
      <c r="C266" s="2" t="str">
        <f>raw_order_lines!C266</f>
        <v>C005</v>
      </c>
      <c r="D266" s="3">
        <f>raw_order_lines!D266</f>
        <v>46273</v>
      </c>
      <c r="E266" s="2" t="str">
        <f>raw_order_lines!E266</f>
        <v>P017</v>
      </c>
      <c r="F266" s="2" t="str">
        <f>raw_order_lines!F266</f>
        <v>袋</v>
      </c>
      <c r="G266" s="4">
        <f>raw_order_lines!G266</f>
        <v>6</v>
      </c>
      <c r="H266" s="4">
        <f>raw_order_lines!H266</f>
        <v>6</v>
      </c>
      <c r="I266" s="4">
        <f>raw_order_lines!I266</f>
        <v>0</v>
      </c>
      <c r="J266" s="5">
        <f>raw_order_lines!J266</f>
        <v>116</v>
      </c>
      <c r="K266" s="2" t="str">
        <f>raw_order_lines!K266</f>
        <v>正常交付</v>
      </c>
      <c r="L266" s="2" t="str">
        <f>raw_order_lines!L266</f>
        <v>true</v>
      </c>
      <c r="M266" s="2" t="str">
        <f>INDEX(dim_products!$B$2:$B$21,MATCH($E266,dim_products!$A$2:$A$21,0))</f>
        <v>籼米</v>
      </c>
      <c r="N266" s="2" t="str">
        <f>INDEX(dim_products!$C$2:$C$21,MATCH($E266,dim_products!$A$2:$A$21,0))</f>
        <v>25公斤/袋普通籼米</v>
      </c>
      <c r="O266" s="2" t="str">
        <f>INDEX(dim_customers!$B$2:$B$7,MATCH($C266,dim_customers!$A$2:$A$7,0))</f>
        <v>模拟_青禾小学食堂</v>
      </c>
      <c r="P266" s="6">
        <f>INT((ROUND(raw_order_lines!H266*10,0)*ROUND(raw_order_lines!J266*100,0)+5)/10)/100</f>
        <v>696</v>
      </c>
      <c r="Q266" s="6">
        <f>INT((ROUND(raw_order_lines!I266*10,0)*ROUND(raw_order_lines!J266*100,0)+5)/10)/100</f>
        <v>0</v>
      </c>
      <c r="R266" s="6">
        <f t="shared" si="12"/>
        <v>696</v>
      </c>
      <c r="S266" s="2" t="str">
        <f>IF(OR(ROUND(raw_order_lines!I266*10,0)&gt;ROUND(raw_order_lines!H266*10,0),ROUND(raw_order_lines!H266*10,0)&gt;ROUND(raw_order_lines!G266*10,0),ROUND(raw_order_lines!G266*10,0)&lt;=0),"数量关系异常","")</f>
        <v/>
      </c>
      <c r="T266" s="2" t="str">
        <f>IF($F266&lt;&gt;INDEX(dim_products!$D$2:$D$21,MATCH($E266,dim_products!$A$2:$A$21,0)),"单位不一致","")</f>
        <v/>
      </c>
      <c r="U266" s="2" t="str">
        <f>IF(OR(ROUND(raw_order_lines!J266*100,0)&lt;ROUND(INDEX(dim_products!$F$2:$F$21,MATCH($E266,dim_products!$A$2:$A$21,0))*100,0),ROUND(raw_order_lines!J266*100,0)&gt;ROUND(INDEX(dim_products!$G$2:$G$21,MATCH($E266,dim_products!$A$2:$A$21,0))*100,0)),"单价越界","")</f>
        <v/>
      </c>
      <c r="V266" s="2" t="str">
        <f t="shared" si="13"/>
        <v/>
      </c>
      <c r="W266" s="2" t="str">
        <f t="shared" si="14"/>
        <v>通过</v>
      </c>
    </row>
    <row r="267" spans="1:23" ht="15">
      <c r="A267" s="2" t="str">
        <f>raw_order_lines!A267</f>
        <v>SIM-20260908-C005</v>
      </c>
      <c r="B267" s="2">
        <f>raw_order_lines!B267</f>
        <v>8</v>
      </c>
      <c r="C267" s="2" t="str">
        <f>raw_order_lines!C267</f>
        <v>C005</v>
      </c>
      <c r="D267" s="3">
        <f>raw_order_lines!D267</f>
        <v>46273</v>
      </c>
      <c r="E267" s="2" t="str">
        <f>raw_order_lines!E267</f>
        <v>P020</v>
      </c>
      <c r="F267" s="2" t="str">
        <f>raw_order_lines!F267</f>
        <v>桶</v>
      </c>
      <c r="G267" s="4">
        <f>raw_order_lines!G267</f>
        <v>2</v>
      </c>
      <c r="H267" s="4">
        <f>raw_order_lines!H267</f>
        <v>2</v>
      </c>
      <c r="I267" s="4">
        <f>raw_order_lines!I267</f>
        <v>0</v>
      </c>
      <c r="J267" s="5">
        <f>raw_order_lines!J267</f>
        <v>59</v>
      </c>
      <c r="K267" s="2" t="str">
        <f>raw_order_lines!K267</f>
        <v>正常交付</v>
      </c>
      <c r="L267" s="2" t="str">
        <f>raw_order_lines!L267</f>
        <v>true</v>
      </c>
      <c r="M267" s="2" t="str">
        <f>INDEX(dim_products!$B$2:$B$21,MATCH($E267,dim_products!$A$2:$A$21,0))</f>
        <v>大豆油</v>
      </c>
      <c r="N267" s="2" t="str">
        <f>INDEX(dim_products!$C$2:$C$21,MATCH($E267,dim_products!$A$2:$A$21,0))</f>
        <v>5升/桶普通大豆油</v>
      </c>
      <c r="O267" s="2" t="str">
        <f>INDEX(dim_customers!$B$2:$B$7,MATCH($C267,dim_customers!$A$2:$A$7,0))</f>
        <v>模拟_青禾小学食堂</v>
      </c>
      <c r="P267" s="6">
        <f>INT((ROUND(raw_order_lines!H267*10,0)*ROUND(raw_order_lines!J267*100,0)+5)/10)/100</f>
        <v>118</v>
      </c>
      <c r="Q267" s="6">
        <f>INT((ROUND(raw_order_lines!I267*10,0)*ROUND(raw_order_lines!J267*100,0)+5)/10)/100</f>
        <v>0</v>
      </c>
      <c r="R267" s="6">
        <f t="shared" si="12"/>
        <v>118</v>
      </c>
      <c r="S267" s="2" t="str">
        <f>IF(OR(ROUND(raw_order_lines!I267*10,0)&gt;ROUND(raw_order_lines!H267*10,0),ROUND(raw_order_lines!H267*10,0)&gt;ROUND(raw_order_lines!G267*10,0),ROUND(raw_order_lines!G267*10,0)&lt;=0),"数量关系异常","")</f>
        <v/>
      </c>
      <c r="T267" s="2" t="str">
        <f>IF($F267&lt;&gt;INDEX(dim_products!$D$2:$D$21,MATCH($E267,dim_products!$A$2:$A$21,0)),"单位不一致","")</f>
        <v/>
      </c>
      <c r="U267" s="2" t="str">
        <f>IF(OR(ROUND(raw_order_lines!J267*100,0)&lt;ROUND(INDEX(dim_products!$F$2:$F$21,MATCH($E267,dim_products!$A$2:$A$21,0))*100,0),ROUND(raw_order_lines!J267*100,0)&gt;ROUND(INDEX(dim_products!$G$2:$G$21,MATCH($E267,dim_products!$A$2:$A$21,0))*100,0)),"单价越界","")</f>
        <v/>
      </c>
      <c r="V267" s="2" t="str">
        <f t="shared" si="13"/>
        <v/>
      </c>
      <c r="W267" s="2" t="str">
        <f t="shared" si="14"/>
        <v>通过</v>
      </c>
    </row>
    <row r="268" spans="1:23" ht="15">
      <c r="A268" s="2" t="str">
        <f>raw_order_lines!A268</f>
        <v>SIM-20260908-C006</v>
      </c>
      <c r="B268" s="2">
        <f>raw_order_lines!B268</f>
        <v>1</v>
      </c>
      <c r="C268" s="2" t="str">
        <f>raw_order_lines!C268</f>
        <v>C006</v>
      </c>
      <c r="D268" s="3">
        <f>raw_order_lines!D268</f>
        <v>46273</v>
      </c>
      <c r="E268" s="2" t="str">
        <f>raw_order_lines!E268</f>
        <v>P010</v>
      </c>
      <c r="F268" s="2" t="str">
        <f>raw_order_lines!F268</f>
        <v>公斤</v>
      </c>
      <c r="G268" s="4">
        <f>raw_order_lines!G268</f>
        <v>10.1</v>
      </c>
      <c r="H268" s="4">
        <f>raw_order_lines!H268</f>
        <v>10.1</v>
      </c>
      <c r="I268" s="4">
        <f>raw_order_lines!I268</f>
        <v>0.5</v>
      </c>
      <c r="J268" s="5">
        <f>raw_order_lines!J268</f>
        <v>5</v>
      </c>
      <c r="K268" s="2" t="str">
        <f>raw_order_lines!K268</f>
        <v>正常交付；签收时挑出黄叶退回</v>
      </c>
      <c r="L268" s="2" t="str">
        <f>raw_order_lines!L268</f>
        <v>true</v>
      </c>
      <c r="M268" s="2" t="str">
        <f>INDEX(dim_products!$B$2:$B$21,MATCH($E268,dim_products!$A$2:$A$21,0))</f>
        <v>空心菜</v>
      </c>
      <c r="N268" s="2" t="str">
        <f>INDEX(dim_products!$C$2:$C$21,MATCH($E268,dim_products!$A$2:$A$21,0))</f>
        <v>散装鲜菜</v>
      </c>
      <c r="O268" s="2" t="str">
        <f>INDEX(dim_customers!$B$2:$B$7,MATCH($C268,dim_customers!$A$2:$A$7,0))</f>
        <v>模拟_溪桥医院食堂</v>
      </c>
      <c r="P268" s="6">
        <f>INT((ROUND(raw_order_lines!H268*10,0)*ROUND(raw_order_lines!J268*100,0)+5)/10)/100</f>
        <v>50.5</v>
      </c>
      <c r="Q268" s="6">
        <f>INT((ROUND(raw_order_lines!I268*10,0)*ROUND(raw_order_lines!J268*100,0)+5)/10)/100</f>
        <v>2.5</v>
      </c>
      <c r="R268" s="6">
        <f t="shared" si="12"/>
        <v>48</v>
      </c>
      <c r="S268" s="2" t="str">
        <f>IF(OR(ROUND(raw_order_lines!I268*10,0)&gt;ROUND(raw_order_lines!H268*10,0),ROUND(raw_order_lines!H268*10,0)&gt;ROUND(raw_order_lines!G268*10,0),ROUND(raw_order_lines!G268*10,0)&lt;=0),"数量关系异常","")</f>
        <v/>
      </c>
      <c r="T268" s="2" t="str">
        <f>IF($F268&lt;&gt;INDEX(dim_products!$D$2:$D$21,MATCH($E268,dim_products!$A$2:$A$21,0)),"单位不一致","")</f>
        <v/>
      </c>
      <c r="U268" s="2" t="str">
        <f>IF(OR(ROUND(raw_order_lines!J268*100,0)&lt;ROUND(INDEX(dim_products!$F$2:$F$21,MATCH($E268,dim_products!$A$2:$A$21,0))*100,0),ROUND(raw_order_lines!J268*100,0)&gt;ROUND(INDEX(dim_products!$G$2:$G$21,MATCH($E268,dim_products!$A$2:$A$21,0))*100,0)),"单价越界","")</f>
        <v/>
      </c>
      <c r="V268" s="2" t="str">
        <f t="shared" si="13"/>
        <v/>
      </c>
      <c r="W268" s="2" t="str">
        <f t="shared" si="14"/>
        <v>通过</v>
      </c>
    </row>
    <row r="269" spans="1:23" ht="15">
      <c r="A269" s="2" t="str">
        <f>raw_order_lines!A269</f>
        <v>SIM-20260908-C006</v>
      </c>
      <c r="B269" s="2">
        <f>raw_order_lines!B269</f>
        <v>2</v>
      </c>
      <c r="C269" s="2" t="str">
        <f>raw_order_lines!C269</f>
        <v>C006</v>
      </c>
      <c r="D269" s="3">
        <f>raw_order_lines!D269</f>
        <v>46273</v>
      </c>
      <c r="E269" s="2" t="str">
        <f>raw_order_lines!E269</f>
        <v>P005</v>
      </c>
      <c r="F269" s="2" t="str">
        <f>raw_order_lines!F269</f>
        <v>公斤</v>
      </c>
      <c r="G269" s="4">
        <f>raw_order_lines!G269</f>
        <v>8.4</v>
      </c>
      <c r="H269" s="4">
        <f>raw_order_lines!H269</f>
        <v>8.4</v>
      </c>
      <c r="I269" s="4">
        <f>raw_order_lines!I269</f>
        <v>0</v>
      </c>
      <c r="J269" s="5">
        <f>raw_order_lines!J269</f>
        <v>2.7</v>
      </c>
      <c r="K269" s="2" t="str">
        <f>raw_order_lines!K269</f>
        <v>正常交付</v>
      </c>
      <c r="L269" s="2" t="str">
        <f>raw_order_lines!L269</f>
        <v>true</v>
      </c>
      <c r="M269" s="2" t="str">
        <f>INDEX(dim_products!$B$2:$B$21,MATCH($E269,dim_products!$A$2:$A$21,0))</f>
        <v>南瓜</v>
      </c>
      <c r="N269" s="2" t="str">
        <f>INDEX(dim_products!$C$2:$C$21,MATCH($E269,dim_products!$A$2:$A$21,0))</f>
        <v>散装鲜菜</v>
      </c>
      <c r="O269" s="2" t="str">
        <f>INDEX(dim_customers!$B$2:$B$7,MATCH($C269,dim_customers!$A$2:$A$7,0))</f>
        <v>模拟_溪桥医院食堂</v>
      </c>
      <c r="P269" s="6">
        <f>INT((ROUND(raw_order_lines!H269*10,0)*ROUND(raw_order_lines!J269*100,0)+5)/10)/100</f>
        <v>22.68</v>
      </c>
      <c r="Q269" s="6">
        <f>INT((ROUND(raw_order_lines!I269*10,0)*ROUND(raw_order_lines!J269*100,0)+5)/10)/100</f>
        <v>0</v>
      </c>
      <c r="R269" s="6">
        <f t="shared" si="12"/>
        <v>22.68</v>
      </c>
      <c r="S269" s="2" t="str">
        <f>IF(OR(ROUND(raw_order_lines!I269*10,0)&gt;ROUND(raw_order_lines!H269*10,0),ROUND(raw_order_lines!H269*10,0)&gt;ROUND(raw_order_lines!G269*10,0),ROUND(raw_order_lines!G269*10,0)&lt;=0),"数量关系异常","")</f>
        <v/>
      </c>
      <c r="T269" s="2" t="str">
        <f>IF($F269&lt;&gt;INDEX(dim_products!$D$2:$D$21,MATCH($E269,dim_products!$A$2:$A$21,0)),"单位不一致","")</f>
        <v/>
      </c>
      <c r="U269" s="2" t="str">
        <f>IF(OR(ROUND(raw_order_lines!J269*100,0)&lt;ROUND(INDEX(dim_products!$F$2:$F$21,MATCH($E269,dim_products!$A$2:$A$21,0))*100,0),ROUND(raw_order_lines!J269*100,0)&gt;ROUND(INDEX(dim_products!$G$2:$G$21,MATCH($E269,dim_products!$A$2:$A$21,0))*100,0)),"单价越界","")</f>
        <v/>
      </c>
      <c r="V269" s="2" t="str">
        <f t="shared" si="13"/>
        <v/>
      </c>
      <c r="W269" s="2" t="str">
        <f t="shared" si="14"/>
        <v>通过</v>
      </c>
    </row>
    <row r="270" spans="1:23" ht="15">
      <c r="A270" s="2" t="str">
        <f>raw_order_lines!A270</f>
        <v>SIM-20260908-C006</v>
      </c>
      <c r="B270" s="2">
        <f>raw_order_lines!B270</f>
        <v>3</v>
      </c>
      <c r="C270" s="2" t="str">
        <f>raw_order_lines!C270</f>
        <v>C006</v>
      </c>
      <c r="D270" s="3">
        <f>raw_order_lines!D270</f>
        <v>46273</v>
      </c>
      <c r="E270" s="2" t="str">
        <f>raw_order_lines!E270</f>
        <v>P009</v>
      </c>
      <c r="F270" s="2" t="str">
        <f>raw_order_lines!F270</f>
        <v>公斤</v>
      </c>
      <c r="G270" s="4">
        <f>raw_order_lines!G270</f>
        <v>8.4</v>
      </c>
      <c r="H270" s="4">
        <f>raw_order_lines!H270</f>
        <v>8.4</v>
      </c>
      <c r="I270" s="4">
        <f>raw_order_lines!I270</f>
        <v>0</v>
      </c>
      <c r="J270" s="5">
        <f>raw_order_lines!J270</f>
        <v>5</v>
      </c>
      <c r="K270" s="2" t="str">
        <f>raw_order_lines!K270</f>
        <v>正常交付</v>
      </c>
      <c r="L270" s="2" t="str">
        <f>raw_order_lines!L270</f>
        <v>true</v>
      </c>
      <c r="M270" s="2" t="str">
        <f>INDEX(dim_products!$B$2:$B$21,MATCH($E270,dim_products!$A$2:$A$21,0))</f>
        <v>西红柿</v>
      </c>
      <c r="N270" s="2" t="str">
        <f>INDEX(dim_products!$C$2:$C$21,MATCH($E270,dim_products!$A$2:$A$21,0))</f>
        <v>散装鲜菜</v>
      </c>
      <c r="O270" s="2" t="str">
        <f>INDEX(dim_customers!$B$2:$B$7,MATCH($C270,dim_customers!$A$2:$A$7,0))</f>
        <v>模拟_溪桥医院食堂</v>
      </c>
      <c r="P270" s="6">
        <f>INT((ROUND(raw_order_lines!H270*10,0)*ROUND(raw_order_lines!J270*100,0)+5)/10)/100</f>
        <v>42</v>
      </c>
      <c r="Q270" s="6">
        <f>INT((ROUND(raw_order_lines!I270*10,0)*ROUND(raw_order_lines!J270*100,0)+5)/10)/100</f>
        <v>0</v>
      </c>
      <c r="R270" s="6">
        <f t="shared" si="12"/>
        <v>42</v>
      </c>
      <c r="S270" s="2" t="str">
        <f>IF(OR(ROUND(raw_order_lines!I270*10,0)&gt;ROUND(raw_order_lines!H270*10,0),ROUND(raw_order_lines!H270*10,0)&gt;ROUND(raw_order_lines!G270*10,0),ROUND(raw_order_lines!G270*10,0)&lt;=0),"数量关系异常","")</f>
        <v/>
      </c>
      <c r="T270" s="2" t="str">
        <f>IF($F270&lt;&gt;INDEX(dim_products!$D$2:$D$21,MATCH($E270,dim_products!$A$2:$A$21,0)),"单位不一致","")</f>
        <v/>
      </c>
      <c r="U270" s="2" t="str">
        <f>IF(OR(ROUND(raw_order_lines!J270*100,0)&lt;ROUND(INDEX(dim_products!$F$2:$F$21,MATCH($E270,dim_products!$A$2:$A$21,0))*100,0),ROUND(raw_order_lines!J270*100,0)&gt;ROUND(INDEX(dim_products!$G$2:$G$21,MATCH($E270,dim_products!$A$2:$A$21,0))*100,0)),"单价越界","")</f>
        <v/>
      </c>
      <c r="V270" s="2" t="str">
        <f t="shared" si="13"/>
        <v/>
      </c>
      <c r="W270" s="2" t="str">
        <f t="shared" si="14"/>
        <v>通过</v>
      </c>
    </row>
    <row r="271" spans="1:23" ht="15">
      <c r="A271" s="2" t="str">
        <f>raw_order_lines!A271</f>
        <v>SIM-20260908-C006</v>
      </c>
      <c r="B271" s="2">
        <f>raw_order_lines!B271</f>
        <v>4</v>
      </c>
      <c r="C271" s="2" t="str">
        <f>raw_order_lines!C271</f>
        <v>C006</v>
      </c>
      <c r="D271" s="3">
        <f>raw_order_lines!D271</f>
        <v>46273</v>
      </c>
      <c r="E271" s="2" t="str">
        <f>raw_order_lines!E271</f>
        <v>P003</v>
      </c>
      <c r="F271" s="2" t="str">
        <f>raw_order_lines!F271</f>
        <v>公斤</v>
      </c>
      <c r="G271" s="4">
        <f>raw_order_lines!G271</f>
        <v>9.3000000000000007</v>
      </c>
      <c r="H271" s="4">
        <f>raw_order_lines!H271</f>
        <v>9.3000000000000007</v>
      </c>
      <c r="I271" s="4">
        <f>raw_order_lines!I271</f>
        <v>0</v>
      </c>
      <c r="J271" s="5">
        <f>raw_order_lines!J271</f>
        <v>2.9</v>
      </c>
      <c r="K271" s="2" t="str">
        <f>raw_order_lines!K271</f>
        <v>正常交付</v>
      </c>
      <c r="L271" s="2" t="str">
        <f>raw_order_lines!L271</f>
        <v>true</v>
      </c>
      <c r="M271" s="2" t="str">
        <f>INDEX(dim_products!$B$2:$B$21,MATCH($E271,dim_products!$A$2:$A$21,0))</f>
        <v>包菜</v>
      </c>
      <c r="N271" s="2" t="str">
        <f>INDEX(dim_products!$C$2:$C$21,MATCH($E271,dim_products!$A$2:$A$21,0))</f>
        <v>散装鲜菜</v>
      </c>
      <c r="O271" s="2" t="str">
        <f>INDEX(dim_customers!$B$2:$B$7,MATCH($C271,dim_customers!$A$2:$A$7,0))</f>
        <v>模拟_溪桥医院食堂</v>
      </c>
      <c r="P271" s="6">
        <f>INT((ROUND(raw_order_lines!H271*10,0)*ROUND(raw_order_lines!J271*100,0)+5)/10)/100</f>
        <v>26.97</v>
      </c>
      <c r="Q271" s="6">
        <f>INT((ROUND(raw_order_lines!I271*10,0)*ROUND(raw_order_lines!J271*100,0)+5)/10)/100</f>
        <v>0</v>
      </c>
      <c r="R271" s="6">
        <f t="shared" si="12"/>
        <v>26.97</v>
      </c>
      <c r="S271" s="2" t="str">
        <f>IF(OR(ROUND(raw_order_lines!I271*10,0)&gt;ROUND(raw_order_lines!H271*10,0),ROUND(raw_order_lines!H271*10,0)&gt;ROUND(raw_order_lines!G271*10,0),ROUND(raw_order_lines!G271*10,0)&lt;=0),"数量关系异常","")</f>
        <v/>
      </c>
      <c r="T271" s="2" t="str">
        <f>IF($F271&lt;&gt;INDEX(dim_products!$D$2:$D$21,MATCH($E271,dim_products!$A$2:$A$21,0)),"单位不一致","")</f>
        <v/>
      </c>
      <c r="U271" s="2" t="str">
        <f>IF(OR(ROUND(raw_order_lines!J271*100,0)&lt;ROUND(INDEX(dim_products!$F$2:$F$21,MATCH($E271,dim_products!$A$2:$A$21,0))*100,0),ROUND(raw_order_lines!J271*100,0)&gt;ROUND(INDEX(dim_products!$G$2:$G$21,MATCH($E271,dim_products!$A$2:$A$21,0))*100,0)),"单价越界","")</f>
        <v/>
      </c>
      <c r="V271" s="2" t="str">
        <f t="shared" si="13"/>
        <v/>
      </c>
      <c r="W271" s="2" t="str">
        <f t="shared" si="14"/>
        <v>通过</v>
      </c>
    </row>
    <row r="272" spans="1:23" ht="15">
      <c r="A272" s="2" t="str">
        <f>raw_order_lines!A272</f>
        <v>SIM-20260908-C006</v>
      </c>
      <c r="B272" s="2">
        <f>raw_order_lines!B272</f>
        <v>5</v>
      </c>
      <c r="C272" s="2" t="str">
        <f>raw_order_lines!C272</f>
        <v>C006</v>
      </c>
      <c r="D272" s="3">
        <f>raw_order_lines!D272</f>
        <v>46273</v>
      </c>
      <c r="E272" s="2" t="str">
        <f>raw_order_lines!E272</f>
        <v>P004</v>
      </c>
      <c r="F272" s="2" t="str">
        <f>raw_order_lines!F272</f>
        <v>公斤</v>
      </c>
      <c r="G272" s="4">
        <f>raw_order_lines!G272</f>
        <v>5.9</v>
      </c>
      <c r="H272" s="4">
        <f>raw_order_lines!H272</f>
        <v>5.9</v>
      </c>
      <c r="I272" s="4">
        <f>raw_order_lines!I272</f>
        <v>0</v>
      </c>
      <c r="J272" s="5">
        <f>raw_order_lines!J272</f>
        <v>2.7</v>
      </c>
      <c r="K272" s="2" t="str">
        <f>raw_order_lines!K272</f>
        <v>正常交付</v>
      </c>
      <c r="L272" s="2" t="str">
        <f>raw_order_lines!L272</f>
        <v>true</v>
      </c>
      <c r="M272" s="2" t="str">
        <f>INDEX(dim_products!$B$2:$B$21,MATCH($E272,dim_products!$A$2:$A$21,0))</f>
        <v>冬瓜</v>
      </c>
      <c r="N272" s="2" t="str">
        <f>INDEX(dim_products!$C$2:$C$21,MATCH($E272,dim_products!$A$2:$A$21,0))</f>
        <v>散装鲜菜</v>
      </c>
      <c r="O272" s="2" t="str">
        <f>INDEX(dim_customers!$B$2:$B$7,MATCH($C272,dim_customers!$A$2:$A$7,0))</f>
        <v>模拟_溪桥医院食堂</v>
      </c>
      <c r="P272" s="6">
        <f>INT((ROUND(raw_order_lines!H272*10,0)*ROUND(raw_order_lines!J272*100,0)+5)/10)/100</f>
        <v>15.93</v>
      </c>
      <c r="Q272" s="6">
        <f>INT((ROUND(raw_order_lines!I272*10,0)*ROUND(raw_order_lines!J272*100,0)+5)/10)/100</f>
        <v>0</v>
      </c>
      <c r="R272" s="6">
        <f t="shared" si="12"/>
        <v>15.93</v>
      </c>
      <c r="S272" s="2" t="str">
        <f>IF(OR(ROUND(raw_order_lines!I272*10,0)&gt;ROUND(raw_order_lines!H272*10,0),ROUND(raw_order_lines!H272*10,0)&gt;ROUND(raw_order_lines!G272*10,0),ROUND(raw_order_lines!G272*10,0)&lt;=0),"数量关系异常","")</f>
        <v/>
      </c>
      <c r="T272" s="2" t="str">
        <f>IF($F272&lt;&gt;INDEX(dim_products!$D$2:$D$21,MATCH($E272,dim_products!$A$2:$A$21,0)),"单位不一致","")</f>
        <v/>
      </c>
      <c r="U272" s="2" t="str">
        <f>IF(OR(ROUND(raw_order_lines!J272*100,0)&lt;ROUND(INDEX(dim_products!$F$2:$F$21,MATCH($E272,dim_products!$A$2:$A$21,0))*100,0),ROUND(raw_order_lines!J272*100,0)&gt;ROUND(INDEX(dim_products!$G$2:$G$21,MATCH($E272,dim_products!$A$2:$A$21,0))*100,0)),"单价越界","")</f>
        <v/>
      </c>
      <c r="V272" s="2" t="str">
        <f t="shared" si="13"/>
        <v/>
      </c>
      <c r="W272" s="2" t="str">
        <f t="shared" si="14"/>
        <v>通过</v>
      </c>
    </row>
    <row r="273" spans="1:23" ht="15">
      <c r="A273" s="2" t="str">
        <f>raw_order_lines!A273</f>
        <v>SIM-20260908-C006</v>
      </c>
      <c r="B273" s="2">
        <f>raw_order_lines!B273</f>
        <v>6</v>
      </c>
      <c r="C273" s="2" t="str">
        <f>raw_order_lines!C273</f>
        <v>C006</v>
      </c>
      <c r="D273" s="3">
        <f>raw_order_lines!D273</f>
        <v>46273</v>
      </c>
      <c r="E273" s="2" t="str">
        <f>raw_order_lines!E273</f>
        <v>P006</v>
      </c>
      <c r="F273" s="2" t="str">
        <f>raw_order_lines!F273</f>
        <v>公斤</v>
      </c>
      <c r="G273" s="4">
        <f>raw_order_lines!G273</f>
        <v>6.8</v>
      </c>
      <c r="H273" s="4">
        <f>raw_order_lines!H273</f>
        <v>6.8</v>
      </c>
      <c r="I273" s="4">
        <f>raw_order_lines!I273</f>
        <v>0</v>
      </c>
      <c r="J273" s="5">
        <f>raw_order_lines!J273</f>
        <v>4.8</v>
      </c>
      <c r="K273" s="2" t="str">
        <f>raw_order_lines!K273</f>
        <v>正常交付</v>
      </c>
      <c r="L273" s="2" t="str">
        <f>raw_order_lines!L273</f>
        <v>true</v>
      </c>
      <c r="M273" s="2" t="str">
        <f>INDEX(dim_products!$B$2:$B$21,MATCH($E273,dim_products!$A$2:$A$21,0))</f>
        <v>茄子</v>
      </c>
      <c r="N273" s="2" t="str">
        <f>INDEX(dim_products!$C$2:$C$21,MATCH($E273,dim_products!$A$2:$A$21,0))</f>
        <v>散装鲜菜</v>
      </c>
      <c r="O273" s="2" t="str">
        <f>INDEX(dim_customers!$B$2:$B$7,MATCH($C273,dim_customers!$A$2:$A$7,0))</f>
        <v>模拟_溪桥医院食堂</v>
      </c>
      <c r="P273" s="6">
        <f>INT((ROUND(raw_order_lines!H273*10,0)*ROUND(raw_order_lines!J273*100,0)+5)/10)/100</f>
        <v>32.64</v>
      </c>
      <c r="Q273" s="6">
        <f>INT((ROUND(raw_order_lines!I273*10,0)*ROUND(raw_order_lines!J273*100,0)+5)/10)/100</f>
        <v>0</v>
      </c>
      <c r="R273" s="6">
        <f t="shared" si="12"/>
        <v>32.64</v>
      </c>
      <c r="S273" s="2" t="str">
        <f>IF(OR(ROUND(raw_order_lines!I273*10,0)&gt;ROUND(raw_order_lines!H273*10,0),ROUND(raw_order_lines!H273*10,0)&gt;ROUND(raw_order_lines!G273*10,0),ROUND(raw_order_lines!G273*10,0)&lt;=0),"数量关系异常","")</f>
        <v/>
      </c>
      <c r="T273" s="2" t="str">
        <f>IF($F273&lt;&gt;INDEX(dim_products!$D$2:$D$21,MATCH($E273,dim_products!$A$2:$A$21,0)),"单位不一致","")</f>
        <v/>
      </c>
      <c r="U273" s="2" t="str">
        <f>IF(OR(ROUND(raw_order_lines!J273*100,0)&lt;ROUND(INDEX(dim_products!$F$2:$F$21,MATCH($E273,dim_products!$A$2:$A$21,0))*100,0),ROUND(raw_order_lines!J273*100,0)&gt;ROUND(INDEX(dim_products!$G$2:$G$21,MATCH($E273,dim_products!$A$2:$A$21,0))*100,0)),"单价越界","")</f>
        <v/>
      </c>
      <c r="V273" s="2" t="str">
        <f t="shared" si="13"/>
        <v/>
      </c>
      <c r="W273" s="2" t="str">
        <f t="shared" si="14"/>
        <v>通过</v>
      </c>
    </row>
    <row r="274" spans="1:23" ht="15">
      <c r="A274" s="2" t="str">
        <f>raw_order_lines!A274</f>
        <v>SIM-20260909-C001</v>
      </c>
      <c r="B274" s="2">
        <f>raw_order_lines!B274</f>
        <v>1</v>
      </c>
      <c r="C274" s="2" t="str">
        <f>raw_order_lines!C274</f>
        <v>C001</v>
      </c>
      <c r="D274" s="3">
        <f>raw_order_lines!D274</f>
        <v>46274</v>
      </c>
      <c r="E274" s="2" t="str">
        <f>raw_order_lines!E274</f>
        <v>P011</v>
      </c>
      <c r="F274" s="2" t="str">
        <f>raw_order_lines!F274</f>
        <v>公斤</v>
      </c>
      <c r="G274" s="4">
        <f>raw_order_lines!G274</f>
        <v>3.4</v>
      </c>
      <c r="H274" s="4">
        <f>raw_order_lines!H274</f>
        <v>3.4</v>
      </c>
      <c r="I274" s="4">
        <f>raw_order_lines!I274</f>
        <v>0</v>
      </c>
      <c r="J274" s="5">
        <f>raw_order_lines!J274</f>
        <v>4.3</v>
      </c>
      <c r="K274" s="2" t="str">
        <f>raw_order_lines!K274</f>
        <v>正常交付</v>
      </c>
      <c r="L274" s="2" t="str">
        <f>raw_order_lines!L274</f>
        <v>true</v>
      </c>
      <c r="M274" s="2" t="str">
        <f>INDEX(dim_products!$B$2:$B$21,MATCH($E274,dim_products!$A$2:$A$21,0))</f>
        <v>红薯叶</v>
      </c>
      <c r="N274" s="2" t="str">
        <f>INDEX(dim_products!$C$2:$C$21,MATCH($E274,dim_products!$A$2:$A$21,0))</f>
        <v>散装鲜菜</v>
      </c>
      <c r="O274" s="2" t="str">
        <f>INDEX(dim_customers!$B$2:$B$7,MATCH($C274,dim_customers!$A$2:$A$7,0))</f>
        <v>模拟_榕树下粉面店</v>
      </c>
      <c r="P274" s="6">
        <f>INT((ROUND(raw_order_lines!H274*10,0)*ROUND(raw_order_lines!J274*100,0)+5)/10)/100</f>
        <v>14.62</v>
      </c>
      <c r="Q274" s="6">
        <f>INT((ROUND(raw_order_lines!I274*10,0)*ROUND(raw_order_lines!J274*100,0)+5)/10)/100</f>
        <v>0</v>
      </c>
      <c r="R274" s="6">
        <f t="shared" si="12"/>
        <v>14.62</v>
      </c>
      <c r="S274" s="2" t="str">
        <f>IF(OR(ROUND(raw_order_lines!I274*10,0)&gt;ROUND(raw_order_lines!H274*10,0),ROUND(raw_order_lines!H274*10,0)&gt;ROUND(raw_order_lines!G274*10,0),ROUND(raw_order_lines!G274*10,0)&lt;=0),"数量关系异常","")</f>
        <v/>
      </c>
      <c r="T274" s="2" t="str">
        <f>IF($F274&lt;&gt;INDEX(dim_products!$D$2:$D$21,MATCH($E274,dim_products!$A$2:$A$21,0)),"单位不一致","")</f>
        <v/>
      </c>
      <c r="U274" s="2" t="str">
        <f>IF(OR(ROUND(raw_order_lines!J274*100,0)&lt;ROUND(INDEX(dim_products!$F$2:$F$21,MATCH($E274,dim_products!$A$2:$A$21,0))*100,0),ROUND(raw_order_lines!J274*100,0)&gt;ROUND(INDEX(dim_products!$G$2:$G$21,MATCH($E274,dim_products!$A$2:$A$21,0))*100,0)),"单价越界","")</f>
        <v/>
      </c>
      <c r="V274" s="2" t="str">
        <f t="shared" si="13"/>
        <v/>
      </c>
      <c r="W274" s="2" t="str">
        <f t="shared" si="14"/>
        <v>通过</v>
      </c>
    </row>
    <row r="275" spans="1:23" ht="15">
      <c r="A275" s="2" t="str">
        <f>raw_order_lines!A275</f>
        <v>SIM-20260909-C001</v>
      </c>
      <c r="B275" s="2">
        <f>raw_order_lines!B275</f>
        <v>2</v>
      </c>
      <c r="C275" s="2" t="str">
        <f>raw_order_lines!C275</f>
        <v>C001</v>
      </c>
      <c r="D275" s="3">
        <f>raw_order_lines!D275</f>
        <v>46274</v>
      </c>
      <c r="E275" s="2" t="str">
        <f>raw_order_lines!E275</f>
        <v>P004</v>
      </c>
      <c r="F275" s="2" t="str">
        <f>raw_order_lines!F275</f>
        <v>公斤</v>
      </c>
      <c r="G275" s="4">
        <f>raw_order_lines!G275</f>
        <v>1.7</v>
      </c>
      <c r="H275" s="4">
        <f>raw_order_lines!H275</f>
        <v>1.7</v>
      </c>
      <c r="I275" s="4">
        <f>raw_order_lines!I275</f>
        <v>0</v>
      </c>
      <c r="J275" s="5">
        <f>raw_order_lines!J275</f>
        <v>2.7</v>
      </c>
      <c r="K275" s="2" t="str">
        <f>raw_order_lines!K275</f>
        <v>正常交付</v>
      </c>
      <c r="L275" s="2" t="str">
        <f>raw_order_lines!L275</f>
        <v>true</v>
      </c>
      <c r="M275" s="2" t="str">
        <f>INDEX(dim_products!$B$2:$B$21,MATCH($E275,dim_products!$A$2:$A$21,0))</f>
        <v>冬瓜</v>
      </c>
      <c r="N275" s="2" t="str">
        <f>INDEX(dim_products!$C$2:$C$21,MATCH($E275,dim_products!$A$2:$A$21,0))</f>
        <v>散装鲜菜</v>
      </c>
      <c r="O275" s="2" t="str">
        <f>INDEX(dim_customers!$B$2:$B$7,MATCH($C275,dim_customers!$A$2:$A$7,0))</f>
        <v>模拟_榕树下粉面店</v>
      </c>
      <c r="P275" s="6">
        <f>INT((ROUND(raw_order_lines!H275*10,0)*ROUND(raw_order_lines!J275*100,0)+5)/10)/100</f>
        <v>4.59</v>
      </c>
      <c r="Q275" s="6">
        <f>INT((ROUND(raw_order_lines!I275*10,0)*ROUND(raw_order_lines!J275*100,0)+5)/10)/100</f>
        <v>0</v>
      </c>
      <c r="R275" s="6">
        <f t="shared" si="12"/>
        <v>4.59</v>
      </c>
      <c r="S275" s="2" t="str">
        <f>IF(OR(ROUND(raw_order_lines!I275*10,0)&gt;ROUND(raw_order_lines!H275*10,0),ROUND(raw_order_lines!H275*10,0)&gt;ROUND(raw_order_lines!G275*10,0),ROUND(raw_order_lines!G275*10,0)&lt;=0),"数量关系异常","")</f>
        <v/>
      </c>
      <c r="T275" s="2" t="str">
        <f>IF($F275&lt;&gt;INDEX(dim_products!$D$2:$D$21,MATCH($E275,dim_products!$A$2:$A$21,0)),"单位不一致","")</f>
        <v/>
      </c>
      <c r="U275" s="2" t="str">
        <f>IF(OR(ROUND(raw_order_lines!J275*100,0)&lt;ROUND(INDEX(dim_products!$F$2:$F$21,MATCH($E275,dim_products!$A$2:$A$21,0))*100,0),ROUND(raw_order_lines!J275*100,0)&gt;ROUND(INDEX(dim_products!$G$2:$G$21,MATCH($E275,dim_products!$A$2:$A$21,0))*100,0)),"单价越界","")</f>
        <v/>
      </c>
      <c r="V275" s="2" t="str">
        <f t="shared" si="13"/>
        <v/>
      </c>
      <c r="W275" s="2" t="str">
        <f t="shared" si="14"/>
        <v>通过</v>
      </c>
    </row>
    <row r="276" spans="1:23" ht="15">
      <c r="A276" s="2" t="str">
        <f>raw_order_lines!A276</f>
        <v>SIM-20260909-C001</v>
      </c>
      <c r="B276" s="2">
        <f>raw_order_lines!B276</f>
        <v>3</v>
      </c>
      <c r="C276" s="2" t="str">
        <f>raw_order_lines!C276</f>
        <v>C001</v>
      </c>
      <c r="D276" s="3">
        <f>raw_order_lines!D276</f>
        <v>46274</v>
      </c>
      <c r="E276" s="2" t="str">
        <f>raw_order_lines!E276</f>
        <v>P013</v>
      </c>
      <c r="F276" s="2" t="str">
        <f>raw_order_lines!F276</f>
        <v>公斤</v>
      </c>
      <c r="G276" s="4">
        <f>raw_order_lines!G276</f>
        <v>3.2</v>
      </c>
      <c r="H276" s="4">
        <f>raw_order_lines!H276</f>
        <v>3.2</v>
      </c>
      <c r="I276" s="4">
        <f>raw_order_lines!I276</f>
        <v>0</v>
      </c>
      <c r="J276" s="5">
        <f>raw_order_lines!J276</f>
        <v>6</v>
      </c>
      <c r="K276" s="2" t="str">
        <f>raw_order_lines!K276</f>
        <v>正常交付</v>
      </c>
      <c r="L276" s="2" t="str">
        <f>raw_order_lines!L276</f>
        <v>true</v>
      </c>
      <c r="M276" s="2" t="str">
        <f>INDEX(dim_products!$B$2:$B$21,MATCH($E276,dim_products!$A$2:$A$21,0))</f>
        <v>豇豆</v>
      </c>
      <c r="N276" s="2" t="str">
        <f>INDEX(dim_products!$C$2:$C$21,MATCH($E276,dim_products!$A$2:$A$21,0))</f>
        <v>散装鲜菜</v>
      </c>
      <c r="O276" s="2" t="str">
        <f>INDEX(dim_customers!$B$2:$B$7,MATCH($C276,dim_customers!$A$2:$A$7,0))</f>
        <v>模拟_榕树下粉面店</v>
      </c>
      <c r="P276" s="6">
        <f>INT((ROUND(raw_order_lines!H276*10,0)*ROUND(raw_order_lines!J276*100,0)+5)/10)/100</f>
        <v>19.2</v>
      </c>
      <c r="Q276" s="6">
        <f>INT((ROUND(raw_order_lines!I276*10,0)*ROUND(raw_order_lines!J276*100,0)+5)/10)/100</f>
        <v>0</v>
      </c>
      <c r="R276" s="6">
        <f t="shared" si="12"/>
        <v>19.2</v>
      </c>
      <c r="S276" s="2" t="str">
        <f>IF(OR(ROUND(raw_order_lines!I276*10,0)&gt;ROUND(raw_order_lines!H276*10,0),ROUND(raw_order_lines!H276*10,0)&gt;ROUND(raw_order_lines!G276*10,0),ROUND(raw_order_lines!G276*10,0)&lt;=0),"数量关系异常","")</f>
        <v/>
      </c>
      <c r="T276" s="2" t="str">
        <f>IF($F276&lt;&gt;INDEX(dim_products!$D$2:$D$21,MATCH($E276,dim_products!$A$2:$A$21,0)),"单位不一致","")</f>
        <v/>
      </c>
      <c r="U276" s="2" t="str">
        <f>IF(OR(ROUND(raw_order_lines!J276*100,0)&lt;ROUND(INDEX(dim_products!$F$2:$F$21,MATCH($E276,dim_products!$A$2:$A$21,0))*100,0),ROUND(raw_order_lines!J276*100,0)&gt;ROUND(INDEX(dim_products!$G$2:$G$21,MATCH($E276,dim_products!$A$2:$A$21,0))*100,0)),"单价越界","")</f>
        <v/>
      </c>
      <c r="V276" s="2" t="str">
        <f t="shared" si="13"/>
        <v/>
      </c>
      <c r="W276" s="2" t="str">
        <f t="shared" si="14"/>
        <v>通过</v>
      </c>
    </row>
    <row r="277" spans="1:23" ht="15">
      <c r="A277" s="2" t="str">
        <f>raw_order_lines!A277</f>
        <v>SIM-20260909-C001</v>
      </c>
      <c r="B277" s="2">
        <f>raw_order_lines!B277</f>
        <v>4</v>
      </c>
      <c r="C277" s="2" t="str">
        <f>raw_order_lines!C277</f>
        <v>C001</v>
      </c>
      <c r="D277" s="3">
        <f>raw_order_lines!D277</f>
        <v>46274</v>
      </c>
      <c r="E277" s="2" t="str">
        <f>raw_order_lines!E277</f>
        <v>P003</v>
      </c>
      <c r="F277" s="2" t="str">
        <f>raw_order_lines!F277</f>
        <v>公斤</v>
      </c>
      <c r="G277" s="4">
        <f>raw_order_lines!G277</f>
        <v>2.5</v>
      </c>
      <c r="H277" s="4">
        <f>raw_order_lines!H277</f>
        <v>2.5</v>
      </c>
      <c r="I277" s="4">
        <f>raw_order_lines!I277</f>
        <v>0</v>
      </c>
      <c r="J277" s="5">
        <f>raw_order_lines!J277</f>
        <v>2.9</v>
      </c>
      <c r="K277" s="2" t="str">
        <f>raw_order_lines!K277</f>
        <v>正常交付</v>
      </c>
      <c r="L277" s="2" t="str">
        <f>raw_order_lines!L277</f>
        <v>true</v>
      </c>
      <c r="M277" s="2" t="str">
        <f>INDEX(dim_products!$B$2:$B$21,MATCH($E277,dim_products!$A$2:$A$21,0))</f>
        <v>包菜</v>
      </c>
      <c r="N277" s="2" t="str">
        <f>INDEX(dim_products!$C$2:$C$21,MATCH($E277,dim_products!$A$2:$A$21,0))</f>
        <v>散装鲜菜</v>
      </c>
      <c r="O277" s="2" t="str">
        <f>INDEX(dim_customers!$B$2:$B$7,MATCH($C277,dim_customers!$A$2:$A$7,0))</f>
        <v>模拟_榕树下粉面店</v>
      </c>
      <c r="P277" s="6">
        <f>INT((ROUND(raw_order_lines!H277*10,0)*ROUND(raw_order_lines!J277*100,0)+5)/10)/100</f>
        <v>7.25</v>
      </c>
      <c r="Q277" s="6">
        <f>INT((ROUND(raw_order_lines!I277*10,0)*ROUND(raw_order_lines!J277*100,0)+5)/10)/100</f>
        <v>0</v>
      </c>
      <c r="R277" s="6">
        <f t="shared" si="12"/>
        <v>7.25</v>
      </c>
      <c r="S277" s="2" t="str">
        <f>IF(OR(ROUND(raw_order_lines!I277*10,0)&gt;ROUND(raw_order_lines!H277*10,0),ROUND(raw_order_lines!H277*10,0)&gt;ROUND(raw_order_lines!G277*10,0),ROUND(raw_order_lines!G277*10,0)&lt;=0),"数量关系异常","")</f>
        <v/>
      </c>
      <c r="T277" s="2" t="str">
        <f>IF($F277&lt;&gt;INDEX(dim_products!$D$2:$D$21,MATCH($E277,dim_products!$A$2:$A$21,0)),"单位不一致","")</f>
        <v/>
      </c>
      <c r="U277" s="2" t="str">
        <f>IF(OR(ROUND(raw_order_lines!J277*100,0)&lt;ROUND(INDEX(dim_products!$F$2:$F$21,MATCH($E277,dim_products!$A$2:$A$21,0))*100,0),ROUND(raw_order_lines!J277*100,0)&gt;ROUND(INDEX(dim_products!$G$2:$G$21,MATCH($E277,dim_products!$A$2:$A$21,0))*100,0)),"单价越界","")</f>
        <v/>
      </c>
      <c r="V277" s="2" t="str">
        <f t="shared" si="13"/>
        <v/>
      </c>
      <c r="W277" s="2" t="str">
        <f t="shared" si="14"/>
        <v>通过</v>
      </c>
    </row>
    <row r="278" spans="1:23" ht="15">
      <c r="A278" s="2" t="str">
        <f>raw_order_lines!A278</f>
        <v>SIM-20260909-C002</v>
      </c>
      <c r="B278" s="2">
        <f>raw_order_lines!B278</f>
        <v>1</v>
      </c>
      <c r="C278" s="2" t="str">
        <f>raw_order_lines!C278</f>
        <v>C002</v>
      </c>
      <c r="D278" s="3">
        <f>raw_order_lines!D278</f>
        <v>46274</v>
      </c>
      <c r="E278" s="2" t="str">
        <f>raw_order_lines!E278</f>
        <v>P012</v>
      </c>
      <c r="F278" s="2" t="str">
        <f>raw_order_lines!F278</f>
        <v>公斤</v>
      </c>
      <c r="G278" s="4">
        <f>raw_order_lines!G278</f>
        <v>3.2</v>
      </c>
      <c r="H278" s="4">
        <f>raw_order_lines!H278</f>
        <v>3.2</v>
      </c>
      <c r="I278" s="4">
        <f>raw_order_lines!I278</f>
        <v>0</v>
      </c>
      <c r="J278" s="5">
        <f>raw_order_lines!J278</f>
        <v>5</v>
      </c>
      <c r="K278" s="2" t="str">
        <f>raw_order_lines!K278</f>
        <v>正常交付</v>
      </c>
      <c r="L278" s="2" t="str">
        <f>raw_order_lines!L278</f>
        <v>true</v>
      </c>
      <c r="M278" s="2" t="str">
        <f>INDEX(dim_products!$B$2:$B$21,MATCH($E278,dim_products!$A$2:$A$21,0))</f>
        <v>小白菜</v>
      </c>
      <c r="N278" s="2" t="str">
        <f>INDEX(dim_products!$C$2:$C$21,MATCH($E278,dim_products!$A$2:$A$21,0))</f>
        <v>散装鲜菜</v>
      </c>
      <c r="O278" s="2" t="str">
        <f>INDEX(dim_customers!$B$2:$B$7,MATCH($C278,dim_customers!$A$2:$A$7,0))</f>
        <v>模拟_桥头家常菜馆</v>
      </c>
      <c r="P278" s="6">
        <f>INT((ROUND(raw_order_lines!H278*10,0)*ROUND(raw_order_lines!J278*100,0)+5)/10)/100</f>
        <v>16</v>
      </c>
      <c r="Q278" s="6">
        <f>INT((ROUND(raw_order_lines!I278*10,0)*ROUND(raw_order_lines!J278*100,0)+5)/10)/100</f>
        <v>0</v>
      </c>
      <c r="R278" s="6">
        <f t="shared" si="12"/>
        <v>16</v>
      </c>
      <c r="S278" s="2" t="str">
        <f>IF(OR(ROUND(raw_order_lines!I278*10,0)&gt;ROUND(raw_order_lines!H278*10,0),ROUND(raw_order_lines!H278*10,0)&gt;ROUND(raw_order_lines!G278*10,0),ROUND(raw_order_lines!G278*10,0)&lt;=0),"数量关系异常","")</f>
        <v/>
      </c>
      <c r="T278" s="2" t="str">
        <f>IF($F278&lt;&gt;INDEX(dim_products!$D$2:$D$21,MATCH($E278,dim_products!$A$2:$A$21,0)),"单位不一致","")</f>
        <v/>
      </c>
      <c r="U278" s="2" t="str">
        <f>IF(OR(ROUND(raw_order_lines!J278*100,0)&lt;ROUND(INDEX(dim_products!$F$2:$F$21,MATCH($E278,dim_products!$A$2:$A$21,0))*100,0),ROUND(raw_order_lines!J278*100,0)&gt;ROUND(INDEX(dim_products!$G$2:$G$21,MATCH($E278,dim_products!$A$2:$A$21,0))*100,0)),"单价越界","")</f>
        <v/>
      </c>
      <c r="V278" s="2" t="str">
        <f t="shared" si="13"/>
        <v/>
      </c>
      <c r="W278" s="2" t="str">
        <f t="shared" si="14"/>
        <v>通过</v>
      </c>
    </row>
    <row r="279" spans="1:23" ht="15">
      <c r="A279" s="2" t="str">
        <f>raw_order_lines!A279</f>
        <v>SIM-20260909-C002</v>
      </c>
      <c r="B279" s="2">
        <f>raw_order_lines!B279</f>
        <v>2</v>
      </c>
      <c r="C279" s="2" t="str">
        <f>raw_order_lines!C279</f>
        <v>C002</v>
      </c>
      <c r="D279" s="3">
        <f>raw_order_lines!D279</f>
        <v>46274</v>
      </c>
      <c r="E279" s="2" t="str">
        <f>raw_order_lines!E279</f>
        <v>P006</v>
      </c>
      <c r="F279" s="2" t="str">
        <f>raw_order_lines!F279</f>
        <v>公斤</v>
      </c>
      <c r="G279" s="4">
        <f>raw_order_lines!G279</f>
        <v>5.6</v>
      </c>
      <c r="H279" s="4">
        <f>raw_order_lines!H279</f>
        <v>5.6</v>
      </c>
      <c r="I279" s="4">
        <f>raw_order_lines!I279</f>
        <v>0</v>
      </c>
      <c r="J279" s="5">
        <f>raw_order_lines!J279</f>
        <v>4.8</v>
      </c>
      <c r="K279" s="2" t="str">
        <f>raw_order_lines!K279</f>
        <v>正常交付</v>
      </c>
      <c r="L279" s="2" t="str">
        <f>raw_order_lines!L279</f>
        <v>true</v>
      </c>
      <c r="M279" s="2" t="str">
        <f>INDEX(dim_products!$B$2:$B$21,MATCH($E279,dim_products!$A$2:$A$21,0))</f>
        <v>茄子</v>
      </c>
      <c r="N279" s="2" t="str">
        <f>INDEX(dim_products!$C$2:$C$21,MATCH($E279,dim_products!$A$2:$A$21,0))</f>
        <v>散装鲜菜</v>
      </c>
      <c r="O279" s="2" t="str">
        <f>INDEX(dim_customers!$B$2:$B$7,MATCH($C279,dim_customers!$A$2:$A$7,0))</f>
        <v>模拟_桥头家常菜馆</v>
      </c>
      <c r="P279" s="6">
        <f>INT((ROUND(raw_order_lines!H279*10,0)*ROUND(raw_order_lines!J279*100,0)+5)/10)/100</f>
        <v>26.88</v>
      </c>
      <c r="Q279" s="6">
        <f>INT((ROUND(raw_order_lines!I279*10,0)*ROUND(raw_order_lines!J279*100,0)+5)/10)/100</f>
        <v>0</v>
      </c>
      <c r="R279" s="6">
        <f t="shared" si="12"/>
        <v>26.88</v>
      </c>
      <c r="S279" s="2" t="str">
        <f>IF(OR(ROUND(raw_order_lines!I279*10,0)&gt;ROUND(raw_order_lines!H279*10,0),ROUND(raw_order_lines!H279*10,0)&gt;ROUND(raw_order_lines!G279*10,0),ROUND(raw_order_lines!G279*10,0)&lt;=0),"数量关系异常","")</f>
        <v/>
      </c>
      <c r="T279" s="2" t="str">
        <f>IF($F279&lt;&gt;INDEX(dim_products!$D$2:$D$21,MATCH($E279,dim_products!$A$2:$A$21,0)),"单位不一致","")</f>
        <v/>
      </c>
      <c r="U279" s="2" t="str">
        <f>IF(OR(ROUND(raw_order_lines!J279*100,0)&lt;ROUND(INDEX(dim_products!$F$2:$F$21,MATCH($E279,dim_products!$A$2:$A$21,0))*100,0),ROUND(raw_order_lines!J279*100,0)&gt;ROUND(INDEX(dim_products!$G$2:$G$21,MATCH($E279,dim_products!$A$2:$A$21,0))*100,0)),"单价越界","")</f>
        <v/>
      </c>
      <c r="V279" s="2" t="str">
        <f t="shared" si="13"/>
        <v/>
      </c>
      <c r="W279" s="2" t="str">
        <f t="shared" si="14"/>
        <v>通过</v>
      </c>
    </row>
    <row r="280" spans="1:23" ht="15">
      <c r="A280" s="2" t="str">
        <f>raw_order_lines!A280</f>
        <v>SIM-20260909-C002</v>
      </c>
      <c r="B280" s="2">
        <f>raw_order_lines!B280</f>
        <v>3</v>
      </c>
      <c r="C280" s="2" t="str">
        <f>raw_order_lines!C280</f>
        <v>C002</v>
      </c>
      <c r="D280" s="3">
        <f>raw_order_lines!D280</f>
        <v>46274</v>
      </c>
      <c r="E280" s="2" t="str">
        <f>raw_order_lines!E280</f>
        <v>P003</v>
      </c>
      <c r="F280" s="2" t="str">
        <f>raw_order_lines!F280</f>
        <v>公斤</v>
      </c>
      <c r="G280" s="4">
        <f>raw_order_lines!G280</f>
        <v>4.4000000000000004</v>
      </c>
      <c r="H280" s="4">
        <f>raw_order_lines!H280</f>
        <v>4.4000000000000004</v>
      </c>
      <c r="I280" s="4">
        <f>raw_order_lines!I280</f>
        <v>0</v>
      </c>
      <c r="J280" s="5">
        <f>raw_order_lines!J280</f>
        <v>2.9</v>
      </c>
      <c r="K280" s="2" t="str">
        <f>raw_order_lines!K280</f>
        <v>正常交付</v>
      </c>
      <c r="L280" s="2" t="str">
        <f>raw_order_lines!L280</f>
        <v>true</v>
      </c>
      <c r="M280" s="2" t="str">
        <f>INDEX(dim_products!$B$2:$B$21,MATCH($E280,dim_products!$A$2:$A$21,0))</f>
        <v>包菜</v>
      </c>
      <c r="N280" s="2" t="str">
        <f>INDEX(dim_products!$C$2:$C$21,MATCH($E280,dim_products!$A$2:$A$21,0))</f>
        <v>散装鲜菜</v>
      </c>
      <c r="O280" s="2" t="str">
        <f>INDEX(dim_customers!$B$2:$B$7,MATCH($C280,dim_customers!$A$2:$A$7,0))</f>
        <v>模拟_桥头家常菜馆</v>
      </c>
      <c r="P280" s="6">
        <f>INT((ROUND(raw_order_lines!H280*10,0)*ROUND(raw_order_lines!J280*100,0)+5)/10)/100</f>
        <v>12.76</v>
      </c>
      <c r="Q280" s="6">
        <f>INT((ROUND(raw_order_lines!I280*10,0)*ROUND(raw_order_lines!J280*100,0)+5)/10)/100</f>
        <v>0</v>
      </c>
      <c r="R280" s="6">
        <f t="shared" si="12"/>
        <v>12.76</v>
      </c>
      <c r="S280" s="2" t="str">
        <f>IF(OR(ROUND(raw_order_lines!I280*10,0)&gt;ROUND(raw_order_lines!H280*10,0),ROUND(raw_order_lines!H280*10,0)&gt;ROUND(raw_order_lines!G280*10,0),ROUND(raw_order_lines!G280*10,0)&lt;=0),"数量关系异常","")</f>
        <v/>
      </c>
      <c r="T280" s="2" t="str">
        <f>IF($F280&lt;&gt;INDEX(dim_products!$D$2:$D$21,MATCH($E280,dim_products!$A$2:$A$21,0)),"单位不一致","")</f>
        <v/>
      </c>
      <c r="U280" s="2" t="str">
        <f>IF(OR(ROUND(raw_order_lines!J280*100,0)&lt;ROUND(INDEX(dim_products!$F$2:$F$21,MATCH($E280,dim_products!$A$2:$A$21,0))*100,0),ROUND(raw_order_lines!J280*100,0)&gt;ROUND(INDEX(dim_products!$G$2:$G$21,MATCH($E280,dim_products!$A$2:$A$21,0))*100,0)),"单价越界","")</f>
        <v/>
      </c>
      <c r="V280" s="2" t="str">
        <f t="shared" si="13"/>
        <v/>
      </c>
      <c r="W280" s="2" t="str">
        <f t="shared" si="14"/>
        <v>通过</v>
      </c>
    </row>
    <row r="281" spans="1:23" ht="15">
      <c r="A281" s="2" t="str">
        <f>raw_order_lines!A281</f>
        <v>SIM-20260909-C002</v>
      </c>
      <c r="B281" s="2">
        <f>raw_order_lines!B281</f>
        <v>4</v>
      </c>
      <c r="C281" s="2" t="str">
        <f>raw_order_lines!C281</f>
        <v>C002</v>
      </c>
      <c r="D281" s="3">
        <f>raw_order_lines!D281</f>
        <v>46274</v>
      </c>
      <c r="E281" s="2" t="str">
        <f>raw_order_lines!E281</f>
        <v>P001</v>
      </c>
      <c r="F281" s="2" t="str">
        <f>raw_order_lines!F281</f>
        <v>公斤</v>
      </c>
      <c r="G281" s="4">
        <f>raw_order_lines!G281</f>
        <v>6.4</v>
      </c>
      <c r="H281" s="4">
        <f>raw_order_lines!H281</f>
        <v>6.4</v>
      </c>
      <c r="I281" s="4">
        <f>raw_order_lines!I281</f>
        <v>0</v>
      </c>
      <c r="J281" s="5">
        <f>raw_order_lines!J281</f>
        <v>3.3</v>
      </c>
      <c r="K281" s="2" t="str">
        <f>raw_order_lines!K281</f>
        <v>正常交付</v>
      </c>
      <c r="L281" s="2" t="str">
        <f>raw_order_lines!L281</f>
        <v>true</v>
      </c>
      <c r="M281" s="2" t="str">
        <f>INDEX(dim_products!$B$2:$B$21,MATCH($E281,dim_products!$A$2:$A$21,0))</f>
        <v>土豆</v>
      </c>
      <c r="N281" s="2" t="str">
        <f>INDEX(dim_products!$C$2:$C$21,MATCH($E281,dim_products!$A$2:$A$21,0))</f>
        <v>散装鲜菜</v>
      </c>
      <c r="O281" s="2" t="str">
        <f>INDEX(dim_customers!$B$2:$B$7,MATCH($C281,dim_customers!$A$2:$A$7,0))</f>
        <v>模拟_桥头家常菜馆</v>
      </c>
      <c r="P281" s="6">
        <f>INT((ROUND(raw_order_lines!H281*10,0)*ROUND(raw_order_lines!J281*100,0)+5)/10)/100</f>
        <v>21.12</v>
      </c>
      <c r="Q281" s="6">
        <f>INT((ROUND(raw_order_lines!I281*10,0)*ROUND(raw_order_lines!J281*100,0)+5)/10)/100</f>
        <v>0</v>
      </c>
      <c r="R281" s="6">
        <f t="shared" si="12"/>
        <v>21.12</v>
      </c>
      <c r="S281" s="2" t="str">
        <f>IF(OR(ROUND(raw_order_lines!I281*10,0)&gt;ROUND(raw_order_lines!H281*10,0),ROUND(raw_order_lines!H281*10,0)&gt;ROUND(raw_order_lines!G281*10,0),ROUND(raw_order_lines!G281*10,0)&lt;=0),"数量关系异常","")</f>
        <v/>
      </c>
      <c r="T281" s="2" t="str">
        <f>IF($F281&lt;&gt;INDEX(dim_products!$D$2:$D$21,MATCH($E281,dim_products!$A$2:$A$21,0)),"单位不一致","")</f>
        <v/>
      </c>
      <c r="U281" s="2" t="str">
        <f>IF(OR(ROUND(raw_order_lines!J281*100,0)&lt;ROUND(INDEX(dim_products!$F$2:$F$21,MATCH($E281,dim_products!$A$2:$A$21,0))*100,0),ROUND(raw_order_lines!J281*100,0)&gt;ROUND(INDEX(dim_products!$G$2:$G$21,MATCH($E281,dim_products!$A$2:$A$21,0))*100,0)),"单价越界","")</f>
        <v/>
      </c>
      <c r="V281" s="2" t="str">
        <f t="shared" si="13"/>
        <v/>
      </c>
      <c r="W281" s="2" t="str">
        <f t="shared" si="14"/>
        <v>通过</v>
      </c>
    </row>
    <row r="282" spans="1:23" ht="15">
      <c r="A282" s="2" t="str">
        <f>raw_order_lines!A282</f>
        <v>SIM-20260909-C002</v>
      </c>
      <c r="B282" s="2">
        <f>raw_order_lines!B282</f>
        <v>5</v>
      </c>
      <c r="C282" s="2" t="str">
        <f>raw_order_lines!C282</f>
        <v>C002</v>
      </c>
      <c r="D282" s="3">
        <f>raw_order_lines!D282</f>
        <v>46274</v>
      </c>
      <c r="E282" s="2" t="str">
        <f>raw_order_lines!E282</f>
        <v>P004</v>
      </c>
      <c r="F282" s="2" t="str">
        <f>raw_order_lines!F282</f>
        <v>公斤</v>
      </c>
      <c r="G282" s="4">
        <f>raw_order_lines!G282</f>
        <v>6</v>
      </c>
      <c r="H282" s="4">
        <f>raw_order_lines!H282</f>
        <v>6</v>
      </c>
      <c r="I282" s="4">
        <f>raw_order_lines!I282</f>
        <v>0</v>
      </c>
      <c r="J282" s="5">
        <f>raw_order_lines!J282</f>
        <v>2.7</v>
      </c>
      <c r="K282" s="2" t="str">
        <f>raw_order_lines!K282</f>
        <v>正常交付</v>
      </c>
      <c r="L282" s="2" t="str">
        <f>raw_order_lines!L282</f>
        <v>true</v>
      </c>
      <c r="M282" s="2" t="str">
        <f>INDEX(dim_products!$B$2:$B$21,MATCH($E282,dim_products!$A$2:$A$21,0))</f>
        <v>冬瓜</v>
      </c>
      <c r="N282" s="2" t="str">
        <f>INDEX(dim_products!$C$2:$C$21,MATCH($E282,dim_products!$A$2:$A$21,0))</f>
        <v>散装鲜菜</v>
      </c>
      <c r="O282" s="2" t="str">
        <f>INDEX(dim_customers!$B$2:$B$7,MATCH($C282,dim_customers!$A$2:$A$7,0))</f>
        <v>模拟_桥头家常菜馆</v>
      </c>
      <c r="P282" s="6">
        <f>INT((ROUND(raw_order_lines!H282*10,0)*ROUND(raw_order_lines!J282*100,0)+5)/10)/100</f>
        <v>16.2</v>
      </c>
      <c r="Q282" s="6">
        <f>INT((ROUND(raw_order_lines!I282*10,0)*ROUND(raw_order_lines!J282*100,0)+5)/10)/100</f>
        <v>0</v>
      </c>
      <c r="R282" s="6">
        <f t="shared" si="12"/>
        <v>16.2</v>
      </c>
      <c r="S282" s="2" t="str">
        <f>IF(OR(ROUND(raw_order_lines!I282*10,0)&gt;ROUND(raw_order_lines!H282*10,0),ROUND(raw_order_lines!H282*10,0)&gt;ROUND(raw_order_lines!G282*10,0),ROUND(raw_order_lines!G282*10,0)&lt;=0),"数量关系异常","")</f>
        <v/>
      </c>
      <c r="T282" s="2" t="str">
        <f>IF($F282&lt;&gt;INDEX(dim_products!$D$2:$D$21,MATCH($E282,dim_products!$A$2:$A$21,0)),"单位不一致","")</f>
        <v/>
      </c>
      <c r="U282" s="2" t="str">
        <f>IF(OR(ROUND(raw_order_lines!J282*100,0)&lt;ROUND(INDEX(dim_products!$F$2:$F$21,MATCH($E282,dim_products!$A$2:$A$21,0))*100,0),ROUND(raw_order_lines!J282*100,0)&gt;ROUND(INDEX(dim_products!$G$2:$G$21,MATCH($E282,dim_products!$A$2:$A$21,0))*100,0)),"单价越界","")</f>
        <v/>
      </c>
      <c r="V282" s="2" t="str">
        <f t="shared" si="13"/>
        <v/>
      </c>
      <c r="W282" s="2" t="str">
        <f t="shared" si="14"/>
        <v>通过</v>
      </c>
    </row>
    <row r="283" spans="1:23" ht="15">
      <c r="A283" s="2" t="str">
        <f>raw_order_lines!A283</f>
        <v>SIM-20260909-C003</v>
      </c>
      <c r="B283" s="2">
        <f>raw_order_lines!B283</f>
        <v>1</v>
      </c>
      <c r="C283" s="2" t="str">
        <f>raw_order_lines!C283</f>
        <v>C003</v>
      </c>
      <c r="D283" s="3">
        <f>raw_order_lines!D283</f>
        <v>46274</v>
      </c>
      <c r="E283" s="2" t="str">
        <f>raw_order_lines!E283</f>
        <v>P010</v>
      </c>
      <c r="F283" s="2" t="str">
        <f>raw_order_lines!F283</f>
        <v>公斤</v>
      </c>
      <c r="G283" s="4">
        <f>raw_order_lines!G283</f>
        <v>7.6</v>
      </c>
      <c r="H283" s="4">
        <f>raw_order_lines!H283</f>
        <v>7.4</v>
      </c>
      <c r="I283" s="4">
        <f>raw_order_lines!I283</f>
        <v>0</v>
      </c>
      <c r="J283" s="5">
        <f>raw_order_lines!J283</f>
        <v>5</v>
      </c>
      <c r="K283" s="2" t="str">
        <f>raw_order_lines!K283</f>
        <v>到货不足；按实际交付计费</v>
      </c>
      <c r="L283" s="2" t="str">
        <f>raw_order_lines!L283</f>
        <v>true</v>
      </c>
      <c r="M283" s="2" t="str">
        <f>INDEX(dim_products!$B$2:$B$21,MATCH($E283,dim_products!$A$2:$A$21,0))</f>
        <v>空心菜</v>
      </c>
      <c r="N283" s="2" t="str">
        <f>INDEX(dim_products!$C$2:$C$21,MATCH($E283,dim_products!$A$2:$A$21,0))</f>
        <v>散装鲜菜</v>
      </c>
      <c r="O283" s="2" t="str">
        <f>INDEX(dim_customers!$B$2:$B$7,MATCH($C283,dim_customers!$A$2:$A$7,0))</f>
        <v>模拟_兴街快餐店</v>
      </c>
      <c r="P283" s="6">
        <f>INT((ROUND(raw_order_lines!H283*10,0)*ROUND(raw_order_lines!J283*100,0)+5)/10)/100</f>
        <v>37</v>
      </c>
      <c r="Q283" s="6">
        <f>INT((ROUND(raw_order_lines!I283*10,0)*ROUND(raw_order_lines!J283*100,0)+5)/10)/100</f>
        <v>0</v>
      </c>
      <c r="R283" s="6">
        <f t="shared" si="12"/>
        <v>37</v>
      </c>
      <c r="S283" s="2" t="str">
        <f>IF(OR(ROUND(raw_order_lines!I283*10,0)&gt;ROUND(raw_order_lines!H283*10,0),ROUND(raw_order_lines!H283*10,0)&gt;ROUND(raw_order_lines!G283*10,0),ROUND(raw_order_lines!G283*10,0)&lt;=0),"数量关系异常","")</f>
        <v/>
      </c>
      <c r="T283" s="2" t="str">
        <f>IF($F283&lt;&gt;INDEX(dim_products!$D$2:$D$21,MATCH($E283,dim_products!$A$2:$A$21,0)),"单位不一致","")</f>
        <v/>
      </c>
      <c r="U283" s="2" t="str">
        <f>IF(OR(ROUND(raw_order_lines!J283*100,0)&lt;ROUND(INDEX(dim_products!$F$2:$F$21,MATCH($E283,dim_products!$A$2:$A$21,0))*100,0),ROUND(raw_order_lines!J283*100,0)&gt;ROUND(INDEX(dim_products!$G$2:$G$21,MATCH($E283,dim_products!$A$2:$A$21,0))*100,0)),"单价越界","")</f>
        <v/>
      </c>
      <c r="V283" s="2" t="str">
        <f t="shared" si="13"/>
        <v/>
      </c>
      <c r="W283" s="2" t="str">
        <f t="shared" si="14"/>
        <v>通过</v>
      </c>
    </row>
    <row r="284" spans="1:23" ht="15">
      <c r="A284" s="2" t="str">
        <f>raw_order_lines!A284</f>
        <v>SIM-20260909-C003</v>
      </c>
      <c r="B284" s="2">
        <f>raw_order_lines!B284</f>
        <v>2</v>
      </c>
      <c r="C284" s="2" t="str">
        <f>raw_order_lines!C284</f>
        <v>C003</v>
      </c>
      <c r="D284" s="3">
        <f>raw_order_lines!D284</f>
        <v>46274</v>
      </c>
      <c r="E284" s="2" t="str">
        <f>raw_order_lines!E284</f>
        <v>P001</v>
      </c>
      <c r="F284" s="2" t="str">
        <f>raw_order_lines!F284</f>
        <v>公斤</v>
      </c>
      <c r="G284" s="4">
        <f>raw_order_lines!G284</f>
        <v>4.0999999999999996</v>
      </c>
      <c r="H284" s="4">
        <f>raw_order_lines!H284</f>
        <v>4.0999999999999996</v>
      </c>
      <c r="I284" s="4">
        <f>raw_order_lines!I284</f>
        <v>0</v>
      </c>
      <c r="J284" s="5">
        <f>raw_order_lines!J284</f>
        <v>3.3</v>
      </c>
      <c r="K284" s="2" t="str">
        <f>raw_order_lines!K284</f>
        <v>正常交付</v>
      </c>
      <c r="L284" s="2" t="str">
        <f>raw_order_lines!L284</f>
        <v>true</v>
      </c>
      <c r="M284" s="2" t="str">
        <f>INDEX(dim_products!$B$2:$B$21,MATCH($E284,dim_products!$A$2:$A$21,0))</f>
        <v>土豆</v>
      </c>
      <c r="N284" s="2" t="str">
        <f>INDEX(dim_products!$C$2:$C$21,MATCH($E284,dim_products!$A$2:$A$21,0))</f>
        <v>散装鲜菜</v>
      </c>
      <c r="O284" s="2" t="str">
        <f>INDEX(dim_customers!$B$2:$B$7,MATCH($C284,dim_customers!$A$2:$A$7,0))</f>
        <v>模拟_兴街快餐店</v>
      </c>
      <c r="P284" s="6">
        <f>INT((ROUND(raw_order_lines!H284*10,0)*ROUND(raw_order_lines!J284*100,0)+5)/10)/100</f>
        <v>13.53</v>
      </c>
      <c r="Q284" s="6">
        <f>INT((ROUND(raw_order_lines!I284*10,0)*ROUND(raw_order_lines!J284*100,0)+5)/10)/100</f>
        <v>0</v>
      </c>
      <c r="R284" s="6">
        <f t="shared" si="12"/>
        <v>13.53</v>
      </c>
      <c r="S284" s="2" t="str">
        <f>IF(OR(ROUND(raw_order_lines!I284*10,0)&gt;ROUND(raw_order_lines!H284*10,0),ROUND(raw_order_lines!H284*10,0)&gt;ROUND(raw_order_lines!G284*10,0),ROUND(raw_order_lines!G284*10,0)&lt;=0),"数量关系异常","")</f>
        <v/>
      </c>
      <c r="T284" s="2" t="str">
        <f>IF($F284&lt;&gt;INDEX(dim_products!$D$2:$D$21,MATCH($E284,dim_products!$A$2:$A$21,0)),"单位不一致","")</f>
        <v/>
      </c>
      <c r="U284" s="2" t="str">
        <f>IF(OR(ROUND(raw_order_lines!J284*100,0)&lt;ROUND(INDEX(dim_products!$F$2:$F$21,MATCH($E284,dim_products!$A$2:$A$21,0))*100,0),ROUND(raw_order_lines!J284*100,0)&gt;ROUND(INDEX(dim_products!$G$2:$G$21,MATCH($E284,dim_products!$A$2:$A$21,0))*100,0)),"单价越界","")</f>
        <v/>
      </c>
      <c r="V284" s="2" t="str">
        <f t="shared" si="13"/>
        <v/>
      </c>
      <c r="W284" s="2" t="str">
        <f t="shared" si="14"/>
        <v>通过</v>
      </c>
    </row>
    <row r="285" spans="1:23" ht="15">
      <c r="A285" s="2" t="str">
        <f>raw_order_lines!A285</f>
        <v>SIM-20260909-C003</v>
      </c>
      <c r="B285" s="2">
        <f>raw_order_lines!B285</f>
        <v>3</v>
      </c>
      <c r="C285" s="2" t="str">
        <f>raw_order_lines!C285</f>
        <v>C003</v>
      </c>
      <c r="D285" s="3">
        <f>raw_order_lines!D285</f>
        <v>46274</v>
      </c>
      <c r="E285" s="2" t="str">
        <f>raw_order_lines!E285</f>
        <v>P007</v>
      </c>
      <c r="F285" s="2" t="str">
        <f>raw_order_lines!F285</f>
        <v>公斤</v>
      </c>
      <c r="G285" s="4">
        <f>raw_order_lines!G285</f>
        <v>4.7</v>
      </c>
      <c r="H285" s="4">
        <f>raw_order_lines!H285</f>
        <v>4.7</v>
      </c>
      <c r="I285" s="4">
        <f>raw_order_lines!I285</f>
        <v>0</v>
      </c>
      <c r="J285" s="5">
        <f>raw_order_lines!J285</f>
        <v>5.45</v>
      </c>
      <c r="K285" s="2" t="str">
        <f>raw_order_lines!K285</f>
        <v>正常交付</v>
      </c>
      <c r="L285" s="2" t="str">
        <f>raw_order_lines!L285</f>
        <v>true</v>
      </c>
      <c r="M285" s="2" t="str">
        <f>INDEX(dim_products!$B$2:$B$21,MATCH($E285,dim_products!$A$2:$A$21,0))</f>
        <v>青椒</v>
      </c>
      <c r="N285" s="2" t="str">
        <f>INDEX(dim_products!$C$2:$C$21,MATCH($E285,dim_products!$A$2:$A$21,0))</f>
        <v>散装鲜菜</v>
      </c>
      <c r="O285" s="2" t="str">
        <f>INDEX(dim_customers!$B$2:$B$7,MATCH($C285,dim_customers!$A$2:$A$7,0))</f>
        <v>模拟_兴街快餐店</v>
      </c>
      <c r="P285" s="6">
        <f>INT((ROUND(raw_order_lines!H285*10,0)*ROUND(raw_order_lines!J285*100,0)+5)/10)/100</f>
        <v>25.62</v>
      </c>
      <c r="Q285" s="6">
        <f>INT((ROUND(raw_order_lines!I285*10,0)*ROUND(raw_order_lines!J285*100,0)+5)/10)/100</f>
        <v>0</v>
      </c>
      <c r="R285" s="6">
        <f t="shared" si="12"/>
        <v>25.62</v>
      </c>
      <c r="S285" s="2" t="str">
        <f>IF(OR(ROUND(raw_order_lines!I285*10,0)&gt;ROUND(raw_order_lines!H285*10,0),ROUND(raw_order_lines!H285*10,0)&gt;ROUND(raw_order_lines!G285*10,0),ROUND(raw_order_lines!G285*10,0)&lt;=0),"数量关系异常","")</f>
        <v/>
      </c>
      <c r="T285" s="2" t="str">
        <f>IF($F285&lt;&gt;INDEX(dim_products!$D$2:$D$21,MATCH($E285,dim_products!$A$2:$A$21,0)),"单位不一致","")</f>
        <v/>
      </c>
      <c r="U285" s="2" t="str">
        <f>IF(OR(ROUND(raw_order_lines!J285*100,0)&lt;ROUND(INDEX(dim_products!$F$2:$F$21,MATCH($E285,dim_products!$A$2:$A$21,0))*100,0),ROUND(raw_order_lines!J285*100,0)&gt;ROUND(INDEX(dim_products!$G$2:$G$21,MATCH($E285,dim_products!$A$2:$A$21,0))*100,0)),"单价越界","")</f>
        <v/>
      </c>
      <c r="V285" s="2" t="str">
        <f t="shared" si="13"/>
        <v/>
      </c>
      <c r="W285" s="2" t="str">
        <f t="shared" si="14"/>
        <v>通过</v>
      </c>
    </row>
    <row r="286" spans="1:23" ht="15">
      <c r="A286" s="2" t="str">
        <f>raw_order_lines!A286</f>
        <v>SIM-20260909-C003</v>
      </c>
      <c r="B286" s="2">
        <f>raw_order_lines!B286</f>
        <v>4</v>
      </c>
      <c r="C286" s="2" t="str">
        <f>raw_order_lines!C286</f>
        <v>C003</v>
      </c>
      <c r="D286" s="3">
        <f>raw_order_lines!D286</f>
        <v>46274</v>
      </c>
      <c r="E286" s="2" t="str">
        <f>raw_order_lines!E286</f>
        <v>P004</v>
      </c>
      <c r="F286" s="2" t="str">
        <f>raw_order_lines!F286</f>
        <v>公斤</v>
      </c>
      <c r="G286" s="4">
        <f>raw_order_lines!G286</f>
        <v>6.5</v>
      </c>
      <c r="H286" s="4">
        <f>raw_order_lines!H286</f>
        <v>6.5</v>
      </c>
      <c r="I286" s="4">
        <f>raw_order_lines!I286</f>
        <v>0</v>
      </c>
      <c r="J286" s="5">
        <f>raw_order_lines!J286</f>
        <v>2.7</v>
      </c>
      <c r="K286" s="2" t="str">
        <f>raw_order_lines!K286</f>
        <v>正常交付</v>
      </c>
      <c r="L286" s="2" t="str">
        <f>raw_order_lines!L286</f>
        <v>true</v>
      </c>
      <c r="M286" s="2" t="str">
        <f>INDEX(dim_products!$B$2:$B$21,MATCH($E286,dim_products!$A$2:$A$21,0))</f>
        <v>冬瓜</v>
      </c>
      <c r="N286" s="2" t="str">
        <f>INDEX(dim_products!$C$2:$C$21,MATCH($E286,dim_products!$A$2:$A$21,0))</f>
        <v>散装鲜菜</v>
      </c>
      <c r="O286" s="2" t="str">
        <f>INDEX(dim_customers!$B$2:$B$7,MATCH($C286,dim_customers!$A$2:$A$7,0))</f>
        <v>模拟_兴街快餐店</v>
      </c>
      <c r="P286" s="6">
        <f>INT((ROUND(raw_order_lines!H286*10,0)*ROUND(raw_order_lines!J286*100,0)+5)/10)/100</f>
        <v>17.55</v>
      </c>
      <c r="Q286" s="6">
        <f>INT((ROUND(raw_order_lines!I286*10,0)*ROUND(raw_order_lines!J286*100,0)+5)/10)/100</f>
        <v>0</v>
      </c>
      <c r="R286" s="6">
        <f t="shared" si="12"/>
        <v>17.55</v>
      </c>
      <c r="S286" s="2" t="str">
        <f>IF(OR(ROUND(raw_order_lines!I286*10,0)&gt;ROUND(raw_order_lines!H286*10,0),ROUND(raw_order_lines!H286*10,0)&gt;ROUND(raw_order_lines!G286*10,0),ROUND(raw_order_lines!G286*10,0)&lt;=0),"数量关系异常","")</f>
        <v/>
      </c>
      <c r="T286" s="2" t="str">
        <f>IF($F286&lt;&gt;INDEX(dim_products!$D$2:$D$21,MATCH($E286,dim_products!$A$2:$A$21,0)),"单位不一致","")</f>
        <v/>
      </c>
      <c r="U286" s="2" t="str">
        <f>IF(OR(ROUND(raw_order_lines!J286*100,0)&lt;ROUND(INDEX(dim_products!$F$2:$F$21,MATCH($E286,dim_products!$A$2:$A$21,0))*100,0),ROUND(raw_order_lines!J286*100,0)&gt;ROUND(INDEX(dim_products!$G$2:$G$21,MATCH($E286,dim_products!$A$2:$A$21,0))*100,0)),"单价越界","")</f>
        <v/>
      </c>
      <c r="V286" s="2" t="str">
        <f t="shared" si="13"/>
        <v/>
      </c>
      <c r="W286" s="2" t="str">
        <f t="shared" si="14"/>
        <v>通过</v>
      </c>
    </row>
    <row r="287" spans="1:23" ht="15">
      <c r="A287" s="2" t="str">
        <f>raw_order_lines!A287</f>
        <v>SIM-20260909-C003</v>
      </c>
      <c r="B287" s="2">
        <f>raw_order_lines!B287</f>
        <v>5</v>
      </c>
      <c r="C287" s="2" t="str">
        <f>raw_order_lines!C287</f>
        <v>C003</v>
      </c>
      <c r="D287" s="3">
        <f>raw_order_lines!D287</f>
        <v>46274</v>
      </c>
      <c r="E287" s="2" t="str">
        <f>raw_order_lines!E287</f>
        <v>P003</v>
      </c>
      <c r="F287" s="2" t="str">
        <f>raw_order_lines!F287</f>
        <v>公斤</v>
      </c>
      <c r="G287" s="4">
        <f>raw_order_lines!G287</f>
        <v>7.1</v>
      </c>
      <c r="H287" s="4">
        <f>raw_order_lines!H287</f>
        <v>7.1</v>
      </c>
      <c r="I287" s="4">
        <f>raw_order_lines!I287</f>
        <v>0</v>
      </c>
      <c r="J287" s="5">
        <f>raw_order_lines!J287</f>
        <v>2.9</v>
      </c>
      <c r="K287" s="2" t="str">
        <f>raw_order_lines!K287</f>
        <v>正常交付</v>
      </c>
      <c r="L287" s="2" t="str">
        <f>raw_order_lines!L287</f>
        <v>true</v>
      </c>
      <c r="M287" s="2" t="str">
        <f>INDEX(dim_products!$B$2:$B$21,MATCH($E287,dim_products!$A$2:$A$21,0))</f>
        <v>包菜</v>
      </c>
      <c r="N287" s="2" t="str">
        <f>INDEX(dim_products!$C$2:$C$21,MATCH($E287,dim_products!$A$2:$A$21,0))</f>
        <v>散装鲜菜</v>
      </c>
      <c r="O287" s="2" t="str">
        <f>INDEX(dim_customers!$B$2:$B$7,MATCH($C287,dim_customers!$A$2:$A$7,0))</f>
        <v>模拟_兴街快餐店</v>
      </c>
      <c r="P287" s="6">
        <f>INT((ROUND(raw_order_lines!H287*10,0)*ROUND(raw_order_lines!J287*100,0)+5)/10)/100</f>
        <v>20.59</v>
      </c>
      <c r="Q287" s="6">
        <f>INT((ROUND(raw_order_lines!I287*10,0)*ROUND(raw_order_lines!J287*100,0)+5)/10)/100</f>
        <v>0</v>
      </c>
      <c r="R287" s="6">
        <f t="shared" si="12"/>
        <v>20.59</v>
      </c>
      <c r="S287" s="2" t="str">
        <f>IF(OR(ROUND(raw_order_lines!I287*10,0)&gt;ROUND(raw_order_lines!H287*10,0),ROUND(raw_order_lines!H287*10,0)&gt;ROUND(raw_order_lines!G287*10,0),ROUND(raw_order_lines!G287*10,0)&lt;=0),"数量关系异常","")</f>
        <v/>
      </c>
      <c r="T287" s="2" t="str">
        <f>IF($F287&lt;&gt;INDEX(dim_products!$D$2:$D$21,MATCH($E287,dim_products!$A$2:$A$21,0)),"单位不一致","")</f>
        <v/>
      </c>
      <c r="U287" s="2" t="str">
        <f>IF(OR(ROUND(raw_order_lines!J287*100,0)&lt;ROUND(INDEX(dim_products!$F$2:$F$21,MATCH($E287,dim_products!$A$2:$A$21,0))*100,0),ROUND(raw_order_lines!J287*100,0)&gt;ROUND(INDEX(dim_products!$G$2:$G$21,MATCH($E287,dim_products!$A$2:$A$21,0))*100,0)),"单价越界","")</f>
        <v/>
      </c>
      <c r="V287" s="2" t="str">
        <f t="shared" si="13"/>
        <v/>
      </c>
      <c r="W287" s="2" t="str">
        <f t="shared" si="14"/>
        <v>通过</v>
      </c>
    </row>
    <row r="288" spans="1:23" ht="15">
      <c r="A288" s="2" t="str">
        <f>raw_order_lines!A288</f>
        <v>SIM-20260909-C003</v>
      </c>
      <c r="B288" s="2">
        <f>raw_order_lines!B288</f>
        <v>6</v>
      </c>
      <c r="C288" s="2" t="str">
        <f>raw_order_lines!C288</f>
        <v>C003</v>
      </c>
      <c r="D288" s="3">
        <f>raw_order_lines!D288</f>
        <v>46274</v>
      </c>
      <c r="E288" s="2" t="str">
        <f>raw_order_lines!E288</f>
        <v>P006</v>
      </c>
      <c r="F288" s="2" t="str">
        <f>raw_order_lines!F288</f>
        <v>公斤</v>
      </c>
      <c r="G288" s="4">
        <f>raw_order_lines!G288</f>
        <v>8.1999999999999993</v>
      </c>
      <c r="H288" s="4">
        <f>raw_order_lines!H288</f>
        <v>8.1999999999999993</v>
      </c>
      <c r="I288" s="4">
        <f>raw_order_lines!I288</f>
        <v>0</v>
      </c>
      <c r="J288" s="5">
        <f>raw_order_lines!J288</f>
        <v>4.8</v>
      </c>
      <c r="K288" s="2" t="str">
        <f>raw_order_lines!K288</f>
        <v>正常交付</v>
      </c>
      <c r="L288" s="2" t="str">
        <f>raw_order_lines!L288</f>
        <v>true</v>
      </c>
      <c r="M288" s="2" t="str">
        <f>INDEX(dim_products!$B$2:$B$21,MATCH($E288,dim_products!$A$2:$A$21,0))</f>
        <v>茄子</v>
      </c>
      <c r="N288" s="2" t="str">
        <f>INDEX(dim_products!$C$2:$C$21,MATCH($E288,dim_products!$A$2:$A$21,0))</f>
        <v>散装鲜菜</v>
      </c>
      <c r="O288" s="2" t="str">
        <f>INDEX(dim_customers!$B$2:$B$7,MATCH($C288,dim_customers!$A$2:$A$7,0))</f>
        <v>模拟_兴街快餐店</v>
      </c>
      <c r="P288" s="6">
        <f>INT((ROUND(raw_order_lines!H288*10,0)*ROUND(raw_order_lines!J288*100,0)+5)/10)/100</f>
        <v>39.36</v>
      </c>
      <c r="Q288" s="6">
        <f>INT((ROUND(raw_order_lines!I288*10,0)*ROUND(raw_order_lines!J288*100,0)+5)/10)/100</f>
        <v>0</v>
      </c>
      <c r="R288" s="6">
        <f t="shared" si="12"/>
        <v>39.36</v>
      </c>
      <c r="S288" s="2" t="str">
        <f>IF(OR(ROUND(raw_order_lines!I288*10,0)&gt;ROUND(raw_order_lines!H288*10,0),ROUND(raw_order_lines!H288*10,0)&gt;ROUND(raw_order_lines!G288*10,0),ROUND(raw_order_lines!G288*10,0)&lt;=0),"数量关系异常","")</f>
        <v/>
      </c>
      <c r="T288" s="2" t="str">
        <f>IF($F288&lt;&gt;INDEX(dim_products!$D$2:$D$21,MATCH($E288,dim_products!$A$2:$A$21,0)),"单位不一致","")</f>
        <v/>
      </c>
      <c r="U288" s="2" t="str">
        <f>IF(OR(ROUND(raw_order_lines!J288*100,0)&lt;ROUND(INDEX(dim_products!$F$2:$F$21,MATCH($E288,dim_products!$A$2:$A$21,0))*100,0),ROUND(raw_order_lines!J288*100,0)&gt;ROUND(INDEX(dim_products!$G$2:$G$21,MATCH($E288,dim_products!$A$2:$A$21,0))*100,0)),"单价越界","")</f>
        <v/>
      </c>
      <c r="V288" s="2" t="str">
        <f t="shared" si="13"/>
        <v/>
      </c>
      <c r="W288" s="2" t="str">
        <f t="shared" si="14"/>
        <v>通过</v>
      </c>
    </row>
    <row r="289" spans="1:23" ht="15">
      <c r="A289" s="2" t="str">
        <f>raw_order_lines!A289</f>
        <v>SIM-20260909-C005</v>
      </c>
      <c r="B289" s="2">
        <f>raw_order_lines!B289</f>
        <v>1</v>
      </c>
      <c r="C289" s="2" t="str">
        <f>raw_order_lines!C289</f>
        <v>C005</v>
      </c>
      <c r="D289" s="3">
        <f>raw_order_lines!D289</f>
        <v>46274</v>
      </c>
      <c r="E289" s="2" t="str">
        <f>raw_order_lines!E289</f>
        <v>P011</v>
      </c>
      <c r="F289" s="2" t="str">
        <f>raw_order_lines!F289</f>
        <v>公斤</v>
      </c>
      <c r="G289" s="4">
        <f>raw_order_lines!G289</f>
        <v>12.8</v>
      </c>
      <c r="H289" s="4">
        <f>raw_order_lines!H289</f>
        <v>12.8</v>
      </c>
      <c r="I289" s="4">
        <f>raw_order_lines!I289</f>
        <v>0</v>
      </c>
      <c r="J289" s="5">
        <f>raw_order_lines!J289</f>
        <v>4.3</v>
      </c>
      <c r="K289" s="2" t="str">
        <f>raw_order_lines!K289</f>
        <v>正常交付</v>
      </c>
      <c r="L289" s="2" t="str">
        <f>raw_order_lines!L289</f>
        <v>true</v>
      </c>
      <c r="M289" s="2" t="str">
        <f>INDEX(dim_products!$B$2:$B$21,MATCH($E289,dim_products!$A$2:$A$21,0))</f>
        <v>红薯叶</v>
      </c>
      <c r="N289" s="2" t="str">
        <f>INDEX(dim_products!$C$2:$C$21,MATCH($E289,dim_products!$A$2:$A$21,0))</f>
        <v>散装鲜菜</v>
      </c>
      <c r="O289" s="2" t="str">
        <f>INDEX(dim_customers!$B$2:$B$7,MATCH($C289,dim_customers!$A$2:$A$7,0))</f>
        <v>模拟_青禾小学食堂</v>
      </c>
      <c r="P289" s="6">
        <f>INT((ROUND(raw_order_lines!H289*10,0)*ROUND(raw_order_lines!J289*100,0)+5)/10)/100</f>
        <v>55.04</v>
      </c>
      <c r="Q289" s="6">
        <f>INT((ROUND(raw_order_lines!I289*10,0)*ROUND(raw_order_lines!J289*100,0)+5)/10)/100</f>
        <v>0</v>
      </c>
      <c r="R289" s="6">
        <f t="shared" si="12"/>
        <v>55.04</v>
      </c>
      <c r="S289" s="2" t="str">
        <f>IF(OR(ROUND(raw_order_lines!I289*10,0)&gt;ROUND(raw_order_lines!H289*10,0),ROUND(raw_order_lines!H289*10,0)&gt;ROUND(raw_order_lines!G289*10,0),ROUND(raw_order_lines!G289*10,0)&lt;=0),"数量关系异常","")</f>
        <v/>
      </c>
      <c r="T289" s="2" t="str">
        <f>IF($F289&lt;&gt;INDEX(dim_products!$D$2:$D$21,MATCH($E289,dim_products!$A$2:$A$21,0)),"单位不一致","")</f>
        <v/>
      </c>
      <c r="U289" s="2" t="str">
        <f>IF(OR(ROUND(raw_order_lines!J289*100,0)&lt;ROUND(INDEX(dim_products!$F$2:$F$21,MATCH($E289,dim_products!$A$2:$A$21,0))*100,0),ROUND(raw_order_lines!J289*100,0)&gt;ROUND(INDEX(dim_products!$G$2:$G$21,MATCH($E289,dim_products!$A$2:$A$21,0))*100,0)),"单价越界","")</f>
        <v/>
      </c>
      <c r="V289" s="2" t="str">
        <f t="shared" si="13"/>
        <v/>
      </c>
      <c r="W289" s="2" t="str">
        <f t="shared" si="14"/>
        <v>通过</v>
      </c>
    </row>
    <row r="290" spans="1:23" ht="15">
      <c r="A290" s="2" t="str">
        <f>raw_order_lines!A290</f>
        <v>SIM-20260909-C005</v>
      </c>
      <c r="B290" s="2">
        <f>raw_order_lines!B290</f>
        <v>2</v>
      </c>
      <c r="C290" s="2" t="str">
        <f>raw_order_lines!C290</f>
        <v>C005</v>
      </c>
      <c r="D290" s="3">
        <f>raw_order_lines!D290</f>
        <v>46274</v>
      </c>
      <c r="E290" s="2" t="str">
        <f>raw_order_lines!E290</f>
        <v>P008</v>
      </c>
      <c r="F290" s="2" t="str">
        <f>raw_order_lines!F290</f>
        <v>公斤</v>
      </c>
      <c r="G290" s="4">
        <f>raw_order_lines!G290</f>
        <v>8.1999999999999993</v>
      </c>
      <c r="H290" s="4">
        <f>raw_order_lines!H290</f>
        <v>8.1999999999999993</v>
      </c>
      <c r="I290" s="4">
        <f>raw_order_lines!I290</f>
        <v>0</v>
      </c>
      <c r="J290" s="5">
        <f>raw_order_lines!J290</f>
        <v>4.4000000000000004</v>
      </c>
      <c r="K290" s="2" t="str">
        <f>raw_order_lines!K290</f>
        <v>正常交付</v>
      </c>
      <c r="L290" s="2" t="str">
        <f>raw_order_lines!L290</f>
        <v>true</v>
      </c>
      <c r="M290" s="2" t="str">
        <f>INDEX(dim_products!$B$2:$B$21,MATCH($E290,dim_products!$A$2:$A$21,0))</f>
        <v>黄瓜</v>
      </c>
      <c r="N290" s="2" t="str">
        <f>INDEX(dim_products!$C$2:$C$21,MATCH($E290,dim_products!$A$2:$A$21,0))</f>
        <v>散装鲜菜</v>
      </c>
      <c r="O290" s="2" t="str">
        <f>INDEX(dim_customers!$B$2:$B$7,MATCH($C290,dim_customers!$A$2:$A$7,0))</f>
        <v>模拟_青禾小学食堂</v>
      </c>
      <c r="P290" s="6">
        <f>INT((ROUND(raw_order_lines!H290*10,0)*ROUND(raw_order_lines!J290*100,0)+5)/10)/100</f>
        <v>36.08</v>
      </c>
      <c r="Q290" s="6">
        <f>INT((ROUND(raw_order_lines!I290*10,0)*ROUND(raw_order_lines!J290*100,0)+5)/10)/100</f>
        <v>0</v>
      </c>
      <c r="R290" s="6">
        <f t="shared" si="12"/>
        <v>36.08</v>
      </c>
      <c r="S290" s="2" t="str">
        <f>IF(OR(ROUND(raw_order_lines!I290*10,0)&gt;ROUND(raw_order_lines!H290*10,0),ROUND(raw_order_lines!H290*10,0)&gt;ROUND(raw_order_lines!G290*10,0),ROUND(raw_order_lines!G290*10,0)&lt;=0),"数量关系异常","")</f>
        <v/>
      </c>
      <c r="T290" s="2" t="str">
        <f>IF($F290&lt;&gt;INDEX(dim_products!$D$2:$D$21,MATCH($E290,dim_products!$A$2:$A$21,0)),"单位不一致","")</f>
        <v/>
      </c>
      <c r="U290" s="2" t="str">
        <f>IF(OR(ROUND(raw_order_lines!J290*100,0)&lt;ROUND(INDEX(dim_products!$F$2:$F$21,MATCH($E290,dim_products!$A$2:$A$21,0))*100,0),ROUND(raw_order_lines!J290*100,0)&gt;ROUND(INDEX(dim_products!$G$2:$G$21,MATCH($E290,dim_products!$A$2:$A$21,0))*100,0)),"单价越界","")</f>
        <v/>
      </c>
      <c r="V290" s="2" t="str">
        <f t="shared" si="13"/>
        <v/>
      </c>
      <c r="W290" s="2" t="str">
        <f t="shared" si="14"/>
        <v>通过</v>
      </c>
    </row>
    <row r="291" spans="1:23" ht="15">
      <c r="A291" s="2" t="str">
        <f>raw_order_lines!A291</f>
        <v>SIM-20260909-C005</v>
      </c>
      <c r="B291" s="2">
        <f>raw_order_lines!B291</f>
        <v>3</v>
      </c>
      <c r="C291" s="2" t="str">
        <f>raw_order_lines!C291</f>
        <v>C005</v>
      </c>
      <c r="D291" s="3">
        <f>raw_order_lines!D291</f>
        <v>46274</v>
      </c>
      <c r="E291" s="2" t="str">
        <f>raw_order_lines!E291</f>
        <v>P013</v>
      </c>
      <c r="F291" s="2" t="str">
        <f>raw_order_lines!F291</f>
        <v>公斤</v>
      </c>
      <c r="G291" s="4">
        <f>raw_order_lines!G291</f>
        <v>11.9</v>
      </c>
      <c r="H291" s="4">
        <f>raw_order_lines!H291</f>
        <v>11.9</v>
      </c>
      <c r="I291" s="4">
        <f>raw_order_lines!I291</f>
        <v>0</v>
      </c>
      <c r="J291" s="5">
        <f>raw_order_lines!J291</f>
        <v>6</v>
      </c>
      <c r="K291" s="2" t="str">
        <f>raw_order_lines!K291</f>
        <v>正常交付</v>
      </c>
      <c r="L291" s="2" t="str">
        <f>raw_order_lines!L291</f>
        <v>true</v>
      </c>
      <c r="M291" s="2" t="str">
        <f>INDEX(dim_products!$B$2:$B$21,MATCH($E291,dim_products!$A$2:$A$21,0))</f>
        <v>豇豆</v>
      </c>
      <c r="N291" s="2" t="str">
        <f>INDEX(dim_products!$C$2:$C$21,MATCH($E291,dim_products!$A$2:$A$21,0))</f>
        <v>散装鲜菜</v>
      </c>
      <c r="O291" s="2" t="str">
        <f>INDEX(dim_customers!$B$2:$B$7,MATCH($C291,dim_customers!$A$2:$A$7,0))</f>
        <v>模拟_青禾小学食堂</v>
      </c>
      <c r="P291" s="6">
        <f>INT((ROUND(raw_order_lines!H291*10,0)*ROUND(raw_order_lines!J291*100,0)+5)/10)/100</f>
        <v>71.400000000000006</v>
      </c>
      <c r="Q291" s="6">
        <f>INT((ROUND(raw_order_lines!I291*10,0)*ROUND(raw_order_lines!J291*100,0)+5)/10)/100</f>
        <v>0</v>
      </c>
      <c r="R291" s="6">
        <f t="shared" si="12"/>
        <v>71.400000000000006</v>
      </c>
      <c r="S291" s="2" t="str">
        <f>IF(OR(ROUND(raw_order_lines!I291*10,0)&gt;ROUND(raw_order_lines!H291*10,0),ROUND(raw_order_lines!H291*10,0)&gt;ROUND(raw_order_lines!G291*10,0),ROUND(raw_order_lines!G291*10,0)&lt;=0),"数量关系异常","")</f>
        <v/>
      </c>
      <c r="T291" s="2" t="str">
        <f>IF($F291&lt;&gt;INDEX(dim_products!$D$2:$D$21,MATCH($E291,dim_products!$A$2:$A$21,0)),"单位不一致","")</f>
        <v/>
      </c>
      <c r="U291" s="2" t="str">
        <f>IF(OR(ROUND(raw_order_lines!J291*100,0)&lt;ROUND(INDEX(dim_products!$F$2:$F$21,MATCH($E291,dim_products!$A$2:$A$21,0))*100,0),ROUND(raw_order_lines!J291*100,0)&gt;ROUND(INDEX(dim_products!$G$2:$G$21,MATCH($E291,dim_products!$A$2:$A$21,0))*100,0)),"单价越界","")</f>
        <v/>
      </c>
      <c r="V291" s="2" t="str">
        <f t="shared" si="13"/>
        <v/>
      </c>
      <c r="W291" s="2" t="str">
        <f t="shared" si="14"/>
        <v>通过</v>
      </c>
    </row>
    <row r="292" spans="1:23" ht="15">
      <c r="A292" s="2" t="str">
        <f>raw_order_lines!A292</f>
        <v>SIM-20260909-C005</v>
      </c>
      <c r="B292" s="2">
        <f>raw_order_lines!B292</f>
        <v>4</v>
      </c>
      <c r="C292" s="2" t="str">
        <f>raw_order_lines!C292</f>
        <v>C005</v>
      </c>
      <c r="D292" s="3">
        <f>raw_order_lines!D292</f>
        <v>46274</v>
      </c>
      <c r="E292" s="2" t="str">
        <f>raw_order_lines!E292</f>
        <v>P004</v>
      </c>
      <c r="F292" s="2" t="str">
        <f>raw_order_lines!F292</f>
        <v>公斤</v>
      </c>
      <c r="G292" s="4">
        <f>raw_order_lines!G292</f>
        <v>8.1999999999999993</v>
      </c>
      <c r="H292" s="4">
        <f>raw_order_lines!H292</f>
        <v>8.1999999999999993</v>
      </c>
      <c r="I292" s="4">
        <f>raw_order_lines!I292</f>
        <v>0</v>
      </c>
      <c r="J292" s="5">
        <f>raw_order_lines!J292</f>
        <v>2.7</v>
      </c>
      <c r="K292" s="2" t="str">
        <f>raw_order_lines!K292</f>
        <v>正常交付</v>
      </c>
      <c r="L292" s="2" t="str">
        <f>raw_order_lines!L292</f>
        <v>true</v>
      </c>
      <c r="M292" s="2" t="str">
        <f>INDEX(dim_products!$B$2:$B$21,MATCH($E292,dim_products!$A$2:$A$21,0))</f>
        <v>冬瓜</v>
      </c>
      <c r="N292" s="2" t="str">
        <f>INDEX(dim_products!$C$2:$C$21,MATCH($E292,dim_products!$A$2:$A$21,0))</f>
        <v>散装鲜菜</v>
      </c>
      <c r="O292" s="2" t="str">
        <f>INDEX(dim_customers!$B$2:$B$7,MATCH($C292,dim_customers!$A$2:$A$7,0))</f>
        <v>模拟_青禾小学食堂</v>
      </c>
      <c r="P292" s="6">
        <f>INT((ROUND(raw_order_lines!H292*10,0)*ROUND(raw_order_lines!J292*100,0)+5)/10)/100</f>
        <v>22.14</v>
      </c>
      <c r="Q292" s="6">
        <f>INT((ROUND(raw_order_lines!I292*10,0)*ROUND(raw_order_lines!J292*100,0)+5)/10)/100</f>
        <v>0</v>
      </c>
      <c r="R292" s="6">
        <f t="shared" si="12"/>
        <v>22.14</v>
      </c>
      <c r="S292" s="2" t="str">
        <f>IF(OR(ROUND(raw_order_lines!I292*10,0)&gt;ROUND(raw_order_lines!H292*10,0),ROUND(raw_order_lines!H292*10,0)&gt;ROUND(raw_order_lines!G292*10,0),ROUND(raw_order_lines!G292*10,0)&lt;=0),"数量关系异常","")</f>
        <v/>
      </c>
      <c r="T292" s="2" t="str">
        <f>IF($F292&lt;&gt;INDEX(dim_products!$D$2:$D$21,MATCH($E292,dim_products!$A$2:$A$21,0)),"单位不一致","")</f>
        <v/>
      </c>
      <c r="U292" s="2" t="str">
        <f>IF(OR(ROUND(raw_order_lines!J292*100,0)&lt;ROUND(INDEX(dim_products!$F$2:$F$21,MATCH($E292,dim_products!$A$2:$A$21,0))*100,0),ROUND(raw_order_lines!J292*100,0)&gt;ROUND(INDEX(dim_products!$G$2:$G$21,MATCH($E292,dim_products!$A$2:$A$21,0))*100,0)),"单价越界","")</f>
        <v/>
      </c>
      <c r="V292" s="2" t="str">
        <f t="shared" si="13"/>
        <v/>
      </c>
      <c r="W292" s="2" t="str">
        <f t="shared" si="14"/>
        <v>通过</v>
      </c>
    </row>
    <row r="293" spans="1:23" ht="15">
      <c r="A293" s="2" t="str">
        <f>raw_order_lines!A293</f>
        <v>SIM-20260909-C005</v>
      </c>
      <c r="B293" s="2">
        <f>raw_order_lines!B293</f>
        <v>5</v>
      </c>
      <c r="C293" s="2" t="str">
        <f>raw_order_lines!C293</f>
        <v>C005</v>
      </c>
      <c r="D293" s="3">
        <f>raw_order_lines!D293</f>
        <v>46274</v>
      </c>
      <c r="E293" s="2" t="str">
        <f>raw_order_lines!E293</f>
        <v>P002</v>
      </c>
      <c r="F293" s="2" t="str">
        <f>raw_order_lines!F293</f>
        <v>公斤</v>
      </c>
      <c r="G293" s="4">
        <f>raw_order_lines!G293</f>
        <v>7.3</v>
      </c>
      <c r="H293" s="4">
        <f>raw_order_lines!H293</f>
        <v>7.3</v>
      </c>
      <c r="I293" s="4">
        <f>raw_order_lines!I293</f>
        <v>0</v>
      </c>
      <c r="J293" s="5">
        <f>raw_order_lines!J293</f>
        <v>2.7</v>
      </c>
      <c r="K293" s="2" t="str">
        <f>raw_order_lines!K293</f>
        <v>正常交付</v>
      </c>
      <c r="L293" s="2" t="str">
        <f>raw_order_lines!L293</f>
        <v>true</v>
      </c>
      <c r="M293" s="2" t="str">
        <f>INDEX(dim_products!$B$2:$B$21,MATCH($E293,dim_products!$A$2:$A$21,0))</f>
        <v>白萝卜</v>
      </c>
      <c r="N293" s="2" t="str">
        <f>INDEX(dim_products!$C$2:$C$21,MATCH($E293,dim_products!$A$2:$A$21,0))</f>
        <v>散装鲜菜</v>
      </c>
      <c r="O293" s="2" t="str">
        <f>INDEX(dim_customers!$B$2:$B$7,MATCH($C293,dim_customers!$A$2:$A$7,0))</f>
        <v>模拟_青禾小学食堂</v>
      </c>
      <c r="P293" s="6">
        <f>INT((ROUND(raw_order_lines!H293*10,0)*ROUND(raw_order_lines!J293*100,0)+5)/10)/100</f>
        <v>19.71</v>
      </c>
      <c r="Q293" s="6">
        <f>INT((ROUND(raw_order_lines!I293*10,0)*ROUND(raw_order_lines!J293*100,0)+5)/10)/100</f>
        <v>0</v>
      </c>
      <c r="R293" s="6">
        <f t="shared" si="12"/>
        <v>19.71</v>
      </c>
      <c r="S293" s="2" t="str">
        <f>IF(OR(ROUND(raw_order_lines!I293*10,0)&gt;ROUND(raw_order_lines!H293*10,0),ROUND(raw_order_lines!H293*10,0)&gt;ROUND(raw_order_lines!G293*10,0),ROUND(raw_order_lines!G293*10,0)&lt;=0),"数量关系异常","")</f>
        <v/>
      </c>
      <c r="T293" s="2" t="str">
        <f>IF($F293&lt;&gt;INDEX(dim_products!$D$2:$D$21,MATCH($E293,dim_products!$A$2:$A$21,0)),"单位不一致","")</f>
        <v/>
      </c>
      <c r="U293" s="2" t="str">
        <f>IF(OR(ROUND(raw_order_lines!J293*100,0)&lt;ROUND(INDEX(dim_products!$F$2:$F$21,MATCH($E293,dim_products!$A$2:$A$21,0))*100,0),ROUND(raw_order_lines!J293*100,0)&gt;ROUND(INDEX(dim_products!$G$2:$G$21,MATCH($E293,dim_products!$A$2:$A$21,0))*100,0)),"单价越界","")</f>
        <v/>
      </c>
      <c r="V293" s="2" t="str">
        <f t="shared" si="13"/>
        <v/>
      </c>
      <c r="W293" s="2" t="str">
        <f t="shared" si="14"/>
        <v>通过</v>
      </c>
    </row>
    <row r="294" spans="1:23" ht="15">
      <c r="A294" s="2" t="str">
        <f>raw_order_lines!A294</f>
        <v>SIM-20260909-C005</v>
      </c>
      <c r="B294" s="2">
        <f>raw_order_lines!B294</f>
        <v>6</v>
      </c>
      <c r="C294" s="2" t="str">
        <f>raw_order_lines!C294</f>
        <v>C005</v>
      </c>
      <c r="D294" s="3">
        <f>raw_order_lines!D294</f>
        <v>46274</v>
      </c>
      <c r="E294" s="2" t="str">
        <f>raw_order_lines!E294</f>
        <v>P007</v>
      </c>
      <c r="F294" s="2" t="str">
        <f>raw_order_lines!F294</f>
        <v>公斤</v>
      </c>
      <c r="G294" s="4">
        <f>raw_order_lines!G294</f>
        <v>13.7</v>
      </c>
      <c r="H294" s="4">
        <f>raw_order_lines!H294</f>
        <v>13.7</v>
      </c>
      <c r="I294" s="4">
        <f>raw_order_lines!I294</f>
        <v>0</v>
      </c>
      <c r="J294" s="5">
        <f>raw_order_lines!J294</f>
        <v>5.45</v>
      </c>
      <c r="K294" s="2" t="str">
        <f>raw_order_lines!K294</f>
        <v>正常交付</v>
      </c>
      <c r="L294" s="2" t="str">
        <f>raw_order_lines!L294</f>
        <v>true</v>
      </c>
      <c r="M294" s="2" t="str">
        <f>INDEX(dim_products!$B$2:$B$21,MATCH($E294,dim_products!$A$2:$A$21,0))</f>
        <v>青椒</v>
      </c>
      <c r="N294" s="2" t="str">
        <f>INDEX(dim_products!$C$2:$C$21,MATCH($E294,dim_products!$A$2:$A$21,0))</f>
        <v>散装鲜菜</v>
      </c>
      <c r="O294" s="2" t="str">
        <f>INDEX(dim_customers!$B$2:$B$7,MATCH($C294,dim_customers!$A$2:$A$7,0))</f>
        <v>模拟_青禾小学食堂</v>
      </c>
      <c r="P294" s="6">
        <f>INT((ROUND(raw_order_lines!H294*10,0)*ROUND(raw_order_lines!J294*100,0)+5)/10)/100</f>
        <v>74.67</v>
      </c>
      <c r="Q294" s="6">
        <f>INT((ROUND(raw_order_lines!I294*10,0)*ROUND(raw_order_lines!J294*100,0)+5)/10)/100</f>
        <v>0</v>
      </c>
      <c r="R294" s="6">
        <f t="shared" si="12"/>
        <v>74.67</v>
      </c>
      <c r="S294" s="2" t="str">
        <f>IF(OR(ROUND(raw_order_lines!I294*10,0)&gt;ROUND(raw_order_lines!H294*10,0),ROUND(raw_order_lines!H294*10,0)&gt;ROUND(raw_order_lines!G294*10,0),ROUND(raw_order_lines!G294*10,0)&lt;=0),"数量关系异常","")</f>
        <v/>
      </c>
      <c r="T294" s="2" t="str">
        <f>IF($F294&lt;&gt;INDEX(dim_products!$D$2:$D$21,MATCH($E294,dim_products!$A$2:$A$21,0)),"单位不一致","")</f>
        <v/>
      </c>
      <c r="U294" s="2" t="str">
        <f>IF(OR(ROUND(raw_order_lines!J294*100,0)&lt;ROUND(INDEX(dim_products!$F$2:$F$21,MATCH($E294,dim_products!$A$2:$A$21,0))*100,0),ROUND(raw_order_lines!J294*100,0)&gt;ROUND(INDEX(dim_products!$G$2:$G$21,MATCH($E294,dim_products!$A$2:$A$21,0))*100,0)),"单价越界","")</f>
        <v/>
      </c>
      <c r="V294" s="2" t="str">
        <f t="shared" si="13"/>
        <v/>
      </c>
      <c r="W294" s="2" t="str">
        <f t="shared" si="14"/>
        <v>通过</v>
      </c>
    </row>
    <row r="295" spans="1:23" ht="15">
      <c r="A295" s="2" t="str">
        <f>raw_order_lines!A295</f>
        <v>SIM-20260909-C005</v>
      </c>
      <c r="B295" s="2">
        <f>raw_order_lines!B295</f>
        <v>7</v>
      </c>
      <c r="C295" s="2" t="str">
        <f>raw_order_lines!C295</f>
        <v>C005</v>
      </c>
      <c r="D295" s="3">
        <f>raw_order_lines!D295</f>
        <v>46274</v>
      </c>
      <c r="E295" s="2" t="str">
        <f>raw_order_lines!E295</f>
        <v>P016</v>
      </c>
      <c r="F295" s="2" t="str">
        <f>raw_order_lines!F295</f>
        <v>公斤</v>
      </c>
      <c r="G295" s="4">
        <f>raw_order_lines!G295</f>
        <v>12</v>
      </c>
      <c r="H295" s="4">
        <f>raw_order_lines!H295</f>
        <v>12</v>
      </c>
      <c r="I295" s="4">
        <f>raw_order_lines!I295</f>
        <v>0</v>
      </c>
      <c r="J295" s="5">
        <f>raw_order_lines!J295</f>
        <v>10.4</v>
      </c>
      <c r="K295" s="2" t="str">
        <f>raw_order_lines!K295</f>
        <v>正常交付</v>
      </c>
      <c r="L295" s="2" t="str">
        <f>raw_order_lines!L295</f>
        <v>true</v>
      </c>
      <c r="M295" s="2" t="str">
        <f>INDEX(dim_products!$B$2:$B$21,MATCH($E295,dim_products!$A$2:$A$21,0))</f>
        <v>鸡蛋</v>
      </c>
      <c r="N295" s="2" t="str">
        <f>INDEX(dim_products!$C$2:$C$21,MATCH($E295,dim_products!$A$2:$A$21,0))</f>
        <v>普通鲜鸡蛋按净重</v>
      </c>
      <c r="O295" s="2" t="str">
        <f>INDEX(dim_customers!$B$2:$B$7,MATCH($C295,dim_customers!$A$2:$A$7,0))</f>
        <v>模拟_青禾小学食堂</v>
      </c>
      <c r="P295" s="6">
        <f>INT((ROUND(raw_order_lines!H295*10,0)*ROUND(raw_order_lines!J295*100,0)+5)/10)/100</f>
        <v>124.8</v>
      </c>
      <c r="Q295" s="6">
        <f>INT((ROUND(raw_order_lines!I295*10,0)*ROUND(raw_order_lines!J295*100,0)+5)/10)/100</f>
        <v>0</v>
      </c>
      <c r="R295" s="6">
        <f t="shared" si="12"/>
        <v>124.8</v>
      </c>
      <c r="S295" s="2" t="str">
        <f>IF(OR(ROUND(raw_order_lines!I295*10,0)&gt;ROUND(raw_order_lines!H295*10,0),ROUND(raw_order_lines!H295*10,0)&gt;ROUND(raw_order_lines!G295*10,0),ROUND(raw_order_lines!G295*10,0)&lt;=0),"数量关系异常","")</f>
        <v/>
      </c>
      <c r="T295" s="2" t="str">
        <f>IF($F295&lt;&gt;INDEX(dim_products!$D$2:$D$21,MATCH($E295,dim_products!$A$2:$A$21,0)),"单位不一致","")</f>
        <v/>
      </c>
      <c r="U295" s="2" t="str">
        <f>IF(OR(ROUND(raw_order_lines!J295*100,0)&lt;ROUND(INDEX(dim_products!$F$2:$F$21,MATCH($E295,dim_products!$A$2:$A$21,0))*100,0),ROUND(raw_order_lines!J295*100,0)&gt;ROUND(INDEX(dim_products!$G$2:$G$21,MATCH($E295,dim_products!$A$2:$A$21,0))*100,0)),"单价越界","")</f>
        <v/>
      </c>
      <c r="V295" s="2" t="str">
        <f t="shared" si="13"/>
        <v/>
      </c>
      <c r="W295" s="2" t="str">
        <f t="shared" si="14"/>
        <v>通过</v>
      </c>
    </row>
    <row r="296" spans="1:23" ht="15">
      <c r="A296" s="2" t="str">
        <f>raw_order_lines!A296</f>
        <v>SIM-20260909-C005</v>
      </c>
      <c r="B296" s="2">
        <f>raw_order_lines!B296</f>
        <v>8</v>
      </c>
      <c r="C296" s="2" t="str">
        <f>raw_order_lines!C296</f>
        <v>C005</v>
      </c>
      <c r="D296" s="3">
        <f>raw_order_lines!D296</f>
        <v>46274</v>
      </c>
      <c r="E296" s="2" t="str">
        <f>raw_order_lines!E296</f>
        <v>P015</v>
      </c>
      <c r="F296" s="2" t="str">
        <f>raw_order_lines!F296</f>
        <v>公斤</v>
      </c>
      <c r="G296" s="4">
        <f>raw_order_lines!G296</f>
        <v>1</v>
      </c>
      <c r="H296" s="4">
        <f>raw_order_lines!H296</f>
        <v>1</v>
      </c>
      <c r="I296" s="4">
        <f>raw_order_lines!I296</f>
        <v>0</v>
      </c>
      <c r="J296" s="5">
        <f>raw_order_lines!J296</f>
        <v>7.2</v>
      </c>
      <c r="K296" s="2" t="str">
        <f>raw_order_lines!K296</f>
        <v>正常交付</v>
      </c>
      <c r="L296" s="2" t="str">
        <f>raw_order_lines!L296</f>
        <v>true</v>
      </c>
      <c r="M296" s="2" t="str">
        <f>INDEX(dim_products!$B$2:$B$21,MATCH($E296,dim_products!$A$2:$A$21,0))</f>
        <v>小葱</v>
      </c>
      <c r="N296" s="2" t="str">
        <f>INDEX(dim_products!$C$2:$C$21,MATCH($E296,dim_products!$A$2:$A$21,0))</f>
        <v>散装鲜菜</v>
      </c>
      <c r="O296" s="2" t="str">
        <f>INDEX(dim_customers!$B$2:$B$7,MATCH($C296,dim_customers!$A$2:$A$7,0))</f>
        <v>模拟_青禾小学食堂</v>
      </c>
      <c r="P296" s="6">
        <f>INT((ROUND(raw_order_lines!H296*10,0)*ROUND(raw_order_lines!J296*100,0)+5)/10)/100</f>
        <v>7.2</v>
      </c>
      <c r="Q296" s="6">
        <f>INT((ROUND(raw_order_lines!I296*10,0)*ROUND(raw_order_lines!J296*100,0)+5)/10)/100</f>
        <v>0</v>
      </c>
      <c r="R296" s="6">
        <f t="shared" si="12"/>
        <v>7.2</v>
      </c>
      <c r="S296" s="2" t="str">
        <f>IF(OR(ROUND(raw_order_lines!I296*10,0)&gt;ROUND(raw_order_lines!H296*10,0),ROUND(raw_order_lines!H296*10,0)&gt;ROUND(raw_order_lines!G296*10,0),ROUND(raw_order_lines!G296*10,0)&lt;=0),"数量关系异常","")</f>
        <v/>
      </c>
      <c r="T296" s="2" t="str">
        <f>IF($F296&lt;&gt;INDEX(dim_products!$D$2:$D$21,MATCH($E296,dim_products!$A$2:$A$21,0)),"单位不一致","")</f>
        <v/>
      </c>
      <c r="U296" s="2" t="str">
        <f>IF(OR(ROUND(raw_order_lines!J296*100,0)&lt;ROUND(INDEX(dim_products!$F$2:$F$21,MATCH($E296,dim_products!$A$2:$A$21,0))*100,0),ROUND(raw_order_lines!J296*100,0)&gt;ROUND(INDEX(dim_products!$G$2:$G$21,MATCH($E296,dim_products!$A$2:$A$21,0))*100,0)),"单价越界","")</f>
        <v/>
      </c>
      <c r="V296" s="2" t="str">
        <f t="shared" si="13"/>
        <v/>
      </c>
      <c r="W296" s="2" t="str">
        <f t="shared" si="14"/>
        <v>通过</v>
      </c>
    </row>
    <row r="297" spans="1:23" ht="15">
      <c r="A297" s="2" t="str">
        <f>raw_order_lines!A297</f>
        <v>SIM-20260909-C006</v>
      </c>
      <c r="B297" s="2">
        <f>raw_order_lines!B297</f>
        <v>1</v>
      </c>
      <c r="C297" s="2" t="str">
        <f>raw_order_lines!C297</f>
        <v>C006</v>
      </c>
      <c r="D297" s="3">
        <f>raw_order_lines!D297</f>
        <v>46274</v>
      </c>
      <c r="E297" s="2" t="str">
        <f>raw_order_lines!E297</f>
        <v>P011</v>
      </c>
      <c r="F297" s="2" t="str">
        <f>raw_order_lines!F297</f>
        <v>公斤</v>
      </c>
      <c r="G297" s="4">
        <f>raw_order_lines!G297</f>
        <v>9.1999999999999993</v>
      </c>
      <c r="H297" s="4">
        <f>raw_order_lines!H297</f>
        <v>9.1999999999999993</v>
      </c>
      <c r="I297" s="4">
        <f>raw_order_lines!I297</f>
        <v>0</v>
      </c>
      <c r="J297" s="5">
        <f>raw_order_lines!J297</f>
        <v>4.3</v>
      </c>
      <c r="K297" s="2" t="str">
        <f>raw_order_lines!K297</f>
        <v>正常交付</v>
      </c>
      <c r="L297" s="2" t="str">
        <f>raw_order_lines!L297</f>
        <v>true</v>
      </c>
      <c r="M297" s="2" t="str">
        <f>INDEX(dim_products!$B$2:$B$21,MATCH($E297,dim_products!$A$2:$A$21,0))</f>
        <v>红薯叶</v>
      </c>
      <c r="N297" s="2" t="str">
        <f>INDEX(dim_products!$C$2:$C$21,MATCH($E297,dim_products!$A$2:$A$21,0))</f>
        <v>散装鲜菜</v>
      </c>
      <c r="O297" s="2" t="str">
        <f>INDEX(dim_customers!$B$2:$B$7,MATCH($C297,dim_customers!$A$2:$A$7,0))</f>
        <v>模拟_溪桥医院食堂</v>
      </c>
      <c r="P297" s="6">
        <f>INT((ROUND(raw_order_lines!H297*10,0)*ROUND(raw_order_lines!J297*100,0)+5)/10)/100</f>
        <v>39.56</v>
      </c>
      <c r="Q297" s="6">
        <f>INT((ROUND(raw_order_lines!I297*10,0)*ROUND(raw_order_lines!J297*100,0)+5)/10)/100</f>
        <v>0</v>
      </c>
      <c r="R297" s="6">
        <f t="shared" si="12"/>
        <v>39.56</v>
      </c>
      <c r="S297" s="2" t="str">
        <f>IF(OR(ROUND(raw_order_lines!I297*10,0)&gt;ROUND(raw_order_lines!H297*10,0),ROUND(raw_order_lines!H297*10,0)&gt;ROUND(raw_order_lines!G297*10,0),ROUND(raw_order_lines!G297*10,0)&lt;=0),"数量关系异常","")</f>
        <v/>
      </c>
      <c r="T297" s="2" t="str">
        <f>IF($F297&lt;&gt;INDEX(dim_products!$D$2:$D$21,MATCH($E297,dim_products!$A$2:$A$21,0)),"单位不一致","")</f>
        <v/>
      </c>
      <c r="U297" s="2" t="str">
        <f>IF(OR(ROUND(raw_order_lines!J297*100,0)&lt;ROUND(INDEX(dim_products!$F$2:$F$21,MATCH($E297,dim_products!$A$2:$A$21,0))*100,0),ROUND(raw_order_lines!J297*100,0)&gt;ROUND(INDEX(dim_products!$G$2:$G$21,MATCH($E297,dim_products!$A$2:$A$21,0))*100,0)),"单价越界","")</f>
        <v/>
      </c>
      <c r="V297" s="2" t="str">
        <f t="shared" si="13"/>
        <v/>
      </c>
      <c r="W297" s="2" t="str">
        <f t="shared" si="14"/>
        <v>通过</v>
      </c>
    </row>
    <row r="298" spans="1:23" ht="15">
      <c r="A298" s="2" t="str">
        <f>raw_order_lines!A298</f>
        <v>SIM-20260909-C006</v>
      </c>
      <c r="B298" s="2">
        <f>raw_order_lines!B298</f>
        <v>2</v>
      </c>
      <c r="C298" s="2" t="str">
        <f>raw_order_lines!C298</f>
        <v>C006</v>
      </c>
      <c r="D298" s="3">
        <f>raw_order_lines!D298</f>
        <v>46274</v>
      </c>
      <c r="E298" s="2" t="str">
        <f>raw_order_lines!E298</f>
        <v>P013</v>
      </c>
      <c r="F298" s="2" t="str">
        <f>raw_order_lines!F298</f>
        <v>公斤</v>
      </c>
      <c r="G298" s="4">
        <f>raw_order_lines!G298</f>
        <v>8.6</v>
      </c>
      <c r="H298" s="4">
        <f>raw_order_lines!H298</f>
        <v>8.6</v>
      </c>
      <c r="I298" s="4">
        <f>raw_order_lines!I298</f>
        <v>0</v>
      </c>
      <c r="J298" s="5">
        <f>raw_order_lines!J298</f>
        <v>6</v>
      </c>
      <c r="K298" s="2" t="str">
        <f>raw_order_lines!K298</f>
        <v>正常交付</v>
      </c>
      <c r="L298" s="2" t="str">
        <f>raw_order_lines!L298</f>
        <v>true</v>
      </c>
      <c r="M298" s="2" t="str">
        <f>INDEX(dim_products!$B$2:$B$21,MATCH($E298,dim_products!$A$2:$A$21,0))</f>
        <v>豇豆</v>
      </c>
      <c r="N298" s="2" t="str">
        <f>INDEX(dim_products!$C$2:$C$21,MATCH($E298,dim_products!$A$2:$A$21,0))</f>
        <v>散装鲜菜</v>
      </c>
      <c r="O298" s="2" t="str">
        <f>INDEX(dim_customers!$B$2:$B$7,MATCH($C298,dim_customers!$A$2:$A$7,0))</f>
        <v>模拟_溪桥医院食堂</v>
      </c>
      <c r="P298" s="6">
        <f>INT((ROUND(raw_order_lines!H298*10,0)*ROUND(raw_order_lines!J298*100,0)+5)/10)/100</f>
        <v>51.6</v>
      </c>
      <c r="Q298" s="6">
        <f>INT((ROUND(raw_order_lines!I298*10,0)*ROUND(raw_order_lines!J298*100,0)+5)/10)/100</f>
        <v>0</v>
      </c>
      <c r="R298" s="6">
        <f t="shared" si="12"/>
        <v>51.6</v>
      </c>
      <c r="S298" s="2" t="str">
        <f>IF(OR(ROUND(raw_order_lines!I298*10,0)&gt;ROUND(raw_order_lines!H298*10,0),ROUND(raw_order_lines!H298*10,0)&gt;ROUND(raw_order_lines!G298*10,0),ROUND(raw_order_lines!G298*10,0)&lt;=0),"数量关系异常","")</f>
        <v/>
      </c>
      <c r="T298" s="2" t="str">
        <f>IF($F298&lt;&gt;INDEX(dim_products!$D$2:$D$21,MATCH($E298,dim_products!$A$2:$A$21,0)),"单位不一致","")</f>
        <v/>
      </c>
      <c r="U298" s="2" t="str">
        <f>IF(OR(ROUND(raw_order_lines!J298*100,0)&lt;ROUND(INDEX(dim_products!$F$2:$F$21,MATCH($E298,dim_products!$A$2:$A$21,0))*100,0),ROUND(raw_order_lines!J298*100,0)&gt;ROUND(INDEX(dim_products!$G$2:$G$21,MATCH($E298,dim_products!$A$2:$A$21,0))*100,0)),"单价越界","")</f>
        <v/>
      </c>
      <c r="V298" s="2" t="str">
        <f t="shared" si="13"/>
        <v/>
      </c>
      <c r="W298" s="2" t="str">
        <f t="shared" si="14"/>
        <v>通过</v>
      </c>
    </row>
    <row r="299" spans="1:23" ht="15">
      <c r="A299" s="2" t="str">
        <f>raw_order_lines!A299</f>
        <v>SIM-20260909-C006</v>
      </c>
      <c r="B299" s="2">
        <f>raw_order_lines!B299</f>
        <v>3</v>
      </c>
      <c r="C299" s="2" t="str">
        <f>raw_order_lines!C299</f>
        <v>C006</v>
      </c>
      <c r="D299" s="3">
        <f>raw_order_lines!D299</f>
        <v>46274</v>
      </c>
      <c r="E299" s="2" t="str">
        <f>raw_order_lines!E299</f>
        <v>P003</v>
      </c>
      <c r="F299" s="2" t="str">
        <f>raw_order_lines!F299</f>
        <v>公斤</v>
      </c>
      <c r="G299" s="4">
        <f>raw_order_lines!G299</f>
        <v>9.1999999999999993</v>
      </c>
      <c r="H299" s="4">
        <f>raw_order_lines!H299</f>
        <v>9.1999999999999993</v>
      </c>
      <c r="I299" s="4">
        <f>raw_order_lines!I299</f>
        <v>0</v>
      </c>
      <c r="J299" s="5">
        <f>raw_order_lines!J299</f>
        <v>2.9</v>
      </c>
      <c r="K299" s="2" t="str">
        <f>raw_order_lines!K299</f>
        <v>正常交付</v>
      </c>
      <c r="L299" s="2" t="str">
        <f>raw_order_lines!L299</f>
        <v>true</v>
      </c>
      <c r="M299" s="2" t="str">
        <f>INDEX(dim_products!$B$2:$B$21,MATCH($E299,dim_products!$A$2:$A$21,0))</f>
        <v>包菜</v>
      </c>
      <c r="N299" s="2" t="str">
        <f>INDEX(dim_products!$C$2:$C$21,MATCH($E299,dim_products!$A$2:$A$21,0))</f>
        <v>散装鲜菜</v>
      </c>
      <c r="O299" s="2" t="str">
        <f>INDEX(dim_customers!$B$2:$B$7,MATCH($C299,dim_customers!$A$2:$A$7,0))</f>
        <v>模拟_溪桥医院食堂</v>
      </c>
      <c r="P299" s="6">
        <f>INT((ROUND(raw_order_lines!H299*10,0)*ROUND(raw_order_lines!J299*100,0)+5)/10)/100</f>
        <v>26.68</v>
      </c>
      <c r="Q299" s="6">
        <f>INT((ROUND(raw_order_lines!I299*10,0)*ROUND(raw_order_lines!J299*100,0)+5)/10)/100</f>
        <v>0</v>
      </c>
      <c r="R299" s="6">
        <f t="shared" si="12"/>
        <v>26.68</v>
      </c>
      <c r="S299" s="2" t="str">
        <f>IF(OR(ROUND(raw_order_lines!I299*10,0)&gt;ROUND(raw_order_lines!H299*10,0),ROUND(raw_order_lines!H299*10,0)&gt;ROUND(raw_order_lines!G299*10,0),ROUND(raw_order_lines!G299*10,0)&lt;=0),"数量关系异常","")</f>
        <v/>
      </c>
      <c r="T299" s="2" t="str">
        <f>IF($F299&lt;&gt;INDEX(dim_products!$D$2:$D$21,MATCH($E299,dim_products!$A$2:$A$21,0)),"单位不一致","")</f>
        <v/>
      </c>
      <c r="U299" s="2" t="str">
        <f>IF(OR(ROUND(raw_order_lines!J299*100,0)&lt;ROUND(INDEX(dim_products!$F$2:$F$21,MATCH($E299,dim_products!$A$2:$A$21,0))*100,0),ROUND(raw_order_lines!J299*100,0)&gt;ROUND(INDEX(dim_products!$G$2:$G$21,MATCH($E299,dim_products!$A$2:$A$21,0))*100,0)),"单价越界","")</f>
        <v/>
      </c>
      <c r="V299" s="2" t="str">
        <f t="shared" si="13"/>
        <v/>
      </c>
      <c r="W299" s="2" t="str">
        <f t="shared" si="14"/>
        <v>通过</v>
      </c>
    </row>
    <row r="300" spans="1:23" ht="15">
      <c r="A300" s="2" t="str">
        <f>raw_order_lines!A300</f>
        <v>SIM-20260909-C006</v>
      </c>
      <c r="B300" s="2">
        <f>raw_order_lines!B300</f>
        <v>4</v>
      </c>
      <c r="C300" s="2" t="str">
        <f>raw_order_lines!C300</f>
        <v>C006</v>
      </c>
      <c r="D300" s="3">
        <f>raw_order_lines!D300</f>
        <v>46274</v>
      </c>
      <c r="E300" s="2" t="str">
        <f>raw_order_lines!E300</f>
        <v>P005</v>
      </c>
      <c r="F300" s="2" t="str">
        <f>raw_order_lines!F300</f>
        <v>公斤</v>
      </c>
      <c r="G300" s="4">
        <f>raw_order_lines!G300</f>
        <v>6.7</v>
      </c>
      <c r="H300" s="4">
        <f>raw_order_lines!H300</f>
        <v>6.7</v>
      </c>
      <c r="I300" s="4">
        <f>raw_order_lines!I300</f>
        <v>0</v>
      </c>
      <c r="J300" s="5">
        <f>raw_order_lines!J300</f>
        <v>2.7</v>
      </c>
      <c r="K300" s="2" t="str">
        <f>raw_order_lines!K300</f>
        <v>正常交付</v>
      </c>
      <c r="L300" s="2" t="str">
        <f>raw_order_lines!L300</f>
        <v>true</v>
      </c>
      <c r="M300" s="2" t="str">
        <f>INDEX(dim_products!$B$2:$B$21,MATCH($E300,dim_products!$A$2:$A$21,0))</f>
        <v>南瓜</v>
      </c>
      <c r="N300" s="2" t="str">
        <f>INDEX(dim_products!$C$2:$C$21,MATCH($E300,dim_products!$A$2:$A$21,0))</f>
        <v>散装鲜菜</v>
      </c>
      <c r="O300" s="2" t="str">
        <f>INDEX(dim_customers!$B$2:$B$7,MATCH($C300,dim_customers!$A$2:$A$7,0))</f>
        <v>模拟_溪桥医院食堂</v>
      </c>
      <c r="P300" s="6">
        <f>INT((ROUND(raw_order_lines!H300*10,0)*ROUND(raw_order_lines!J300*100,0)+5)/10)/100</f>
        <v>18.09</v>
      </c>
      <c r="Q300" s="6">
        <f>INT((ROUND(raw_order_lines!I300*10,0)*ROUND(raw_order_lines!J300*100,0)+5)/10)/100</f>
        <v>0</v>
      </c>
      <c r="R300" s="6">
        <f t="shared" si="12"/>
        <v>18.09</v>
      </c>
      <c r="S300" s="2" t="str">
        <f>IF(OR(ROUND(raw_order_lines!I300*10,0)&gt;ROUND(raw_order_lines!H300*10,0),ROUND(raw_order_lines!H300*10,0)&gt;ROUND(raw_order_lines!G300*10,0),ROUND(raw_order_lines!G300*10,0)&lt;=0),"数量关系异常","")</f>
        <v/>
      </c>
      <c r="T300" s="2" t="str">
        <f>IF($F300&lt;&gt;INDEX(dim_products!$D$2:$D$21,MATCH($E300,dim_products!$A$2:$A$21,0)),"单位不一致","")</f>
        <v/>
      </c>
      <c r="U300" s="2" t="str">
        <f>IF(OR(ROUND(raw_order_lines!J300*100,0)&lt;ROUND(INDEX(dim_products!$F$2:$F$21,MATCH($E300,dim_products!$A$2:$A$21,0))*100,0),ROUND(raw_order_lines!J300*100,0)&gt;ROUND(INDEX(dim_products!$G$2:$G$21,MATCH($E300,dim_products!$A$2:$A$21,0))*100,0)),"单价越界","")</f>
        <v/>
      </c>
      <c r="V300" s="2" t="str">
        <f t="shared" si="13"/>
        <v/>
      </c>
      <c r="W300" s="2" t="str">
        <f t="shared" si="14"/>
        <v>通过</v>
      </c>
    </row>
    <row r="301" spans="1:23" ht="15">
      <c r="A301" s="2" t="str">
        <f>raw_order_lines!A301</f>
        <v>SIM-20260909-C006</v>
      </c>
      <c r="B301" s="2">
        <f>raw_order_lines!B301</f>
        <v>5</v>
      </c>
      <c r="C301" s="2" t="str">
        <f>raw_order_lines!C301</f>
        <v>C006</v>
      </c>
      <c r="D301" s="3">
        <f>raw_order_lines!D301</f>
        <v>46274</v>
      </c>
      <c r="E301" s="2" t="str">
        <f>raw_order_lines!E301</f>
        <v>P009</v>
      </c>
      <c r="F301" s="2" t="str">
        <f>raw_order_lines!F301</f>
        <v>公斤</v>
      </c>
      <c r="G301" s="4">
        <f>raw_order_lines!G301</f>
        <v>5.5</v>
      </c>
      <c r="H301" s="4">
        <f>raw_order_lines!H301</f>
        <v>5.5</v>
      </c>
      <c r="I301" s="4">
        <f>raw_order_lines!I301</f>
        <v>0</v>
      </c>
      <c r="J301" s="5">
        <f>raw_order_lines!J301</f>
        <v>5</v>
      </c>
      <c r="K301" s="2" t="str">
        <f>raw_order_lines!K301</f>
        <v>正常交付</v>
      </c>
      <c r="L301" s="2" t="str">
        <f>raw_order_lines!L301</f>
        <v>true</v>
      </c>
      <c r="M301" s="2" t="str">
        <f>INDEX(dim_products!$B$2:$B$21,MATCH($E301,dim_products!$A$2:$A$21,0))</f>
        <v>西红柿</v>
      </c>
      <c r="N301" s="2" t="str">
        <f>INDEX(dim_products!$C$2:$C$21,MATCH($E301,dim_products!$A$2:$A$21,0))</f>
        <v>散装鲜菜</v>
      </c>
      <c r="O301" s="2" t="str">
        <f>INDEX(dim_customers!$B$2:$B$7,MATCH($C301,dim_customers!$A$2:$A$7,0))</f>
        <v>模拟_溪桥医院食堂</v>
      </c>
      <c r="P301" s="6">
        <f>INT((ROUND(raw_order_lines!H301*10,0)*ROUND(raw_order_lines!J301*100,0)+5)/10)/100</f>
        <v>27.5</v>
      </c>
      <c r="Q301" s="6">
        <f>INT((ROUND(raw_order_lines!I301*10,0)*ROUND(raw_order_lines!J301*100,0)+5)/10)/100</f>
        <v>0</v>
      </c>
      <c r="R301" s="6">
        <f t="shared" si="12"/>
        <v>27.5</v>
      </c>
      <c r="S301" s="2" t="str">
        <f>IF(OR(ROUND(raw_order_lines!I301*10,0)&gt;ROUND(raw_order_lines!H301*10,0),ROUND(raw_order_lines!H301*10,0)&gt;ROUND(raw_order_lines!G301*10,0),ROUND(raw_order_lines!G301*10,0)&lt;=0),"数量关系异常","")</f>
        <v/>
      </c>
      <c r="T301" s="2" t="str">
        <f>IF($F301&lt;&gt;INDEX(dim_products!$D$2:$D$21,MATCH($E301,dim_products!$A$2:$A$21,0)),"单位不一致","")</f>
        <v/>
      </c>
      <c r="U301" s="2" t="str">
        <f>IF(OR(ROUND(raw_order_lines!J301*100,0)&lt;ROUND(INDEX(dim_products!$F$2:$F$21,MATCH($E301,dim_products!$A$2:$A$21,0))*100,0),ROUND(raw_order_lines!J301*100,0)&gt;ROUND(INDEX(dim_products!$G$2:$G$21,MATCH($E301,dim_products!$A$2:$A$21,0))*100,0)),"单价越界","")</f>
        <v/>
      </c>
      <c r="V301" s="2" t="str">
        <f t="shared" si="13"/>
        <v/>
      </c>
      <c r="W301" s="2" t="str">
        <f t="shared" si="14"/>
        <v>通过</v>
      </c>
    </row>
    <row r="302" spans="1:23" ht="15">
      <c r="A302" s="2" t="str">
        <f>raw_order_lines!A302</f>
        <v>SIM-20260909-C006</v>
      </c>
      <c r="B302" s="2">
        <f>raw_order_lines!B302</f>
        <v>6</v>
      </c>
      <c r="C302" s="2" t="str">
        <f>raw_order_lines!C302</f>
        <v>C006</v>
      </c>
      <c r="D302" s="3">
        <f>raw_order_lines!D302</f>
        <v>46274</v>
      </c>
      <c r="E302" s="2" t="str">
        <f>raw_order_lines!E302</f>
        <v>P004</v>
      </c>
      <c r="F302" s="2" t="str">
        <f>raw_order_lines!F302</f>
        <v>公斤</v>
      </c>
      <c r="G302" s="4">
        <f>raw_order_lines!G302</f>
        <v>7.9</v>
      </c>
      <c r="H302" s="4">
        <f>raw_order_lines!H302</f>
        <v>7.9</v>
      </c>
      <c r="I302" s="4">
        <f>raw_order_lines!I302</f>
        <v>0</v>
      </c>
      <c r="J302" s="5">
        <f>raw_order_lines!J302</f>
        <v>2.7</v>
      </c>
      <c r="K302" s="2" t="str">
        <f>raw_order_lines!K302</f>
        <v>正常交付</v>
      </c>
      <c r="L302" s="2" t="str">
        <f>raw_order_lines!L302</f>
        <v>true</v>
      </c>
      <c r="M302" s="2" t="str">
        <f>INDEX(dim_products!$B$2:$B$21,MATCH($E302,dim_products!$A$2:$A$21,0))</f>
        <v>冬瓜</v>
      </c>
      <c r="N302" s="2" t="str">
        <f>INDEX(dim_products!$C$2:$C$21,MATCH($E302,dim_products!$A$2:$A$21,0))</f>
        <v>散装鲜菜</v>
      </c>
      <c r="O302" s="2" t="str">
        <f>INDEX(dim_customers!$B$2:$B$7,MATCH($C302,dim_customers!$A$2:$A$7,0))</f>
        <v>模拟_溪桥医院食堂</v>
      </c>
      <c r="P302" s="6">
        <f>INT((ROUND(raw_order_lines!H302*10,0)*ROUND(raw_order_lines!J302*100,0)+5)/10)/100</f>
        <v>21.33</v>
      </c>
      <c r="Q302" s="6">
        <f>INT((ROUND(raw_order_lines!I302*10,0)*ROUND(raw_order_lines!J302*100,0)+5)/10)/100</f>
        <v>0</v>
      </c>
      <c r="R302" s="6">
        <f t="shared" si="12"/>
        <v>21.33</v>
      </c>
      <c r="S302" s="2" t="str">
        <f>IF(OR(ROUND(raw_order_lines!I302*10,0)&gt;ROUND(raw_order_lines!H302*10,0),ROUND(raw_order_lines!H302*10,0)&gt;ROUND(raw_order_lines!G302*10,0),ROUND(raw_order_lines!G302*10,0)&lt;=0),"数量关系异常","")</f>
        <v/>
      </c>
      <c r="T302" s="2" t="str">
        <f>IF($F302&lt;&gt;INDEX(dim_products!$D$2:$D$21,MATCH($E302,dim_products!$A$2:$A$21,0)),"单位不一致","")</f>
        <v/>
      </c>
      <c r="U302" s="2" t="str">
        <f>IF(OR(ROUND(raw_order_lines!J302*100,0)&lt;ROUND(INDEX(dim_products!$F$2:$F$21,MATCH($E302,dim_products!$A$2:$A$21,0))*100,0),ROUND(raw_order_lines!J302*100,0)&gt;ROUND(INDEX(dim_products!$G$2:$G$21,MATCH($E302,dim_products!$A$2:$A$21,0))*100,0)),"单价越界","")</f>
        <v/>
      </c>
      <c r="V302" s="2" t="str">
        <f t="shared" si="13"/>
        <v/>
      </c>
      <c r="W302" s="2" t="str">
        <f t="shared" si="14"/>
        <v>通过</v>
      </c>
    </row>
    <row r="303" spans="1:23" ht="15">
      <c r="A303" s="2" t="str">
        <f>raw_order_lines!A303</f>
        <v>SIM-20260909-C006</v>
      </c>
      <c r="B303" s="2">
        <f>raw_order_lines!B303</f>
        <v>7</v>
      </c>
      <c r="C303" s="2" t="str">
        <f>raw_order_lines!C303</f>
        <v>C006</v>
      </c>
      <c r="D303" s="3">
        <f>raw_order_lines!D303</f>
        <v>46274</v>
      </c>
      <c r="E303" s="2" t="str">
        <f>raw_order_lines!E303</f>
        <v>P016</v>
      </c>
      <c r="F303" s="2" t="str">
        <f>raw_order_lines!F303</f>
        <v>公斤</v>
      </c>
      <c r="G303" s="4">
        <f>raw_order_lines!G303</f>
        <v>9</v>
      </c>
      <c r="H303" s="4">
        <f>raw_order_lines!H303</f>
        <v>9</v>
      </c>
      <c r="I303" s="4">
        <f>raw_order_lines!I303</f>
        <v>0</v>
      </c>
      <c r="J303" s="5">
        <f>raw_order_lines!J303</f>
        <v>10.4</v>
      </c>
      <c r="K303" s="2" t="str">
        <f>raw_order_lines!K303</f>
        <v>正常交付</v>
      </c>
      <c r="L303" s="2" t="str">
        <f>raw_order_lines!L303</f>
        <v>true</v>
      </c>
      <c r="M303" s="2" t="str">
        <f>INDEX(dim_products!$B$2:$B$21,MATCH($E303,dim_products!$A$2:$A$21,0))</f>
        <v>鸡蛋</v>
      </c>
      <c r="N303" s="2" t="str">
        <f>INDEX(dim_products!$C$2:$C$21,MATCH($E303,dim_products!$A$2:$A$21,0))</f>
        <v>普通鲜鸡蛋按净重</v>
      </c>
      <c r="O303" s="2" t="str">
        <f>INDEX(dim_customers!$B$2:$B$7,MATCH($C303,dim_customers!$A$2:$A$7,0))</f>
        <v>模拟_溪桥医院食堂</v>
      </c>
      <c r="P303" s="6">
        <f>INT((ROUND(raw_order_lines!H303*10,0)*ROUND(raw_order_lines!J303*100,0)+5)/10)/100</f>
        <v>93.6</v>
      </c>
      <c r="Q303" s="6">
        <f>INT((ROUND(raw_order_lines!I303*10,0)*ROUND(raw_order_lines!J303*100,0)+5)/10)/100</f>
        <v>0</v>
      </c>
      <c r="R303" s="6">
        <f t="shared" si="12"/>
        <v>93.6</v>
      </c>
      <c r="S303" s="2" t="str">
        <f>IF(OR(ROUND(raw_order_lines!I303*10,0)&gt;ROUND(raw_order_lines!H303*10,0),ROUND(raw_order_lines!H303*10,0)&gt;ROUND(raw_order_lines!G303*10,0),ROUND(raw_order_lines!G303*10,0)&lt;=0),"数量关系异常","")</f>
        <v/>
      </c>
      <c r="T303" s="2" t="str">
        <f>IF($F303&lt;&gt;INDEX(dim_products!$D$2:$D$21,MATCH($E303,dim_products!$A$2:$A$21,0)),"单位不一致","")</f>
        <v/>
      </c>
      <c r="U303" s="2" t="str">
        <f>IF(OR(ROUND(raw_order_lines!J303*100,0)&lt;ROUND(INDEX(dim_products!$F$2:$F$21,MATCH($E303,dim_products!$A$2:$A$21,0))*100,0),ROUND(raw_order_lines!J303*100,0)&gt;ROUND(INDEX(dim_products!$G$2:$G$21,MATCH($E303,dim_products!$A$2:$A$21,0))*100,0)),"单价越界","")</f>
        <v/>
      </c>
      <c r="V303" s="2" t="str">
        <f t="shared" si="13"/>
        <v/>
      </c>
      <c r="W303" s="2" t="str">
        <f t="shared" si="14"/>
        <v>通过</v>
      </c>
    </row>
    <row r="304" spans="1:23" ht="15">
      <c r="A304" s="2" t="str">
        <f>raw_order_lines!A304</f>
        <v>SIM-20260910-C001</v>
      </c>
      <c r="B304" s="2">
        <f>raw_order_lines!B304</f>
        <v>1</v>
      </c>
      <c r="C304" s="2" t="str">
        <f>raw_order_lines!C304</f>
        <v>C001</v>
      </c>
      <c r="D304" s="3">
        <f>raw_order_lines!D304</f>
        <v>46275</v>
      </c>
      <c r="E304" s="2" t="str">
        <f>raw_order_lines!E304</f>
        <v>P012</v>
      </c>
      <c r="F304" s="2" t="str">
        <f>raw_order_lines!F304</f>
        <v>公斤</v>
      </c>
      <c r="G304" s="4">
        <f>raw_order_lines!G304</f>
        <v>2.5</v>
      </c>
      <c r="H304" s="4">
        <f>raw_order_lines!H304</f>
        <v>2.5</v>
      </c>
      <c r="I304" s="4">
        <f>raw_order_lines!I304</f>
        <v>0.5</v>
      </c>
      <c r="J304" s="5">
        <f>raw_order_lines!J304</f>
        <v>5</v>
      </c>
      <c r="K304" s="2" t="str">
        <f>raw_order_lines!K304</f>
        <v>正常交付；签收时挑出黄叶退回</v>
      </c>
      <c r="L304" s="2" t="str">
        <f>raw_order_lines!L304</f>
        <v>true</v>
      </c>
      <c r="M304" s="2" t="str">
        <f>INDEX(dim_products!$B$2:$B$21,MATCH($E304,dim_products!$A$2:$A$21,0))</f>
        <v>小白菜</v>
      </c>
      <c r="N304" s="2" t="str">
        <f>INDEX(dim_products!$C$2:$C$21,MATCH($E304,dim_products!$A$2:$A$21,0))</f>
        <v>散装鲜菜</v>
      </c>
      <c r="O304" s="2" t="str">
        <f>INDEX(dim_customers!$B$2:$B$7,MATCH($C304,dim_customers!$A$2:$A$7,0))</f>
        <v>模拟_榕树下粉面店</v>
      </c>
      <c r="P304" s="6">
        <f>INT((ROUND(raw_order_lines!H304*10,0)*ROUND(raw_order_lines!J304*100,0)+5)/10)/100</f>
        <v>12.5</v>
      </c>
      <c r="Q304" s="6">
        <f>INT((ROUND(raw_order_lines!I304*10,0)*ROUND(raw_order_lines!J304*100,0)+5)/10)/100</f>
        <v>2.5</v>
      </c>
      <c r="R304" s="6">
        <f t="shared" si="12"/>
        <v>10</v>
      </c>
      <c r="S304" s="2" t="str">
        <f>IF(OR(ROUND(raw_order_lines!I304*10,0)&gt;ROUND(raw_order_lines!H304*10,0),ROUND(raw_order_lines!H304*10,0)&gt;ROUND(raw_order_lines!G304*10,0),ROUND(raw_order_lines!G304*10,0)&lt;=0),"数量关系异常","")</f>
        <v/>
      </c>
      <c r="T304" s="2" t="str">
        <f>IF($F304&lt;&gt;INDEX(dim_products!$D$2:$D$21,MATCH($E304,dim_products!$A$2:$A$21,0)),"单位不一致","")</f>
        <v/>
      </c>
      <c r="U304" s="2" t="str">
        <f>IF(OR(ROUND(raw_order_lines!J304*100,0)&lt;ROUND(INDEX(dim_products!$F$2:$F$21,MATCH($E304,dim_products!$A$2:$A$21,0))*100,0),ROUND(raw_order_lines!J304*100,0)&gt;ROUND(INDEX(dim_products!$G$2:$G$21,MATCH($E304,dim_products!$A$2:$A$21,0))*100,0)),"单价越界","")</f>
        <v/>
      </c>
      <c r="V304" s="2" t="str">
        <f t="shared" si="13"/>
        <v/>
      </c>
      <c r="W304" s="2" t="str">
        <f t="shared" si="14"/>
        <v>通过</v>
      </c>
    </row>
    <row r="305" spans="1:23" ht="15">
      <c r="A305" s="2" t="str">
        <f>raw_order_lines!A305</f>
        <v>SIM-20260910-C001</v>
      </c>
      <c r="B305" s="2">
        <f>raw_order_lines!B305</f>
        <v>2</v>
      </c>
      <c r="C305" s="2" t="str">
        <f>raw_order_lines!C305</f>
        <v>C001</v>
      </c>
      <c r="D305" s="3">
        <f>raw_order_lines!D305</f>
        <v>46275</v>
      </c>
      <c r="E305" s="2" t="str">
        <f>raw_order_lines!E305</f>
        <v>P005</v>
      </c>
      <c r="F305" s="2" t="str">
        <f>raw_order_lines!F305</f>
        <v>公斤</v>
      </c>
      <c r="G305" s="4">
        <f>raw_order_lines!G305</f>
        <v>3.2</v>
      </c>
      <c r="H305" s="4">
        <f>raw_order_lines!H305</f>
        <v>3.2</v>
      </c>
      <c r="I305" s="4">
        <f>raw_order_lines!I305</f>
        <v>0</v>
      </c>
      <c r="J305" s="5">
        <f>raw_order_lines!J305</f>
        <v>2.7</v>
      </c>
      <c r="K305" s="2" t="str">
        <f>raw_order_lines!K305</f>
        <v>正常交付</v>
      </c>
      <c r="L305" s="2" t="str">
        <f>raw_order_lines!L305</f>
        <v>true</v>
      </c>
      <c r="M305" s="2" t="str">
        <f>INDEX(dim_products!$B$2:$B$21,MATCH($E305,dim_products!$A$2:$A$21,0))</f>
        <v>南瓜</v>
      </c>
      <c r="N305" s="2" t="str">
        <f>INDEX(dim_products!$C$2:$C$21,MATCH($E305,dim_products!$A$2:$A$21,0))</f>
        <v>散装鲜菜</v>
      </c>
      <c r="O305" s="2" t="str">
        <f>INDEX(dim_customers!$B$2:$B$7,MATCH($C305,dim_customers!$A$2:$A$7,0))</f>
        <v>模拟_榕树下粉面店</v>
      </c>
      <c r="P305" s="6">
        <f>INT((ROUND(raw_order_lines!H305*10,0)*ROUND(raw_order_lines!J305*100,0)+5)/10)/100</f>
        <v>8.64</v>
      </c>
      <c r="Q305" s="6">
        <f>INT((ROUND(raw_order_lines!I305*10,0)*ROUND(raw_order_lines!J305*100,0)+5)/10)/100</f>
        <v>0</v>
      </c>
      <c r="R305" s="6">
        <f t="shared" si="12"/>
        <v>8.64</v>
      </c>
      <c r="S305" s="2" t="str">
        <f>IF(OR(ROUND(raw_order_lines!I305*10,0)&gt;ROUND(raw_order_lines!H305*10,0),ROUND(raw_order_lines!H305*10,0)&gt;ROUND(raw_order_lines!G305*10,0),ROUND(raw_order_lines!G305*10,0)&lt;=0),"数量关系异常","")</f>
        <v/>
      </c>
      <c r="T305" s="2" t="str">
        <f>IF($F305&lt;&gt;INDEX(dim_products!$D$2:$D$21,MATCH($E305,dim_products!$A$2:$A$21,0)),"单位不一致","")</f>
        <v/>
      </c>
      <c r="U305" s="2" t="str">
        <f>IF(OR(ROUND(raw_order_lines!J305*100,0)&lt;ROUND(INDEX(dim_products!$F$2:$F$21,MATCH($E305,dim_products!$A$2:$A$21,0))*100,0),ROUND(raw_order_lines!J305*100,0)&gt;ROUND(INDEX(dim_products!$G$2:$G$21,MATCH($E305,dim_products!$A$2:$A$21,0))*100,0)),"单价越界","")</f>
        <v/>
      </c>
      <c r="V305" s="2" t="str">
        <f t="shared" si="13"/>
        <v/>
      </c>
      <c r="W305" s="2" t="str">
        <f t="shared" si="14"/>
        <v>通过</v>
      </c>
    </row>
    <row r="306" spans="1:23" ht="15">
      <c r="A306" s="2" t="str">
        <f>raw_order_lines!A306</f>
        <v>SIM-20260910-C001</v>
      </c>
      <c r="B306" s="2">
        <f>raw_order_lines!B306</f>
        <v>3</v>
      </c>
      <c r="C306" s="2" t="str">
        <f>raw_order_lines!C306</f>
        <v>C001</v>
      </c>
      <c r="D306" s="3">
        <f>raw_order_lines!D306</f>
        <v>46275</v>
      </c>
      <c r="E306" s="2" t="str">
        <f>raw_order_lines!E306</f>
        <v>P014</v>
      </c>
      <c r="F306" s="2" t="str">
        <f>raw_order_lines!F306</f>
        <v>公斤</v>
      </c>
      <c r="G306" s="4">
        <f>raw_order_lines!G306</f>
        <v>3.2</v>
      </c>
      <c r="H306" s="4">
        <f>raw_order_lines!H306</f>
        <v>3.2</v>
      </c>
      <c r="I306" s="4">
        <f>raw_order_lines!I306</f>
        <v>0</v>
      </c>
      <c r="J306" s="5">
        <f>raw_order_lines!J306</f>
        <v>5</v>
      </c>
      <c r="K306" s="2" t="str">
        <f>raw_order_lines!K306</f>
        <v>正常交付</v>
      </c>
      <c r="L306" s="2" t="str">
        <f>raw_order_lines!L306</f>
        <v>true</v>
      </c>
      <c r="M306" s="2" t="str">
        <f>INDEX(dim_products!$B$2:$B$21,MATCH($E306,dim_products!$A$2:$A$21,0))</f>
        <v>丝瓜</v>
      </c>
      <c r="N306" s="2" t="str">
        <f>INDEX(dim_products!$C$2:$C$21,MATCH($E306,dim_products!$A$2:$A$21,0))</f>
        <v>散装鲜菜</v>
      </c>
      <c r="O306" s="2" t="str">
        <f>INDEX(dim_customers!$B$2:$B$7,MATCH($C306,dim_customers!$A$2:$A$7,0))</f>
        <v>模拟_榕树下粉面店</v>
      </c>
      <c r="P306" s="6">
        <f>INT((ROUND(raw_order_lines!H306*10,0)*ROUND(raw_order_lines!J306*100,0)+5)/10)/100</f>
        <v>16</v>
      </c>
      <c r="Q306" s="6">
        <f>INT((ROUND(raw_order_lines!I306*10,0)*ROUND(raw_order_lines!J306*100,0)+5)/10)/100</f>
        <v>0</v>
      </c>
      <c r="R306" s="6">
        <f t="shared" si="12"/>
        <v>16</v>
      </c>
      <c r="S306" s="2" t="str">
        <f>IF(OR(ROUND(raw_order_lines!I306*10,0)&gt;ROUND(raw_order_lines!H306*10,0),ROUND(raw_order_lines!H306*10,0)&gt;ROUND(raw_order_lines!G306*10,0),ROUND(raw_order_lines!G306*10,0)&lt;=0),"数量关系异常","")</f>
        <v/>
      </c>
      <c r="T306" s="2" t="str">
        <f>IF($F306&lt;&gt;INDEX(dim_products!$D$2:$D$21,MATCH($E306,dim_products!$A$2:$A$21,0)),"单位不一致","")</f>
        <v/>
      </c>
      <c r="U306" s="2" t="str">
        <f>IF(OR(ROUND(raw_order_lines!J306*100,0)&lt;ROUND(INDEX(dim_products!$F$2:$F$21,MATCH($E306,dim_products!$A$2:$A$21,0))*100,0),ROUND(raw_order_lines!J306*100,0)&gt;ROUND(INDEX(dim_products!$G$2:$G$21,MATCH($E306,dim_products!$A$2:$A$21,0))*100,0)),"单价越界","")</f>
        <v/>
      </c>
      <c r="V306" s="2" t="str">
        <f t="shared" si="13"/>
        <v/>
      </c>
      <c r="W306" s="2" t="str">
        <f t="shared" si="14"/>
        <v>通过</v>
      </c>
    </row>
    <row r="307" spans="1:23" ht="15">
      <c r="A307" s="2" t="str">
        <f>raw_order_lines!A307</f>
        <v>SIM-20260910-C001</v>
      </c>
      <c r="B307" s="2">
        <f>raw_order_lines!B307</f>
        <v>4</v>
      </c>
      <c r="C307" s="2" t="str">
        <f>raw_order_lines!C307</f>
        <v>C001</v>
      </c>
      <c r="D307" s="3">
        <f>raw_order_lines!D307</f>
        <v>46275</v>
      </c>
      <c r="E307" s="2" t="str">
        <f>raw_order_lines!E307</f>
        <v>P006</v>
      </c>
      <c r="F307" s="2" t="str">
        <f>raw_order_lines!F307</f>
        <v>公斤</v>
      </c>
      <c r="G307" s="4">
        <f>raw_order_lines!G307</f>
        <v>2.2999999999999998</v>
      </c>
      <c r="H307" s="4">
        <f>raw_order_lines!H307</f>
        <v>2.2999999999999998</v>
      </c>
      <c r="I307" s="4">
        <f>raw_order_lines!I307</f>
        <v>0</v>
      </c>
      <c r="J307" s="5">
        <f>raw_order_lines!J307</f>
        <v>4.8</v>
      </c>
      <c r="K307" s="2" t="str">
        <f>raw_order_lines!K307</f>
        <v>正常交付</v>
      </c>
      <c r="L307" s="2" t="str">
        <f>raw_order_lines!L307</f>
        <v>true</v>
      </c>
      <c r="M307" s="2" t="str">
        <f>INDEX(dim_products!$B$2:$B$21,MATCH($E307,dim_products!$A$2:$A$21,0))</f>
        <v>茄子</v>
      </c>
      <c r="N307" s="2" t="str">
        <f>INDEX(dim_products!$C$2:$C$21,MATCH($E307,dim_products!$A$2:$A$21,0))</f>
        <v>散装鲜菜</v>
      </c>
      <c r="O307" s="2" t="str">
        <f>INDEX(dim_customers!$B$2:$B$7,MATCH($C307,dim_customers!$A$2:$A$7,0))</f>
        <v>模拟_榕树下粉面店</v>
      </c>
      <c r="P307" s="6">
        <f>INT((ROUND(raw_order_lines!H307*10,0)*ROUND(raw_order_lines!J307*100,0)+5)/10)/100</f>
        <v>11.04</v>
      </c>
      <c r="Q307" s="6">
        <f>INT((ROUND(raw_order_lines!I307*10,0)*ROUND(raw_order_lines!J307*100,0)+5)/10)/100</f>
        <v>0</v>
      </c>
      <c r="R307" s="6">
        <f t="shared" si="12"/>
        <v>11.04</v>
      </c>
      <c r="S307" s="2" t="str">
        <f>IF(OR(ROUND(raw_order_lines!I307*10,0)&gt;ROUND(raw_order_lines!H307*10,0),ROUND(raw_order_lines!H307*10,0)&gt;ROUND(raw_order_lines!G307*10,0),ROUND(raw_order_lines!G307*10,0)&lt;=0),"数量关系异常","")</f>
        <v/>
      </c>
      <c r="T307" s="2" t="str">
        <f>IF($F307&lt;&gt;INDEX(dim_products!$D$2:$D$21,MATCH($E307,dim_products!$A$2:$A$21,0)),"单位不一致","")</f>
        <v/>
      </c>
      <c r="U307" s="2" t="str">
        <f>IF(OR(ROUND(raw_order_lines!J307*100,0)&lt;ROUND(INDEX(dim_products!$F$2:$F$21,MATCH($E307,dim_products!$A$2:$A$21,0))*100,0),ROUND(raw_order_lines!J307*100,0)&gt;ROUND(INDEX(dim_products!$G$2:$G$21,MATCH($E307,dim_products!$A$2:$A$21,0))*100,0)),"单价越界","")</f>
        <v/>
      </c>
      <c r="V307" s="2" t="str">
        <f t="shared" si="13"/>
        <v/>
      </c>
      <c r="W307" s="2" t="str">
        <f t="shared" si="14"/>
        <v>通过</v>
      </c>
    </row>
    <row r="308" spans="1:23" ht="15">
      <c r="A308" s="2" t="str">
        <f>raw_order_lines!A308</f>
        <v>SIM-20260910-C001</v>
      </c>
      <c r="B308" s="2">
        <f>raw_order_lines!B308</f>
        <v>5</v>
      </c>
      <c r="C308" s="2" t="str">
        <f>raw_order_lines!C308</f>
        <v>C001</v>
      </c>
      <c r="D308" s="3">
        <f>raw_order_lines!D308</f>
        <v>46275</v>
      </c>
      <c r="E308" s="2" t="str">
        <f>raw_order_lines!E308</f>
        <v>P016</v>
      </c>
      <c r="F308" s="2" t="str">
        <f>raw_order_lines!F308</f>
        <v>公斤</v>
      </c>
      <c r="G308" s="4">
        <f>raw_order_lines!G308</f>
        <v>3</v>
      </c>
      <c r="H308" s="4">
        <f>raw_order_lines!H308</f>
        <v>3</v>
      </c>
      <c r="I308" s="4">
        <f>raw_order_lines!I308</f>
        <v>0</v>
      </c>
      <c r="J308" s="5">
        <f>raw_order_lines!J308</f>
        <v>10.4</v>
      </c>
      <c r="K308" s="2" t="str">
        <f>raw_order_lines!K308</f>
        <v>正常交付</v>
      </c>
      <c r="L308" s="2" t="str">
        <f>raw_order_lines!L308</f>
        <v>true</v>
      </c>
      <c r="M308" s="2" t="str">
        <f>INDEX(dim_products!$B$2:$B$21,MATCH($E308,dim_products!$A$2:$A$21,0))</f>
        <v>鸡蛋</v>
      </c>
      <c r="N308" s="2" t="str">
        <f>INDEX(dim_products!$C$2:$C$21,MATCH($E308,dim_products!$A$2:$A$21,0))</f>
        <v>普通鲜鸡蛋按净重</v>
      </c>
      <c r="O308" s="2" t="str">
        <f>INDEX(dim_customers!$B$2:$B$7,MATCH($C308,dim_customers!$A$2:$A$7,0))</f>
        <v>模拟_榕树下粉面店</v>
      </c>
      <c r="P308" s="6">
        <f>INT((ROUND(raw_order_lines!H308*10,0)*ROUND(raw_order_lines!J308*100,0)+5)/10)/100</f>
        <v>31.2</v>
      </c>
      <c r="Q308" s="6">
        <f>INT((ROUND(raw_order_lines!I308*10,0)*ROUND(raw_order_lines!J308*100,0)+5)/10)/100</f>
        <v>0</v>
      </c>
      <c r="R308" s="6">
        <f t="shared" si="12"/>
        <v>31.2</v>
      </c>
      <c r="S308" s="2" t="str">
        <f>IF(OR(ROUND(raw_order_lines!I308*10,0)&gt;ROUND(raw_order_lines!H308*10,0),ROUND(raw_order_lines!H308*10,0)&gt;ROUND(raw_order_lines!G308*10,0),ROUND(raw_order_lines!G308*10,0)&lt;=0),"数量关系异常","")</f>
        <v/>
      </c>
      <c r="T308" s="2" t="str">
        <f>IF($F308&lt;&gt;INDEX(dim_products!$D$2:$D$21,MATCH($E308,dim_products!$A$2:$A$21,0)),"单位不一致","")</f>
        <v/>
      </c>
      <c r="U308" s="2" t="str">
        <f>IF(OR(ROUND(raw_order_lines!J308*100,0)&lt;ROUND(INDEX(dim_products!$F$2:$F$21,MATCH($E308,dim_products!$A$2:$A$21,0))*100,0),ROUND(raw_order_lines!J308*100,0)&gt;ROUND(INDEX(dim_products!$G$2:$G$21,MATCH($E308,dim_products!$A$2:$A$21,0))*100,0)),"单价越界","")</f>
        <v/>
      </c>
      <c r="V308" s="2" t="str">
        <f t="shared" si="13"/>
        <v/>
      </c>
      <c r="W308" s="2" t="str">
        <f t="shared" si="14"/>
        <v>通过</v>
      </c>
    </row>
    <row r="309" spans="1:23" ht="15">
      <c r="A309" s="2" t="str">
        <f>raw_order_lines!A309</f>
        <v>SIM-20260910-C002</v>
      </c>
      <c r="B309" s="2">
        <f>raw_order_lines!B309</f>
        <v>1</v>
      </c>
      <c r="C309" s="2" t="str">
        <f>raw_order_lines!C309</f>
        <v>C002</v>
      </c>
      <c r="D309" s="3">
        <f>raw_order_lines!D309</f>
        <v>46275</v>
      </c>
      <c r="E309" s="2" t="str">
        <f>raw_order_lines!E309</f>
        <v>P011</v>
      </c>
      <c r="F309" s="2" t="str">
        <f>raw_order_lines!F309</f>
        <v>公斤</v>
      </c>
      <c r="G309" s="4">
        <f>raw_order_lines!G309</f>
        <v>3.3</v>
      </c>
      <c r="H309" s="4">
        <f>raw_order_lines!H309</f>
        <v>3.3</v>
      </c>
      <c r="I309" s="4">
        <f>raw_order_lines!I309</f>
        <v>0</v>
      </c>
      <c r="J309" s="5">
        <f>raw_order_lines!J309</f>
        <v>4.3</v>
      </c>
      <c r="K309" s="2" t="str">
        <f>raw_order_lines!K309</f>
        <v>正常交付</v>
      </c>
      <c r="L309" s="2" t="str">
        <f>raw_order_lines!L309</f>
        <v>true</v>
      </c>
      <c r="M309" s="2" t="str">
        <f>INDEX(dim_products!$B$2:$B$21,MATCH($E309,dim_products!$A$2:$A$21,0))</f>
        <v>红薯叶</v>
      </c>
      <c r="N309" s="2" t="str">
        <f>INDEX(dim_products!$C$2:$C$21,MATCH($E309,dim_products!$A$2:$A$21,0))</f>
        <v>散装鲜菜</v>
      </c>
      <c r="O309" s="2" t="str">
        <f>INDEX(dim_customers!$B$2:$B$7,MATCH($C309,dim_customers!$A$2:$A$7,0))</f>
        <v>模拟_桥头家常菜馆</v>
      </c>
      <c r="P309" s="6">
        <f>INT((ROUND(raw_order_lines!H309*10,0)*ROUND(raw_order_lines!J309*100,0)+5)/10)/100</f>
        <v>14.19</v>
      </c>
      <c r="Q309" s="6">
        <f>INT((ROUND(raw_order_lines!I309*10,0)*ROUND(raw_order_lines!J309*100,0)+5)/10)/100</f>
        <v>0</v>
      </c>
      <c r="R309" s="6">
        <f t="shared" si="12"/>
        <v>14.19</v>
      </c>
      <c r="S309" s="2" t="str">
        <f>IF(OR(ROUND(raw_order_lines!I309*10,0)&gt;ROUND(raw_order_lines!H309*10,0),ROUND(raw_order_lines!H309*10,0)&gt;ROUND(raw_order_lines!G309*10,0),ROUND(raw_order_lines!G309*10,0)&lt;=0),"数量关系异常","")</f>
        <v/>
      </c>
      <c r="T309" s="2" t="str">
        <f>IF($F309&lt;&gt;INDEX(dim_products!$D$2:$D$21,MATCH($E309,dim_products!$A$2:$A$21,0)),"单位不一致","")</f>
        <v/>
      </c>
      <c r="U309" s="2" t="str">
        <f>IF(OR(ROUND(raw_order_lines!J309*100,0)&lt;ROUND(INDEX(dim_products!$F$2:$F$21,MATCH($E309,dim_products!$A$2:$A$21,0))*100,0),ROUND(raw_order_lines!J309*100,0)&gt;ROUND(INDEX(dim_products!$G$2:$G$21,MATCH($E309,dim_products!$A$2:$A$21,0))*100,0)),"单价越界","")</f>
        <v/>
      </c>
      <c r="V309" s="2" t="str">
        <f t="shared" si="13"/>
        <v/>
      </c>
      <c r="W309" s="2" t="str">
        <f t="shared" si="14"/>
        <v>通过</v>
      </c>
    </row>
    <row r="310" spans="1:23" ht="15">
      <c r="A310" s="2" t="str">
        <f>raw_order_lines!A310</f>
        <v>SIM-20260910-C002</v>
      </c>
      <c r="B310" s="2">
        <f>raw_order_lines!B310</f>
        <v>2</v>
      </c>
      <c r="C310" s="2" t="str">
        <f>raw_order_lines!C310</f>
        <v>C002</v>
      </c>
      <c r="D310" s="3">
        <f>raw_order_lines!D310</f>
        <v>46275</v>
      </c>
      <c r="E310" s="2" t="str">
        <f>raw_order_lines!E310</f>
        <v>P004</v>
      </c>
      <c r="F310" s="2" t="str">
        <f>raw_order_lines!F310</f>
        <v>公斤</v>
      </c>
      <c r="G310" s="4">
        <f>raw_order_lines!G310</f>
        <v>5.4</v>
      </c>
      <c r="H310" s="4">
        <f>raw_order_lines!H310</f>
        <v>5.4</v>
      </c>
      <c r="I310" s="4">
        <f>raw_order_lines!I310</f>
        <v>0</v>
      </c>
      <c r="J310" s="5">
        <f>raw_order_lines!J310</f>
        <v>2.7</v>
      </c>
      <c r="K310" s="2" t="str">
        <f>raw_order_lines!K310</f>
        <v>正常交付</v>
      </c>
      <c r="L310" s="2" t="str">
        <f>raw_order_lines!L310</f>
        <v>true</v>
      </c>
      <c r="M310" s="2" t="str">
        <f>INDEX(dim_products!$B$2:$B$21,MATCH($E310,dim_products!$A$2:$A$21,0))</f>
        <v>冬瓜</v>
      </c>
      <c r="N310" s="2" t="str">
        <f>INDEX(dim_products!$C$2:$C$21,MATCH($E310,dim_products!$A$2:$A$21,0))</f>
        <v>散装鲜菜</v>
      </c>
      <c r="O310" s="2" t="str">
        <f>INDEX(dim_customers!$B$2:$B$7,MATCH($C310,dim_customers!$A$2:$A$7,0))</f>
        <v>模拟_桥头家常菜馆</v>
      </c>
      <c r="P310" s="6">
        <f>INT((ROUND(raw_order_lines!H310*10,0)*ROUND(raw_order_lines!J310*100,0)+5)/10)/100</f>
        <v>14.58</v>
      </c>
      <c r="Q310" s="6">
        <f>INT((ROUND(raw_order_lines!I310*10,0)*ROUND(raw_order_lines!J310*100,0)+5)/10)/100</f>
        <v>0</v>
      </c>
      <c r="R310" s="6">
        <f t="shared" si="12"/>
        <v>14.58</v>
      </c>
      <c r="S310" s="2" t="str">
        <f>IF(OR(ROUND(raw_order_lines!I310*10,0)&gt;ROUND(raw_order_lines!H310*10,0),ROUND(raw_order_lines!H310*10,0)&gt;ROUND(raw_order_lines!G310*10,0),ROUND(raw_order_lines!G310*10,0)&lt;=0),"数量关系异常","")</f>
        <v/>
      </c>
      <c r="T310" s="2" t="str">
        <f>IF($F310&lt;&gt;INDEX(dim_products!$D$2:$D$21,MATCH($E310,dim_products!$A$2:$A$21,0)),"单位不一致","")</f>
        <v/>
      </c>
      <c r="U310" s="2" t="str">
        <f>IF(OR(ROUND(raw_order_lines!J310*100,0)&lt;ROUND(INDEX(dim_products!$F$2:$F$21,MATCH($E310,dim_products!$A$2:$A$21,0))*100,0),ROUND(raw_order_lines!J310*100,0)&gt;ROUND(INDEX(dim_products!$G$2:$G$21,MATCH($E310,dim_products!$A$2:$A$21,0))*100,0)),"单价越界","")</f>
        <v/>
      </c>
      <c r="V310" s="2" t="str">
        <f t="shared" si="13"/>
        <v/>
      </c>
      <c r="W310" s="2" t="str">
        <f t="shared" si="14"/>
        <v>通过</v>
      </c>
    </row>
    <row r="311" spans="1:23" ht="15">
      <c r="A311" s="2" t="str">
        <f>raw_order_lines!A311</f>
        <v>SIM-20260910-C002</v>
      </c>
      <c r="B311" s="2">
        <f>raw_order_lines!B311</f>
        <v>3</v>
      </c>
      <c r="C311" s="2" t="str">
        <f>raw_order_lines!C311</f>
        <v>C002</v>
      </c>
      <c r="D311" s="3">
        <f>raw_order_lines!D311</f>
        <v>46275</v>
      </c>
      <c r="E311" s="2" t="str">
        <f>raw_order_lines!E311</f>
        <v>P006</v>
      </c>
      <c r="F311" s="2" t="str">
        <f>raw_order_lines!F311</f>
        <v>公斤</v>
      </c>
      <c r="G311" s="4">
        <f>raw_order_lines!G311</f>
        <v>5</v>
      </c>
      <c r="H311" s="4">
        <f>raw_order_lines!H311</f>
        <v>5</v>
      </c>
      <c r="I311" s="4">
        <f>raw_order_lines!I311</f>
        <v>0</v>
      </c>
      <c r="J311" s="5">
        <f>raw_order_lines!J311</f>
        <v>4.8</v>
      </c>
      <c r="K311" s="2" t="str">
        <f>raw_order_lines!K311</f>
        <v>正常交付</v>
      </c>
      <c r="L311" s="2" t="str">
        <f>raw_order_lines!L311</f>
        <v>true</v>
      </c>
      <c r="M311" s="2" t="str">
        <f>INDEX(dim_products!$B$2:$B$21,MATCH($E311,dim_products!$A$2:$A$21,0))</f>
        <v>茄子</v>
      </c>
      <c r="N311" s="2" t="str">
        <f>INDEX(dim_products!$C$2:$C$21,MATCH($E311,dim_products!$A$2:$A$21,0))</f>
        <v>散装鲜菜</v>
      </c>
      <c r="O311" s="2" t="str">
        <f>INDEX(dim_customers!$B$2:$B$7,MATCH($C311,dim_customers!$A$2:$A$7,0))</f>
        <v>模拟_桥头家常菜馆</v>
      </c>
      <c r="P311" s="6">
        <f>INT((ROUND(raw_order_lines!H311*10,0)*ROUND(raw_order_lines!J311*100,0)+5)/10)/100</f>
        <v>24</v>
      </c>
      <c r="Q311" s="6">
        <f>INT((ROUND(raw_order_lines!I311*10,0)*ROUND(raw_order_lines!J311*100,0)+5)/10)/100</f>
        <v>0</v>
      </c>
      <c r="R311" s="6">
        <f t="shared" si="12"/>
        <v>24</v>
      </c>
      <c r="S311" s="2" t="str">
        <f>IF(OR(ROUND(raw_order_lines!I311*10,0)&gt;ROUND(raw_order_lines!H311*10,0),ROUND(raw_order_lines!H311*10,0)&gt;ROUND(raw_order_lines!G311*10,0),ROUND(raw_order_lines!G311*10,0)&lt;=0),"数量关系异常","")</f>
        <v/>
      </c>
      <c r="T311" s="2" t="str">
        <f>IF($F311&lt;&gt;INDEX(dim_products!$D$2:$D$21,MATCH($E311,dim_products!$A$2:$A$21,0)),"单位不一致","")</f>
        <v/>
      </c>
      <c r="U311" s="2" t="str">
        <f>IF(OR(ROUND(raw_order_lines!J311*100,0)&lt;ROUND(INDEX(dim_products!$F$2:$F$21,MATCH($E311,dim_products!$A$2:$A$21,0))*100,0),ROUND(raw_order_lines!J311*100,0)&gt;ROUND(INDEX(dim_products!$G$2:$G$21,MATCH($E311,dim_products!$A$2:$A$21,0))*100,0)),"单价越界","")</f>
        <v/>
      </c>
      <c r="V311" s="2" t="str">
        <f t="shared" si="13"/>
        <v/>
      </c>
      <c r="W311" s="2" t="str">
        <f t="shared" si="14"/>
        <v>通过</v>
      </c>
    </row>
    <row r="312" spans="1:23" ht="15">
      <c r="A312" s="2" t="str">
        <f>raw_order_lines!A312</f>
        <v>SIM-20260910-C002</v>
      </c>
      <c r="B312" s="2">
        <f>raw_order_lines!B312</f>
        <v>4</v>
      </c>
      <c r="C312" s="2" t="str">
        <f>raw_order_lines!C312</f>
        <v>C002</v>
      </c>
      <c r="D312" s="3">
        <f>raw_order_lines!D312</f>
        <v>46275</v>
      </c>
      <c r="E312" s="2" t="str">
        <f>raw_order_lines!E312</f>
        <v>P003</v>
      </c>
      <c r="F312" s="2" t="str">
        <f>raw_order_lines!F312</f>
        <v>公斤</v>
      </c>
      <c r="G312" s="4">
        <f>raw_order_lines!G312</f>
        <v>5</v>
      </c>
      <c r="H312" s="4">
        <f>raw_order_lines!H312</f>
        <v>5</v>
      </c>
      <c r="I312" s="4">
        <f>raw_order_lines!I312</f>
        <v>0</v>
      </c>
      <c r="J312" s="5">
        <f>raw_order_lines!J312</f>
        <v>2.9</v>
      </c>
      <c r="K312" s="2" t="str">
        <f>raw_order_lines!K312</f>
        <v>正常交付</v>
      </c>
      <c r="L312" s="2" t="str">
        <f>raw_order_lines!L312</f>
        <v>true</v>
      </c>
      <c r="M312" s="2" t="str">
        <f>INDEX(dim_products!$B$2:$B$21,MATCH($E312,dim_products!$A$2:$A$21,0))</f>
        <v>包菜</v>
      </c>
      <c r="N312" s="2" t="str">
        <f>INDEX(dim_products!$C$2:$C$21,MATCH($E312,dim_products!$A$2:$A$21,0))</f>
        <v>散装鲜菜</v>
      </c>
      <c r="O312" s="2" t="str">
        <f>INDEX(dim_customers!$B$2:$B$7,MATCH($C312,dim_customers!$A$2:$A$7,0))</f>
        <v>模拟_桥头家常菜馆</v>
      </c>
      <c r="P312" s="6">
        <f>INT((ROUND(raw_order_lines!H312*10,0)*ROUND(raw_order_lines!J312*100,0)+5)/10)/100</f>
        <v>14.5</v>
      </c>
      <c r="Q312" s="6">
        <f>INT((ROUND(raw_order_lines!I312*10,0)*ROUND(raw_order_lines!J312*100,0)+5)/10)/100</f>
        <v>0</v>
      </c>
      <c r="R312" s="6">
        <f t="shared" si="12"/>
        <v>14.5</v>
      </c>
      <c r="S312" s="2" t="str">
        <f>IF(OR(ROUND(raw_order_lines!I312*10,0)&gt;ROUND(raw_order_lines!H312*10,0),ROUND(raw_order_lines!H312*10,0)&gt;ROUND(raw_order_lines!G312*10,0),ROUND(raw_order_lines!G312*10,0)&lt;=0),"数量关系异常","")</f>
        <v/>
      </c>
      <c r="T312" s="2" t="str">
        <f>IF($F312&lt;&gt;INDEX(dim_products!$D$2:$D$21,MATCH($E312,dim_products!$A$2:$A$21,0)),"单位不一致","")</f>
        <v/>
      </c>
      <c r="U312" s="2" t="str">
        <f>IF(OR(ROUND(raw_order_lines!J312*100,0)&lt;ROUND(INDEX(dim_products!$F$2:$F$21,MATCH($E312,dim_products!$A$2:$A$21,0))*100,0),ROUND(raw_order_lines!J312*100,0)&gt;ROUND(INDEX(dim_products!$G$2:$G$21,MATCH($E312,dim_products!$A$2:$A$21,0))*100,0)),"单价越界","")</f>
        <v/>
      </c>
      <c r="V312" s="2" t="str">
        <f t="shared" si="13"/>
        <v/>
      </c>
      <c r="W312" s="2" t="str">
        <f t="shared" si="14"/>
        <v>通过</v>
      </c>
    </row>
    <row r="313" spans="1:23" ht="15">
      <c r="A313" s="2" t="str">
        <f>raw_order_lines!A313</f>
        <v>SIM-20260910-C002</v>
      </c>
      <c r="B313" s="2">
        <f>raw_order_lines!B313</f>
        <v>5</v>
      </c>
      <c r="C313" s="2" t="str">
        <f>raw_order_lines!C313</f>
        <v>C002</v>
      </c>
      <c r="D313" s="3">
        <f>raw_order_lines!D313</f>
        <v>46275</v>
      </c>
      <c r="E313" s="2" t="str">
        <f>raw_order_lines!E313</f>
        <v>P002</v>
      </c>
      <c r="F313" s="2" t="str">
        <f>raw_order_lines!F313</f>
        <v>公斤</v>
      </c>
      <c r="G313" s="4">
        <f>raw_order_lines!G313</f>
        <v>6.7</v>
      </c>
      <c r="H313" s="4">
        <f>raw_order_lines!H313</f>
        <v>6.7</v>
      </c>
      <c r="I313" s="4">
        <f>raw_order_lines!I313</f>
        <v>0</v>
      </c>
      <c r="J313" s="5">
        <f>raw_order_lines!J313</f>
        <v>2.7</v>
      </c>
      <c r="K313" s="2" t="str">
        <f>raw_order_lines!K313</f>
        <v>正常交付</v>
      </c>
      <c r="L313" s="2" t="str">
        <f>raw_order_lines!L313</f>
        <v>true</v>
      </c>
      <c r="M313" s="2" t="str">
        <f>INDEX(dim_products!$B$2:$B$21,MATCH($E313,dim_products!$A$2:$A$21,0))</f>
        <v>白萝卜</v>
      </c>
      <c r="N313" s="2" t="str">
        <f>INDEX(dim_products!$C$2:$C$21,MATCH($E313,dim_products!$A$2:$A$21,0))</f>
        <v>散装鲜菜</v>
      </c>
      <c r="O313" s="2" t="str">
        <f>INDEX(dim_customers!$B$2:$B$7,MATCH($C313,dim_customers!$A$2:$A$7,0))</f>
        <v>模拟_桥头家常菜馆</v>
      </c>
      <c r="P313" s="6">
        <f>INT((ROUND(raw_order_lines!H313*10,0)*ROUND(raw_order_lines!J313*100,0)+5)/10)/100</f>
        <v>18.09</v>
      </c>
      <c r="Q313" s="6">
        <f>INT((ROUND(raw_order_lines!I313*10,0)*ROUND(raw_order_lines!J313*100,0)+5)/10)/100</f>
        <v>0</v>
      </c>
      <c r="R313" s="6">
        <f t="shared" si="12"/>
        <v>18.09</v>
      </c>
      <c r="S313" s="2" t="str">
        <f>IF(OR(ROUND(raw_order_lines!I313*10,0)&gt;ROUND(raw_order_lines!H313*10,0),ROUND(raw_order_lines!H313*10,0)&gt;ROUND(raw_order_lines!G313*10,0),ROUND(raw_order_lines!G313*10,0)&lt;=0),"数量关系异常","")</f>
        <v/>
      </c>
      <c r="T313" s="2" t="str">
        <f>IF($F313&lt;&gt;INDEX(dim_products!$D$2:$D$21,MATCH($E313,dim_products!$A$2:$A$21,0)),"单位不一致","")</f>
        <v/>
      </c>
      <c r="U313" s="2" t="str">
        <f>IF(OR(ROUND(raw_order_lines!J313*100,0)&lt;ROUND(INDEX(dim_products!$F$2:$F$21,MATCH($E313,dim_products!$A$2:$A$21,0))*100,0),ROUND(raw_order_lines!J313*100,0)&gt;ROUND(INDEX(dim_products!$G$2:$G$21,MATCH($E313,dim_products!$A$2:$A$21,0))*100,0)),"单价越界","")</f>
        <v/>
      </c>
      <c r="V313" s="2" t="str">
        <f t="shared" si="13"/>
        <v/>
      </c>
      <c r="W313" s="2" t="str">
        <f t="shared" si="14"/>
        <v>通过</v>
      </c>
    </row>
    <row r="314" spans="1:23" ht="15">
      <c r="A314" s="2" t="str">
        <f>raw_order_lines!A314</f>
        <v>SIM-20260910-C002</v>
      </c>
      <c r="B314" s="2">
        <f>raw_order_lines!B314</f>
        <v>6</v>
      </c>
      <c r="C314" s="2" t="str">
        <f>raw_order_lines!C314</f>
        <v>C002</v>
      </c>
      <c r="D314" s="3">
        <f>raw_order_lines!D314</f>
        <v>46275</v>
      </c>
      <c r="E314" s="2" t="str">
        <f>raw_order_lines!E314</f>
        <v>P016</v>
      </c>
      <c r="F314" s="2" t="str">
        <f>raw_order_lines!F314</f>
        <v>公斤</v>
      </c>
      <c r="G314" s="4">
        <f>raw_order_lines!G314</f>
        <v>4</v>
      </c>
      <c r="H314" s="4">
        <f>raw_order_lines!H314</f>
        <v>4</v>
      </c>
      <c r="I314" s="4">
        <f>raw_order_lines!I314</f>
        <v>0</v>
      </c>
      <c r="J314" s="5">
        <f>raw_order_lines!J314</f>
        <v>10.4</v>
      </c>
      <c r="K314" s="2" t="str">
        <f>raw_order_lines!K314</f>
        <v>正常交付</v>
      </c>
      <c r="L314" s="2" t="str">
        <f>raw_order_lines!L314</f>
        <v>true</v>
      </c>
      <c r="M314" s="2" t="str">
        <f>INDEX(dim_products!$B$2:$B$21,MATCH($E314,dim_products!$A$2:$A$21,0))</f>
        <v>鸡蛋</v>
      </c>
      <c r="N314" s="2" t="str">
        <f>INDEX(dim_products!$C$2:$C$21,MATCH($E314,dim_products!$A$2:$A$21,0))</f>
        <v>普通鲜鸡蛋按净重</v>
      </c>
      <c r="O314" s="2" t="str">
        <f>INDEX(dim_customers!$B$2:$B$7,MATCH($C314,dim_customers!$A$2:$A$7,0))</f>
        <v>模拟_桥头家常菜馆</v>
      </c>
      <c r="P314" s="6">
        <f>INT((ROUND(raw_order_lines!H314*10,0)*ROUND(raw_order_lines!J314*100,0)+5)/10)/100</f>
        <v>41.6</v>
      </c>
      <c r="Q314" s="6">
        <f>INT((ROUND(raw_order_lines!I314*10,0)*ROUND(raw_order_lines!J314*100,0)+5)/10)/100</f>
        <v>0</v>
      </c>
      <c r="R314" s="6">
        <f t="shared" si="12"/>
        <v>41.6</v>
      </c>
      <c r="S314" s="2" t="str">
        <f>IF(OR(ROUND(raw_order_lines!I314*10,0)&gt;ROUND(raw_order_lines!H314*10,0),ROUND(raw_order_lines!H314*10,0)&gt;ROUND(raw_order_lines!G314*10,0),ROUND(raw_order_lines!G314*10,0)&lt;=0),"数量关系异常","")</f>
        <v/>
      </c>
      <c r="T314" s="2" t="str">
        <f>IF($F314&lt;&gt;INDEX(dim_products!$D$2:$D$21,MATCH($E314,dim_products!$A$2:$A$21,0)),"单位不一致","")</f>
        <v/>
      </c>
      <c r="U314" s="2" t="str">
        <f>IF(OR(ROUND(raw_order_lines!J314*100,0)&lt;ROUND(INDEX(dim_products!$F$2:$F$21,MATCH($E314,dim_products!$A$2:$A$21,0))*100,0),ROUND(raw_order_lines!J314*100,0)&gt;ROUND(INDEX(dim_products!$G$2:$G$21,MATCH($E314,dim_products!$A$2:$A$21,0))*100,0)),"单价越界","")</f>
        <v/>
      </c>
      <c r="V314" s="2" t="str">
        <f t="shared" si="13"/>
        <v/>
      </c>
      <c r="W314" s="2" t="str">
        <f t="shared" si="14"/>
        <v>通过</v>
      </c>
    </row>
    <row r="315" spans="1:23" ht="15">
      <c r="A315" s="2" t="str">
        <f>raw_order_lines!A315</f>
        <v>SIM-20260910-C003</v>
      </c>
      <c r="B315" s="2">
        <f>raw_order_lines!B315</f>
        <v>1</v>
      </c>
      <c r="C315" s="2" t="str">
        <f>raw_order_lines!C315</f>
        <v>C003</v>
      </c>
      <c r="D315" s="3">
        <f>raw_order_lines!D315</f>
        <v>46275</v>
      </c>
      <c r="E315" s="2" t="str">
        <f>raw_order_lines!E315</f>
        <v>P012</v>
      </c>
      <c r="F315" s="2" t="str">
        <f>raw_order_lines!F315</f>
        <v>公斤</v>
      </c>
      <c r="G315" s="4">
        <f>raw_order_lines!G315</f>
        <v>7</v>
      </c>
      <c r="H315" s="4">
        <f>raw_order_lines!H315</f>
        <v>7</v>
      </c>
      <c r="I315" s="4">
        <f>raw_order_lines!I315</f>
        <v>0.2</v>
      </c>
      <c r="J315" s="5">
        <f>raw_order_lines!J315</f>
        <v>5</v>
      </c>
      <c r="K315" s="2" t="str">
        <f>raw_order_lines!K315</f>
        <v>正常交付；签收时挑出黄叶退回</v>
      </c>
      <c r="L315" s="2" t="str">
        <f>raw_order_lines!L315</f>
        <v>true</v>
      </c>
      <c r="M315" s="2" t="str">
        <f>INDEX(dim_products!$B$2:$B$21,MATCH($E315,dim_products!$A$2:$A$21,0))</f>
        <v>小白菜</v>
      </c>
      <c r="N315" s="2" t="str">
        <f>INDEX(dim_products!$C$2:$C$21,MATCH($E315,dim_products!$A$2:$A$21,0))</f>
        <v>散装鲜菜</v>
      </c>
      <c r="O315" s="2" t="str">
        <f>INDEX(dim_customers!$B$2:$B$7,MATCH($C315,dim_customers!$A$2:$A$7,0))</f>
        <v>模拟_兴街快餐店</v>
      </c>
      <c r="P315" s="6">
        <f>INT((ROUND(raw_order_lines!H315*10,0)*ROUND(raw_order_lines!J315*100,0)+5)/10)/100</f>
        <v>35</v>
      </c>
      <c r="Q315" s="6">
        <f>INT((ROUND(raw_order_lines!I315*10,0)*ROUND(raw_order_lines!J315*100,0)+5)/10)/100</f>
        <v>1</v>
      </c>
      <c r="R315" s="6">
        <f t="shared" si="12"/>
        <v>34</v>
      </c>
      <c r="S315" s="2" t="str">
        <f>IF(OR(ROUND(raw_order_lines!I315*10,0)&gt;ROUND(raw_order_lines!H315*10,0),ROUND(raw_order_lines!H315*10,0)&gt;ROUND(raw_order_lines!G315*10,0),ROUND(raw_order_lines!G315*10,0)&lt;=0),"数量关系异常","")</f>
        <v/>
      </c>
      <c r="T315" s="2" t="str">
        <f>IF($F315&lt;&gt;INDEX(dim_products!$D$2:$D$21,MATCH($E315,dim_products!$A$2:$A$21,0)),"单位不一致","")</f>
        <v/>
      </c>
      <c r="U315" s="2" t="str">
        <f>IF(OR(ROUND(raw_order_lines!J315*100,0)&lt;ROUND(INDEX(dim_products!$F$2:$F$21,MATCH($E315,dim_products!$A$2:$A$21,0))*100,0),ROUND(raw_order_lines!J315*100,0)&gt;ROUND(INDEX(dim_products!$G$2:$G$21,MATCH($E315,dim_products!$A$2:$A$21,0))*100,0)),"单价越界","")</f>
        <v/>
      </c>
      <c r="V315" s="2" t="str">
        <f t="shared" si="13"/>
        <v/>
      </c>
      <c r="W315" s="2" t="str">
        <f t="shared" si="14"/>
        <v>通过</v>
      </c>
    </row>
    <row r="316" spans="1:23" ht="15">
      <c r="A316" s="2" t="str">
        <f>raw_order_lines!A316</f>
        <v>SIM-20260910-C003</v>
      </c>
      <c r="B316" s="2">
        <f>raw_order_lines!B316</f>
        <v>2</v>
      </c>
      <c r="C316" s="2" t="str">
        <f>raw_order_lines!C316</f>
        <v>C003</v>
      </c>
      <c r="D316" s="3">
        <f>raw_order_lines!D316</f>
        <v>46275</v>
      </c>
      <c r="E316" s="2" t="str">
        <f>raw_order_lines!E316</f>
        <v>P007</v>
      </c>
      <c r="F316" s="2" t="str">
        <f>raw_order_lines!F316</f>
        <v>公斤</v>
      </c>
      <c r="G316" s="4">
        <f>raw_order_lines!G316</f>
        <v>6.4</v>
      </c>
      <c r="H316" s="4">
        <f>raw_order_lines!H316</f>
        <v>6.4</v>
      </c>
      <c r="I316" s="4">
        <f>raw_order_lines!I316</f>
        <v>0</v>
      </c>
      <c r="J316" s="5">
        <f>raw_order_lines!J316</f>
        <v>5.45</v>
      </c>
      <c r="K316" s="2" t="str">
        <f>raw_order_lines!K316</f>
        <v>正常交付</v>
      </c>
      <c r="L316" s="2" t="str">
        <f>raw_order_lines!L316</f>
        <v>true</v>
      </c>
      <c r="M316" s="2" t="str">
        <f>INDEX(dim_products!$B$2:$B$21,MATCH($E316,dim_products!$A$2:$A$21,0))</f>
        <v>青椒</v>
      </c>
      <c r="N316" s="2" t="str">
        <f>INDEX(dim_products!$C$2:$C$21,MATCH($E316,dim_products!$A$2:$A$21,0))</f>
        <v>散装鲜菜</v>
      </c>
      <c r="O316" s="2" t="str">
        <f>INDEX(dim_customers!$B$2:$B$7,MATCH($C316,dim_customers!$A$2:$A$7,0))</f>
        <v>模拟_兴街快餐店</v>
      </c>
      <c r="P316" s="6">
        <f>INT((ROUND(raw_order_lines!H316*10,0)*ROUND(raw_order_lines!J316*100,0)+5)/10)/100</f>
        <v>34.880000000000003</v>
      </c>
      <c r="Q316" s="6">
        <f>INT((ROUND(raw_order_lines!I316*10,0)*ROUND(raw_order_lines!J316*100,0)+5)/10)/100</f>
        <v>0</v>
      </c>
      <c r="R316" s="6">
        <f t="shared" si="12"/>
        <v>34.880000000000003</v>
      </c>
      <c r="S316" s="2" t="str">
        <f>IF(OR(ROUND(raw_order_lines!I316*10,0)&gt;ROUND(raw_order_lines!H316*10,0),ROUND(raw_order_lines!H316*10,0)&gt;ROUND(raw_order_lines!G316*10,0),ROUND(raw_order_lines!G316*10,0)&lt;=0),"数量关系异常","")</f>
        <v/>
      </c>
      <c r="T316" s="2" t="str">
        <f>IF($F316&lt;&gt;INDEX(dim_products!$D$2:$D$21,MATCH($E316,dim_products!$A$2:$A$21,0)),"单位不一致","")</f>
        <v/>
      </c>
      <c r="U316" s="2" t="str">
        <f>IF(OR(ROUND(raw_order_lines!J316*100,0)&lt;ROUND(INDEX(dim_products!$F$2:$F$21,MATCH($E316,dim_products!$A$2:$A$21,0))*100,0),ROUND(raw_order_lines!J316*100,0)&gt;ROUND(INDEX(dim_products!$G$2:$G$21,MATCH($E316,dim_products!$A$2:$A$21,0))*100,0)),"单价越界","")</f>
        <v/>
      </c>
      <c r="V316" s="2" t="str">
        <f t="shared" si="13"/>
        <v/>
      </c>
      <c r="W316" s="2" t="str">
        <f t="shared" si="14"/>
        <v>通过</v>
      </c>
    </row>
    <row r="317" spans="1:23" ht="15">
      <c r="A317" s="2" t="str">
        <f>raw_order_lines!A317</f>
        <v>SIM-20260910-C003</v>
      </c>
      <c r="B317" s="2">
        <f>raw_order_lines!B317</f>
        <v>3</v>
      </c>
      <c r="C317" s="2" t="str">
        <f>raw_order_lines!C317</f>
        <v>C003</v>
      </c>
      <c r="D317" s="3">
        <f>raw_order_lines!D317</f>
        <v>46275</v>
      </c>
      <c r="E317" s="2" t="str">
        <f>raw_order_lines!E317</f>
        <v>P004</v>
      </c>
      <c r="F317" s="2" t="str">
        <f>raw_order_lines!F317</f>
        <v>公斤</v>
      </c>
      <c r="G317" s="4">
        <f>raw_order_lines!G317</f>
        <v>5.7</v>
      </c>
      <c r="H317" s="4">
        <f>raw_order_lines!H317</f>
        <v>5.7</v>
      </c>
      <c r="I317" s="4">
        <f>raw_order_lines!I317</f>
        <v>0</v>
      </c>
      <c r="J317" s="5">
        <f>raw_order_lines!J317</f>
        <v>2.7</v>
      </c>
      <c r="K317" s="2" t="str">
        <f>raw_order_lines!K317</f>
        <v>正常交付</v>
      </c>
      <c r="L317" s="2" t="str">
        <f>raw_order_lines!L317</f>
        <v>true</v>
      </c>
      <c r="M317" s="2" t="str">
        <f>INDEX(dim_products!$B$2:$B$21,MATCH($E317,dim_products!$A$2:$A$21,0))</f>
        <v>冬瓜</v>
      </c>
      <c r="N317" s="2" t="str">
        <f>INDEX(dim_products!$C$2:$C$21,MATCH($E317,dim_products!$A$2:$A$21,0))</f>
        <v>散装鲜菜</v>
      </c>
      <c r="O317" s="2" t="str">
        <f>INDEX(dim_customers!$B$2:$B$7,MATCH($C317,dim_customers!$A$2:$A$7,0))</f>
        <v>模拟_兴街快餐店</v>
      </c>
      <c r="P317" s="6">
        <f>INT((ROUND(raw_order_lines!H317*10,0)*ROUND(raw_order_lines!J317*100,0)+5)/10)/100</f>
        <v>15.39</v>
      </c>
      <c r="Q317" s="6">
        <f>INT((ROUND(raw_order_lines!I317*10,0)*ROUND(raw_order_lines!J317*100,0)+5)/10)/100</f>
        <v>0</v>
      </c>
      <c r="R317" s="6">
        <f t="shared" si="12"/>
        <v>15.39</v>
      </c>
      <c r="S317" s="2" t="str">
        <f>IF(OR(ROUND(raw_order_lines!I317*10,0)&gt;ROUND(raw_order_lines!H317*10,0),ROUND(raw_order_lines!H317*10,0)&gt;ROUND(raw_order_lines!G317*10,0),ROUND(raw_order_lines!G317*10,0)&lt;=0),"数量关系异常","")</f>
        <v/>
      </c>
      <c r="T317" s="2" t="str">
        <f>IF($F317&lt;&gt;INDEX(dim_products!$D$2:$D$21,MATCH($E317,dim_products!$A$2:$A$21,0)),"单位不一致","")</f>
        <v/>
      </c>
      <c r="U317" s="2" t="str">
        <f>IF(OR(ROUND(raw_order_lines!J317*100,0)&lt;ROUND(INDEX(dim_products!$F$2:$F$21,MATCH($E317,dim_products!$A$2:$A$21,0))*100,0),ROUND(raw_order_lines!J317*100,0)&gt;ROUND(INDEX(dim_products!$G$2:$G$21,MATCH($E317,dim_products!$A$2:$A$21,0))*100,0)),"单价越界","")</f>
        <v/>
      </c>
      <c r="V317" s="2" t="str">
        <f t="shared" si="13"/>
        <v/>
      </c>
      <c r="W317" s="2" t="str">
        <f t="shared" si="14"/>
        <v>通过</v>
      </c>
    </row>
    <row r="318" spans="1:23" ht="15">
      <c r="A318" s="2" t="str">
        <f>raw_order_lines!A318</f>
        <v>SIM-20260910-C003</v>
      </c>
      <c r="B318" s="2">
        <f>raw_order_lines!B318</f>
        <v>4</v>
      </c>
      <c r="C318" s="2" t="str">
        <f>raw_order_lines!C318</f>
        <v>C003</v>
      </c>
      <c r="D318" s="3">
        <f>raw_order_lines!D318</f>
        <v>46275</v>
      </c>
      <c r="E318" s="2" t="str">
        <f>raw_order_lines!E318</f>
        <v>P013</v>
      </c>
      <c r="F318" s="2" t="str">
        <f>raw_order_lines!F318</f>
        <v>公斤</v>
      </c>
      <c r="G318" s="4">
        <f>raw_order_lines!G318</f>
        <v>5.7</v>
      </c>
      <c r="H318" s="4">
        <f>raw_order_lines!H318</f>
        <v>5.7</v>
      </c>
      <c r="I318" s="4">
        <f>raw_order_lines!I318</f>
        <v>0</v>
      </c>
      <c r="J318" s="5">
        <f>raw_order_lines!J318</f>
        <v>6</v>
      </c>
      <c r="K318" s="2" t="str">
        <f>raw_order_lines!K318</f>
        <v>正常交付</v>
      </c>
      <c r="L318" s="2" t="str">
        <f>raw_order_lines!L318</f>
        <v>true</v>
      </c>
      <c r="M318" s="2" t="str">
        <f>INDEX(dim_products!$B$2:$B$21,MATCH($E318,dim_products!$A$2:$A$21,0))</f>
        <v>豇豆</v>
      </c>
      <c r="N318" s="2" t="str">
        <f>INDEX(dim_products!$C$2:$C$21,MATCH($E318,dim_products!$A$2:$A$21,0))</f>
        <v>散装鲜菜</v>
      </c>
      <c r="O318" s="2" t="str">
        <f>INDEX(dim_customers!$B$2:$B$7,MATCH($C318,dim_customers!$A$2:$A$7,0))</f>
        <v>模拟_兴街快餐店</v>
      </c>
      <c r="P318" s="6">
        <f>INT((ROUND(raw_order_lines!H318*10,0)*ROUND(raw_order_lines!J318*100,0)+5)/10)/100</f>
        <v>34.200000000000003</v>
      </c>
      <c r="Q318" s="6">
        <f>INT((ROUND(raw_order_lines!I318*10,0)*ROUND(raw_order_lines!J318*100,0)+5)/10)/100</f>
        <v>0</v>
      </c>
      <c r="R318" s="6">
        <f t="shared" si="12"/>
        <v>34.200000000000003</v>
      </c>
      <c r="S318" s="2" t="str">
        <f>IF(OR(ROUND(raw_order_lines!I318*10,0)&gt;ROUND(raw_order_lines!H318*10,0),ROUND(raw_order_lines!H318*10,0)&gt;ROUND(raw_order_lines!G318*10,0),ROUND(raw_order_lines!G318*10,0)&lt;=0),"数量关系异常","")</f>
        <v/>
      </c>
      <c r="T318" s="2" t="str">
        <f>IF($F318&lt;&gt;INDEX(dim_products!$D$2:$D$21,MATCH($E318,dim_products!$A$2:$A$21,0)),"单位不一致","")</f>
        <v/>
      </c>
      <c r="U318" s="2" t="str">
        <f>IF(OR(ROUND(raw_order_lines!J318*100,0)&lt;ROUND(INDEX(dim_products!$F$2:$F$21,MATCH($E318,dim_products!$A$2:$A$21,0))*100,0),ROUND(raw_order_lines!J318*100,0)&gt;ROUND(INDEX(dim_products!$G$2:$G$21,MATCH($E318,dim_products!$A$2:$A$21,0))*100,0)),"单价越界","")</f>
        <v/>
      </c>
      <c r="V318" s="2" t="str">
        <f t="shared" si="13"/>
        <v/>
      </c>
      <c r="W318" s="2" t="str">
        <f t="shared" si="14"/>
        <v>通过</v>
      </c>
    </row>
    <row r="319" spans="1:23" ht="15">
      <c r="A319" s="2" t="str">
        <f>raw_order_lines!A319</f>
        <v>SIM-20260910-C003</v>
      </c>
      <c r="B319" s="2">
        <f>raw_order_lines!B319</f>
        <v>5</v>
      </c>
      <c r="C319" s="2" t="str">
        <f>raw_order_lines!C319</f>
        <v>C003</v>
      </c>
      <c r="D319" s="3">
        <f>raw_order_lines!D319</f>
        <v>46275</v>
      </c>
      <c r="E319" s="2" t="str">
        <f>raw_order_lines!E319</f>
        <v>P001</v>
      </c>
      <c r="F319" s="2" t="str">
        <f>raw_order_lines!F319</f>
        <v>公斤</v>
      </c>
      <c r="G319" s="4">
        <f>raw_order_lines!G319</f>
        <v>8.3000000000000007</v>
      </c>
      <c r="H319" s="4">
        <f>raw_order_lines!H319</f>
        <v>8.3000000000000007</v>
      </c>
      <c r="I319" s="4">
        <f>raw_order_lines!I319</f>
        <v>0</v>
      </c>
      <c r="J319" s="5">
        <f>raw_order_lines!J319</f>
        <v>3.3</v>
      </c>
      <c r="K319" s="2" t="str">
        <f>raw_order_lines!K319</f>
        <v>正常交付</v>
      </c>
      <c r="L319" s="2" t="str">
        <f>raw_order_lines!L319</f>
        <v>true</v>
      </c>
      <c r="M319" s="2" t="str">
        <f>INDEX(dim_products!$B$2:$B$21,MATCH($E319,dim_products!$A$2:$A$21,0))</f>
        <v>土豆</v>
      </c>
      <c r="N319" s="2" t="str">
        <f>INDEX(dim_products!$C$2:$C$21,MATCH($E319,dim_products!$A$2:$A$21,0))</f>
        <v>散装鲜菜</v>
      </c>
      <c r="O319" s="2" t="str">
        <f>INDEX(dim_customers!$B$2:$B$7,MATCH($C319,dim_customers!$A$2:$A$7,0))</f>
        <v>模拟_兴街快餐店</v>
      </c>
      <c r="P319" s="6">
        <f>INT((ROUND(raw_order_lines!H319*10,0)*ROUND(raw_order_lines!J319*100,0)+5)/10)/100</f>
        <v>27.39</v>
      </c>
      <c r="Q319" s="6">
        <f>INT((ROUND(raw_order_lines!I319*10,0)*ROUND(raw_order_lines!J319*100,0)+5)/10)/100</f>
        <v>0</v>
      </c>
      <c r="R319" s="6">
        <f t="shared" si="12"/>
        <v>27.39</v>
      </c>
      <c r="S319" s="2" t="str">
        <f>IF(OR(ROUND(raw_order_lines!I319*10,0)&gt;ROUND(raw_order_lines!H319*10,0),ROUND(raw_order_lines!H319*10,0)&gt;ROUND(raw_order_lines!G319*10,0),ROUND(raw_order_lines!G319*10,0)&lt;=0),"数量关系异常","")</f>
        <v/>
      </c>
      <c r="T319" s="2" t="str">
        <f>IF($F319&lt;&gt;INDEX(dim_products!$D$2:$D$21,MATCH($E319,dim_products!$A$2:$A$21,0)),"单位不一致","")</f>
        <v/>
      </c>
      <c r="U319" s="2" t="str">
        <f>IF(OR(ROUND(raw_order_lines!J319*100,0)&lt;ROUND(INDEX(dim_products!$F$2:$F$21,MATCH($E319,dim_products!$A$2:$A$21,0))*100,0),ROUND(raw_order_lines!J319*100,0)&gt;ROUND(INDEX(dim_products!$G$2:$G$21,MATCH($E319,dim_products!$A$2:$A$21,0))*100,0)),"单价越界","")</f>
        <v/>
      </c>
      <c r="V319" s="2" t="str">
        <f t="shared" si="13"/>
        <v/>
      </c>
      <c r="W319" s="2" t="str">
        <f t="shared" si="14"/>
        <v>通过</v>
      </c>
    </row>
    <row r="320" spans="1:23" ht="15">
      <c r="A320" s="2" t="str">
        <f>raw_order_lines!A320</f>
        <v>SIM-20260910-C003</v>
      </c>
      <c r="B320" s="2">
        <f>raw_order_lines!B320</f>
        <v>6</v>
      </c>
      <c r="C320" s="2" t="str">
        <f>raw_order_lines!C320</f>
        <v>C003</v>
      </c>
      <c r="D320" s="3">
        <f>raw_order_lines!D320</f>
        <v>46275</v>
      </c>
      <c r="E320" s="2" t="str">
        <f>raw_order_lines!E320</f>
        <v>P009</v>
      </c>
      <c r="F320" s="2" t="str">
        <f>raw_order_lines!F320</f>
        <v>公斤</v>
      </c>
      <c r="G320" s="4">
        <f>raw_order_lines!G320</f>
        <v>7.6</v>
      </c>
      <c r="H320" s="4">
        <f>raw_order_lines!H320</f>
        <v>7.6</v>
      </c>
      <c r="I320" s="4">
        <f>raw_order_lines!I320</f>
        <v>0</v>
      </c>
      <c r="J320" s="5">
        <f>raw_order_lines!J320</f>
        <v>5</v>
      </c>
      <c r="K320" s="2" t="str">
        <f>raw_order_lines!K320</f>
        <v>正常交付</v>
      </c>
      <c r="L320" s="2" t="str">
        <f>raw_order_lines!L320</f>
        <v>true</v>
      </c>
      <c r="M320" s="2" t="str">
        <f>INDEX(dim_products!$B$2:$B$21,MATCH($E320,dim_products!$A$2:$A$21,0))</f>
        <v>西红柿</v>
      </c>
      <c r="N320" s="2" t="str">
        <f>INDEX(dim_products!$C$2:$C$21,MATCH($E320,dim_products!$A$2:$A$21,0))</f>
        <v>散装鲜菜</v>
      </c>
      <c r="O320" s="2" t="str">
        <f>INDEX(dim_customers!$B$2:$B$7,MATCH($C320,dim_customers!$A$2:$A$7,0))</f>
        <v>模拟_兴街快餐店</v>
      </c>
      <c r="P320" s="6">
        <f>INT((ROUND(raw_order_lines!H320*10,0)*ROUND(raw_order_lines!J320*100,0)+5)/10)/100</f>
        <v>38</v>
      </c>
      <c r="Q320" s="6">
        <f>INT((ROUND(raw_order_lines!I320*10,0)*ROUND(raw_order_lines!J320*100,0)+5)/10)/100</f>
        <v>0</v>
      </c>
      <c r="R320" s="6">
        <f t="shared" si="12"/>
        <v>38</v>
      </c>
      <c r="S320" s="2" t="str">
        <f>IF(OR(ROUND(raw_order_lines!I320*10,0)&gt;ROUND(raw_order_lines!H320*10,0),ROUND(raw_order_lines!H320*10,0)&gt;ROUND(raw_order_lines!G320*10,0),ROUND(raw_order_lines!G320*10,0)&lt;=0),"数量关系异常","")</f>
        <v/>
      </c>
      <c r="T320" s="2" t="str">
        <f>IF($F320&lt;&gt;INDEX(dim_products!$D$2:$D$21,MATCH($E320,dim_products!$A$2:$A$21,0)),"单位不一致","")</f>
        <v/>
      </c>
      <c r="U320" s="2" t="str">
        <f>IF(OR(ROUND(raw_order_lines!J320*100,0)&lt;ROUND(INDEX(dim_products!$F$2:$F$21,MATCH($E320,dim_products!$A$2:$A$21,0))*100,0),ROUND(raw_order_lines!J320*100,0)&gt;ROUND(INDEX(dim_products!$G$2:$G$21,MATCH($E320,dim_products!$A$2:$A$21,0))*100,0)),"单价越界","")</f>
        <v/>
      </c>
      <c r="V320" s="2" t="str">
        <f t="shared" si="13"/>
        <v/>
      </c>
      <c r="W320" s="2" t="str">
        <f t="shared" si="14"/>
        <v>通过</v>
      </c>
    </row>
    <row r="321" spans="1:23" ht="15">
      <c r="A321" s="2" t="str">
        <f>raw_order_lines!A321</f>
        <v>SIM-20260910-C003</v>
      </c>
      <c r="B321" s="2">
        <f>raw_order_lines!B321</f>
        <v>7</v>
      </c>
      <c r="C321" s="2" t="str">
        <f>raw_order_lines!C321</f>
        <v>C003</v>
      </c>
      <c r="D321" s="3">
        <f>raw_order_lines!D321</f>
        <v>46275</v>
      </c>
      <c r="E321" s="2" t="str">
        <f>raw_order_lines!E321</f>
        <v>P016</v>
      </c>
      <c r="F321" s="2" t="str">
        <f>raw_order_lines!F321</f>
        <v>公斤</v>
      </c>
      <c r="G321" s="4">
        <f>raw_order_lines!G321</f>
        <v>6</v>
      </c>
      <c r="H321" s="4">
        <f>raw_order_lines!H321</f>
        <v>6</v>
      </c>
      <c r="I321" s="4">
        <f>raw_order_lines!I321</f>
        <v>0.1</v>
      </c>
      <c r="J321" s="5">
        <f>raw_order_lines!J321</f>
        <v>10.4</v>
      </c>
      <c r="K321" s="2" t="str">
        <f>raw_order_lines!K321</f>
        <v>正常交付；签收时破损退回</v>
      </c>
      <c r="L321" s="2" t="str">
        <f>raw_order_lines!L321</f>
        <v>true</v>
      </c>
      <c r="M321" s="2" t="str">
        <f>INDEX(dim_products!$B$2:$B$21,MATCH($E321,dim_products!$A$2:$A$21,0))</f>
        <v>鸡蛋</v>
      </c>
      <c r="N321" s="2" t="str">
        <f>INDEX(dim_products!$C$2:$C$21,MATCH($E321,dim_products!$A$2:$A$21,0))</f>
        <v>普通鲜鸡蛋按净重</v>
      </c>
      <c r="O321" s="2" t="str">
        <f>INDEX(dim_customers!$B$2:$B$7,MATCH($C321,dim_customers!$A$2:$A$7,0))</f>
        <v>模拟_兴街快餐店</v>
      </c>
      <c r="P321" s="6">
        <f>INT((ROUND(raw_order_lines!H321*10,0)*ROUND(raw_order_lines!J321*100,0)+5)/10)/100</f>
        <v>62.4</v>
      </c>
      <c r="Q321" s="6">
        <f>INT((ROUND(raw_order_lines!I321*10,0)*ROUND(raw_order_lines!J321*100,0)+5)/10)/100</f>
        <v>1.04</v>
      </c>
      <c r="R321" s="6">
        <f t="shared" si="12"/>
        <v>61.36</v>
      </c>
      <c r="S321" s="2" t="str">
        <f>IF(OR(ROUND(raw_order_lines!I321*10,0)&gt;ROUND(raw_order_lines!H321*10,0),ROUND(raw_order_lines!H321*10,0)&gt;ROUND(raw_order_lines!G321*10,0),ROUND(raw_order_lines!G321*10,0)&lt;=0),"数量关系异常","")</f>
        <v/>
      </c>
      <c r="T321" s="2" t="str">
        <f>IF($F321&lt;&gt;INDEX(dim_products!$D$2:$D$21,MATCH($E321,dim_products!$A$2:$A$21,0)),"单位不一致","")</f>
        <v/>
      </c>
      <c r="U321" s="2" t="str">
        <f>IF(OR(ROUND(raw_order_lines!J321*100,0)&lt;ROUND(INDEX(dim_products!$F$2:$F$21,MATCH($E321,dim_products!$A$2:$A$21,0))*100,0),ROUND(raw_order_lines!J321*100,0)&gt;ROUND(INDEX(dim_products!$G$2:$G$21,MATCH($E321,dim_products!$A$2:$A$21,0))*100,0)),"单价越界","")</f>
        <v/>
      </c>
      <c r="V321" s="2" t="str">
        <f t="shared" si="13"/>
        <v/>
      </c>
      <c r="W321" s="2" t="str">
        <f t="shared" si="14"/>
        <v>通过</v>
      </c>
    </row>
    <row r="322" spans="1:23" ht="15">
      <c r="A322" s="2" t="str">
        <f>raw_order_lines!A322</f>
        <v>SIM-20260910-C004</v>
      </c>
      <c r="B322" s="2">
        <f>raw_order_lines!B322</f>
        <v>1</v>
      </c>
      <c r="C322" s="2" t="str">
        <f>raw_order_lines!C322</f>
        <v>C004</v>
      </c>
      <c r="D322" s="3">
        <f>raw_order_lines!D322</f>
        <v>46275</v>
      </c>
      <c r="E322" s="2" t="str">
        <f>raw_order_lines!E322</f>
        <v>P012</v>
      </c>
      <c r="F322" s="2" t="str">
        <f>raw_order_lines!F322</f>
        <v>公斤</v>
      </c>
      <c r="G322" s="4">
        <f>raw_order_lines!G322</f>
        <v>4.5</v>
      </c>
      <c r="H322" s="4">
        <f>raw_order_lines!H322</f>
        <v>4.5</v>
      </c>
      <c r="I322" s="4">
        <f>raw_order_lines!I322</f>
        <v>0</v>
      </c>
      <c r="J322" s="5">
        <f>raw_order_lines!J322</f>
        <v>5</v>
      </c>
      <c r="K322" s="2" t="str">
        <f>raw_order_lines!K322</f>
        <v>正常交付</v>
      </c>
      <c r="L322" s="2" t="str">
        <f>raw_order_lines!L322</f>
        <v>true</v>
      </c>
      <c r="M322" s="2" t="str">
        <f>INDEX(dim_products!$B$2:$B$21,MATCH($E322,dim_products!$A$2:$A$21,0))</f>
        <v>小白菜</v>
      </c>
      <c r="N322" s="2" t="str">
        <f>INDEX(dim_products!$C$2:$C$21,MATCH($E322,dim_products!$A$2:$A$21,0))</f>
        <v>散装鲜菜</v>
      </c>
      <c r="O322" s="2" t="str">
        <f>INDEX(dim_customers!$B$2:$B$7,MATCH($C322,dim_customers!$A$2:$A$7,0))</f>
        <v>模拟_田畔饭店</v>
      </c>
      <c r="P322" s="6">
        <f>INT((ROUND(raw_order_lines!H322*10,0)*ROUND(raw_order_lines!J322*100,0)+5)/10)/100</f>
        <v>22.5</v>
      </c>
      <c r="Q322" s="6">
        <f>INT((ROUND(raw_order_lines!I322*10,0)*ROUND(raw_order_lines!J322*100,0)+5)/10)/100</f>
        <v>0</v>
      </c>
      <c r="R322" s="6">
        <f t="shared" ref="R322:R385" si="15">$P322-$Q322</f>
        <v>22.5</v>
      </c>
      <c r="S322" s="2" t="str">
        <f>IF(OR(ROUND(raw_order_lines!I322*10,0)&gt;ROUND(raw_order_lines!H322*10,0),ROUND(raw_order_lines!H322*10,0)&gt;ROUND(raw_order_lines!G322*10,0),ROUND(raw_order_lines!G322*10,0)&lt;=0),"数量关系异常","")</f>
        <v/>
      </c>
      <c r="T322" s="2" t="str">
        <f>IF($F322&lt;&gt;INDEX(dim_products!$D$2:$D$21,MATCH($E322,dim_products!$A$2:$A$21,0)),"单位不一致","")</f>
        <v/>
      </c>
      <c r="U322" s="2" t="str">
        <f>IF(OR(ROUND(raw_order_lines!J322*100,0)&lt;ROUND(INDEX(dim_products!$F$2:$F$21,MATCH($E322,dim_products!$A$2:$A$21,0))*100,0),ROUND(raw_order_lines!J322*100,0)&gt;ROUND(INDEX(dim_products!$G$2:$G$21,MATCH($E322,dim_products!$A$2:$A$21,0))*100,0)),"单价越界","")</f>
        <v/>
      </c>
      <c r="V322" s="2" t="str">
        <f t="shared" ref="V322:V385" si="16">IF(COUNTIFS($A$2:$A$967,$A322,$B$2:$B$967,$B322)&gt;1,"主键重复","")</f>
        <v/>
      </c>
      <c r="W322" s="2" t="str">
        <f t="shared" ref="W322:W385" si="17">IF(COUNTIF($S322:$T322,"?*")+COUNTIF($V322:$V322,"?*")&gt;0,"阻断",IF(COUNTIF($U322:$U322,"?*")&gt;0,"提示","通过"))</f>
        <v>通过</v>
      </c>
    </row>
    <row r="323" spans="1:23" ht="15">
      <c r="A323" s="2" t="str">
        <f>raw_order_lines!A323</f>
        <v>SIM-20260910-C004</v>
      </c>
      <c r="B323" s="2">
        <f>raw_order_lines!B323</f>
        <v>2</v>
      </c>
      <c r="C323" s="2" t="str">
        <f>raw_order_lines!C323</f>
        <v>C004</v>
      </c>
      <c r="D323" s="3">
        <f>raw_order_lines!D323</f>
        <v>46275</v>
      </c>
      <c r="E323" s="2" t="str">
        <f>raw_order_lines!E323</f>
        <v>P008</v>
      </c>
      <c r="F323" s="2" t="str">
        <f>raw_order_lines!F323</f>
        <v>公斤</v>
      </c>
      <c r="G323" s="4">
        <f>raw_order_lines!G323</f>
        <v>6.2</v>
      </c>
      <c r="H323" s="4">
        <f>raw_order_lines!H323</f>
        <v>6.2</v>
      </c>
      <c r="I323" s="4">
        <f>raw_order_lines!I323</f>
        <v>0</v>
      </c>
      <c r="J323" s="5">
        <f>raw_order_lines!J323</f>
        <v>4.4000000000000004</v>
      </c>
      <c r="K323" s="2" t="str">
        <f>raw_order_lines!K323</f>
        <v>正常交付</v>
      </c>
      <c r="L323" s="2" t="str">
        <f>raw_order_lines!L323</f>
        <v>true</v>
      </c>
      <c r="M323" s="2" t="str">
        <f>INDEX(dim_products!$B$2:$B$21,MATCH($E323,dim_products!$A$2:$A$21,0))</f>
        <v>黄瓜</v>
      </c>
      <c r="N323" s="2" t="str">
        <f>INDEX(dim_products!$C$2:$C$21,MATCH($E323,dim_products!$A$2:$A$21,0))</f>
        <v>散装鲜菜</v>
      </c>
      <c r="O323" s="2" t="str">
        <f>INDEX(dim_customers!$B$2:$B$7,MATCH($C323,dim_customers!$A$2:$A$7,0))</f>
        <v>模拟_田畔饭店</v>
      </c>
      <c r="P323" s="6">
        <f>INT((ROUND(raw_order_lines!H323*10,0)*ROUND(raw_order_lines!J323*100,0)+5)/10)/100</f>
        <v>27.28</v>
      </c>
      <c r="Q323" s="6">
        <f>INT((ROUND(raw_order_lines!I323*10,0)*ROUND(raw_order_lines!J323*100,0)+5)/10)/100</f>
        <v>0</v>
      </c>
      <c r="R323" s="6">
        <f t="shared" si="15"/>
        <v>27.28</v>
      </c>
      <c r="S323" s="2" t="str">
        <f>IF(OR(ROUND(raw_order_lines!I323*10,0)&gt;ROUND(raw_order_lines!H323*10,0),ROUND(raw_order_lines!H323*10,0)&gt;ROUND(raw_order_lines!G323*10,0),ROUND(raw_order_lines!G323*10,0)&lt;=0),"数量关系异常","")</f>
        <v/>
      </c>
      <c r="T323" s="2" t="str">
        <f>IF($F323&lt;&gt;INDEX(dim_products!$D$2:$D$21,MATCH($E323,dim_products!$A$2:$A$21,0)),"单位不一致","")</f>
        <v/>
      </c>
      <c r="U323" s="2" t="str">
        <f>IF(OR(ROUND(raw_order_lines!J323*100,0)&lt;ROUND(INDEX(dim_products!$F$2:$F$21,MATCH($E323,dim_products!$A$2:$A$21,0))*100,0),ROUND(raw_order_lines!J323*100,0)&gt;ROUND(INDEX(dim_products!$G$2:$G$21,MATCH($E323,dim_products!$A$2:$A$21,0))*100,0)),"单价越界","")</f>
        <v/>
      </c>
      <c r="V323" s="2" t="str">
        <f t="shared" si="16"/>
        <v/>
      </c>
      <c r="W323" s="2" t="str">
        <f t="shared" si="17"/>
        <v>通过</v>
      </c>
    </row>
    <row r="324" spans="1:23" ht="15">
      <c r="A324" s="2" t="str">
        <f>raw_order_lines!A324</f>
        <v>SIM-20260910-C004</v>
      </c>
      <c r="B324" s="2">
        <f>raw_order_lines!B324</f>
        <v>3</v>
      </c>
      <c r="C324" s="2" t="str">
        <f>raw_order_lines!C324</f>
        <v>C004</v>
      </c>
      <c r="D324" s="3">
        <f>raw_order_lines!D324</f>
        <v>46275</v>
      </c>
      <c r="E324" s="2" t="str">
        <f>raw_order_lines!E324</f>
        <v>P006</v>
      </c>
      <c r="F324" s="2" t="str">
        <f>raw_order_lines!F324</f>
        <v>公斤</v>
      </c>
      <c r="G324" s="4">
        <f>raw_order_lines!G324</f>
        <v>6.8</v>
      </c>
      <c r="H324" s="4">
        <f>raw_order_lines!H324</f>
        <v>6.8</v>
      </c>
      <c r="I324" s="4">
        <f>raw_order_lines!I324</f>
        <v>0</v>
      </c>
      <c r="J324" s="5">
        <f>raw_order_lines!J324</f>
        <v>4.8</v>
      </c>
      <c r="K324" s="2" t="str">
        <f>raw_order_lines!K324</f>
        <v>正常交付</v>
      </c>
      <c r="L324" s="2" t="str">
        <f>raw_order_lines!L324</f>
        <v>true</v>
      </c>
      <c r="M324" s="2" t="str">
        <f>INDEX(dim_products!$B$2:$B$21,MATCH($E324,dim_products!$A$2:$A$21,0))</f>
        <v>茄子</v>
      </c>
      <c r="N324" s="2" t="str">
        <f>INDEX(dim_products!$C$2:$C$21,MATCH($E324,dim_products!$A$2:$A$21,0))</f>
        <v>散装鲜菜</v>
      </c>
      <c r="O324" s="2" t="str">
        <f>INDEX(dim_customers!$B$2:$B$7,MATCH($C324,dim_customers!$A$2:$A$7,0))</f>
        <v>模拟_田畔饭店</v>
      </c>
      <c r="P324" s="6">
        <f>INT((ROUND(raw_order_lines!H324*10,0)*ROUND(raw_order_lines!J324*100,0)+5)/10)/100</f>
        <v>32.64</v>
      </c>
      <c r="Q324" s="6">
        <f>INT((ROUND(raw_order_lines!I324*10,0)*ROUND(raw_order_lines!J324*100,0)+5)/10)/100</f>
        <v>0</v>
      </c>
      <c r="R324" s="6">
        <f t="shared" si="15"/>
        <v>32.64</v>
      </c>
      <c r="S324" s="2" t="str">
        <f>IF(OR(ROUND(raw_order_lines!I324*10,0)&gt;ROUND(raw_order_lines!H324*10,0),ROUND(raw_order_lines!H324*10,0)&gt;ROUND(raw_order_lines!G324*10,0),ROUND(raw_order_lines!G324*10,0)&lt;=0),"数量关系异常","")</f>
        <v/>
      </c>
      <c r="T324" s="2" t="str">
        <f>IF($F324&lt;&gt;INDEX(dim_products!$D$2:$D$21,MATCH($E324,dim_products!$A$2:$A$21,0)),"单位不一致","")</f>
        <v/>
      </c>
      <c r="U324" s="2" t="str">
        <f>IF(OR(ROUND(raw_order_lines!J324*100,0)&lt;ROUND(INDEX(dim_products!$F$2:$F$21,MATCH($E324,dim_products!$A$2:$A$21,0))*100,0),ROUND(raw_order_lines!J324*100,0)&gt;ROUND(INDEX(dim_products!$G$2:$G$21,MATCH($E324,dim_products!$A$2:$A$21,0))*100,0)),"单价越界","")</f>
        <v/>
      </c>
      <c r="V324" s="2" t="str">
        <f t="shared" si="16"/>
        <v/>
      </c>
      <c r="W324" s="2" t="str">
        <f t="shared" si="17"/>
        <v>通过</v>
      </c>
    </row>
    <row r="325" spans="1:23" ht="15">
      <c r="A325" s="2" t="str">
        <f>raw_order_lines!A325</f>
        <v>SIM-20260910-C004</v>
      </c>
      <c r="B325" s="2">
        <f>raw_order_lines!B325</f>
        <v>4</v>
      </c>
      <c r="C325" s="2" t="str">
        <f>raw_order_lines!C325</f>
        <v>C004</v>
      </c>
      <c r="D325" s="3">
        <f>raw_order_lines!D325</f>
        <v>46275</v>
      </c>
      <c r="E325" s="2" t="str">
        <f>raw_order_lines!E325</f>
        <v>P005</v>
      </c>
      <c r="F325" s="2" t="str">
        <f>raw_order_lines!F325</f>
        <v>公斤</v>
      </c>
      <c r="G325" s="4">
        <f>raw_order_lines!G325</f>
        <v>5.6</v>
      </c>
      <c r="H325" s="4">
        <f>raw_order_lines!H325</f>
        <v>5.6</v>
      </c>
      <c r="I325" s="4">
        <f>raw_order_lines!I325</f>
        <v>0</v>
      </c>
      <c r="J325" s="5">
        <f>raw_order_lines!J325</f>
        <v>2.7</v>
      </c>
      <c r="K325" s="2" t="str">
        <f>raw_order_lines!K325</f>
        <v>正常交付</v>
      </c>
      <c r="L325" s="2" t="str">
        <f>raw_order_lines!L325</f>
        <v>true</v>
      </c>
      <c r="M325" s="2" t="str">
        <f>INDEX(dim_products!$B$2:$B$21,MATCH($E325,dim_products!$A$2:$A$21,0))</f>
        <v>南瓜</v>
      </c>
      <c r="N325" s="2" t="str">
        <f>INDEX(dim_products!$C$2:$C$21,MATCH($E325,dim_products!$A$2:$A$21,0))</f>
        <v>散装鲜菜</v>
      </c>
      <c r="O325" s="2" t="str">
        <f>INDEX(dim_customers!$B$2:$B$7,MATCH($C325,dim_customers!$A$2:$A$7,0))</f>
        <v>模拟_田畔饭店</v>
      </c>
      <c r="P325" s="6">
        <f>INT((ROUND(raw_order_lines!H325*10,0)*ROUND(raw_order_lines!J325*100,0)+5)/10)/100</f>
        <v>15.12</v>
      </c>
      <c r="Q325" s="6">
        <f>INT((ROUND(raw_order_lines!I325*10,0)*ROUND(raw_order_lines!J325*100,0)+5)/10)/100</f>
        <v>0</v>
      </c>
      <c r="R325" s="6">
        <f t="shared" si="15"/>
        <v>15.12</v>
      </c>
      <c r="S325" s="2" t="str">
        <f>IF(OR(ROUND(raw_order_lines!I325*10,0)&gt;ROUND(raw_order_lines!H325*10,0),ROUND(raw_order_lines!H325*10,0)&gt;ROUND(raw_order_lines!G325*10,0),ROUND(raw_order_lines!G325*10,0)&lt;=0),"数量关系异常","")</f>
        <v/>
      </c>
      <c r="T325" s="2" t="str">
        <f>IF($F325&lt;&gt;INDEX(dim_products!$D$2:$D$21,MATCH($E325,dim_products!$A$2:$A$21,0)),"单位不一致","")</f>
        <v/>
      </c>
      <c r="U325" s="2" t="str">
        <f>IF(OR(ROUND(raw_order_lines!J325*100,0)&lt;ROUND(INDEX(dim_products!$F$2:$F$21,MATCH($E325,dim_products!$A$2:$A$21,0))*100,0),ROUND(raw_order_lines!J325*100,0)&gt;ROUND(INDEX(dim_products!$G$2:$G$21,MATCH($E325,dim_products!$A$2:$A$21,0))*100,0)),"单价越界","")</f>
        <v/>
      </c>
      <c r="V325" s="2" t="str">
        <f t="shared" si="16"/>
        <v/>
      </c>
      <c r="W325" s="2" t="str">
        <f t="shared" si="17"/>
        <v>通过</v>
      </c>
    </row>
    <row r="326" spans="1:23" ht="15">
      <c r="A326" s="2" t="str">
        <f>raw_order_lines!A326</f>
        <v>SIM-20260910-C004</v>
      </c>
      <c r="B326" s="2">
        <f>raw_order_lines!B326</f>
        <v>5</v>
      </c>
      <c r="C326" s="2" t="str">
        <f>raw_order_lines!C326</f>
        <v>C004</v>
      </c>
      <c r="D326" s="3">
        <f>raw_order_lines!D326</f>
        <v>46275</v>
      </c>
      <c r="E326" s="2" t="str">
        <f>raw_order_lines!E326</f>
        <v>P009</v>
      </c>
      <c r="F326" s="2" t="str">
        <f>raw_order_lines!F326</f>
        <v>公斤</v>
      </c>
      <c r="G326" s="4">
        <f>raw_order_lines!G326</f>
        <v>6.2</v>
      </c>
      <c r="H326" s="4">
        <f>raw_order_lines!H326</f>
        <v>6.2</v>
      </c>
      <c r="I326" s="4">
        <f>raw_order_lines!I326</f>
        <v>0</v>
      </c>
      <c r="J326" s="5">
        <f>raw_order_lines!J326</f>
        <v>5</v>
      </c>
      <c r="K326" s="2" t="str">
        <f>raw_order_lines!K326</f>
        <v>正常交付</v>
      </c>
      <c r="L326" s="2" t="str">
        <f>raw_order_lines!L326</f>
        <v>true</v>
      </c>
      <c r="M326" s="2" t="str">
        <f>INDEX(dim_products!$B$2:$B$21,MATCH($E326,dim_products!$A$2:$A$21,0))</f>
        <v>西红柿</v>
      </c>
      <c r="N326" s="2" t="str">
        <f>INDEX(dim_products!$C$2:$C$21,MATCH($E326,dim_products!$A$2:$A$21,0))</f>
        <v>散装鲜菜</v>
      </c>
      <c r="O326" s="2" t="str">
        <f>INDEX(dim_customers!$B$2:$B$7,MATCH($C326,dim_customers!$A$2:$A$7,0))</f>
        <v>模拟_田畔饭店</v>
      </c>
      <c r="P326" s="6">
        <f>INT((ROUND(raw_order_lines!H326*10,0)*ROUND(raw_order_lines!J326*100,0)+5)/10)/100</f>
        <v>31</v>
      </c>
      <c r="Q326" s="6">
        <f>INT((ROUND(raw_order_lines!I326*10,0)*ROUND(raw_order_lines!J326*100,0)+5)/10)/100</f>
        <v>0</v>
      </c>
      <c r="R326" s="6">
        <f t="shared" si="15"/>
        <v>31</v>
      </c>
      <c r="S326" s="2" t="str">
        <f>IF(OR(ROUND(raw_order_lines!I326*10,0)&gt;ROUND(raw_order_lines!H326*10,0),ROUND(raw_order_lines!H326*10,0)&gt;ROUND(raw_order_lines!G326*10,0),ROUND(raw_order_lines!G326*10,0)&lt;=0),"数量关系异常","")</f>
        <v/>
      </c>
      <c r="T326" s="2" t="str">
        <f>IF($F326&lt;&gt;INDEX(dim_products!$D$2:$D$21,MATCH($E326,dim_products!$A$2:$A$21,0)),"单位不一致","")</f>
        <v/>
      </c>
      <c r="U326" s="2" t="str">
        <f>IF(OR(ROUND(raw_order_lines!J326*100,0)&lt;ROUND(INDEX(dim_products!$F$2:$F$21,MATCH($E326,dim_products!$A$2:$A$21,0))*100,0),ROUND(raw_order_lines!J326*100,0)&gt;ROUND(INDEX(dim_products!$G$2:$G$21,MATCH($E326,dim_products!$A$2:$A$21,0))*100,0)),"单价越界","")</f>
        <v/>
      </c>
      <c r="V326" s="2" t="str">
        <f t="shared" si="16"/>
        <v/>
      </c>
      <c r="W326" s="2" t="str">
        <f t="shared" si="17"/>
        <v>通过</v>
      </c>
    </row>
    <row r="327" spans="1:23" ht="15">
      <c r="A327" s="2" t="str">
        <f>raw_order_lines!A327</f>
        <v>SIM-20260910-C004</v>
      </c>
      <c r="B327" s="2">
        <f>raw_order_lines!B327</f>
        <v>6</v>
      </c>
      <c r="C327" s="2" t="str">
        <f>raw_order_lines!C327</f>
        <v>C004</v>
      </c>
      <c r="D327" s="3">
        <f>raw_order_lines!D327</f>
        <v>46275</v>
      </c>
      <c r="E327" s="2" t="str">
        <f>raw_order_lines!E327</f>
        <v>P002</v>
      </c>
      <c r="F327" s="2" t="str">
        <f>raw_order_lines!F327</f>
        <v>公斤</v>
      </c>
      <c r="G327" s="4">
        <f>raw_order_lines!G327</f>
        <v>9</v>
      </c>
      <c r="H327" s="4">
        <f>raw_order_lines!H327</f>
        <v>9</v>
      </c>
      <c r="I327" s="4">
        <f>raw_order_lines!I327</f>
        <v>0</v>
      </c>
      <c r="J327" s="5">
        <f>raw_order_lines!J327</f>
        <v>2.7</v>
      </c>
      <c r="K327" s="2" t="str">
        <f>raw_order_lines!K327</f>
        <v>正常交付</v>
      </c>
      <c r="L327" s="2" t="str">
        <f>raw_order_lines!L327</f>
        <v>true</v>
      </c>
      <c r="M327" s="2" t="str">
        <f>INDEX(dim_products!$B$2:$B$21,MATCH($E327,dim_products!$A$2:$A$21,0))</f>
        <v>白萝卜</v>
      </c>
      <c r="N327" s="2" t="str">
        <f>INDEX(dim_products!$C$2:$C$21,MATCH($E327,dim_products!$A$2:$A$21,0))</f>
        <v>散装鲜菜</v>
      </c>
      <c r="O327" s="2" t="str">
        <f>INDEX(dim_customers!$B$2:$B$7,MATCH($C327,dim_customers!$A$2:$A$7,0))</f>
        <v>模拟_田畔饭店</v>
      </c>
      <c r="P327" s="6">
        <f>INT((ROUND(raw_order_lines!H327*10,0)*ROUND(raw_order_lines!J327*100,0)+5)/10)/100</f>
        <v>24.3</v>
      </c>
      <c r="Q327" s="6">
        <f>INT((ROUND(raw_order_lines!I327*10,0)*ROUND(raw_order_lines!J327*100,0)+5)/10)/100</f>
        <v>0</v>
      </c>
      <c r="R327" s="6">
        <f t="shared" si="15"/>
        <v>24.3</v>
      </c>
      <c r="S327" s="2" t="str">
        <f>IF(OR(ROUND(raw_order_lines!I327*10,0)&gt;ROUND(raw_order_lines!H327*10,0),ROUND(raw_order_lines!H327*10,0)&gt;ROUND(raw_order_lines!G327*10,0),ROUND(raw_order_lines!G327*10,0)&lt;=0),"数量关系异常","")</f>
        <v/>
      </c>
      <c r="T327" s="2" t="str">
        <f>IF($F327&lt;&gt;INDEX(dim_products!$D$2:$D$21,MATCH($E327,dim_products!$A$2:$A$21,0)),"单位不一致","")</f>
        <v/>
      </c>
      <c r="U327" s="2" t="str">
        <f>IF(OR(ROUND(raw_order_lines!J327*100,0)&lt;ROUND(INDEX(dim_products!$F$2:$F$21,MATCH($E327,dim_products!$A$2:$A$21,0))*100,0),ROUND(raw_order_lines!J327*100,0)&gt;ROUND(INDEX(dim_products!$G$2:$G$21,MATCH($E327,dim_products!$A$2:$A$21,0))*100,0)),"单价越界","")</f>
        <v/>
      </c>
      <c r="V327" s="2" t="str">
        <f t="shared" si="16"/>
        <v/>
      </c>
      <c r="W327" s="2" t="str">
        <f t="shared" si="17"/>
        <v>通过</v>
      </c>
    </row>
    <row r="328" spans="1:23" ht="15">
      <c r="A328" s="2" t="str">
        <f>raw_order_lines!A328</f>
        <v>SIM-20260910-C004</v>
      </c>
      <c r="B328" s="2">
        <f>raw_order_lines!B328</f>
        <v>7</v>
      </c>
      <c r="C328" s="2" t="str">
        <f>raw_order_lines!C328</f>
        <v>C004</v>
      </c>
      <c r="D328" s="3">
        <f>raw_order_lines!D328</f>
        <v>46275</v>
      </c>
      <c r="E328" s="2" t="str">
        <f>raw_order_lines!E328</f>
        <v>P016</v>
      </c>
      <c r="F328" s="2" t="str">
        <f>raw_order_lines!F328</f>
        <v>公斤</v>
      </c>
      <c r="G328" s="4">
        <f>raw_order_lines!G328</f>
        <v>5</v>
      </c>
      <c r="H328" s="4">
        <f>raw_order_lines!H328</f>
        <v>5</v>
      </c>
      <c r="I328" s="4">
        <f>raw_order_lines!I328</f>
        <v>0.1</v>
      </c>
      <c r="J328" s="5">
        <f>raw_order_lines!J328</f>
        <v>10.4</v>
      </c>
      <c r="K328" s="2" t="str">
        <f>raw_order_lines!K328</f>
        <v>正常交付；签收时破损退回</v>
      </c>
      <c r="L328" s="2" t="str">
        <f>raw_order_lines!L328</f>
        <v>true</v>
      </c>
      <c r="M328" s="2" t="str">
        <f>INDEX(dim_products!$B$2:$B$21,MATCH($E328,dim_products!$A$2:$A$21,0))</f>
        <v>鸡蛋</v>
      </c>
      <c r="N328" s="2" t="str">
        <f>INDEX(dim_products!$C$2:$C$21,MATCH($E328,dim_products!$A$2:$A$21,0))</f>
        <v>普通鲜鸡蛋按净重</v>
      </c>
      <c r="O328" s="2" t="str">
        <f>INDEX(dim_customers!$B$2:$B$7,MATCH($C328,dim_customers!$A$2:$A$7,0))</f>
        <v>模拟_田畔饭店</v>
      </c>
      <c r="P328" s="6">
        <f>INT((ROUND(raw_order_lines!H328*10,0)*ROUND(raw_order_lines!J328*100,0)+5)/10)/100</f>
        <v>52</v>
      </c>
      <c r="Q328" s="6">
        <f>INT((ROUND(raw_order_lines!I328*10,0)*ROUND(raw_order_lines!J328*100,0)+5)/10)/100</f>
        <v>1.04</v>
      </c>
      <c r="R328" s="6">
        <f t="shared" si="15"/>
        <v>50.96</v>
      </c>
      <c r="S328" s="2" t="str">
        <f>IF(OR(ROUND(raw_order_lines!I328*10,0)&gt;ROUND(raw_order_lines!H328*10,0),ROUND(raw_order_lines!H328*10,0)&gt;ROUND(raw_order_lines!G328*10,0),ROUND(raw_order_lines!G328*10,0)&lt;=0),"数量关系异常","")</f>
        <v/>
      </c>
      <c r="T328" s="2" t="str">
        <f>IF($F328&lt;&gt;INDEX(dim_products!$D$2:$D$21,MATCH($E328,dim_products!$A$2:$A$21,0)),"单位不一致","")</f>
        <v/>
      </c>
      <c r="U328" s="2" t="str">
        <f>IF(OR(ROUND(raw_order_lines!J328*100,0)&lt;ROUND(INDEX(dim_products!$F$2:$F$21,MATCH($E328,dim_products!$A$2:$A$21,0))*100,0),ROUND(raw_order_lines!J328*100,0)&gt;ROUND(INDEX(dim_products!$G$2:$G$21,MATCH($E328,dim_products!$A$2:$A$21,0))*100,0)),"单价越界","")</f>
        <v/>
      </c>
      <c r="V328" s="2" t="str">
        <f t="shared" si="16"/>
        <v/>
      </c>
      <c r="W328" s="2" t="str">
        <f t="shared" si="17"/>
        <v>通过</v>
      </c>
    </row>
    <row r="329" spans="1:23" ht="15">
      <c r="A329" s="2" t="str">
        <f>raw_order_lines!A329</f>
        <v>SIM-20260910-C005</v>
      </c>
      <c r="B329" s="2">
        <f>raw_order_lines!B329</f>
        <v>1</v>
      </c>
      <c r="C329" s="2" t="str">
        <f>raw_order_lines!C329</f>
        <v>C005</v>
      </c>
      <c r="D329" s="3">
        <f>raw_order_lines!D329</f>
        <v>46275</v>
      </c>
      <c r="E329" s="2" t="str">
        <f>raw_order_lines!E329</f>
        <v>P011</v>
      </c>
      <c r="F329" s="2" t="str">
        <f>raw_order_lines!F329</f>
        <v>公斤</v>
      </c>
      <c r="G329" s="4">
        <f>raw_order_lines!G329</f>
        <v>10.1</v>
      </c>
      <c r="H329" s="4">
        <f>raw_order_lines!H329</f>
        <v>10.1</v>
      </c>
      <c r="I329" s="4">
        <f>raw_order_lines!I329</f>
        <v>0</v>
      </c>
      <c r="J329" s="5">
        <f>raw_order_lines!J329</f>
        <v>4.3</v>
      </c>
      <c r="K329" s="2" t="str">
        <f>raw_order_lines!K329</f>
        <v>正常交付</v>
      </c>
      <c r="L329" s="2" t="str">
        <f>raw_order_lines!L329</f>
        <v>true</v>
      </c>
      <c r="M329" s="2" t="str">
        <f>INDEX(dim_products!$B$2:$B$21,MATCH($E329,dim_products!$A$2:$A$21,0))</f>
        <v>红薯叶</v>
      </c>
      <c r="N329" s="2" t="str">
        <f>INDEX(dim_products!$C$2:$C$21,MATCH($E329,dim_products!$A$2:$A$21,0))</f>
        <v>散装鲜菜</v>
      </c>
      <c r="O329" s="2" t="str">
        <f>INDEX(dim_customers!$B$2:$B$7,MATCH($C329,dim_customers!$A$2:$A$7,0))</f>
        <v>模拟_青禾小学食堂</v>
      </c>
      <c r="P329" s="6">
        <f>INT((ROUND(raw_order_lines!H329*10,0)*ROUND(raw_order_lines!J329*100,0)+5)/10)/100</f>
        <v>43.43</v>
      </c>
      <c r="Q329" s="6">
        <f>INT((ROUND(raw_order_lines!I329*10,0)*ROUND(raw_order_lines!J329*100,0)+5)/10)/100</f>
        <v>0</v>
      </c>
      <c r="R329" s="6">
        <f t="shared" si="15"/>
        <v>43.43</v>
      </c>
      <c r="S329" s="2" t="str">
        <f>IF(OR(ROUND(raw_order_lines!I329*10,0)&gt;ROUND(raw_order_lines!H329*10,0),ROUND(raw_order_lines!H329*10,0)&gt;ROUND(raw_order_lines!G329*10,0),ROUND(raw_order_lines!G329*10,0)&lt;=0),"数量关系异常","")</f>
        <v/>
      </c>
      <c r="T329" s="2" t="str">
        <f>IF($F329&lt;&gt;INDEX(dim_products!$D$2:$D$21,MATCH($E329,dim_products!$A$2:$A$21,0)),"单位不一致","")</f>
        <v/>
      </c>
      <c r="U329" s="2" t="str">
        <f>IF(OR(ROUND(raw_order_lines!J329*100,0)&lt;ROUND(INDEX(dim_products!$F$2:$F$21,MATCH($E329,dim_products!$A$2:$A$21,0))*100,0),ROUND(raw_order_lines!J329*100,0)&gt;ROUND(INDEX(dim_products!$G$2:$G$21,MATCH($E329,dim_products!$A$2:$A$21,0))*100,0)),"单价越界","")</f>
        <v/>
      </c>
      <c r="V329" s="2" t="str">
        <f t="shared" si="16"/>
        <v/>
      </c>
      <c r="W329" s="2" t="str">
        <f t="shared" si="17"/>
        <v>通过</v>
      </c>
    </row>
    <row r="330" spans="1:23" ht="15">
      <c r="A330" s="2" t="str">
        <f>raw_order_lines!A330</f>
        <v>SIM-20260910-C005</v>
      </c>
      <c r="B330" s="2">
        <f>raw_order_lines!B330</f>
        <v>2</v>
      </c>
      <c r="C330" s="2" t="str">
        <f>raw_order_lines!C330</f>
        <v>C005</v>
      </c>
      <c r="D330" s="3">
        <f>raw_order_lines!D330</f>
        <v>46275</v>
      </c>
      <c r="E330" s="2" t="str">
        <f>raw_order_lines!E330</f>
        <v>P002</v>
      </c>
      <c r="F330" s="2" t="str">
        <f>raw_order_lines!F330</f>
        <v>公斤</v>
      </c>
      <c r="G330" s="4">
        <f>raw_order_lines!G330</f>
        <v>10.9</v>
      </c>
      <c r="H330" s="4">
        <f>raw_order_lines!H330</f>
        <v>10.9</v>
      </c>
      <c r="I330" s="4">
        <f>raw_order_lines!I330</f>
        <v>0</v>
      </c>
      <c r="J330" s="5">
        <f>raw_order_lines!J330</f>
        <v>2.7</v>
      </c>
      <c r="K330" s="2" t="str">
        <f>raw_order_lines!K330</f>
        <v>正常交付</v>
      </c>
      <c r="L330" s="2" t="str">
        <f>raw_order_lines!L330</f>
        <v>true</v>
      </c>
      <c r="M330" s="2" t="str">
        <f>INDEX(dim_products!$B$2:$B$21,MATCH($E330,dim_products!$A$2:$A$21,0))</f>
        <v>白萝卜</v>
      </c>
      <c r="N330" s="2" t="str">
        <f>INDEX(dim_products!$C$2:$C$21,MATCH($E330,dim_products!$A$2:$A$21,0))</f>
        <v>散装鲜菜</v>
      </c>
      <c r="O330" s="2" t="str">
        <f>INDEX(dim_customers!$B$2:$B$7,MATCH($C330,dim_customers!$A$2:$A$7,0))</f>
        <v>模拟_青禾小学食堂</v>
      </c>
      <c r="P330" s="6">
        <f>INT((ROUND(raw_order_lines!H330*10,0)*ROUND(raw_order_lines!J330*100,0)+5)/10)/100</f>
        <v>29.43</v>
      </c>
      <c r="Q330" s="6">
        <f>INT((ROUND(raw_order_lines!I330*10,0)*ROUND(raw_order_lines!J330*100,0)+5)/10)/100</f>
        <v>0</v>
      </c>
      <c r="R330" s="6">
        <f t="shared" si="15"/>
        <v>29.43</v>
      </c>
      <c r="S330" s="2" t="str">
        <f>IF(OR(ROUND(raw_order_lines!I330*10,0)&gt;ROUND(raw_order_lines!H330*10,0),ROUND(raw_order_lines!H330*10,0)&gt;ROUND(raw_order_lines!G330*10,0),ROUND(raw_order_lines!G330*10,0)&lt;=0),"数量关系异常","")</f>
        <v/>
      </c>
      <c r="T330" s="2" t="str">
        <f>IF($F330&lt;&gt;INDEX(dim_products!$D$2:$D$21,MATCH($E330,dim_products!$A$2:$A$21,0)),"单位不一致","")</f>
        <v/>
      </c>
      <c r="U330" s="2" t="str">
        <f>IF(OR(ROUND(raw_order_lines!J330*100,0)&lt;ROUND(INDEX(dim_products!$F$2:$F$21,MATCH($E330,dim_products!$A$2:$A$21,0))*100,0),ROUND(raw_order_lines!J330*100,0)&gt;ROUND(INDEX(dim_products!$G$2:$G$21,MATCH($E330,dim_products!$A$2:$A$21,0))*100,0)),"单价越界","")</f>
        <v/>
      </c>
      <c r="V330" s="2" t="str">
        <f t="shared" si="16"/>
        <v/>
      </c>
      <c r="W330" s="2" t="str">
        <f t="shared" si="17"/>
        <v>通过</v>
      </c>
    </row>
    <row r="331" spans="1:23" ht="15">
      <c r="A331" s="2" t="str">
        <f>raw_order_lines!A331</f>
        <v>SIM-20260910-C005</v>
      </c>
      <c r="B331" s="2">
        <f>raw_order_lines!B331</f>
        <v>3</v>
      </c>
      <c r="C331" s="2" t="str">
        <f>raw_order_lines!C331</f>
        <v>C005</v>
      </c>
      <c r="D331" s="3">
        <f>raw_order_lines!D331</f>
        <v>46275</v>
      </c>
      <c r="E331" s="2" t="str">
        <f>raw_order_lines!E331</f>
        <v>P006</v>
      </c>
      <c r="F331" s="2" t="str">
        <f>raw_order_lines!F331</f>
        <v>公斤</v>
      </c>
      <c r="G331" s="4">
        <f>raw_order_lines!G331</f>
        <v>5.9</v>
      </c>
      <c r="H331" s="4">
        <f>raw_order_lines!H331</f>
        <v>5.9</v>
      </c>
      <c r="I331" s="4">
        <f>raw_order_lines!I331</f>
        <v>0</v>
      </c>
      <c r="J331" s="5">
        <f>raw_order_lines!J331</f>
        <v>4.8</v>
      </c>
      <c r="K331" s="2" t="str">
        <f>raw_order_lines!K331</f>
        <v>正常交付</v>
      </c>
      <c r="L331" s="2" t="str">
        <f>raw_order_lines!L331</f>
        <v>true</v>
      </c>
      <c r="M331" s="2" t="str">
        <f>INDEX(dim_products!$B$2:$B$21,MATCH($E331,dim_products!$A$2:$A$21,0))</f>
        <v>茄子</v>
      </c>
      <c r="N331" s="2" t="str">
        <f>INDEX(dim_products!$C$2:$C$21,MATCH($E331,dim_products!$A$2:$A$21,0))</f>
        <v>散装鲜菜</v>
      </c>
      <c r="O331" s="2" t="str">
        <f>INDEX(dim_customers!$B$2:$B$7,MATCH($C331,dim_customers!$A$2:$A$7,0))</f>
        <v>模拟_青禾小学食堂</v>
      </c>
      <c r="P331" s="6">
        <f>INT((ROUND(raw_order_lines!H331*10,0)*ROUND(raw_order_lines!J331*100,0)+5)/10)/100</f>
        <v>28.32</v>
      </c>
      <c r="Q331" s="6">
        <f>INT((ROUND(raw_order_lines!I331*10,0)*ROUND(raw_order_lines!J331*100,0)+5)/10)/100</f>
        <v>0</v>
      </c>
      <c r="R331" s="6">
        <f t="shared" si="15"/>
        <v>28.32</v>
      </c>
      <c r="S331" s="2" t="str">
        <f>IF(OR(ROUND(raw_order_lines!I331*10,0)&gt;ROUND(raw_order_lines!H331*10,0),ROUND(raw_order_lines!H331*10,0)&gt;ROUND(raw_order_lines!G331*10,0),ROUND(raw_order_lines!G331*10,0)&lt;=0),"数量关系异常","")</f>
        <v/>
      </c>
      <c r="T331" s="2" t="str">
        <f>IF($F331&lt;&gt;INDEX(dim_products!$D$2:$D$21,MATCH($E331,dim_products!$A$2:$A$21,0)),"单位不一致","")</f>
        <v/>
      </c>
      <c r="U331" s="2" t="str">
        <f>IF(OR(ROUND(raw_order_lines!J331*100,0)&lt;ROUND(INDEX(dim_products!$F$2:$F$21,MATCH($E331,dim_products!$A$2:$A$21,0))*100,0),ROUND(raw_order_lines!J331*100,0)&gt;ROUND(INDEX(dim_products!$G$2:$G$21,MATCH($E331,dim_products!$A$2:$A$21,0))*100,0)),"单价越界","")</f>
        <v/>
      </c>
      <c r="V331" s="2" t="str">
        <f t="shared" si="16"/>
        <v/>
      </c>
      <c r="W331" s="2" t="str">
        <f t="shared" si="17"/>
        <v>通过</v>
      </c>
    </row>
    <row r="332" spans="1:23" ht="15">
      <c r="A332" s="2" t="str">
        <f>raw_order_lines!A332</f>
        <v>SIM-20260910-C005</v>
      </c>
      <c r="B332" s="2">
        <f>raw_order_lines!B332</f>
        <v>4</v>
      </c>
      <c r="C332" s="2" t="str">
        <f>raw_order_lines!C332</f>
        <v>C005</v>
      </c>
      <c r="D332" s="3">
        <f>raw_order_lines!D332</f>
        <v>46275</v>
      </c>
      <c r="E332" s="2" t="str">
        <f>raw_order_lines!E332</f>
        <v>P005</v>
      </c>
      <c r="F332" s="2" t="str">
        <f>raw_order_lines!F332</f>
        <v>公斤</v>
      </c>
      <c r="G332" s="4">
        <f>raw_order_lines!G332</f>
        <v>9.3000000000000007</v>
      </c>
      <c r="H332" s="4">
        <f>raw_order_lines!H332</f>
        <v>9.3000000000000007</v>
      </c>
      <c r="I332" s="4">
        <f>raw_order_lines!I332</f>
        <v>0</v>
      </c>
      <c r="J332" s="5">
        <f>raw_order_lines!J332</f>
        <v>2.7</v>
      </c>
      <c r="K332" s="2" t="str">
        <f>raw_order_lines!K332</f>
        <v>正常交付</v>
      </c>
      <c r="L332" s="2" t="str">
        <f>raw_order_lines!L332</f>
        <v>true</v>
      </c>
      <c r="M332" s="2" t="str">
        <f>INDEX(dim_products!$B$2:$B$21,MATCH($E332,dim_products!$A$2:$A$21,0))</f>
        <v>南瓜</v>
      </c>
      <c r="N332" s="2" t="str">
        <f>INDEX(dim_products!$C$2:$C$21,MATCH($E332,dim_products!$A$2:$A$21,0))</f>
        <v>散装鲜菜</v>
      </c>
      <c r="O332" s="2" t="str">
        <f>INDEX(dim_customers!$B$2:$B$7,MATCH($C332,dim_customers!$A$2:$A$7,0))</f>
        <v>模拟_青禾小学食堂</v>
      </c>
      <c r="P332" s="6">
        <f>INT((ROUND(raw_order_lines!H332*10,0)*ROUND(raw_order_lines!J332*100,0)+5)/10)/100</f>
        <v>25.11</v>
      </c>
      <c r="Q332" s="6">
        <f>INT((ROUND(raw_order_lines!I332*10,0)*ROUND(raw_order_lines!J332*100,0)+5)/10)/100</f>
        <v>0</v>
      </c>
      <c r="R332" s="6">
        <f t="shared" si="15"/>
        <v>25.11</v>
      </c>
      <c r="S332" s="2" t="str">
        <f>IF(OR(ROUND(raw_order_lines!I332*10,0)&gt;ROUND(raw_order_lines!H332*10,0),ROUND(raw_order_lines!H332*10,0)&gt;ROUND(raw_order_lines!G332*10,0),ROUND(raw_order_lines!G332*10,0)&lt;=0),"数量关系异常","")</f>
        <v/>
      </c>
      <c r="T332" s="2" t="str">
        <f>IF($F332&lt;&gt;INDEX(dim_products!$D$2:$D$21,MATCH($E332,dim_products!$A$2:$A$21,0)),"单位不一致","")</f>
        <v/>
      </c>
      <c r="U332" s="2" t="str">
        <f>IF(OR(ROUND(raw_order_lines!J332*100,0)&lt;ROUND(INDEX(dim_products!$F$2:$F$21,MATCH($E332,dim_products!$A$2:$A$21,0))*100,0),ROUND(raw_order_lines!J332*100,0)&gt;ROUND(INDEX(dim_products!$G$2:$G$21,MATCH($E332,dim_products!$A$2:$A$21,0))*100,0)),"单价越界","")</f>
        <v/>
      </c>
      <c r="V332" s="2" t="str">
        <f t="shared" si="16"/>
        <v/>
      </c>
      <c r="W332" s="2" t="str">
        <f t="shared" si="17"/>
        <v>通过</v>
      </c>
    </row>
    <row r="333" spans="1:23" ht="15">
      <c r="A333" s="2" t="str">
        <f>raw_order_lines!A333</f>
        <v>SIM-20260910-C005</v>
      </c>
      <c r="B333" s="2">
        <f>raw_order_lines!B333</f>
        <v>5</v>
      </c>
      <c r="C333" s="2" t="str">
        <f>raw_order_lines!C333</f>
        <v>C005</v>
      </c>
      <c r="D333" s="3">
        <f>raw_order_lines!D333</f>
        <v>46275</v>
      </c>
      <c r="E333" s="2" t="str">
        <f>raw_order_lines!E333</f>
        <v>P009</v>
      </c>
      <c r="F333" s="2" t="str">
        <f>raw_order_lines!F333</f>
        <v>公斤</v>
      </c>
      <c r="G333" s="4">
        <f>raw_order_lines!G333</f>
        <v>6.7</v>
      </c>
      <c r="H333" s="4">
        <f>raw_order_lines!H333</f>
        <v>6.7</v>
      </c>
      <c r="I333" s="4">
        <f>raw_order_lines!I333</f>
        <v>0</v>
      </c>
      <c r="J333" s="5">
        <f>raw_order_lines!J333</f>
        <v>5</v>
      </c>
      <c r="K333" s="2" t="str">
        <f>raw_order_lines!K333</f>
        <v>正常交付</v>
      </c>
      <c r="L333" s="2" t="str">
        <f>raw_order_lines!L333</f>
        <v>true</v>
      </c>
      <c r="M333" s="2" t="str">
        <f>INDEX(dim_products!$B$2:$B$21,MATCH($E333,dim_products!$A$2:$A$21,0))</f>
        <v>西红柿</v>
      </c>
      <c r="N333" s="2" t="str">
        <f>INDEX(dim_products!$C$2:$C$21,MATCH($E333,dim_products!$A$2:$A$21,0))</f>
        <v>散装鲜菜</v>
      </c>
      <c r="O333" s="2" t="str">
        <f>INDEX(dim_customers!$B$2:$B$7,MATCH($C333,dim_customers!$A$2:$A$7,0))</f>
        <v>模拟_青禾小学食堂</v>
      </c>
      <c r="P333" s="6">
        <f>INT((ROUND(raw_order_lines!H333*10,0)*ROUND(raw_order_lines!J333*100,0)+5)/10)/100</f>
        <v>33.5</v>
      </c>
      <c r="Q333" s="6">
        <f>INT((ROUND(raw_order_lines!I333*10,0)*ROUND(raw_order_lines!J333*100,0)+5)/10)/100</f>
        <v>0</v>
      </c>
      <c r="R333" s="6">
        <f t="shared" si="15"/>
        <v>33.5</v>
      </c>
      <c r="S333" s="2" t="str">
        <f>IF(OR(ROUND(raw_order_lines!I333*10,0)&gt;ROUND(raw_order_lines!H333*10,0),ROUND(raw_order_lines!H333*10,0)&gt;ROUND(raw_order_lines!G333*10,0),ROUND(raw_order_lines!G333*10,0)&lt;=0),"数量关系异常","")</f>
        <v/>
      </c>
      <c r="T333" s="2" t="str">
        <f>IF($F333&lt;&gt;INDEX(dim_products!$D$2:$D$21,MATCH($E333,dim_products!$A$2:$A$21,0)),"单位不一致","")</f>
        <v/>
      </c>
      <c r="U333" s="2" t="str">
        <f>IF(OR(ROUND(raw_order_lines!J333*100,0)&lt;ROUND(INDEX(dim_products!$F$2:$F$21,MATCH($E333,dim_products!$A$2:$A$21,0))*100,0),ROUND(raw_order_lines!J333*100,0)&gt;ROUND(INDEX(dim_products!$G$2:$G$21,MATCH($E333,dim_products!$A$2:$A$21,0))*100,0)),"单价越界","")</f>
        <v/>
      </c>
      <c r="V333" s="2" t="str">
        <f t="shared" si="16"/>
        <v/>
      </c>
      <c r="W333" s="2" t="str">
        <f t="shared" si="17"/>
        <v>通过</v>
      </c>
    </row>
    <row r="334" spans="1:23" ht="15">
      <c r="A334" s="2" t="str">
        <f>raw_order_lines!A334</f>
        <v>SIM-20260910-C005</v>
      </c>
      <c r="B334" s="2">
        <f>raw_order_lines!B334</f>
        <v>6</v>
      </c>
      <c r="C334" s="2" t="str">
        <f>raw_order_lines!C334</f>
        <v>C005</v>
      </c>
      <c r="D334" s="3">
        <f>raw_order_lines!D334</f>
        <v>46275</v>
      </c>
      <c r="E334" s="2" t="str">
        <f>raw_order_lines!E334</f>
        <v>P003</v>
      </c>
      <c r="F334" s="2" t="str">
        <f>raw_order_lines!F334</f>
        <v>公斤</v>
      </c>
      <c r="G334" s="4">
        <f>raw_order_lines!G334</f>
        <v>13.5</v>
      </c>
      <c r="H334" s="4">
        <f>raw_order_lines!H334</f>
        <v>13.5</v>
      </c>
      <c r="I334" s="4">
        <f>raw_order_lines!I334</f>
        <v>0</v>
      </c>
      <c r="J334" s="5">
        <f>raw_order_lines!J334</f>
        <v>2.9</v>
      </c>
      <c r="K334" s="2" t="str">
        <f>raw_order_lines!K334</f>
        <v>正常交付</v>
      </c>
      <c r="L334" s="2" t="str">
        <f>raw_order_lines!L334</f>
        <v>true</v>
      </c>
      <c r="M334" s="2" t="str">
        <f>INDEX(dim_products!$B$2:$B$21,MATCH($E334,dim_products!$A$2:$A$21,0))</f>
        <v>包菜</v>
      </c>
      <c r="N334" s="2" t="str">
        <f>INDEX(dim_products!$C$2:$C$21,MATCH($E334,dim_products!$A$2:$A$21,0))</f>
        <v>散装鲜菜</v>
      </c>
      <c r="O334" s="2" t="str">
        <f>INDEX(dim_customers!$B$2:$B$7,MATCH($C334,dim_customers!$A$2:$A$7,0))</f>
        <v>模拟_青禾小学食堂</v>
      </c>
      <c r="P334" s="6">
        <f>INT((ROUND(raw_order_lines!H334*10,0)*ROUND(raw_order_lines!J334*100,0)+5)/10)/100</f>
        <v>39.15</v>
      </c>
      <c r="Q334" s="6">
        <f>INT((ROUND(raw_order_lines!I334*10,0)*ROUND(raw_order_lines!J334*100,0)+5)/10)/100</f>
        <v>0</v>
      </c>
      <c r="R334" s="6">
        <f t="shared" si="15"/>
        <v>39.15</v>
      </c>
      <c r="S334" s="2" t="str">
        <f>IF(OR(ROUND(raw_order_lines!I334*10,0)&gt;ROUND(raw_order_lines!H334*10,0),ROUND(raw_order_lines!H334*10,0)&gt;ROUND(raw_order_lines!G334*10,0),ROUND(raw_order_lines!G334*10,0)&lt;=0),"数量关系异常","")</f>
        <v/>
      </c>
      <c r="T334" s="2" t="str">
        <f>IF($F334&lt;&gt;INDEX(dim_products!$D$2:$D$21,MATCH($E334,dim_products!$A$2:$A$21,0)),"单位不一致","")</f>
        <v/>
      </c>
      <c r="U334" s="2" t="str">
        <f>IF(OR(ROUND(raw_order_lines!J334*100,0)&lt;ROUND(INDEX(dim_products!$F$2:$F$21,MATCH($E334,dim_products!$A$2:$A$21,0))*100,0),ROUND(raw_order_lines!J334*100,0)&gt;ROUND(INDEX(dim_products!$G$2:$G$21,MATCH($E334,dim_products!$A$2:$A$21,0))*100,0)),"单价越界","")</f>
        <v/>
      </c>
      <c r="V334" s="2" t="str">
        <f t="shared" si="16"/>
        <v/>
      </c>
      <c r="W334" s="2" t="str">
        <f t="shared" si="17"/>
        <v>通过</v>
      </c>
    </row>
    <row r="335" spans="1:23" ht="15">
      <c r="A335" s="2" t="str">
        <f>raw_order_lines!A335</f>
        <v>SIM-20260910-C006</v>
      </c>
      <c r="B335" s="2">
        <f>raw_order_lines!B335</f>
        <v>1</v>
      </c>
      <c r="C335" s="2" t="str">
        <f>raw_order_lines!C335</f>
        <v>C006</v>
      </c>
      <c r="D335" s="3">
        <f>raw_order_lines!D335</f>
        <v>46275</v>
      </c>
      <c r="E335" s="2" t="str">
        <f>raw_order_lines!E335</f>
        <v>P010</v>
      </c>
      <c r="F335" s="2" t="str">
        <f>raw_order_lines!F335</f>
        <v>公斤</v>
      </c>
      <c r="G335" s="4">
        <f>raw_order_lines!G335</f>
        <v>6.9</v>
      </c>
      <c r="H335" s="4">
        <f>raw_order_lines!H335</f>
        <v>6.9</v>
      </c>
      <c r="I335" s="4">
        <f>raw_order_lines!I335</f>
        <v>0</v>
      </c>
      <c r="J335" s="5">
        <f>raw_order_lines!J335</f>
        <v>5</v>
      </c>
      <c r="K335" s="2" t="str">
        <f>raw_order_lines!K335</f>
        <v>正常交付</v>
      </c>
      <c r="L335" s="2" t="str">
        <f>raw_order_lines!L335</f>
        <v>true</v>
      </c>
      <c r="M335" s="2" t="str">
        <f>INDEX(dim_products!$B$2:$B$21,MATCH($E335,dim_products!$A$2:$A$21,0))</f>
        <v>空心菜</v>
      </c>
      <c r="N335" s="2" t="str">
        <f>INDEX(dim_products!$C$2:$C$21,MATCH($E335,dim_products!$A$2:$A$21,0))</f>
        <v>散装鲜菜</v>
      </c>
      <c r="O335" s="2" t="str">
        <f>INDEX(dim_customers!$B$2:$B$7,MATCH($C335,dim_customers!$A$2:$A$7,0))</f>
        <v>模拟_溪桥医院食堂</v>
      </c>
      <c r="P335" s="6">
        <f>INT((ROUND(raw_order_lines!H335*10,0)*ROUND(raw_order_lines!J335*100,0)+5)/10)/100</f>
        <v>34.5</v>
      </c>
      <c r="Q335" s="6">
        <f>INT((ROUND(raw_order_lines!I335*10,0)*ROUND(raw_order_lines!J335*100,0)+5)/10)/100</f>
        <v>0</v>
      </c>
      <c r="R335" s="6">
        <f t="shared" si="15"/>
        <v>34.5</v>
      </c>
      <c r="S335" s="2" t="str">
        <f>IF(OR(ROUND(raw_order_lines!I335*10,0)&gt;ROUND(raw_order_lines!H335*10,0),ROUND(raw_order_lines!H335*10,0)&gt;ROUND(raw_order_lines!G335*10,0),ROUND(raw_order_lines!G335*10,0)&lt;=0),"数量关系异常","")</f>
        <v/>
      </c>
      <c r="T335" s="2" t="str">
        <f>IF($F335&lt;&gt;INDEX(dim_products!$D$2:$D$21,MATCH($E335,dim_products!$A$2:$A$21,0)),"单位不一致","")</f>
        <v/>
      </c>
      <c r="U335" s="2" t="str">
        <f>IF(OR(ROUND(raw_order_lines!J335*100,0)&lt;ROUND(INDEX(dim_products!$F$2:$F$21,MATCH($E335,dim_products!$A$2:$A$21,0))*100,0),ROUND(raw_order_lines!J335*100,0)&gt;ROUND(INDEX(dim_products!$G$2:$G$21,MATCH($E335,dim_products!$A$2:$A$21,0))*100,0)),"单价越界","")</f>
        <v/>
      </c>
      <c r="V335" s="2" t="str">
        <f t="shared" si="16"/>
        <v/>
      </c>
      <c r="W335" s="2" t="str">
        <f t="shared" si="17"/>
        <v>通过</v>
      </c>
    </row>
    <row r="336" spans="1:23" ht="15">
      <c r="A336" s="2" t="str">
        <f>raw_order_lines!A336</f>
        <v>SIM-20260910-C006</v>
      </c>
      <c r="B336" s="2">
        <f>raw_order_lines!B336</f>
        <v>2</v>
      </c>
      <c r="C336" s="2" t="str">
        <f>raw_order_lines!C336</f>
        <v>C006</v>
      </c>
      <c r="D336" s="3">
        <f>raw_order_lines!D336</f>
        <v>46275</v>
      </c>
      <c r="E336" s="2" t="str">
        <f>raw_order_lines!E336</f>
        <v>P005</v>
      </c>
      <c r="F336" s="2" t="str">
        <f>raw_order_lines!F336</f>
        <v>公斤</v>
      </c>
      <c r="G336" s="4">
        <f>raw_order_lines!G336</f>
        <v>6.9</v>
      </c>
      <c r="H336" s="4">
        <f>raw_order_lines!H336</f>
        <v>6.9</v>
      </c>
      <c r="I336" s="4">
        <f>raw_order_lines!I336</f>
        <v>0</v>
      </c>
      <c r="J336" s="5">
        <f>raw_order_lines!J336</f>
        <v>2.7</v>
      </c>
      <c r="K336" s="2" t="str">
        <f>raw_order_lines!K336</f>
        <v>正常交付</v>
      </c>
      <c r="L336" s="2" t="str">
        <f>raw_order_lines!L336</f>
        <v>true</v>
      </c>
      <c r="M336" s="2" t="str">
        <f>INDEX(dim_products!$B$2:$B$21,MATCH($E336,dim_products!$A$2:$A$21,0))</f>
        <v>南瓜</v>
      </c>
      <c r="N336" s="2" t="str">
        <f>INDEX(dim_products!$C$2:$C$21,MATCH($E336,dim_products!$A$2:$A$21,0))</f>
        <v>散装鲜菜</v>
      </c>
      <c r="O336" s="2" t="str">
        <f>INDEX(dim_customers!$B$2:$B$7,MATCH($C336,dim_customers!$A$2:$A$7,0))</f>
        <v>模拟_溪桥医院食堂</v>
      </c>
      <c r="P336" s="6">
        <f>INT((ROUND(raw_order_lines!H336*10,0)*ROUND(raw_order_lines!J336*100,0)+5)/10)/100</f>
        <v>18.63</v>
      </c>
      <c r="Q336" s="6">
        <f>INT((ROUND(raw_order_lines!I336*10,0)*ROUND(raw_order_lines!J336*100,0)+5)/10)/100</f>
        <v>0</v>
      </c>
      <c r="R336" s="6">
        <f t="shared" si="15"/>
        <v>18.63</v>
      </c>
      <c r="S336" s="2" t="str">
        <f>IF(OR(ROUND(raw_order_lines!I336*10,0)&gt;ROUND(raw_order_lines!H336*10,0),ROUND(raw_order_lines!H336*10,0)&gt;ROUND(raw_order_lines!G336*10,0),ROUND(raw_order_lines!G336*10,0)&lt;=0),"数量关系异常","")</f>
        <v/>
      </c>
      <c r="T336" s="2" t="str">
        <f>IF($F336&lt;&gt;INDEX(dim_products!$D$2:$D$21,MATCH($E336,dim_products!$A$2:$A$21,0)),"单位不一致","")</f>
        <v/>
      </c>
      <c r="U336" s="2" t="str">
        <f>IF(OR(ROUND(raw_order_lines!J336*100,0)&lt;ROUND(INDEX(dim_products!$F$2:$F$21,MATCH($E336,dim_products!$A$2:$A$21,0))*100,0),ROUND(raw_order_lines!J336*100,0)&gt;ROUND(INDEX(dim_products!$G$2:$G$21,MATCH($E336,dim_products!$A$2:$A$21,0))*100,0)),"单价越界","")</f>
        <v/>
      </c>
      <c r="V336" s="2" t="str">
        <f t="shared" si="16"/>
        <v/>
      </c>
      <c r="W336" s="2" t="str">
        <f t="shared" si="17"/>
        <v>通过</v>
      </c>
    </row>
    <row r="337" spans="1:23" ht="15">
      <c r="A337" s="2" t="str">
        <f>raw_order_lines!A337</f>
        <v>SIM-20260910-C006</v>
      </c>
      <c r="B337" s="2">
        <f>raw_order_lines!B337</f>
        <v>3</v>
      </c>
      <c r="C337" s="2" t="str">
        <f>raw_order_lines!C337</f>
        <v>C006</v>
      </c>
      <c r="D337" s="3">
        <f>raw_order_lines!D337</f>
        <v>46275</v>
      </c>
      <c r="E337" s="2" t="str">
        <f>raw_order_lines!E337</f>
        <v>P014</v>
      </c>
      <c r="F337" s="2" t="str">
        <f>raw_order_lines!F337</f>
        <v>公斤</v>
      </c>
      <c r="G337" s="4">
        <f>raw_order_lines!G337</f>
        <v>7.7</v>
      </c>
      <c r="H337" s="4">
        <f>raw_order_lines!H337</f>
        <v>7.7</v>
      </c>
      <c r="I337" s="4">
        <f>raw_order_lines!I337</f>
        <v>0</v>
      </c>
      <c r="J337" s="5">
        <f>raw_order_lines!J337</f>
        <v>5</v>
      </c>
      <c r="K337" s="2" t="str">
        <f>raw_order_lines!K337</f>
        <v>正常交付</v>
      </c>
      <c r="L337" s="2" t="str">
        <f>raw_order_lines!L337</f>
        <v>true</v>
      </c>
      <c r="M337" s="2" t="str">
        <f>INDEX(dim_products!$B$2:$B$21,MATCH($E337,dim_products!$A$2:$A$21,0))</f>
        <v>丝瓜</v>
      </c>
      <c r="N337" s="2" t="str">
        <f>INDEX(dim_products!$C$2:$C$21,MATCH($E337,dim_products!$A$2:$A$21,0))</f>
        <v>散装鲜菜</v>
      </c>
      <c r="O337" s="2" t="str">
        <f>INDEX(dim_customers!$B$2:$B$7,MATCH($C337,dim_customers!$A$2:$A$7,0))</f>
        <v>模拟_溪桥医院食堂</v>
      </c>
      <c r="P337" s="6">
        <f>INT((ROUND(raw_order_lines!H337*10,0)*ROUND(raw_order_lines!J337*100,0)+5)/10)/100</f>
        <v>38.5</v>
      </c>
      <c r="Q337" s="6">
        <f>INT((ROUND(raw_order_lines!I337*10,0)*ROUND(raw_order_lines!J337*100,0)+5)/10)/100</f>
        <v>0</v>
      </c>
      <c r="R337" s="6">
        <f t="shared" si="15"/>
        <v>38.5</v>
      </c>
      <c r="S337" s="2" t="str">
        <f>IF(OR(ROUND(raw_order_lines!I337*10,0)&gt;ROUND(raw_order_lines!H337*10,0),ROUND(raw_order_lines!H337*10,0)&gt;ROUND(raw_order_lines!G337*10,0),ROUND(raw_order_lines!G337*10,0)&lt;=0),"数量关系异常","")</f>
        <v/>
      </c>
      <c r="T337" s="2" t="str">
        <f>IF($F337&lt;&gt;INDEX(dim_products!$D$2:$D$21,MATCH($E337,dim_products!$A$2:$A$21,0)),"单位不一致","")</f>
        <v/>
      </c>
      <c r="U337" s="2" t="str">
        <f>IF(OR(ROUND(raw_order_lines!J337*100,0)&lt;ROUND(INDEX(dim_products!$F$2:$F$21,MATCH($E337,dim_products!$A$2:$A$21,0))*100,0),ROUND(raw_order_lines!J337*100,0)&gt;ROUND(INDEX(dim_products!$G$2:$G$21,MATCH($E337,dim_products!$A$2:$A$21,0))*100,0)),"单价越界","")</f>
        <v/>
      </c>
      <c r="V337" s="2" t="str">
        <f t="shared" si="16"/>
        <v/>
      </c>
      <c r="W337" s="2" t="str">
        <f t="shared" si="17"/>
        <v>通过</v>
      </c>
    </row>
    <row r="338" spans="1:23" ht="15">
      <c r="A338" s="2" t="str">
        <f>raw_order_lines!A338</f>
        <v>SIM-20260910-C006</v>
      </c>
      <c r="B338" s="2">
        <f>raw_order_lines!B338</f>
        <v>4</v>
      </c>
      <c r="C338" s="2" t="str">
        <f>raw_order_lines!C338</f>
        <v>C006</v>
      </c>
      <c r="D338" s="3">
        <f>raw_order_lines!D338</f>
        <v>46275</v>
      </c>
      <c r="E338" s="2" t="str">
        <f>raw_order_lines!E338</f>
        <v>P001</v>
      </c>
      <c r="F338" s="2" t="str">
        <f>raw_order_lines!F338</f>
        <v>公斤</v>
      </c>
      <c r="G338" s="4">
        <f>raw_order_lines!G338</f>
        <v>6</v>
      </c>
      <c r="H338" s="4">
        <f>raw_order_lines!H338</f>
        <v>5.8</v>
      </c>
      <c r="I338" s="4">
        <f>raw_order_lines!I338</f>
        <v>0</v>
      </c>
      <c r="J338" s="5">
        <f>raw_order_lines!J338</f>
        <v>3.3</v>
      </c>
      <c r="K338" s="2" t="str">
        <f>raw_order_lines!K338</f>
        <v>到货不足；按实际交付计费</v>
      </c>
      <c r="L338" s="2" t="str">
        <f>raw_order_lines!L338</f>
        <v>true</v>
      </c>
      <c r="M338" s="2" t="str">
        <f>INDEX(dim_products!$B$2:$B$21,MATCH($E338,dim_products!$A$2:$A$21,0))</f>
        <v>土豆</v>
      </c>
      <c r="N338" s="2" t="str">
        <f>INDEX(dim_products!$C$2:$C$21,MATCH($E338,dim_products!$A$2:$A$21,0))</f>
        <v>散装鲜菜</v>
      </c>
      <c r="O338" s="2" t="str">
        <f>INDEX(dim_customers!$B$2:$B$7,MATCH($C338,dim_customers!$A$2:$A$7,0))</f>
        <v>模拟_溪桥医院食堂</v>
      </c>
      <c r="P338" s="6">
        <f>INT((ROUND(raw_order_lines!H338*10,0)*ROUND(raw_order_lines!J338*100,0)+5)/10)/100</f>
        <v>19.14</v>
      </c>
      <c r="Q338" s="6">
        <f>INT((ROUND(raw_order_lines!I338*10,0)*ROUND(raw_order_lines!J338*100,0)+5)/10)/100</f>
        <v>0</v>
      </c>
      <c r="R338" s="6">
        <f t="shared" si="15"/>
        <v>19.14</v>
      </c>
      <c r="S338" s="2" t="str">
        <f>IF(OR(ROUND(raw_order_lines!I338*10,0)&gt;ROUND(raw_order_lines!H338*10,0),ROUND(raw_order_lines!H338*10,0)&gt;ROUND(raw_order_lines!G338*10,0),ROUND(raw_order_lines!G338*10,0)&lt;=0),"数量关系异常","")</f>
        <v/>
      </c>
      <c r="T338" s="2" t="str">
        <f>IF($F338&lt;&gt;INDEX(dim_products!$D$2:$D$21,MATCH($E338,dim_products!$A$2:$A$21,0)),"单位不一致","")</f>
        <v/>
      </c>
      <c r="U338" s="2" t="str">
        <f>IF(OR(ROUND(raw_order_lines!J338*100,0)&lt;ROUND(INDEX(dim_products!$F$2:$F$21,MATCH($E338,dim_products!$A$2:$A$21,0))*100,0),ROUND(raw_order_lines!J338*100,0)&gt;ROUND(INDEX(dim_products!$G$2:$G$21,MATCH($E338,dim_products!$A$2:$A$21,0))*100,0)),"单价越界","")</f>
        <v/>
      </c>
      <c r="V338" s="2" t="str">
        <f t="shared" si="16"/>
        <v/>
      </c>
      <c r="W338" s="2" t="str">
        <f t="shared" si="17"/>
        <v>通过</v>
      </c>
    </row>
    <row r="339" spans="1:23" ht="15">
      <c r="A339" s="2" t="str">
        <f>raw_order_lines!A339</f>
        <v>SIM-20260910-C006</v>
      </c>
      <c r="B339" s="2">
        <f>raw_order_lines!B339</f>
        <v>5</v>
      </c>
      <c r="C339" s="2" t="str">
        <f>raw_order_lines!C339</f>
        <v>C006</v>
      </c>
      <c r="D339" s="3">
        <f>raw_order_lines!D339</f>
        <v>46275</v>
      </c>
      <c r="E339" s="2" t="str">
        <f>raw_order_lines!E339</f>
        <v>P013</v>
      </c>
      <c r="F339" s="2" t="str">
        <f>raw_order_lines!F339</f>
        <v>公斤</v>
      </c>
      <c r="G339" s="4">
        <f>raw_order_lines!G339</f>
        <v>11.2</v>
      </c>
      <c r="H339" s="4">
        <f>raw_order_lines!H339</f>
        <v>10.7</v>
      </c>
      <c r="I339" s="4">
        <f>raw_order_lines!I339</f>
        <v>0</v>
      </c>
      <c r="J339" s="5">
        <f>raw_order_lines!J339</f>
        <v>6</v>
      </c>
      <c r="K339" s="2" t="str">
        <f>raw_order_lines!K339</f>
        <v>到货不足；按实际交付计费</v>
      </c>
      <c r="L339" s="2" t="str">
        <f>raw_order_lines!L339</f>
        <v>true</v>
      </c>
      <c r="M339" s="2" t="str">
        <f>INDEX(dim_products!$B$2:$B$21,MATCH($E339,dim_products!$A$2:$A$21,0))</f>
        <v>豇豆</v>
      </c>
      <c r="N339" s="2" t="str">
        <f>INDEX(dim_products!$C$2:$C$21,MATCH($E339,dim_products!$A$2:$A$21,0))</f>
        <v>散装鲜菜</v>
      </c>
      <c r="O339" s="2" t="str">
        <f>INDEX(dim_customers!$B$2:$B$7,MATCH($C339,dim_customers!$A$2:$A$7,0))</f>
        <v>模拟_溪桥医院食堂</v>
      </c>
      <c r="P339" s="6">
        <f>INT((ROUND(raw_order_lines!H339*10,0)*ROUND(raw_order_lines!J339*100,0)+5)/10)/100</f>
        <v>64.2</v>
      </c>
      <c r="Q339" s="6">
        <f>INT((ROUND(raw_order_lines!I339*10,0)*ROUND(raw_order_lines!J339*100,0)+5)/10)/100</f>
        <v>0</v>
      </c>
      <c r="R339" s="6">
        <f t="shared" si="15"/>
        <v>64.2</v>
      </c>
      <c r="S339" s="2" t="str">
        <f>IF(OR(ROUND(raw_order_lines!I339*10,0)&gt;ROUND(raw_order_lines!H339*10,0),ROUND(raw_order_lines!H339*10,0)&gt;ROUND(raw_order_lines!G339*10,0),ROUND(raw_order_lines!G339*10,0)&lt;=0),"数量关系异常","")</f>
        <v/>
      </c>
      <c r="T339" s="2" t="str">
        <f>IF($F339&lt;&gt;INDEX(dim_products!$D$2:$D$21,MATCH($E339,dim_products!$A$2:$A$21,0)),"单位不一致","")</f>
        <v/>
      </c>
      <c r="U339" s="2" t="str">
        <f>IF(OR(ROUND(raw_order_lines!J339*100,0)&lt;ROUND(INDEX(dim_products!$F$2:$F$21,MATCH($E339,dim_products!$A$2:$A$21,0))*100,0),ROUND(raw_order_lines!J339*100,0)&gt;ROUND(INDEX(dim_products!$G$2:$G$21,MATCH($E339,dim_products!$A$2:$A$21,0))*100,0)),"单价越界","")</f>
        <v/>
      </c>
      <c r="V339" s="2" t="str">
        <f t="shared" si="16"/>
        <v/>
      </c>
      <c r="W339" s="2" t="str">
        <f t="shared" si="17"/>
        <v>通过</v>
      </c>
    </row>
    <row r="340" spans="1:23" ht="15">
      <c r="A340" s="2" t="str">
        <f>raw_order_lines!A340</f>
        <v>SIM-20260910-C006</v>
      </c>
      <c r="B340" s="2">
        <f>raw_order_lines!B340</f>
        <v>6</v>
      </c>
      <c r="C340" s="2" t="str">
        <f>raw_order_lines!C340</f>
        <v>C006</v>
      </c>
      <c r="D340" s="3">
        <f>raw_order_lines!D340</f>
        <v>46275</v>
      </c>
      <c r="E340" s="2" t="str">
        <f>raw_order_lines!E340</f>
        <v>P008</v>
      </c>
      <c r="F340" s="2" t="str">
        <f>raw_order_lines!F340</f>
        <v>公斤</v>
      </c>
      <c r="G340" s="4">
        <f>raw_order_lines!G340</f>
        <v>6</v>
      </c>
      <c r="H340" s="4">
        <f>raw_order_lines!H340</f>
        <v>6</v>
      </c>
      <c r="I340" s="4">
        <f>raw_order_lines!I340</f>
        <v>0</v>
      </c>
      <c r="J340" s="5">
        <f>raw_order_lines!J340</f>
        <v>4.4000000000000004</v>
      </c>
      <c r="K340" s="2" t="str">
        <f>raw_order_lines!K340</f>
        <v>正常交付</v>
      </c>
      <c r="L340" s="2" t="str">
        <f>raw_order_lines!L340</f>
        <v>true</v>
      </c>
      <c r="M340" s="2" t="str">
        <f>INDEX(dim_products!$B$2:$B$21,MATCH($E340,dim_products!$A$2:$A$21,0))</f>
        <v>黄瓜</v>
      </c>
      <c r="N340" s="2" t="str">
        <f>INDEX(dim_products!$C$2:$C$21,MATCH($E340,dim_products!$A$2:$A$21,0))</f>
        <v>散装鲜菜</v>
      </c>
      <c r="O340" s="2" t="str">
        <f>INDEX(dim_customers!$B$2:$B$7,MATCH($C340,dim_customers!$A$2:$A$7,0))</f>
        <v>模拟_溪桥医院食堂</v>
      </c>
      <c r="P340" s="6">
        <f>INT((ROUND(raw_order_lines!H340*10,0)*ROUND(raw_order_lines!J340*100,0)+5)/10)/100</f>
        <v>26.4</v>
      </c>
      <c r="Q340" s="6">
        <f>INT((ROUND(raw_order_lines!I340*10,0)*ROUND(raw_order_lines!J340*100,0)+5)/10)/100</f>
        <v>0</v>
      </c>
      <c r="R340" s="6">
        <f t="shared" si="15"/>
        <v>26.4</v>
      </c>
      <c r="S340" s="2" t="str">
        <f>IF(OR(ROUND(raw_order_lines!I340*10,0)&gt;ROUND(raw_order_lines!H340*10,0),ROUND(raw_order_lines!H340*10,0)&gt;ROUND(raw_order_lines!G340*10,0),ROUND(raw_order_lines!G340*10,0)&lt;=0),"数量关系异常","")</f>
        <v/>
      </c>
      <c r="T340" s="2" t="str">
        <f>IF($F340&lt;&gt;INDEX(dim_products!$D$2:$D$21,MATCH($E340,dim_products!$A$2:$A$21,0)),"单位不一致","")</f>
        <v/>
      </c>
      <c r="U340" s="2" t="str">
        <f>IF(OR(ROUND(raw_order_lines!J340*100,0)&lt;ROUND(INDEX(dim_products!$F$2:$F$21,MATCH($E340,dim_products!$A$2:$A$21,0))*100,0),ROUND(raw_order_lines!J340*100,0)&gt;ROUND(INDEX(dim_products!$G$2:$G$21,MATCH($E340,dim_products!$A$2:$A$21,0))*100,0)),"单价越界","")</f>
        <v/>
      </c>
      <c r="V340" s="2" t="str">
        <f t="shared" si="16"/>
        <v/>
      </c>
      <c r="W340" s="2" t="str">
        <f t="shared" si="17"/>
        <v>通过</v>
      </c>
    </row>
    <row r="341" spans="1:23" ht="15">
      <c r="A341" s="2" t="str">
        <f>raw_order_lines!A341</f>
        <v>SIM-20260910-C006</v>
      </c>
      <c r="B341" s="2">
        <f>raw_order_lines!B341</f>
        <v>7</v>
      </c>
      <c r="C341" s="2" t="str">
        <f>raw_order_lines!C341</f>
        <v>C006</v>
      </c>
      <c r="D341" s="3">
        <f>raw_order_lines!D341</f>
        <v>46275</v>
      </c>
      <c r="E341" s="2" t="str">
        <f>raw_order_lines!E341</f>
        <v>P015</v>
      </c>
      <c r="F341" s="2" t="str">
        <f>raw_order_lines!F341</f>
        <v>公斤</v>
      </c>
      <c r="G341" s="4">
        <f>raw_order_lines!G341</f>
        <v>1</v>
      </c>
      <c r="H341" s="4">
        <f>raw_order_lines!H341</f>
        <v>1</v>
      </c>
      <c r="I341" s="4">
        <f>raw_order_lines!I341</f>
        <v>0</v>
      </c>
      <c r="J341" s="5">
        <f>raw_order_lines!J341</f>
        <v>7.2</v>
      </c>
      <c r="K341" s="2" t="str">
        <f>raw_order_lines!K341</f>
        <v>正常交付</v>
      </c>
      <c r="L341" s="2" t="str">
        <f>raw_order_lines!L341</f>
        <v>true</v>
      </c>
      <c r="M341" s="2" t="str">
        <f>INDEX(dim_products!$B$2:$B$21,MATCH($E341,dim_products!$A$2:$A$21,0))</f>
        <v>小葱</v>
      </c>
      <c r="N341" s="2" t="str">
        <f>INDEX(dim_products!$C$2:$C$21,MATCH($E341,dim_products!$A$2:$A$21,0))</f>
        <v>散装鲜菜</v>
      </c>
      <c r="O341" s="2" t="str">
        <f>INDEX(dim_customers!$B$2:$B$7,MATCH($C341,dim_customers!$A$2:$A$7,0))</f>
        <v>模拟_溪桥医院食堂</v>
      </c>
      <c r="P341" s="6">
        <f>INT((ROUND(raw_order_lines!H341*10,0)*ROUND(raw_order_lines!J341*100,0)+5)/10)/100</f>
        <v>7.2</v>
      </c>
      <c r="Q341" s="6">
        <f>INT((ROUND(raw_order_lines!I341*10,0)*ROUND(raw_order_lines!J341*100,0)+5)/10)/100</f>
        <v>0</v>
      </c>
      <c r="R341" s="6">
        <f t="shared" si="15"/>
        <v>7.2</v>
      </c>
      <c r="S341" s="2" t="str">
        <f>IF(OR(ROUND(raw_order_lines!I341*10,0)&gt;ROUND(raw_order_lines!H341*10,0),ROUND(raw_order_lines!H341*10,0)&gt;ROUND(raw_order_lines!G341*10,0),ROUND(raw_order_lines!G341*10,0)&lt;=0),"数量关系异常","")</f>
        <v/>
      </c>
      <c r="T341" s="2" t="str">
        <f>IF($F341&lt;&gt;INDEX(dim_products!$D$2:$D$21,MATCH($E341,dim_products!$A$2:$A$21,0)),"单位不一致","")</f>
        <v/>
      </c>
      <c r="U341" s="2" t="str">
        <f>IF(OR(ROUND(raw_order_lines!J341*100,0)&lt;ROUND(INDEX(dim_products!$F$2:$F$21,MATCH($E341,dim_products!$A$2:$A$21,0))*100,0),ROUND(raw_order_lines!J341*100,0)&gt;ROUND(INDEX(dim_products!$G$2:$G$21,MATCH($E341,dim_products!$A$2:$A$21,0))*100,0)),"单价越界","")</f>
        <v/>
      </c>
      <c r="V341" s="2" t="str">
        <f t="shared" si="16"/>
        <v/>
      </c>
      <c r="W341" s="2" t="str">
        <f t="shared" si="17"/>
        <v>通过</v>
      </c>
    </row>
    <row r="342" spans="1:23" ht="15">
      <c r="A342" s="2" t="str">
        <f>raw_order_lines!A342</f>
        <v>SIM-20260911-C001</v>
      </c>
      <c r="B342" s="2">
        <f>raw_order_lines!B342</f>
        <v>1</v>
      </c>
      <c r="C342" s="2" t="str">
        <f>raw_order_lines!C342</f>
        <v>C001</v>
      </c>
      <c r="D342" s="3">
        <f>raw_order_lines!D342</f>
        <v>46276</v>
      </c>
      <c r="E342" s="2" t="str">
        <f>raw_order_lines!E342</f>
        <v>P012</v>
      </c>
      <c r="F342" s="2" t="str">
        <f>raw_order_lines!F342</f>
        <v>公斤</v>
      </c>
      <c r="G342" s="4">
        <f>raw_order_lines!G342</f>
        <v>2.1</v>
      </c>
      <c r="H342" s="4">
        <f>raw_order_lines!H342</f>
        <v>2.1</v>
      </c>
      <c r="I342" s="4">
        <f>raw_order_lines!I342</f>
        <v>0.2</v>
      </c>
      <c r="J342" s="5">
        <f>raw_order_lines!J342</f>
        <v>5</v>
      </c>
      <c r="K342" s="2" t="str">
        <f>raw_order_lines!K342</f>
        <v>正常交付；签收时挑出黄叶退回</v>
      </c>
      <c r="L342" s="2" t="str">
        <f>raw_order_lines!L342</f>
        <v>true</v>
      </c>
      <c r="M342" s="2" t="str">
        <f>INDEX(dim_products!$B$2:$B$21,MATCH($E342,dim_products!$A$2:$A$21,0))</f>
        <v>小白菜</v>
      </c>
      <c r="N342" s="2" t="str">
        <f>INDEX(dim_products!$C$2:$C$21,MATCH($E342,dim_products!$A$2:$A$21,0))</f>
        <v>散装鲜菜</v>
      </c>
      <c r="O342" s="2" t="str">
        <f>INDEX(dim_customers!$B$2:$B$7,MATCH($C342,dim_customers!$A$2:$A$7,0))</f>
        <v>模拟_榕树下粉面店</v>
      </c>
      <c r="P342" s="6">
        <f>INT((ROUND(raw_order_lines!H342*10,0)*ROUND(raw_order_lines!J342*100,0)+5)/10)/100</f>
        <v>10.5</v>
      </c>
      <c r="Q342" s="6">
        <f>INT((ROUND(raw_order_lines!I342*10,0)*ROUND(raw_order_lines!J342*100,0)+5)/10)/100</f>
        <v>1</v>
      </c>
      <c r="R342" s="6">
        <f t="shared" si="15"/>
        <v>9.5</v>
      </c>
      <c r="S342" s="2" t="str">
        <f>IF(OR(ROUND(raw_order_lines!I342*10,0)&gt;ROUND(raw_order_lines!H342*10,0),ROUND(raw_order_lines!H342*10,0)&gt;ROUND(raw_order_lines!G342*10,0),ROUND(raw_order_lines!G342*10,0)&lt;=0),"数量关系异常","")</f>
        <v/>
      </c>
      <c r="T342" s="2" t="str">
        <f>IF($F342&lt;&gt;INDEX(dim_products!$D$2:$D$21,MATCH($E342,dim_products!$A$2:$A$21,0)),"单位不一致","")</f>
        <v/>
      </c>
      <c r="U342" s="2" t="str">
        <f>IF(OR(ROUND(raw_order_lines!J342*100,0)&lt;ROUND(INDEX(dim_products!$F$2:$F$21,MATCH($E342,dim_products!$A$2:$A$21,0))*100,0),ROUND(raw_order_lines!J342*100,0)&gt;ROUND(INDEX(dim_products!$G$2:$G$21,MATCH($E342,dim_products!$A$2:$A$21,0))*100,0)),"单价越界","")</f>
        <v/>
      </c>
      <c r="V342" s="2" t="str">
        <f t="shared" si="16"/>
        <v/>
      </c>
      <c r="W342" s="2" t="str">
        <f t="shared" si="17"/>
        <v>通过</v>
      </c>
    </row>
    <row r="343" spans="1:23" ht="15">
      <c r="A343" s="2" t="str">
        <f>raw_order_lines!A343</f>
        <v>SIM-20260911-C001</v>
      </c>
      <c r="B343" s="2">
        <f>raw_order_lines!B343</f>
        <v>2</v>
      </c>
      <c r="C343" s="2" t="str">
        <f>raw_order_lines!C343</f>
        <v>C001</v>
      </c>
      <c r="D343" s="3">
        <f>raw_order_lines!D343</f>
        <v>46276</v>
      </c>
      <c r="E343" s="2" t="str">
        <f>raw_order_lines!E343</f>
        <v>P007</v>
      </c>
      <c r="F343" s="2" t="str">
        <f>raw_order_lines!F343</f>
        <v>公斤</v>
      </c>
      <c r="G343" s="4">
        <f>raw_order_lines!G343</f>
        <v>2.9</v>
      </c>
      <c r="H343" s="4">
        <f>raw_order_lines!H343</f>
        <v>2.6</v>
      </c>
      <c r="I343" s="4">
        <f>raw_order_lines!I343</f>
        <v>0</v>
      </c>
      <c r="J343" s="5">
        <f>raw_order_lines!J343</f>
        <v>5.45</v>
      </c>
      <c r="K343" s="2" t="str">
        <f>raw_order_lines!K343</f>
        <v>到货不足；按实际交付计费</v>
      </c>
      <c r="L343" s="2" t="str">
        <f>raw_order_lines!L343</f>
        <v>true</v>
      </c>
      <c r="M343" s="2" t="str">
        <f>INDEX(dim_products!$B$2:$B$21,MATCH($E343,dim_products!$A$2:$A$21,0))</f>
        <v>青椒</v>
      </c>
      <c r="N343" s="2" t="str">
        <f>INDEX(dim_products!$C$2:$C$21,MATCH($E343,dim_products!$A$2:$A$21,0))</f>
        <v>散装鲜菜</v>
      </c>
      <c r="O343" s="2" t="str">
        <f>INDEX(dim_customers!$B$2:$B$7,MATCH($C343,dim_customers!$A$2:$A$7,0))</f>
        <v>模拟_榕树下粉面店</v>
      </c>
      <c r="P343" s="6">
        <f>INT((ROUND(raw_order_lines!H343*10,0)*ROUND(raw_order_lines!J343*100,0)+5)/10)/100</f>
        <v>14.17</v>
      </c>
      <c r="Q343" s="6">
        <f>INT((ROUND(raw_order_lines!I343*10,0)*ROUND(raw_order_lines!J343*100,0)+5)/10)/100</f>
        <v>0</v>
      </c>
      <c r="R343" s="6">
        <f t="shared" si="15"/>
        <v>14.17</v>
      </c>
      <c r="S343" s="2" t="str">
        <f>IF(OR(ROUND(raw_order_lines!I343*10,0)&gt;ROUND(raw_order_lines!H343*10,0),ROUND(raw_order_lines!H343*10,0)&gt;ROUND(raw_order_lines!G343*10,0),ROUND(raw_order_lines!G343*10,0)&lt;=0),"数量关系异常","")</f>
        <v/>
      </c>
      <c r="T343" s="2" t="str">
        <f>IF($F343&lt;&gt;INDEX(dim_products!$D$2:$D$21,MATCH($E343,dim_products!$A$2:$A$21,0)),"单位不一致","")</f>
        <v/>
      </c>
      <c r="U343" s="2" t="str">
        <f>IF(OR(ROUND(raw_order_lines!J343*100,0)&lt;ROUND(INDEX(dim_products!$F$2:$F$21,MATCH($E343,dim_products!$A$2:$A$21,0))*100,0),ROUND(raw_order_lines!J343*100,0)&gt;ROUND(INDEX(dim_products!$G$2:$G$21,MATCH($E343,dim_products!$A$2:$A$21,0))*100,0)),"单价越界","")</f>
        <v/>
      </c>
      <c r="V343" s="2" t="str">
        <f t="shared" si="16"/>
        <v/>
      </c>
      <c r="W343" s="2" t="str">
        <f t="shared" si="17"/>
        <v>通过</v>
      </c>
    </row>
    <row r="344" spans="1:23" ht="15">
      <c r="A344" s="2" t="str">
        <f>raw_order_lines!A344</f>
        <v>SIM-20260911-C001</v>
      </c>
      <c r="B344" s="2">
        <f>raw_order_lines!B344</f>
        <v>3</v>
      </c>
      <c r="C344" s="2" t="str">
        <f>raw_order_lines!C344</f>
        <v>C001</v>
      </c>
      <c r="D344" s="3">
        <f>raw_order_lines!D344</f>
        <v>46276</v>
      </c>
      <c r="E344" s="2" t="str">
        <f>raw_order_lines!E344</f>
        <v>P005</v>
      </c>
      <c r="F344" s="2" t="str">
        <f>raw_order_lines!F344</f>
        <v>公斤</v>
      </c>
      <c r="G344" s="4">
        <f>raw_order_lines!G344</f>
        <v>2.4</v>
      </c>
      <c r="H344" s="4">
        <f>raw_order_lines!H344</f>
        <v>2.4</v>
      </c>
      <c r="I344" s="4">
        <f>raw_order_lines!I344</f>
        <v>0</v>
      </c>
      <c r="J344" s="5">
        <f>raw_order_lines!J344</f>
        <v>2.7</v>
      </c>
      <c r="K344" s="2" t="str">
        <f>raw_order_lines!K344</f>
        <v>正常交付</v>
      </c>
      <c r="L344" s="2" t="str">
        <f>raw_order_lines!L344</f>
        <v>true</v>
      </c>
      <c r="M344" s="2" t="str">
        <f>INDEX(dim_products!$B$2:$B$21,MATCH($E344,dim_products!$A$2:$A$21,0))</f>
        <v>南瓜</v>
      </c>
      <c r="N344" s="2" t="str">
        <f>INDEX(dim_products!$C$2:$C$21,MATCH($E344,dim_products!$A$2:$A$21,0))</f>
        <v>散装鲜菜</v>
      </c>
      <c r="O344" s="2" t="str">
        <f>INDEX(dim_customers!$B$2:$B$7,MATCH($C344,dim_customers!$A$2:$A$7,0))</f>
        <v>模拟_榕树下粉面店</v>
      </c>
      <c r="P344" s="6">
        <f>INT((ROUND(raw_order_lines!H344*10,0)*ROUND(raw_order_lines!J344*100,0)+5)/10)/100</f>
        <v>6.48</v>
      </c>
      <c r="Q344" s="6">
        <f>INT((ROUND(raw_order_lines!I344*10,0)*ROUND(raw_order_lines!J344*100,0)+5)/10)/100</f>
        <v>0</v>
      </c>
      <c r="R344" s="6">
        <f t="shared" si="15"/>
        <v>6.48</v>
      </c>
      <c r="S344" s="2" t="str">
        <f>IF(OR(ROUND(raw_order_lines!I344*10,0)&gt;ROUND(raw_order_lines!H344*10,0),ROUND(raw_order_lines!H344*10,0)&gt;ROUND(raw_order_lines!G344*10,0),ROUND(raw_order_lines!G344*10,0)&lt;=0),"数量关系异常","")</f>
        <v/>
      </c>
      <c r="T344" s="2" t="str">
        <f>IF($F344&lt;&gt;INDEX(dim_products!$D$2:$D$21,MATCH($E344,dim_products!$A$2:$A$21,0)),"单位不一致","")</f>
        <v/>
      </c>
      <c r="U344" s="2" t="str">
        <f>IF(OR(ROUND(raw_order_lines!J344*100,0)&lt;ROUND(INDEX(dim_products!$F$2:$F$21,MATCH($E344,dim_products!$A$2:$A$21,0))*100,0),ROUND(raw_order_lines!J344*100,0)&gt;ROUND(INDEX(dim_products!$G$2:$G$21,MATCH($E344,dim_products!$A$2:$A$21,0))*100,0)),"单价越界","")</f>
        <v/>
      </c>
      <c r="V344" s="2" t="str">
        <f t="shared" si="16"/>
        <v/>
      </c>
      <c r="W344" s="2" t="str">
        <f t="shared" si="17"/>
        <v>通过</v>
      </c>
    </row>
    <row r="345" spans="1:23" ht="15">
      <c r="A345" s="2" t="str">
        <f>raw_order_lines!A345</f>
        <v>SIM-20260911-C001</v>
      </c>
      <c r="B345" s="2">
        <f>raw_order_lines!B345</f>
        <v>4</v>
      </c>
      <c r="C345" s="2" t="str">
        <f>raw_order_lines!C345</f>
        <v>C001</v>
      </c>
      <c r="D345" s="3">
        <f>raw_order_lines!D345</f>
        <v>46276</v>
      </c>
      <c r="E345" s="2" t="str">
        <f>raw_order_lines!E345</f>
        <v>P003</v>
      </c>
      <c r="F345" s="2" t="str">
        <f>raw_order_lines!F345</f>
        <v>公斤</v>
      </c>
      <c r="G345" s="4">
        <f>raw_order_lines!G345</f>
        <v>3.2</v>
      </c>
      <c r="H345" s="4">
        <f>raw_order_lines!H345</f>
        <v>3.2</v>
      </c>
      <c r="I345" s="4">
        <f>raw_order_lines!I345</f>
        <v>0</v>
      </c>
      <c r="J345" s="5">
        <f>raw_order_lines!J345</f>
        <v>2.9</v>
      </c>
      <c r="K345" s="2" t="str">
        <f>raw_order_lines!K345</f>
        <v>正常交付</v>
      </c>
      <c r="L345" s="2" t="str">
        <f>raw_order_lines!L345</f>
        <v>true</v>
      </c>
      <c r="M345" s="2" t="str">
        <f>INDEX(dim_products!$B$2:$B$21,MATCH($E345,dim_products!$A$2:$A$21,0))</f>
        <v>包菜</v>
      </c>
      <c r="N345" s="2" t="str">
        <f>INDEX(dim_products!$C$2:$C$21,MATCH($E345,dim_products!$A$2:$A$21,0))</f>
        <v>散装鲜菜</v>
      </c>
      <c r="O345" s="2" t="str">
        <f>INDEX(dim_customers!$B$2:$B$7,MATCH($C345,dim_customers!$A$2:$A$7,0))</f>
        <v>模拟_榕树下粉面店</v>
      </c>
      <c r="P345" s="6">
        <f>INT((ROUND(raw_order_lines!H345*10,0)*ROUND(raw_order_lines!J345*100,0)+5)/10)/100</f>
        <v>9.2799999999999994</v>
      </c>
      <c r="Q345" s="6">
        <f>INT((ROUND(raw_order_lines!I345*10,0)*ROUND(raw_order_lines!J345*100,0)+5)/10)/100</f>
        <v>0</v>
      </c>
      <c r="R345" s="6">
        <f t="shared" si="15"/>
        <v>9.2799999999999994</v>
      </c>
      <c r="S345" s="2" t="str">
        <f>IF(OR(ROUND(raw_order_lines!I345*10,0)&gt;ROUND(raw_order_lines!H345*10,0),ROUND(raw_order_lines!H345*10,0)&gt;ROUND(raw_order_lines!G345*10,0),ROUND(raw_order_lines!G345*10,0)&lt;=0),"数量关系异常","")</f>
        <v/>
      </c>
      <c r="T345" s="2" t="str">
        <f>IF($F345&lt;&gt;INDEX(dim_products!$D$2:$D$21,MATCH($E345,dim_products!$A$2:$A$21,0)),"单位不一致","")</f>
        <v/>
      </c>
      <c r="U345" s="2" t="str">
        <f>IF(OR(ROUND(raw_order_lines!J345*100,0)&lt;ROUND(INDEX(dim_products!$F$2:$F$21,MATCH($E345,dim_products!$A$2:$A$21,0))*100,0),ROUND(raw_order_lines!J345*100,0)&gt;ROUND(INDEX(dim_products!$G$2:$G$21,MATCH($E345,dim_products!$A$2:$A$21,0))*100,0)),"单价越界","")</f>
        <v/>
      </c>
      <c r="V345" s="2" t="str">
        <f t="shared" si="16"/>
        <v/>
      </c>
      <c r="W345" s="2" t="str">
        <f t="shared" si="17"/>
        <v>通过</v>
      </c>
    </row>
    <row r="346" spans="1:23" ht="15">
      <c r="A346" s="2" t="str">
        <f>raw_order_lines!A346</f>
        <v>SIM-20260911-C001</v>
      </c>
      <c r="B346" s="2">
        <f>raw_order_lines!B346</f>
        <v>5</v>
      </c>
      <c r="C346" s="2" t="str">
        <f>raw_order_lines!C346</f>
        <v>C001</v>
      </c>
      <c r="D346" s="3">
        <f>raw_order_lines!D346</f>
        <v>46276</v>
      </c>
      <c r="E346" s="2" t="str">
        <f>raw_order_lines!E346</f>
        <v>P015</v>
      </c>
      <c r="F346" s="2" t="str">
        <f>raw_order_lines!F346</f>
        <v>公斤</v>
      </c>
      <c r="G346" s="4">
        <f>raw_order_lines!G346</f>
        <v>0.5</v>
      </c>
      <c r="H346" s="4">
        <f>raw_order_lines!H346</f>
        <v>0.5</v>
      </c>
      <c r="I346" s="4">
        <f>raw_order_lines!I346</f>
        <v>0</v>
      </c>
      <c r="J346" s="5">
        <f>raw_order_lines!J346</f>
        <v>7.2</v>
      </c>
      <c r="K346" s="2" t="str">
        <f>raw_order_lines!K346</f>
        <v>正常交付</v>
      </c>
      <c r="L346" s="2" t="str">
        <f>raw_order_lines!L346</f>
        <v>true</v>
      </c>
      <c r="M346" s="2" t="str">
        <f>INDEX(dim_products!$B$2:$B$21,MATCH($E346,dim_products!$A$2:$A$21,0))</f>
        <v>小葱</v>
      </c>
      <c r="N346" s="2" t="str">
        <f>INDEX(dim_products!$C$2:$C$21,MATCH($E346,dim_products!$A$2:$A$21,0))</f>
        <v>散装鲜菜</v>
      </c>
      <c r="O346" s="2" t="str">
        <f>INDEX(dim_customers!$B$2:$B$7,MATCH($C346,dim_customers!$A$2:$A$7,0))</f>
        <v>模拟_榕树下粉面店</v>
      </c>
      <c r="P346" s="6">
        <f>INT((ROUND(raw_order_lines!H346*10,0)*ROUND(raw_order_lines!J346*100,0)+5)/10)/100</f>
        <v>3.6</v>
      </c>
      <c r="Q346" s="6">
        <f>INT((ROUND(raw_order_lines!I346*10,0)*ROUND(raw_order_lines!J346*100,0)+5)/10)/100</f>
        <v>0</v>
      </c>
      <c r="R346" s="6">
        <f t="shared" si="15"/>
        <v>3.6</v>
      </c>
      <c r="S346" s="2" t="str">
        <f>IF(OR(ROUND(raw_order_lines!I346*10,0)&gt;ROUND(raw_order_lines!H346*10,0),ROUND(raw_order_lines!H346*10,0)&gt;ROUND(raw_order_lines!G346*10,0),ROUND(raw_order_lines!G346*10,0)&lt;=0),"数量关系异常","")</f>
        <v/>
      </c>
      <c r="T346" s="2" t="str">
        <f>IF($F346&lt;&gt;INDEX(dim_products!$D$2:$D$21,MATCH($E346,dim_products!$A$2:$A$21,0)),"单位不一致","")</f>
        <v/>
      </c>
      <c r="U346" s="2" t="str">
        <f>IF(OR(ROUND(raw_order_lines!J346*100,0)&lt;ROUND(INDEX(dim_products!$F$2:$F$21,MATCH($E346,dim_products!$A$2:$A$21,0))*100,0),ROUND(raw_order_lines!J346*100,0)&gt;ROUND(INDEX(dim_products!$G$2:$G$21,MATCH($E346,dim_products!$A$2:$A$21,0))*100,0)),"单价越界","")</f>
        <v/>
      </c>
      <c r="V346" s="2" t="str">
        <f t="shared" si="16"/>
        <v/>
      </c>
      <c r="W346" s="2" t="str">
        <f t="shared" si="17"/>
        <v>通过</v>
      </c>
    </row>
    <row r="347" spans="1:23" ht="15">
      <c r="A347" s="2" t="str">
        <f>raw_order_lines!A347</f>
        <v>SIM-20260911-C002</v>
      </c>
      <c r="B347" s="2">
        <f>raw_order_lines!B347</f>
        <v>1</v>
      </c>
      <c r="C347" s="2" t="str">
        <f>raw_order_lines!C347</f>
        <v>C002</v>
      </c>
      <c r="D347" s="3">
        <f>raw_order_lines!D347</f>
        <v>46276</v>
      </c>
      <c r="E347" s="2" t="str">
        <f>raw_order_lines!E347</f>
        <v>P012</v>
      </c>
      <c r="F347" s="2" t="str">
        <f>raw_order_lines!F347</f>
        <v>公斤</v>
      </c>
      <c r="G347" s="4">
        <f>raw_order_lines!G347</f>
        <v>8.6</v>
      </c>
      <c r="H347" s="4">
        <f>raw_order_lines!H347</f>
        <v>8.6</v>
      </c>
      <c r="I347" s="4">
        <f>raw_order_lines!I347</f>
        <v>0</v>
      </c>
      <c r="J347" s="5">
        <f>raw_order_lines!J347</f>
        <v>5</v>
      </c>
      <c r="K347" s="2" t="str">
        <f>raw_order_lines!K347</f>
        <v>正常交付</v>
      </c>
      <c r="L347" s="2" t="str">
        <f>raw_order_lines!L347</f>
        <v>true</v>
      </c>
      <c r="M347" s="2" t="str">
        <f>INDEX(dim_products!$B$2:$B$21,MATCH($E347,dim_products!$A$2:$A$21,0))</f>
        <v>小白菜</v>
      </c>
      <c r="N347" s="2" t="str">
        <f>INDEX(dim_products!$C$2:$C$21,MATCH($E347,dim_products!$A$2:$A$21,0))</f>
        <v>散装鲜菜</v>
      </c>
      <c r="O347" s="2" t="str">
        <f>INDEX(dim_customers!$B$2:$B$7,MATCH($C347,dim_customers!$A$2:$A$7,0))</f>
        <v>模拟_桥头家常菜馆</v>
      </c>
      <c r="P347" s="6">
        <f>INT((ROUND(raw_order_lines!H347*10,0)*ROUND(raw_order_lines!J347*100,0)+5)/10)/100</f>
        <v>43</v>
      </c>
      <c r="Q347" s="6">
        <f>INT((ROUND(raw_order_lines!I347*10,0)*ROUND(raw_order_lines!J347*100,0)+5)/10)/100</f>
        <v>0</v>
      </c>
      <c r="R347" s="6">
        <f t="shared" si="15"/>
        <v>43</v>
      </c>
      <c r="S347" s="2" t="str">
        <f>IF(OR(ROUND(raw_order_lines!I347*10,0)&gt;ROUND(raw_order_lines!H347*10,0),ROUND(raw_order_lines!H347*10,0)&gt;ROUND(raw_order_lines!G347*10,0),ROUND(raw_order_lines!G347*10,0)&lt;=0),"数量关系异常","")</f>
        <v/>
      </c>
      <c r="T347" s="2" t="str">
        <f>IF($F347&lt;&gt;INDEX(dim_products!$D$2:$D$21,MATCH($E347,dim_products!$A$2:$A$21,0)),"单位不一致","")</f>
        <v/>
      </c>
      <c r="U347" s="2" t="str">
        <f>IF(OR(ROUND(raw_order_lines!J347*100,0)&lt;ROUND(INDEX(dim_products!$F$2:$F$21,MATCH($E347,dim_products!$A$2:$A$21,0))*100,0),ROUND(raw_order_lines!J347*100,0)&gt;ROUND(INDEX(dim_products!$G$2:$G$21,MATCH($E347,dim_products!$A$2:$A$21,0))*100,0)),"单价越界","")</f>
        <v/>
      </c>
      <c r="V347" s="2" t="str">
        <f t="shared" si="16"/>
        <v/>
      </c>
      <c r="W347" s="2" t="str">
        <f t="shared" si="17"/>
        <v>通过</v>
      </c>
    </row>
    <row r="348" spans="1:23" ht="15">
      <c r="A348" s="2" t="str">
        <f>raw_order_lines!A348</f>
        <v>SIM-20260911-C002</v>
      </c>
      <c r="B348" s="2">
        <f>raw_order_lines!B348</f>
        <v>2</v>
      </c>
      <c r="C348" s="2" t="str">
        <f>raw_order_lines!C348</f>
        <v>C002</v>
      </c>
      <c r="D348" s="3">
        <f>raw_order_lines!D348</f>
        <v>46276</v>
      </c>
      <c r="E348" s="2" t="str">
        <f>raw_order_lines!E348</f>
        <v>P003</v>
      </c>
      <c r="F348" s="2" t="str">
        <f>raw_order_lines!F348</f>
        <v>公斤</v>
      </c>
      <c r="G348" s="4">
        <f>raw_order_lines!G348</f>
        <v>4.3</v>
      </c>
      <c r="H348" s="4">
        <f>raw_order_lines!H348</f>
        <v>4.3</v>
      </c>
      <c r="I348" s="4">
        <f>raw_order_lines!I348</f>
        <v>0</v>
      </c>
      <c r="J348" s="5">
        <f>raw_order_lines!J348</f>
        <v>2.9</v>
      </c>
      <c r="K348" s="2" t="str">
        <f>raw_order_lines!K348</f>
        <v>正常交付</v>
      </c>
      <c r="L348" s="2" t="str">
        <f>raw_order_lines!L348</f>
        <v>true</v>
      </c>
      <c r="M348" s="2" t="str">
        <f>INDEX(dim_products!$B$2:$B$21,MATCH($E348,dim_products!$A$2:$A$21,0))</f>
        <v>包菜</v>
      </c>
      <c r="N348" s="2" t="str">
        <f>INDEX(dim_products!$C$2:$C$21,MATCH($E348,dim_products!$A$2:$A$21,0))</f>
        <v>散装鲜菜</v>
      </c>
      <c r="O348" s="2" t="str">
        <f>INDEX(dim_customers!$B$2:$B$7,MATCH($C348,dim_customers!$A$2:$A$7,0))</f>
        <v>模拟_桥头家常菜馆</v>
      </c>
      <c r="P348" s="6">
        <f>INT((ROUND(raw_order_lines!H348*10,0)*ROUND(raw_order_lines!J348*100,0)+5)/10)/100</f>
        <v>12.47</v>
      </c>
      <c r="Q348" s="6">
        <f>INT((ROUND(raw_order_lines!I348*10,0)*ROUND(raw_order_lines!J348*100,0)+5)/10)/100</f>
        <v>0</v>
      </c>
      <c r="R348" s="6">
        <f t="shared" si="15"/>
        <v>12.47</v>
      </c>
      <c r="S348" s="2" t="str">
        <f>IF(OR(ROUND(raw_order_lines!I348*10,0)&gt;ROUND(raw_order_lines!H348*10,0),ROUND(raw_order_lines!H348*10,0)&gt;ROUND(raw_order_lines!G348*10,0),ROUND(raw_order_lines!G348*10,0)&lt;=0),"数量关系异常","")</f>
        <v/>
      </c>
      <c r="T348" s="2" t="str">
        <f>IF($F348&lt;&gt;INDEX(dim_products!$D$2:$D$21,MATCH($E348,dim_products!$A$2:$A$21,0)),"单位不一致","")</f>
        <v/>
      </c>
      <c r="U348" s="2" t="str">
        <f>IF(OR(ROUND(raw_order_lines!J348*100,0)&lt;ROUND(INDEX(dim_products!$F$2:$F$21,MATCH($E348,dim_products!$A$2:$A$21,0))*100,0),ROUND(raw_order_lines!J348*100,0)&gt;ROUND(INDEX(dim_products!$G$2:$G$21,MATCH($E348,dim_products!$A$2:$A$21,0))*100,0)),"单价越界","")</f>
        <v/>
      </c>
      <c r="V348" s="2" t="str">
        <f t="shared" si="16"/>
        <v/>
      </c>
      <c r="W348" s="2" t="str">
        <f t="shared" si="17"/>
        <v>通过</v>
      </c>
    </row>
    <row r="349" spans="1:23" ht="15">
      <c r="A349" s="2" t="str">
        <f>raw_order_lines!A349</f>
        <v>SIM-20260911-C002</v>
      </c>
      <c r="B349" s="2">
        <f>raw_order_lines!B349</f>
        <v>3</v>
      </c>
      <c r="C349" s="2" t="str">
        <f>raw_order_lines!C349</f>
        <v>C002</v>
      </c>
      <c r="D349" s="3">
        <f>raw_order_lines!D349</f>
        <v>46276</v>
      </c>
      <c r="E349" s="2" t="str">
        <f>raw_order_lines!E349</f>
        <v>P009</v>
      </c>
      <c r="F349" s="2" t="str">
        <f>raw_order_lines!F349</f>
        <v>公斤</v>
      </c>
      <c r="G349" s="4">
        <f>raw_order_lines!G349</f>
        <v>9.9</v>
      </c>
      <c r="H349" s="4">
        <f>raw_order_lines!H349</f>
        <v>9.9</v>
      </c>
      <c r="I349" s="4">
        <f>raw_order_lines!I349</f>
        <v>0</v>
      </c>
      <c r="J349" s="5">
        <f>raw_order_lines!J349</f>
        <v>5</v>
      </c>
      <c r="K349" s="2" t="str">
        <f>raw_order_lines!K349</f>
        <v>正常交付</v>
      </c>
      <c r="L349" s="2" t="str">
        <f>raw_order_lines!L349</f>
        <v>true</v>
      </c>
      <c r="M349" s="2" t="str">
        <f>INDEX(dim_products!$B$2:$B$21,MATCH($E349,dim_products!$A$2:$A$21,0))</f>
        <v>西红柿</v>
      </c>
      <c r="N349" s="2" t="str">
        <f>INDEX(dim_products!$C$2:$C$21,MATCH($E349,dim_products!$A$2:$A$21,0))</f>
        <v>散装鲜菜</v>
      </c>
      <c r="O349" s="2" t="str">
        <f>INDEX(dim_customers!$B$2:$B$7,MATCH($C349,dim_customers!$A$2:$A$7,0))</f>
        <v>模拟_桥头家常菜馆</v>
      </c>
      <c r="P349" s="6">
        <f>INT((ROUND(raw_order_lines!H349*10,0)*ROUND(raw_order_lines!J349*100,0)+5)/10)/100</f>
        <v>49.5</v>
      </c>
      <c r="Q349" s="6">
        <f>INT((ROUND(raw_order_lines!I349*10,0)*ROUND(raw_order_lines!J349*100,0)+5)/10)/100</f>
        <v>0</v>
      </c>
      <c r="R349" s="6">
        <f t="shared" si="15"/>
        <v>49.5</v>
      </c>
      <c r="S349" s="2" t="str">
        <f>IF(OR(ROUND(raw_order_lines!I349*10,0)&gt;ROUND(raw_order_lines!H349*10,0),ROUND(raw_order_lines!H349*10,0)&gt;ROUND(raw_order_lines!G349*10,0),ROUND(raw_order_lines!G349*10,0)&lt;=0),"数量关系异常","")</f>
        <v/>
      </c>
      <c r="T349" s="2" t="str">
        <f>IF($F349&lt;&gt;INDEX(dim_products!$D$2:$D$21,MATCH($E349,dim_products!$A$2:$A$21,0)),"单位不一致","")</f>
        <v/>
      </c>
      <c r="U349" s="2" t="str">
        <f>IF(OR(ROUND(raw_order_lines!J349*100,0)&lt;ROUND(INDEX(dim_products!$F$2:$F$21,MATCH($E349,dim_products!$A$2:$A$21,0))*100,0),ROUND(raw_order_lines!J349*100,0)&gt;ROUND(INDEX(dim_products!$G$2:$G$21,MATCH($E349,dim_products!$A$2:$A$21,0))*100,0)),"单价越界","")</f>
        <v/>
      </c>
      <c r="V349" s="2" t="str">
        <f t="shared" si="16"/>
        <v/>
      </c>
      <c r="W349" s="2" t="str">
        <f t="shared" si="17"/>
        <v>通过</v>
      </c>
    </row>
    <row r="350" spans="1:23" ht="15">
      <c r="A350" s="2" t="str">
        <f>raw_order_lines!A350</f>
        <v>SIM-20260911-C002</v>
      </c>
      <c r="B350" s="2">
        <f>raw_order_lines!B350</f>
        <v>4</v>
      </c>
      <c r="C350" s="2" t="str">
        <f>raw_order_lines!C350</f>
        <v>C002</v>
      </c>
      <c r="D350" s="3">
        <f>raw_order_lines!D350</f>
        <v>46276</v>
      </c>
      <c r="E350" s="2" t="str">
        <f>raw_order_lines!E350</f>
        <v>P002</v>
      </c>
      <c r="F350" s="2" t="str">
        <f>raw_order_lines!F350</f>
        <v>公斤</v>
      </c>
      <c r="G350" s="4">
        <f>raw_order_lines!G350</f>
        <v>9.3000000000000007</v>
      </c>
      <c r="H350" s="4">
        <f>raw_order_lines!H350</f>
        <v>9.3000000000000007</v>
      </c>
      <c r="I350" s="4">
        <f>raw_order_lines!I350</f>
        <v>0</v>
      </c>
      <c r="J350" s="5">
        <f>raw_order_lines!J350</f>
        <v>2.7</v>
      </c>
      <c r="K350" s="2" t="str">
        <f>raw_order_lines!K350</f>
        <v>正常交付</v>
      </c>
      <c r="L350" s="2" t="str">
        <f>raw_order_lines!L350</f>
        <v>true</v>
      </c>
      <c r="M350" s="2" t="str">
        <f>INDEX(dim_products!$B$2:$B$21,MATCH($E350,dim_products!$A$2:$A$21,0))</f>
        <v>白萝卜</v>
      </c>
      <c r="N350" s="2" t="str">
        <f>INDEX(dim_products!$C$2:$C$21,MATCH($E350,dim_products!$A$2:$A$21,0))</f>
        <v>散装鲜菜</v>
      </c>
      <c r="O350" s="2" t="str">
        <f>INDEX(dim_customers!$B$2:$B$7,MATCH($C350,dim_customers!$A$2:$A$7,0))</f>
        <v>模拟_桥头家常菜馆</v>
      </c>
      <c r="P350" s="6">
        <f>INT((ROUND(raw_order_lines!H350*10,0)*ROUND(raw_order_lines!J350*100,0)+5)/10)/100</f>
        <v>25.11</v>
      </c>
      <c r="Q350" s="6">
        <f>INT((ROUND(raw_order_lines!I350*10,0)*ROUND(raw_order_lines!J350*100,0)+5)/10)/100</f>
        <v>0</v>
      </c>
      <c r="R350" s="6">
        <f t="shared" si="15"/>
        <v>25.11</v>
      </c>
      <c r="S350" s="2" t="str">
        <f>IF(OR(ROUND(raw_order_lines!I350*10,0)&gt;ROUND(raw_order_lines!H350*10,0),ROUND(raw_order_lines!H350*10,0)&gt;ROUND(raw_order_lines!G350*10,0),ROUND(raw_order_lines!G350*10,0)&lt;=0),"数量关系异常","")</f>
        <v/>
      </c>
      <c r="T350" s="2" t="str">
        <f>IF($F350&lt;&gt;INDEX(dim_products!$D$2:$D$21,MATCH($E350,dim_products!$A$2:$A$21,0)),"单位不一致","")</f>
        <v/>
      </c>
      <c r="U350" s="2" t="str">
        <f>IF(OR(ROUND(raw_order_lines!J350*100,0)&lt;ROUND(INDEX(dim_products!$F$2:$F$21,MATCH($E350,dim_products!$A$2:$A$21,0))*100,0),ROUND(raw_order_lines!J350*100,0)&gt;ROUND(INDEX(dim_products!$G$2:$G$21,MATCH($E350,dim_products!$A$2:$A$21,0))*100,0)),"单价越界","")</f>
        <v/>
      </c>
      <c r="V350" s="2" t="str">
        <f t="shared" si="16"/>
        <v/>
      </c>
      <c r="W350" s="2" t="str">
        <f t="shared" si="17"/>
        <v>通过</v>
      </c>
    </row>
    <row r="351" spans="1:23" ht="15">
      <c r="A351" s="2" t="str">
        <f>raw_order_lines!A351</f>
        <v>SIM-20260911-C002</v>
      </c>
      <c r="B351" s="2">
        <f>raw_order_lines!B351</f>
        <v>5</v>
      </c>
      <c r="C351" s="2" t="str">
        <f>raw_order_lines!C351</f>
        <v>C002</v>
      </c>
      <c r="D351" s="3">
        <f>raw_order_lines!D351</f>
        <v>46276</v>
      </c>
      <c r="E351" s="2" t="str">
        <f>raw_order_lines!E351</f>
        <v>P014</v>
      </c>
      <c r="F351" s="2" t="str">
        <f>raw_order_lines!F351</f>
        <v>公斤</v>
      </c>
      <c r="G351" s="4">
        <f>raw_order_lines!G351</f>
        <v>4.3</v>
      </c>
      <c r="H351" s="4">
        <f>raw_order_lines!H351</f>
        <v>4.3</v>
      </c>
      <c r="I351" s="4">
        <f>raw_order_lines!I351</f>
        <v>0</v>
      </c>
      <c r="J351" s="5">
        <f>raw_order_lines!J351</f>
        <v>5</v>
      </c>
      <c r="K351" s="2" t="str">
        <f>raw_order_lines!K351</f>
        <v>正常交付</v>
      </c>
      <c r="L351" s="2" t="str">
        <f>raw_order_lines!L351</f>
        <v>true</v>
      </c>
      <c r="M351" s="2" t="str">
        <f>INDEX(dim_products!$B$2:$B$21,MATCH($E351,dim_products!$A$2:$A$21,0))</f>
        <v>丝瓜</v>
      </c>
      <c r="N351" s="2" t="str">
        <f>INDEX(dim_products!$C$2:$C$21,MATCH($E351,dim_products!$A$2:$A$21,0))</f>
        <v>散装鲜菜</v>
      </c>
      <c r="O351" s="2" t="str">
        <f>INDEX(dim_customers!$B$2:$B$7,MATCH($C351,dim_customers!$A$2:$A$7,0))</f>
        <v>模拟_桥头家常菜馆</v>
      </c>
      <c r="P351" s="6">
        <f>INT((ROUND(raw_order_lines!H351*10,0)*ROUND(raw_order_lines!J351*100,0)+5)/10)/100</f>
        <v>21.5</v>
      </c>
      <c r="Q351" s="6">
        <f>INT((ROUND(raw_order_lines!I351*10,0)*ROUND(raw_order_lines!J351*100,0)+5)/10)/100</f>
        <v>0</v>
      </c>
      <c r="R351" s="6">
        <f t="shared" si="15"/>
        <v>21.5</v>
      </c>
      <c r="S351" s="2" t="str">
        <f>IF(OR(ROUND(raw_order_lines!I351*10,0)&gt;ROUND(raw_order_lines!H351*10,0),ROUND(raw_order_lines!H351*10,0)&gt;ROUND(raw_order_lines!G351*10,0),ROUND(raw_order_lines!G351*10,0)&lt;=0),"数量关系异常","")</f>
        <v/>
      </c>
      <c r="T351" s="2" t="str">
        <f>IF($F351&lt;&gt;INDEX(dim_products!$D$2:$D$21,MATCH($E351,dim_products!$A$2:$A$21,0)),"单位不一致","")</f>
        <v/>
      </c>
      <c r="U351" s="2" t="str">
        <f>IF(OR(ROUND(raw_order_lines!J351*100,0)&lt;ROUND(INDEX(dim_products!$F$2:$F$21,MATCH($E351,dim_products!$A$2:$A$21,0))*100,0),ROUND(raw_order_lines!J351*100,0)&gt;ROUND(INDEX(dim_products!$G$2:$G$21,MATCH($E351,dim_products!$A$2:$A$21,0))*100,0)),"单价越界","")</f>
        <v/>
      </c>
      <c r="V351" s="2" t="str">
        <f t="shared" si="16"/>
        <v/>
      </c>
      <c r="W351" s="2" t="str">
        <f t="shared" si="17"/>
        <v>通过</v>
      </c>
    </row>
    <row r="352" spans="1:23" ht="15">
      <c r="A352" s="2" t="str">
        <f>raw_order_lines!A352</f>
        <v>SIM-20260911-C002</v>
      </c>
      <c r="B352" s="2">
        <f>raw_order_lines!B352</f>
        <v>6</v>
      </c>
      <c r="C352" s="2" t="str">
        <f>raw_order_lines!C352</f>
        <v>C002</v>
      </c>
      <c r="D352" s="3">
        <f>raw_order_lines!D352</f>
        <v>46276</v>
      </c>
      <c r="E352" s="2" t="str">
        <f>raw_order_lines!E352</f>
        <v>P015</v>
      </c>
      <c r="F352" s="2" t="str">
        <f>raw_order_lines!F352</f>
        <v>公斤</v>
      </c>
      <c r="G352" s="4">
        <f>raw_order_lines!G352</f>
        <v>1</v>
      </c>
      <c r="H352" s="4">
        <f>raw_order_lines!H352</f>
        <v>1</v>
      </c>
      <c r="I352" s="4">
        <f>raw_order_lines!I352</f>
        <v>0</v>
      </c>
      <c r="J352" s="5">
        <f>raw_order_lines!J352</f>
        <v>7.2</v>
      </c>
      <c r="K352" s="2" t="str">
        <f>raw_order_lines!K352</f>
        <v>正常交付</v>
      </c>
      <c r="L352" s="2" t="str">
        <f>raw_order_lines!L352</f>
        <v>true</v>
      </c>
      <c r="M352" s="2" t="str">
        <f>INDEX(dim_products!$B$2:$B$21,MATCH($E352,dim_products!$A$2:$A$21,0))</f>
        <v>小葱</v>
      </c>
      <c r="N352" s="2" t="str">
        <f>INDEX(dim_products!$C$2:$C$21,MATCH($E352,dim_products!$A$2:$A$21,0))</f>
        <v>散装鲜菜</v>
      </c>
      <c r="O352" s="2" t="str">
        <f>INDEX(dim_customers!$B$2:$B$7,MATCH($C352,dim_customers!$A$2:$A$7,0))</f>
        <v>模拟_桥头家常菜馆</v>
      </c>
      <c r="P352" s="6">
        <f>INT((ROUND(raw_order_lines!H352*10,0)*ROUND(raw_order_lines!J352*100,0)+5)/10)/100</f>
        <v>7.2</v>
      </c>
      <c r="Q352" s="6">
        <f>INT((ROUND(raw_order_lines!I352*10,0)*ROUND(raw_order_lines!J352*100,0)+5)/10)/100</f>
        <v>0</v>
      </c>
      <c r="R352" s="6">
        <f t="shared" si="15"/>
        <v>7.2</v>
      </c>
      <c r="S352" s="2" t="str">
        <f>IF(OR(ROUND(raw_order_lines!I352*10,0)&gt;ROUND(raw_order_lines!H352*10,0),ROUND(raw_order_lines!H352*10,0)&gt;ROUND(raw_order_lines!G352*10,0),ROUND(raw_order_lines!G352*10,0)&lt;=0),"数量关系异常","")</f>
        <v/>
      </c>
      <c r="T352" s="2" t="str">
        <f>IF($F352&lt;&gt;INDEX(dim_products!$D$2:$D$21,MATCH($E352,dim_products!$A$2:$A$21,0)),"单位不一致","")</f>
        <v/>
      </c>
      <c r="U352" s="2" t="str">
        <f>IF(OR(ROUND(raw_order_lines!J352*100,0)&lt;ROUND(INDEX(dim_products!$F$2:$F$21,MATCH($E352,dim_products!$A$2:$A$21,0))*100,0),ROUND(raw_order_lines!J352*100,0)&gt;ROUND(INDEX(dim_products!$G$2:$G$21,MATCH($E352,dim_products!$A$2:$A$21,0))*100,0)),"单价越界","")</f>
        <v/>
      </c>
      <c r="V352" s="2" t="str">
        <f t="shared" si="16"/>
        <v/>
      </c>
      <c r="W352" s="2" t="str">
        <f t="shared" si="17"/>
        <v>通过</v>
      </c>
    </row>
    <row r="353" spans="1:23" ht="15">
      <c r="A353" s="2" t="str">
        <f>raw_order_lines!A353</f>
        <v>SIM-20260911-C003</v>
      </c>
      <c r="B353" s="2">
        <f>raw_order_lines!B353</f>
        <v>1</v>
      </c>
      <c r="C353" s="2" t="str">
        <f>raw_order_lines!C353</f>
        <v>C003</v>
      </c>
      <c r="D353" s="3">
        <f>raw_order_lines!D353</f>
        <v>46276</v>
      </c>
      <c r="E353" s="2" t="str">
        <f>raw_order_lines!E353</f>
        <v>P010</v>
      </c>
      <c r="F353" s="2" t="str">
        <f>raw_order_lines!F353</f>
        <v>公斤</v>
      </c>
      <c r="G353" s="4">
        <f>raw_order_lines!G353</f>
        <v>9</v>
      </c>
      <c r="H353" s="4">
        <f>raw_order_lines!H353</f>
        <v>9</v>
      </c>
      <c r="I353" s="4">
        <f>raw_order_lines!I353</f>
        <v>0</v>
      </c>
      <c r="J353" s="5">
        <f>raw_order_lines!J353</f>
        <v>5</v>
      </c>
      <c r="K353" s="2" t="str">
        <f>raw_order_lines!K353</f>
        <v>正常交付</v>
      </c>
      <c r="L353" s="2" t="str">
        <f>raw_order_lines!L353</f>
        <v>true</v>
      </c>
      <c r="M353" s="2" t="str">
        <f>INDEX(dim_products!$B$2:$B$21,MATCH($E353,dim_products!$A$2:$A$21,0))</f>
        <v>空心菜</v>
      </c>
      <c r="N353" s="2" t="str">
        <f>INDEX(dim_products!$C$2:$C$21,MATCH($E353,dim_products!$A$2:$A$21,0))</f>
        <v>散装鲜菜</v>
      </c>
      <c r="O353" s="2" t="str">
        <f>INDEX(dim_customers!$B$2:$B$7,MATCH($C353,dim_customers!$A$2:$A$7,0))</f>
        <v>模拟_兴街快餐店</v>
      </c>
      <c r="P353" s="6">
        <f>INT((ROUND(raw_order_lines!H353*10,0)*ROUND(raw_order_lines!J353*100,0)+5)/10)/100</f>
        <v>45</v>
      </c>
      <c r="Q353" s="6">
        <f>INT((ROUND(raw_order_lines!I353*10,0)*ROUND(raw_order_lines!J353*100,0)+5)/10)/100</f>
        <v>0</v>
      </c>
      <c r="R353" s="6">
        <f t="shared" si="15"/>
        <v>45</v>
      </c>
      <c r="S353" s="2" t="str">
        <f>IF(OR(ROUND(raw_order_lines!I353*10,0)&gt;ROUND(raw_order_lines!H353*10,0),ROUND(raw_order_lines!H353*10,0)&gt;ROUND(raw_order_lines!G353*10,0),ROUND(raw_order_lines!G353*10,0)&lt;=0),"数量关系异常","")</f>
        <v/>
      </c>
      <c r="T353" s="2" t="str">
        <f>IF($F353&lt;&gt;INDEX(dim_products!$D$2:$D$21,MATCH($E353,dim_products!$A$2:$A$21,0)),"单位不一致","")</f>
        <v/>
      </c>
      <c r="U353" s="2" t="str">
        <f>IF(OR(ROUND(raw_order_lines!J353*100,0)&lt;ROUND(INDEX(dim_products!$F$2:$F$21,MATCH($E353,dim_products!$A$2:$A$21,0))*100,0),ROUND(raw_order_lines!J353*100,0)&gt;ROUND(INDEX(dim_products!$G$2:$G$21,MATCH($E353,dim_products!$A$2:$A$21,0))*100,0)),"单价越界","")</f>
        <v/>
      </c>
      <c r="V353" s="2" t="str">
        <f t="shared" si="16"/>
        <v/>
      </c>
      <c r="W353" s="2" t="str">
        <f t="shared" si="17"/>
        <v>通过</v>
      </c>
    </row>
    <row r="354" spans="1:23" ht="15">
      <c r="A354" s="2" t="str">
        <f>raw_order_lines!A354</f>
        <v>SIM-20260911-C003</v>
      </c>
      <c r="B354" s="2">
        <f>raw_order_lines!B354</f>
        <v>2</v>
      </c>
      <c r="C354" s="2" t="str">
        <f>raw_order_lines!C354</f>
        <v>C003</v>
      </c>
      <c r="D354" s="3">
        <f>raw_order_lines!D354</f>
        <v>46276</v>
      </c>
      <c r="E354" s="2" t="str">
        <f>raw_order_lines!E354</f>
        <v>P001</v>
      </c>
      <c r="F354" s="2" t="str">
        <f>raw_order_lines!F354</f>
        <v>公斤</v>
      </c>
      <c r="G354" s="4">
        <f>raw_order_lines!G354</f>
        <v>7.3</v>
      </c>
      <c r="H354" s="4">
        <f>raw_order_lines!H354</f>
        <v>7.3</v>
      </c>
      <c r="I354" s="4">
        <f>raw_order_lines!I354</f>
        <v>0</v>
      </c>
      <c r="J354" s="5">
        <f>raw_order_lines!J354</f>
        <v>3.3</v>
      </c>
      <c r="K354" s="2" t="str">
        <f>raw_order_lines!K354</f>
        <v>正常交付</v>
      </c>
      <c r="L354" s="2" t="str">
        <f>raw_order_lines!L354</f>
        <v>true</v>
      </c>
      <c r="M354" s="2" t="str">
        <f>INDEX(dim_products!$B$2:$B$21,MATCH($E354,dim_products!$A$2:$A$21,0))</f>
        <v>土豆</v>
      </c>
      <c r="N354" s="2" t="str">
        <f>INDEX(dim_products!$C$2:$C$21,MATCH($E354,dim_products!$A$2:$A$21,0))</f>
        <v>散装鲜菜</v>
      </c>
      <c r="O354" s="2" t="str">
        <f>INDEX(dim_customers!$B$2:$B$7,MATCH($C354,dim_customers!$A$2:$A$7,0))</f>
        <v>模拟_兴街快餐店</v>
      </c>
      <c r="P354" s="6">
        <f>INT((ROUND(raw_order_lines!H354*10,0)*ROUND(raw_order_lines!J354*100,0)+5)/10)/100</f>
        <v>24.09</v>
      </c>
      <c r="Q354" s="6">
        <f>INT((ROUND(raw_order_lines!I354*10,0)*ROUND(raw_order_lines!J354*100,0)+5)/10)/100</f>
        <v>0</v>
      </c>
      <c r="R354" s="6">
        <f t="shared" si="15"/>
        <v>24.09</v>
      </c>
      <c r="S354" s="2" t="str">
        <f>IF(OR(ROUND(raw_order_lines!I354*10,0)&gt;ROUND(raw_order_lines!H354*10,0),ROUND(raw_order_lines!H354*10,0)&gt;ROUND(raw_order_lines!G354*10,0),ROUND(raw_order_lines!G354*10,0)&lt;=0),"数量关系异常","")</f>
        <v/>
      </c>
      <c r="T354" s="2" t="str">
        <f>IF($F354&lt;&gt;INDEX(dim_products!$D$2:$D$21,MATCH($E354,dim_products!$A$2:$A$21,0)),"单位不一致","")</f>
        <v/>
      </c>
      <c r="U354" s="2" t="str">
        <f>IF(OR(ROUND(raw_order_lines!J354*100,0)&lt;ROUND(INDEX(dim_products!$F$2:$F$21,MATCH($E354,dim_products!$A$2:$A$21,0))*100,0),ROUND(raw_order_lines!J354*100,0)&gt;ROUND(INDEX(dim_products!$G$2:$G$21,MATCH($E354,dim_products!$A$2:$A$21,0))*100,0)),"单价越界","")</f>
        <v/>
      </c>
      <c r="V354" s="2" t="str">
        <f t="shared" si="16"/>
        <v/>
      </c>
      <c r="W354" s="2" t="str">
        <f t="shared" si="17"/>
        <v>通过</v>
      </c>
    </row>
    <row r="355" spans="1:23" ht="15">
      <c r="A355" s="2" t="str">
        <f>raw_order_lines!A355</f>
        <v>SIM-20260911-C003</v>
      </c>
      <c r="B355" s="2">
        <f>raw_order_lines!B355</f>
        <v>3</v>
      </c>
      <c r="C355" s="2" t="str">
        <f>raw_order_lines!C355</f>
        <v>C003</v>
      </c>
      <c r="D355" s="3">
        <f>raw_order_lines!D355</f>
        <v>46276</v>
      </c>
      <c r="E355" s="2" t="str">
        <f>raw_order_lines!E355</f>
        <v>P014</v>
      </c>
      <c r="F355" s="2" t="str">
        <f>raw_order_lines!F355</f>
        <v>公斤</v>
      </c>
      <c r="G355" s="4">
        <f>raw_order_lines!G355</f>
        <v>3.9</v>
      </c>
      <c r="H355" s="4">
        <f>raw_order_lines!H355</f>
        <v>3.9</v>
      </c>
      <c r="I355" s="4">
        <f>raw_order_lines!I355</f>
        <v>0</v>
      </c>
      <c r="J355" s="5">
        <f>raw_order_lines!J355</f>
        <v>5</v>
      </c>
      <c r="K355" s="2" t="str">
        <f>raw_order_lines!K355</f>
        <v>正常交付</v>
      </c>
      <c r="L355" s="2" t="str">
        <f>raw_order_lines!L355</f>
        <v>true</v>
      </c>
      <c r="M355" s="2" t="str">
        <f>INDEX(dim_products!$B$2:$B$21,MATCH($E355,dim_products!$A$2:$A$21,0))</f>
        <v>丝瓜</v>
      </c>
      <c r="N355" s="2" t="str">
        <f>INDEX(dim_products!$C$2:$C$21,MATCH($E355,dim_products!$A$2:$A$21,0))</f>
        <v>散装鲜菜</v>
      </c>
      <c r="O355" s="2" t="str">
        <f>INDEX(dim_customers!$B$2:$B$7,MATCH($C355,dim_customers!$A$2:$A$7,0))</f>
        <v>模拟_兴街快餐店</v>
      </c>
      <c r="P355" s="6">
        <f>INT((ROUND(raw_order_lines!H355*10,0)*ROUND(raw_order_lines!J355*100,0)+5)/10)/100</f>
        <v>19.5</v>
      </c>
      <c r="Q355" s="6">
        <f>INT((ROUND(raw_order_lines!I355*10,0)*ROUND(raw_order_lines!J355*100,0)+5)/10)/100</f>
        <v>0</v>
      </c>
      <c r="R355" s="6">
        <f t="shared" si="15"/>
        <v>19.5</v>
      </c>
      <c r="S355" s="2" t="str">
        <f>IF(OR(ROUND(raw_order_lines!I355*10,0)&gt;ROUND(raw_order_lines!H355*10,0),ROUND(raw_order_lines!H355*10,0)&gt;ROUND(raw_order_lines!G355*10,0),ROUND(raw_order_lines!G355*10,0)&lt;=0),"数量关系异常","")</f>
        <v/>
      </c>
      <c r="T355" s="2" t="str">
        <f>IF($F355&lt;&gt;INDEX(dim_products!$D$2:$D$21,MATCH($E355,dim_products!$A$2:$A$21,0)),"单位不一致","")</f>
        <v/>
      </c>
      <c r="U355" s="2" t="str">
        <f>IF(OR(ROUND(raw_order_lines!J355*100,0)&lt;ROUND(INDEX(dim_products!$F$2:$F$21,MATCH($E355,dim_products!$A$2:$A$21,0))*100,0),ROUND(raw_order_lines!J355*100,0)&gt;ROUND(INDEX(dim_products!$G$2:$G$21,MATCH($E355,dim_products!$A$2:$A$21,0))*100,0)),"单价越界","")</f>
        <v/>
      </c>
      <c r="V355" s="2" t="str">
        <f t="shared" si="16"/>
        <v/>
      </c>
      <c r="W355" s="2" t="str">
        <f t="shared" si="17"/>
        <v>通过</v>
      </c>
    </row>
    <row r="356" spans="1:23" ht="15">
      <c r="A356" s="2" t="str">
        <f>raw_order_lines!A356</f>
        <v>SIM-20260911-C003</v>
      </c>
      <c r="B356" s="2">
        <f>raw_order_lines!B356</f>
        <v>4</v>
      </c>
      <c r="C356" s="2" t="str">
        <f>raw_order_lines!C356</f>
        <v>C003</v>
      </c>
      <c r="D356" s="3">
        <f>raw_order_lines!D356</f>
        <v>46276</v>
      </c>
      <c r="E356" s="2" t="str">
        <f>raw_order_lines!E356</f>
        <v>P005</v>
      </c>
      <c r="F356" s="2" t="str">
        <f>raw_order_lines!F356</f>
        <v>公斤</v>
      </c>
      <c r="G356" s="4">
        <f>raw_order_lines!G356</f>
        <v>6.2</v>
      </c>
      <c r="H356" s="4">
        <f>raw_order_lines!H356</f>
        <v>6.2</v>
      </c>
      <c r="I356" s="4">
        <f>raw_order_lines!I356</f>
        <v>0</v>
      </c>
      <c r="J356" s="5">
        <f>raw_order_lines!J356</f>
        <v>2.7</v>
      </c>
      <c r="K356" s="2" t="str">
        <f>raw_order_lines!K356</f>
        <v>正常交付</v>
      </c>
      <c r="L356" s="2" t="str">
        <f>raw_order_lines!L356</f>
        <v>true</v>
      </c>
      <c r="M356" s="2" t="str">
        <f>INDEX(dim_products!$B$2:$B$21,MATCH($E356,dim_products!$A$2:$A$21,0))</f>
        <v>南瓜</v>
      </c>
      <c r="N356" s="2" t="str">
        <f>INDEX(dim_products!$C$2:$C$21,MATCH($E356,dim_products!$A$2:$A$21,0))</f>
        <v>散装鲜菜</v>
      </c>
      <c r="O356" s="2" t="str">
        <f>INDEX(dim_customers!$B$2:$B$7,MATCH($C356,dim_customers!$A$2:$A$7,0))</f>
        <v>模拟_兴街快餐店</v>
      </c>
      <c r="P356" s="6">
        <f>INT((ROUND(raw_order_lines!H356*10,0)*ROUND(raw_order_lines!J356*100,0)+5)/10)/100</f>
        <v>16.739999999999998</v>
      </c>
      <c r="Q356" s="6">
        <f>INT((ROUND(raw_order_lines!I356*10,0)*ROUND(raw_order_lines!J356*100,0)+5)/10)/100</f>
        <v>0</v>
      </c>
      <c r="R356" s="6">
        <f t="shared" si="15"/>
        <v>16.739999999999998</v>
      </c>
      <c r="S356" s="2" t="str">
        <f>IF(OR(ROUND(raw_order_lines!I356*10,0)&gt;ROUND(raw_order_lines!H356*10,0),ROUND(raw_order_lines!H356*10,0)&gt;ROUND(raw_order_lines!G356*10,0),ROUND(raw_order_lines!G356*10,0)&lt;=0),"数量关系异常","")</f>
        <v/>
      </c>
      <c r="T356" s="2" t="str">
        <f>IF($F356&lt;&gt;INDEX(dim_products!$D$2:$D$21,MATCH($E356,dim_products!$A$2:$A$21,0)),"单位不一致","")</f>
        <v/>
      </c>
      <c r="U356" s="2" t="str">
        <f>IF(OR(ROUND(raw_order_lines!J356*100,0)&lt;ROUND(INDEX(dim_products!$F$2:$F$21,MATCH($E356,dim_products!$A$2:$A$21,0))*100,0),ROUND(raw_order_lines!J356*100,0)&gt;ROUND(INDEX(dim_products!$G$2:$G$21,MATCH($E356,dim_products!$A$2:$A$21,0))*100,0)),"单价越界","")</f>
        <v/>
      </c>
      <c r="V356" s="2" t="str">
        <f t="shared" si="16"/>
        <v/>
      </c>
      <c r="W356" s="2" t="str">
        <f t="shared" si="17"/>
        <v>通过</v>
      </c>
    </row>
    <row r="357" spans="1:23" ht="15">
      <c r="A357" s="2" t="str">
        <f>raw_order_lines!A357</f>
        <v>SIM-20260911-C003</v>
      </c>
      <c r="B357" s="2">
        <f>raw_order_lines!B357</f>
        <v>5</v>
      </c>
      <c r="C357" s="2" t="str">
        <f>raw_order_lines!C357</f>
        <v>C003</v>
      </c>
      <c r="D357" s="3">
        <f>raw_order_lines!D357</f>
        <v>46276</v>
      </c>
      <c r="E357" s="2" t="str">
        <f>raw_order_lines!E357</f>
        <v>P003</v>
      </c>
      <c r="F357" s="2" t="str">
        <f>raw_order_lines!F357</f>
        <v>公斤</v>
      </c>
      <c r="G357" s="4">
        <f>raw_order_lines!G357</f>
        <v>5.0999999999999996</v>
      </c>
      <c r="H357" s="4">
        <f>raw_order_lines!H357</f>
        <v>5.0999999999999996</v>
      </c>
      <c r="I357" s="4">
        <f>raw_order_lines!I357</f>
        <v>0</v>
      </c>
      <c r="J357" s="5">
        <f>raw_order_lines!J357</f>
        <v>2.9</v>
      </c>
      <c r="K357" s="2" t="str">
        <f>raw_order_lines!K357</f>
        <v>正常交付</v>
      </c>
      <c r="L357" s="2" t="str">
        <f>raw_order_lines!L357</f>
        <v>true</v>
      </c>
      <c r="M357" s="2" t="str">
        <f>INDEX(dim_products!$B$2:$B$21,MATCH($E357,dim_products!$A$2:$A$21,0))</f>
        <v>包菜</v>
      </c>
      <c r="N357" s="2" t="str">
        <f>INDEX(dim_products!$C$2:$C$21,MATCH($E357,dim_products!$A$2:$A$21,0))</f>
        <v>散装鲜菜</v>
      </c>
      <c r="O357" s="2" t="str">
        <f>INDEX(dim_customers!$B$2:$B$7,MATCH($C357,dim_customers!$A$2:$A$7,0))</f>
        <v>模拟_兴街快餐店</v>
      </c>
      <c r="P357" s="6">
        <f>INT((ROUND(raw_order_lines!H357*10,0)*ROUND(raw_order_lines!J357*100,0)+5)/10)/100</f>
        <v>14.79</v>
      </c>
      <c r="Q357" s="6">
        <f>INT((ROUND(raw_order_lines!I357*10,0)*ROUND(raw_order_lines!J357*100,0)+5)/10)/100</f>
        <v>0</v>
      </c>
      <c r="R357" s="6">
        <f t="shared" si="15"/>
        <v>14.79</v>
      </c>
      <c r="S357" s="2" t="str">
        <f>IF(OR(ROUND(raw_order_lines!I357*10,0)&gt;ROUND(raw_order_lines!H357*10,0),ROUND(raw_order_lines!H357*10,0)&gt;ROUND(raw_order_lines!G357*10,0),ROUND(raw_order_lines!G357*10,0)&lt;=0),"数量关系异常","")</f>
        <v/>
      </c>
      <c r="T357" s="2" t="str">
        <f>IF($F357&lt;&gt;INDEX(dim_products!$D$2:$D$21,MATCH($E357,dim_products!$A$2:$A$21,0)),"单位不一致","")</f>
        <v/>
      </c>
      <c r="U357" s="2" t="str">
        <f>IF(OR(ROUND(raw_order_lines!J357*100,0)&lt;ROUND(INDEX(dim_products!$F$2:$F$21,MATCH($E357,dim_products!$A$2:$A$21,0))*100,0),ROUND(raw_order_lines!J357*100,0)&gt;ROUND(INDEX(dim_products!$G$2:$G$21,MATCH($E357,dim_products!$A$2:$A$21,0))*100,0)),"单价越界","")</f>
        <v/>
      </c>
      <c r="V357" s="2" t="str">
        <f t="shared" si="16"/>
        <v/>
      </c>
      <c r="W357" s="2" t="str">
        <f t="shared" si="17"/>
        <v>通过</v>
      </c>
    </row>
    <row r="358" spans="1:23" ht="15">
      <c r="A358" s="2" t="str">
        <f>raw_order_lines!A358</f>
        <v>SIM-20260911-C003</v>
      </c>
      <c r="B358" s="2">
        <f>raw_order_lines!B358</f>
        <v>6</v>
      </c>
      <c r="C358" s="2" t="str">
        <f>raw_order_lines!C358</f>
        <v>C003</v>
      </c>
      <c r="D358" s="3">
        <f>raw_order_lines!D358</f>
        <v>46276</v>
      </c>
      <c r="E358" s="2" t="str">
        <f>raw_order_lines!E358</f>
        <v>P009</v>
      </c>
      <c r="F358" s="2" t="str">
        <f>raw_order_lines!F358</f>
        <v>公斤</v>
      </c>
      <c r="G358" s="4">
        <f>raw_order_lines!G358</f>
        <v>7.9</v>
      </c>
      <c r="H358" s="4">
        <f>raw_order_lines!H358</f>
        <v>7.9</v>
      </c>
      <c r="I358" s="4">
        <f>raw_order_lines!I358</f>
        <v>0</v>
      </c>
      <c r="J358" s="5">
        <f>raw_order_lines!J358</f>
        <v>5</v>
      </c>
      <c r="K358" s="2" t="str">
        <f>raw_order_lines!K358</f>
        <v>正常交付</v>
      </c>
      <c r="L358" s="2" t="str">
        <f>raw_order_lines!L358</f>
        <v>true</v>
      </c>
      <c r="M358" s="2" t="str">
        <f>INDEX(dim_products!$B$2:$B$21,MATCH($E358,dim_products!$A$2:$A$21,0))</f>
        <v>西红柿</v>
      </c>
      <c r="N358" s="2" t="str">
        <f>INDEX(dim_products!$C$2:$C$21,MATCH($E358,dim_products!$A$2:$A$21,0))</f>
        <v>散装鲜菜</v>
      </c>
      <c r="O358" s="2" t="str">
        <f>INDEX(dim_customers!$B$2:$B$7,MATCH($C358,dim_customers!$A$2:$A$7,0))</f>
        <v>模拟_兴街快餐店</v>
      </c>
      <c r="P358" s="6">
        <f>INT((ROUND(raw_order_lines!H358*10,0)*ROUND(raw_order_lines!J358*100,0)+5)/10)/100</f>
        <v>39.5</v>
      </c>
      <c r="Q358" s="6">
        <f>INT((ROUND(raw_order_lines!I358*10,0)*ROUND(raw_order_lines!J358*100,0)+5)/10)/100</f>
        <v>0</v>
      </c>
      <c r="R358" s="6">
        <f t="shared" si="15"/>
        <v>39.5</v>
      </c>
      <c r="S358" s="2" t="str">
        <f>IF(OR(ROUND(raw_order_lines!I358*10,0)&gt;ROUND(raw_order_lines!H358*10,0),ROUND(raw_order_lines!H358*10,0)&gt;ROUND(raw_order_lines!G358*10,0),ROUND(raw_order_lines!G358*10,0)&lt;=0),"数量关系异常","")</f>
        <v/>
      </c>
      <c r="T358" s="2" t="str">
        <f>IF($F358&lt;&gt;INDEX(dim_products!$D$2:$D$21,MATCH($E358,dim_products!$A$2:$A$21,0)),"单位不一致","")</f>
        <v/>
      </c>
      <c r="U358" s="2" t="str">
        <f>IF(OR(ROUND(raw_order_lines!J358*100,0)&lt;ROUND(INDEX(dim_products!$F$2:$F$21,MATCH($E358,dim_products!$A$2:$A$21,0))*100,0),ROUND(raw_order_lines!J358*100,0)&gt;ROUND(INDEX(dim_products!$G$2:$G$21,MATCH($E358,dim_products!$A$2:$A$21,0))*100,0)),"单价越界","")</f>
        <v/>
      </c>
      <c r="V358" s="2" t="str">
        <f t="shared" si="16"/>
        <v/>
      </c>
      <c r="W358" s="2" t="str">
        <f t="shared" si="17"/>
        <v>通过</v>
      </c>
    </row>
    <row r="359" spans="1:23" ht="15">
      <c r="A359" s="2" t="str">
        <f>raw_order_lines!A359</f>
        <v>SIM-20260911-C003</v>
      </c>
      <c r="B359" s="2">
        <f>raw_order_lines!B359</f>
        <v>7</v>
      </c>
      <c r="C359" s="2" t="str">
        <f>raw_order_lines!C359</f>
        <v>C003</v>
      </c>
      <c r="D359" s="3">
        <f>raw_order_lines!D359</f>
        <v>46276</v>
      </c>
      <c r="E359" s="2" t="str">
        <f>raw_order_lines!E359</f>
        <v>P015</v>
      </c>
      <c r="F359" s="2" t="str">
        <f>raw_order_lines!F359</f>
        <v>公斤</v>
      </c>
      <c r="G359" s="4">
        <f>raw_order_lines!G359</f>
        <v>1</v>
      </c>
      <c r="H359" s="4">
        <f>raw_order_lines!H359</f>
        <v>1</v>
      </c>
      <c r="I359" s="4">
        <f>raw_order_lines!I359</f>
        <v>0</v>
      </c>
      <c r="J359" s="5">
        <f>raw_order_lines!J359</f>
        <v>7.2</v>
      </c>
      <c r="K359" s="2" t="str">
        <f>raw_order_lines!K359</f>
        <v>正常交付</v>
      </c>
      <c r="L359" s="2" t="str">
        <f>raw_order_lines!L359</f>
        <v>true</v>
      </c>
      <c r="M359" s="2" t="str">
        <f>INDEX(dim_products!$B$2:$B$21,MATCH($E359,dim_products!$A$2:$A$21,0))</f>
        <v>小葱</v>
      </c>
      <c r="N359" s="2" t="str">
        <f>INDEX(dim_products!$C$2:$C$21,MATCH($E359,dim_products!$A$2:$A$21,0))</f>
        <v>散装鲜菜</v>
      </c>
      <c r="O359" s="2" t="str">
        <f>INDEX(dim_customers!$B$2:$B$7,MATCH($C359,dim_customers!$A$2:$A$7,0))</f>
        <v>模拟_兴街快餐店</v>
      </c>
      <c r="P359" s="6">
        <f>INT((ROUND(raw_order_lines!H359*10,0)*ROUND(raw_order_lines!J359*100,0)+5)/10)/100</f>
        <v>7.2</v>
      </c>
      <c r="Q359" s="6">
        <f>INT((ROUND(raw_order_lines!I359*10,0)*ROUND(raw_order_lines!J359*100,0)+5)/10)/100</f>
        <v>0</v>
      </c>
      <c r="R359" s="6">
        <f t="shared" si="15"/>
        <v>7.2</v>
      </c>
      <c r="S359" s="2" t="str">
        <f>IF(OR(ROUND(raw_order_lines!I359*10,0)&gt;ROUND(raw_order_lines!H359*10,0),ROUND(raw_order_lines!H359*10,0)&gt;ROUND(raw_order_lines!G359*10,0),ROUND(raw_order_lines!G359*10,0)&lt;=0),"数量关系异常","")</f>
        <v/>
      </c>
      <c r="T359" s="2" t="str">
        <f>IF($F359&lt;&gt;INDEX(dim_products!$D$2:$D$21,MATCH($E359,dim_products!$A$2:$A$21,0)),"单位不一致","")</f>
        <v/>
      </c>
      <c r="U359" s="2" t="str">
        <f>IF(OR(ROUND(raw_order_lines!J359*100,0)&lt;ROUND(INDEX(dim_products!$F$2:$F$21,MATCH($E359,dim_products!$A$2:$A$21,0))*100,0),ROUND(raw_order_lines!J359*100,0)&gt;ROUND(INDEX(dim_products!$G$2:$G$21,MATCH($E359,dim_products!$A$2:$A$21,0))*100,0)),"单价越界","")</f>
        <v/>
      </c>
      <c r="V359" s="2" t="str">
        <f t="shared" si="16"/>
        <v/>
      </c>
      <c r="W359" s="2" t="str">
        <f t="shared" si="17"/>
        <v>通过</v>
      </c>
    </row>
    <row r="360" spans="1:23" ht="15">
      <c r="A360" s="2" t="str">
        <f>raw_order_lines!A360</f>
        <v>SIM-20260911-C005</v>
      </c>
      <c r="B360" s="2">
        <f>raw_order_lines!B360</f>
        <v>1</v>
      </c>
      <c r="C360" s="2" t="str">
        <f>raw_order_lines!C360</f>
        <v>C005</v>
      </c>
      <c r="D360" s="3">
        <f>raw_order_lines!D360</f>
        <v>46276</v>
      </c>
      <c r="E360" s="2" t="str">
        <f>raw_order_lines!E360</f>
        <v>P010</v>
      </c>
      <c r="F360" s="2" t="str">
        <f>raw_order_lines!F360</f>
        <v>公斤</v>
      </c>
      <c r="G360" s="4">
        <f>raw_order_lines!G360</f>
        <v>15</v>
      </c>
      <c r="H360" s="4">
        <f>raw_order_lines!H360</f>
        <v>15</v>
      </c>
      <c r="I360" s="4">
        <f>raw_order_lines!I360</f>
        <v>0</v>
      </c>
      <c r="J360" s="5">
        <f>raw_order_lines!J360</f>
        <v>5</v>
      </c>
      <c r="K360" s="2" t="str">
        <f>raw_order_lines!K360</f>
        <v>正常交付</v>
      </c>
      <c r="L360" s="2" t="str">
        <f>raw_order_lines!L360</f>
        <v>true</v>
      </c>
      <c r="M360" s="2" t="str">
        <f>INDEX(dim_products!$B$2:$B$21,MATCH($E360,dim_products!$A$2:$A$21,0))</f>
        <v>空心菜</v>
      </c>
      <c r="N360" s="2" t="str">
        <f>INDEX(dim_products!$C$2:$C$21,MATCH($E360,dim_products!$A$2:$A$21,0))</f>
        <v>散装鲜菜</v>
      </c>
      <c r="O360" s="2" t="str">
        <f>INDEX(dim_customers!$B$2:$B$7,MATCH($C360,dim_customers!$A$2:$A$7,0))</f>
        <v>模拟_青禾小学食堂</v>
      </c>
      <c r="P360" s="6">
        <f>INT((ROUND(raw_order_lines!H360*10,0)*ROUND(raw_order_lines!J360*100,0)+5)/10)/100</f>
        <v>75</v>
      </c>
      <c r="Q360" s="6">
        <f>INT((ROUND(raw_order_lines!I360*10,0)*ROUND(raw_order_lines!J360*100,0)+5)/10)/100</f>
        <v>0</v>
      </c>
      <c r="R360" s="6">
        <f t="shared" si="15"/>
        <v>75</v>
      </c>
      <c r="S360" s="2" t="str">
        <f>IF(OR(ROUND(raw_order_lines!I360*10,0)&gt;ROUND(raw_order_lines!H360*10,0),ROUND(raw_order_lines!H360*10,0)&gt;ROUND(raw_order_lines!G360*10,0),ROUND(raw_order_lines!G360*10,0)&lt;=0),"数量关系异常","")</f>
        <v/>
      </c>
      <c r="T360" s="2" t="str">
        <f>IF($F360&lt;&gt;INDEX(dim_products!$D$2:$D$21,MATCH($E360,dim_products!$A$2:$A$21,0)),"单位不一致","")</f>
        <v/>
      </c>
      <c r="U360" s="2" t="str">
        <f>IF(OR(ROUND(raw_order_lines!J360*100,0)&lt;ROUND(INDEX(dim_products!$F$2:$F$21,MATCH($E360,dim_products!$A$2:$A$21,0))*100,0),ROUND(raw_order_lines!J360*100,0)&gt;ROUND(INDEX(dim_products!$G$2:$G$21,MATCH($E360,dim_products!$A$2:$A$21,0))*100,0)),"单价越界","")</f>
        <v/>
      </c>
      <c r="V360" s="2" t="str">
        <f t="shared" si="16"/>
        <v/>
      </c>
      <c r="W360" s="2" t="str">
        <f t="shared" si="17"/>
        <v>通过</v>
      </c>
    </row>
    <row r="361" spans="1:23" ht="15">
      <c r="A361" s="2" t="str">
        <f>raw_order_lines!A361</f>
        <v>SIM-20260911-C005</v>
      </c>
      <c r="B361" s="2">
        <f>raw_order_lines!B361</f>
        <v>2</v>
      </c>
      <c r="C361" s="2" t="str">
        <f>raw_order_lines!C361</f>
        <v>C005</v>
      </c>
      <c r="D361" s="3">
        <f>raw_order_lines!D361</f>
        <v>46276</v>
      </c>
      <c r="E361" s="2" t="str">
        <f>raw_order_lines!E361</f>
        <v>P013</v>
      </c>
      <c r="F361" s="2" t="str">
        <f>raw_order_lines!F361</f>
        <v>公斤</v>
      </c>
      <c r="G361" s="4">
        <f>raw_order_lines!G361</f>
        <v>16</v>
      </c>
      <c r="H361" s="4">
        <f>raw_order_lines!H361</f>
        <v>16</v>
      </c>
      <c r="I361" s="4">
        <f>raw_order_lines!I361</f>
        <v>0</v>
      </c>
      <c r="J361" s="5">
        <f>raw_order_lines!J361</f>
        <v>6</v>
      </c>
      <c r="K361" s="2" t="str">
        <f>raw_order_lines!K361</f>
        <v>正常交付</v>
      </c>
      <c r="L361" s="2" t="str">
        <f>raw_order_lines!L361</f>
        <v>true</v>
      </c>
      <c r="M361" s="2" t="str">
        <f>INDEX(dim_products!$B$2:$B$21,MATCH($E361,dim_products!$A$2:$A$21,0))</f>
        <v>豇豆</v>
      </c>
      <c r="N361" s="2" t="str">
        <f>INDEX(dim_products!$C$2:$C$21,MATCH($E361,dim_products!$A$2:$A$21,0))</f>
        <v>散装鲜菜</v>
      </c>
      <c r="O361" s="2" t="str">
        <f>INDEX(dim_customers!$B$2:$B$7,MATCH($C361,dim_customers!$A$2:$A$7,0))</f>
        <v>模拟_青禾小学食堂</v>
      </c>
      <c r="P361" s="6">
        <f>INT((ROUND(raw_order_lines!H361*10,0)*ROUND(raw_order_lines!J361*100,0)+5)/10)/100</f>
        <v>96</v>
      </c>
      <c r="Q361" s="6">
        <f>INT((ROUND(raw_order_lines!I361*10,0)*ROUND(raw_order_lines!J361*100,0)+5)/10)/100</f>
        <v>0</v>
      </c>
      <c r="R361" s="6">
        <f t="shared" si="15"/>
        <v>96</v>
      </c>
      <c r="S361" s="2" t="str">
        <f>IF(OR(ROUND(raw_order_lines!I361*10,0)&gt;ROUND(raw_order_lines!H361*10,0),ROUND(raw_order_lines!H361*10,0)&gt;ROUND(raw_order_lines!G361*10,0),ROUND(raw_order_lines!G361*10,0)&lt;=0),"数量关系异常","")</f>
        <v/>
      </c>
      <c r="T361" s="2" t="str">
        <f>IF($F361&lt;&gt;INDEX(dim_products!$D$2:$D$21,MATCH($E361,dim_products!$A$2:$A$21,0)),"单位不一致","")</f>
        <v/>
      </c>
      <c r="U361" s="2" t="str">
        <f>IF(OR(ROUND(raw_order_lines!J361*100,0)&lt;ROUND(INDEX(dim_products!$F$2:$F$21,MATCH($E361,dim_products!$A$2:$A$21,0))*100,0),ROUND(raw_order_lines!J361*100,0)&gt;ROUND(INDEX(dim_products!$G$2:$G$21,MATCH($E361,dim_products!$A$2:$A$21,0))*100,0)),"单价越界","")</f>
        <v/>
      </c>
      <c r="V361" s="2" t="str">
        <f t="shared" si="16"/>
        <v/>
      </c>
      <c r="W361" s="2" t="str">
        <f t="shared" si="17"/>
        <v>通过</v>
      </c>
    </row>
    <row r="362" spans="1:23" ht="15">
      <c r="A362" s="2" t="str">
        <f>raw_order_lines!A362</f>
        <v>SIM-20260911-C005</v>
      </c>
      <c r="B362" s="2">
        <f>raw_order_lines!B362</f>
        <v>3</v>
      </c>
      <c r="C362" s="2" t="str">
        <f>raw_order_lines!C362</f>
        <v>C005</v>
      </c>
      <c r="D362" s="3">
        <f>raw_order_lines!D362</f>
        <v>46276</v>
      </c>
      <c r="E362" s="2" t="str">
        <f>raw_order_lines!E362</f>
        <v>P006</v>
      </c>
      <c r="F362" s="2" t="str">
        <f>raw_order_lines!F362</f>
        <v>公斤</v>
      </c>
      <c r="G362" s="4">
        <f>raw_order_lines!G362</f>
        <v>7.5</v>
      </c>
      <c r="H362" s="4">
        <f>raw_order_lines!H362</f>
        <v>7.5</v>
      </c>
      <c r="I362" s="4">
        <f>raw_order_lines!I362</f>
        <v>0</v>
      </c>
      <c r="J362" s="5">
        <f>raw_order_lines!J362</f>
        <v>4.8</v>
      </c>
      <c r="K362" s="2" t="str">
        <f>raw_order_lines!K362</f>
        <v>正常交付</v>
      </c>
      <c r="L362" s="2" t="str">
        <f>raw_order_lines!L362</f>
        <v>true</v>
      </c>
      <c r="M362" s="2" t="str">
        <f>INDEX(dim_products!$B$2:$B$21,MATCH($E362,dim_products!$A$2:$A$21,0))</f>
        <v>茄子</v>
      </c>
      <c r="N362" s="2" t="str">
        <f>INDEX(dim_products!$C$2:$C$21,MATCH($E362,dim_products!$A$2:$A$21,0))</f>
        <v>散装鲜菜</v>
      </c>
      <c r="O362" s="2" t="str">
        <f>INDEX(dim_customers!$B$2:$B$7,MATCH($C362,dim_customers!$A$2:$A$7,0))</f>
        <v>模拟_青禾小学食堂</v>
      </c>
      <c r="P362" s="6">
        <f>INT((ROUND(raw_order_lines!H362*10,0)*ROUND(raw_order_lines!J362*100,0)+5)/10)/100</f>
        <v>36</v>
      </c>
      <c r="Q362" s="6">
        <f>INT((ROUND(raw_order_lines!I362*10,0)*ROUND(raw_order_lines!J362*100,0)+5)/10)/100</f>
        <v>0</v>
      </c>
      <c r="R362" s="6">
        <f t="shared" si="15"/>
        <v>36</v>
      </c>
      <c r="S362" s="2" t="str">
        <f>IF(OR(ROUND(raw_order_lines!I362*10,0)&gt;ROUND(raw_order_lines!H362*10,0),ROUND(raw_order_lines!H362*10,0)&gt;ROUND(raw_order_lines!G362*10,0),ROUND(raw_order_lines!G362*10,0)&lt;=0),"数量关系异常","")</f>
        <v/>
      </c>
      <c r="T362" s="2" t="str">
        <f>IF($F362&lt;&gt;INDEX(dim_products!$D$2:$D$21,MATCH($E362,dim_products!$A$2:$A$21,0)),"单位不一致","")</f>
        <v/>
      </c>
      <c r="U362" s="2" t="str">
        <f>IF(OR(ROUND(raw_order_lines!J362*100,0)&lt;ROUND(INDEX(dim_products!$F$2:$F$21,MATCH($E362,dim_products!$A$2:$A$21,0))*100,0),ROUND(raw_order_lines!J362*100,0)&gt;ROUND(INDEX(dim_products!$G$2:$G$21,MATCH($E362,dim_products!$A$2:$A$21,0))*100,0)),"单价越界","")</f>
        <v/>
      </c>
      <c r="V362" s="2" t="str">
        <f t="shared" si="16"/>
        <v/>
      </c>
      <c r="W362" s="2" t="str">
        <f t="shared" si="17"/>
        <v>通过</v>
      </c>
    </row>
    <row r="363" spans="1:23" ht="15">
      <c r="A363" s="2" t="str">
        <f>raw_order_lines!A363</f>
        <v>SIM-20260911-C005</v>
      </c>
      <c r="B363" s="2">
        <f>raw_order_lines!B363</f>
        <v>4</v>
      </c>
      <c r="C363" s="2" t="str">
        <f>raw_order_lines!C363</f>
        <v>C005</v>
      </c>
      <c r="D363" s="3">
        <f>raw_order_lines!D363</f>
        <v>46276</v>
      </c>
      <c r="E363" s="2" t="str">
        <f>raw_order_lines!E363</f>
        <v>P001</v>
      </c>
      <c r="F363" s="2" t="str">
        <f>raw_order_lines!F363</f>
        <v>公斤</v>
      </c>
      <c r="G363" s="4">
        <f>raw_order_lines!G363</f>
        <v>8.5</v>
      </c>
      <c r="H363" s="4">
        <f>raw_order_lines!H363</f>
        <v>8.5</v>
      </c>
      <c r="I363" s="4">
        <f>raw_order_lines!I363</f>
        <v>0</v>
      </c>
      <c r="J363" s="5">
        <f>raw_order_lines!J363</f>
        <v>3.3</v>
      </c>
      <c r="K363" s="2" t="str">
        <f>raw_order_lines!K363</f>
        <v>正常交付</v>
      </c>
      <c r="L363" s="2" t="str">
        <f>raw_order_lines!L363</f>
        <v>true</v>
      </c>
      <c r="M363" s="2" t="str">
        <f>INDEX(dim_products!$B$2:$B$21,MATCH($E363,dim_products!$A$2:$A$21,0))</f>
        <v>土豆</v>
      </c>
      <c r="N363" s="2" t="str">
        <f>INDEX(dim_products!$C$2:$C$21,MATCH($E363,dim_products!$A$2:$A$21,0))</f>
        <v>散装鲜菜</v>
      </c>
      <c r="O363" s="2" t="str">
        <f>INDEX(dim_customers!$B$2:$B$7,MATCH($C363,dim_customers!$A$2:$A$7,0))</f>
        <v>模拟_青禾小学食堂</v>
      </c>
      <c r="P363" s="6">
        <f>INT((ROUND(raw_order_lines!H363*10,0)*ROUND(raw_order_lines!J363*100,0)+5)/10)/100</f>
        <v>28.05</v>
      </c>
      <c r="Q363" s="6">
        <f>INT((ROUND(raw_order_lines!I363*10,0)*ROUND(raw_order_lines!J363*100,0)+5)/10)/100</f>
        <v>0</v>
      </c>
      <c r="R363" s="6">
        <f t="shared" si="15"/>
        <v>28.05</v>
      </c>
      <c r="S363" s="2" t="str">
        <f>IF(OR(ROUND(raw_order_lines!I363*10,0)&gt;ROUND(raw_order_lines!H363*10,0),ROUND(raw_order_lines!H363*10,0)&gt;ROUND(raw_order_lines!G363*10,0),ROUND(raw_order_lines!G363*10,0)&lt;=0),"数量关系异常","")</f>
        <v/>
      </c>
      <c r="T363" s="2" t="str">
        <f>IF($F363&lt;&gt;INDEX(dim_products!$D$2:$D$21,MATCH($E363,dim_products!$A$2:$A$21,0)),"单位不一致","")</f>
        <v/>
      </c>
      <c r="U363" s="2" t="str">
        <f>IF(OR(ROUND(raw_order_lines!J363*100,0)&lt;ROUND(INDEX(dim_products!$F$2:$F$21,MATCH($E363,dim_products!$A$2:$A$21,0))*100,0),ROUND(raw_order_lines!J363*100,0)&gt;ROUND(INDEX(dim_products!$G$2:$G$21,MATCH($E363,dim_products!$A$2:$A$21,0))*100,0)),"单价越界","")</f>
        <v/>
      </c>
      <c r="V363" s="2" t="str">
        <f t="shared" si="16"/>
        <v/>
      </c>
      <c r="W363" s="2" t="str">
        <f t="shared" si="17"/>
        <v>通过</v>
      </c>
    </row>
    <row r="364" spans="1:23" ht="15">
      <c r="A364" s="2" t="str">
        <f>raw_order_lines!A364</f>
        <v>SIM-20260911-C005</v>
      </c>
      <c r="B364" s="2">
        <f>raw_order_lines!B364</f>
        <v>5</v>
      </c>
      <c r="C364" s="2" t="str">
        <f>raw_order_lines!C364</f>
        <v>C005</v>
      </c>
      <c r="D364" s="3">
        <f>raw_order_lines!D364</f>
        <v>46276</v>
      </c>
      <c r="E364" s="2" t="str">
        <f>raw_order_lines!E364</f>
        <v>P003</v>
      </c>
      <c r="F364" s="2" t="str">
        <f>raw_order_lines!F364</f>
        <v>公斤</v>
      </c>
      <c r="G364" s="4">
        <f>raw_order_lines!G364</f>
        <v>12.8</v>
      </c>
      <c r="H364" s="4">
        <f>raw_order_lines!H364</f>
        <v>12.8</v>
      </c>
      <c r="I364" s="4">
        <f>raw_order_lines!I364</f>
        <v>0</v>
      </c>
      <c r="J364" s="5">
        <f>raw_order_lines!J364</f>
        <v>2.9</v>
      </c>
      <c r="K364" s="2" t="str">
        <f>raw_order_lines!K364</f>
        <v>正常交付</v>
      </c>
      <c r="L364" s="2" t="str">
        <f>raw_order_lines!L364</f>
        <v>true</v>
      </c>
      <c r="M364" s="2" t="str">
        <f>INDEX(dim_products!$B$2:$B$21,MATCH($E364,dim_products!$A$2:$A$21,0))</f>
        <v>包菜</v>
      </c>
      <c r="N364" s="2" t="str">
        <f>INDEX(dim_products!$C$2:$C$21,MATCH($E364,dim_products!$A$2:$A$21,0))</f>
        <v>散装鲜菜</v>
      </c>
      <c r="O364" s="2" t="str">
        <f>INDEX(dim_customers!$B$2:$B$7,MATCH($C364,dim_customers!$A$2:$A$7,0))</f>
        <v>模拟_青禾小学食堂</v>
      </c>
      <c r="P364" s="6">
        <f>INT((ROUND(raw_order_lines!H364*10,0)*ROUND(raw_order_lines!J364*100,0)+5)/10)/100</f>
        <v>37.119999999999997</v>
      </c>
      <c r="Q364" s="6">
        <f>INT((ROUND(raw_order_lines!I364*10,0)*ROUND(raw_order_lines!J364*100,0)+5)/10)/100</f>
        <v>0</v>
      </c>
      <c r="R364" s="6">
        <f t="shared" si="15"/>
        <v>37.119999999999997</v>
      </c>
      <c r="S364" s="2" t="str">
        <f>IF(OR(ROUND(raw_order_lines!I364*10,0)&gt;ROUND(raw_order_lines!H364*10,0),ROUND(raw_order_lines!H364*10,0)&gt;ROUND(raw_order_lines!G364*10,0),ROUND(raw_order_lines!G364*10,0)&lt;=0),"数量关系异常","")</f>
        <v/>
      </c>
      <c r="T364" s="2" t="str">
        <f>IF($F364&lt;&gt;INDEX(dim_products!$D$2:$D$21,MATCH($E364,dim_products!$A$2:$A$21,0)),"单位不一致","")</f>
        <v/>
      </c>
      <c r="U364" s="2" t="str">
        <f>IF(OR(ROUND(raw_order_lines!J364*100,0)&lt;ROUND(INDEX(dim_products!$F$2:$F$21,MATCH($E364,dim_products!$A$2:$A$21,0))*100,0),ROUND(raw_order_lines!J364*100,0)&gt;ROUND(INDEX(dim_products!$G$2:$G$21,MATCH($E364,dim_products!$A$2:$A$21,0))*100,0)),"单价越界","")</f>
        <v/>
      </c>
      <c r="V364" s="2" t="str">
        <f t="shared" si="16"/>
        <v/>
      </c>
      <c r="W364" s="2" t="str">
        <f t="shared" si="17"/>
        <v>通过</v>
      </c>
    </row>
    <row r="365" spans="1:23" ht="15">
      <c r="A365" s="2" t="str">
        <f>raw_order_lines!A365</f>
        <v>SIM-20260911-C005</v>
      </c>
      <c r="B365" s="2">
        <f>raw_order_lines!B365</f>
        <v>6</v>
      </c>
      <c r="C365" s="2" t="str">
        <f>raw_order_lines!C365</f>
        <v>C005</v>
      </c>
      <c r="D365" s="3">
        <f>raw_order_lines!D365</f>
        <v>46276</v>
      </c>
      <c r="E365" s="2" t="str">
        <f>raw_order_lines!E365</f>
        <v>P007</v>
      </c>
      <c r="F365" s="2" t="str">
        <f>raw_order_lines!F365</f>
        <v>公斤</v>
      </c>
      <c r="G365" s="4">
        <f>raw_order_lines!G365</f>
        <v>9.6</v>
      </c>
      <c r="H365" s="4">
        <f>raw_order_lines!H365</f>
        <v>9.6</v>
      </c>
      <c r="I365" s="4">
        <f>raw_order_lines!I365</f>
        <v>0</v>
      </c>
      <c r="J365" s="5">
        <f>raw_order_lines!J365</f>
        <v>5.45</v>
      </c>
      <c r="K365" s="2" t="str">
        <f>raw_order_lines!K365</f>
        <v>正常交付</v>
      </c>
      <c r="L365" s="2" t="str">
        <f>raw_order_lines!L365</f>
        <v>true</v>
      </c>
      <c r="M365" s="2" t="str">
        <f>INDEX(dim_products!$B$2:$B$21,MATCH($E365,dim_products!$A$2:$A$21,0))</f>
        <v>青椒</v>
      </c>
      <c r="N365" s="2" t="str">
        <f>INDEX(dim_products!$C$2:$C$21,MATCH($E365,dim_products!$A$2:$A$21,0))</f>
        <v>散装鲜菜</v>
      </c>
      <c r="O365" s="2" t="str">
        <f>INDEX(dim_customers!$B$2:$B$7,MATCH($C365,dim_customers!$A$2:$A$7,0))</f>
        <v>模拟_青禾小学食堂</v>
      </c>
      <c r="P365" s="6">
        <f>INT((ROUND(raw_order_lines!H365*10,0)*ROUND(raw_order_lines!J365*100,0)+5)/10)/100</f>
        <v>52.32</v>
      </c>
      <c r="Q365" s="6">
        <f>INT((ROUND(raw_order_lines!I365*10,0)*ROUND(raw_order_lines!J365*100,0)+5)/10)/100</f>
        <v>0</v>
      </c>
      <c r="R365" s="6">
        <f t="shared" si="15"/>
        <v>52.32</v>
      </c>
      <c r="S365" s="2" t="str">
        <f>IF(OR(ROUND(raw_order_lines!I365*10,0)&gt;ROUND(raw_order_lines!H365*10,0),ROUND(raw_order_lines!H365*10,0)&gt;ROUND(raw_order_lines!G365*10,0),ROUND(raw_order_lines!G365*10,0)&lt;=0),"数量关系异常","")</f>
        <v/>
      </c>
      <c r="T365" s="2" t="str">
        <f>IF($F365&lt;&gt;INDEX(dim_products!$D$2:$D$21,MATCH($E365,dim_products!$A$2:$A$21,0)),"单位不一致","")</f>
        <v/>
      </c>
      <c r="U365" s="2" t="str">
        <f>IF(OR(ROUND(raw_order_lines!J365*100,0)&lt;ROUND(INDEX(dim_products!$F$2:$F$21,MATCH($E365,dim_products!$A$2:$A$21,0))*100,0),ROUND(raw_order_lines!J365*100,0)&gt;ROUND(INDEX(dim_products!$G$2:$G$21,MATCH($E365,dim_products!$A$2:$A$21,0))*100,0)),"单价越界","")</f>
        <v/>
      </c>
      <c r="V365" s="2" t="str">
        <f t="shared" si="16"/>
        <v/>
      </c>
      <c r="W365" s="2" t="str">
        <f t="shared" si="17"/>
        <v>通过</v>
      </c>
    </row>
    <row r="366" spans="1:23" ht="15">
      <c r="A366" s="2" t="str">
        <f>raw_order_lines!A366</f>
        <v>SIM-20260911-C005</v>
      </c>
      <c r="B366" s="2">
        <f>raw_order_lines!B366</f>
        <v>7</v>
      </c>
      <c r="C366" s="2" t="str">
        <f>raw_order_lines!C366</f>
        <v>C005</v>
      </c>
      <c r="D366" s="3">
        <f>raw_order_lines!D366</f>
        <v>46276</v>
      </c>
      <c r="E366" s="2" t="str">
        <f>raw_order_lines!E366</f>
        <v>P016</v>
      </c>
      <c r="F366" s="2" t="str">
        <f>raw_order_lines!F366</f>
        <v>公斤</v>
      </c>
      <c r="G366" s="4">
        <f>raw_order_lines!G366</f>
        <v>12</v>
      </c>
      <c r="H366" s="4">
        <f>raw_order_lines!H366</f>
        <v>12</v>
      </c>
      <c r="I366" s="4">
        <f>raw_order_lines!I366</f>
        <v>0</v>
      </c>
      <c r="J366" s="5">
        <f>raw_order_lines!J366</f>
        <v>10.4</v>
      </c>
      <c r="K366" s="2" t="str">
        <f>raw_order_lines!K366</f>
        <v>正常交付</v>
      </c>
      <c r="L366" s="2" t="str">
        <f>raw_order_lines!L366</f>
        <v>true</v>
      </c>
      <c r="M366" s="2" t="str">
        <f>INDEX(dim_products!$B$2:$B$21,MATCH($E366,dim_products!$A$2:$A$21,0))</f>
        <v>鸡蛋</v>
      </c>
      <c r="N366" s="2" t="str">
        <f>INDEX(dim_products!$C$2:$C$21,MATCH($E366,dim_products!$A$2:$A$21,0))</f>
        <v>普通鲜鸡蛋按净重</v>
      </c>
      <c r="O366" s="2" t="str">
        <f>INDEX(dim_customers!$B$2:$B$7,MATCH($C366,dim_customers!$A$2:$A$7,0))</f>
        <v>模拟_青禾小学食堂</v>
      </c>
      <c r="P366" s="6">
        <f>INT((ROUND(raw_order_lines!H366*10,0)*ROUND(raw_order_lines!J366*100,0)+5)/10)/100</f>
        <v>124.8</v>
      </c>
      <c r="Q366" s="6">
        <f>INT((ROUND(raw_order_lines!I366*10,0)*ROUND(raw_order_lines!J366*100,0)+5)/10)/100</f>
        <v>0</v>
      </c>
      <c r="R366" s="6">
        <f t="shared" si="15"/>
        <v>124.8</v>
      </c>
      <c r="S366" s="2" t="str">
        <f>IF(OR(ROUND(raw_order_lines!I366*10,0)&gt;ROUND(raw_order_lines!H366*10,0),ROUND(raw_order_lines!H366*10,0)&gt;ROUND(raw_order_lines!G366*10,0),ROUND(raw_order_lines!G366*10,0)&lt;=0),"数量关系异常","")</f>
        <v/>
      </c>
      <c r="T366" s="2" t="str">
        <f>IF($F366&lt;&gt;INDEX(dim_products!$D$2:$D$21,MATCH($E366,dim_products!$A$2:$A$21,0)),"单位不一致","")</f>
        <v/>
      </c>
      <c r="U366" s="2" t="str">
        <f>IF(OR(ROUND(raw_order_lines!J366*100,0)&lt;ROUND(INDEX(dim_products!$F$2:$F$21,MATCH($E366,dim_products!$A$2:$A$21,0))*100,0),ROUND(raw_order_lines!J366*100,0)&gt;ROUND(INDEX(dim_products!$G$2:$G$21,MATCH($E366,dim_products!$A$2:$A$21,0))*100,0)),"单价越界","")</f>
        <v/>
      </c>
      <c r="V366" s="2" t="str">
        <f t="shared" si="16"/>
        <v/>
      </c>
      <c r="W366" s="2" t="str">
        <f t="shared" si="17"/>
        <v>通过</v>
      </c>
    </row>
    <row r="367" spans="1:23" ht="15">
      <c r="A367" s="2" t="str">
        <f>raw_order_lines!A367</f>
        <v>SIM-20260911-C006</v>
      </c>
      <c r="B367" s="2">
        <f>raw_order_lines!B367</f>
        <v>1</v>
      </c>
      <c r="C367" s="2" t="str">
        <f>raw_order_lines!C367</f>
        <v>C006</v>
      </c>
      <c r="D367" s="3">
        <f>raw_order_lines!D367</f>
        <v>46276</v>
      </c>
      <c r="E367" s="2" t="str">
        <f>raw_order_lines!E367</f>
        <v>P012</v>
      </c>
      <c r="F367" s="2" t="str">
        <f>raw_order_lines!F367</f>
        <v>公斤</v>
      </c>
      <c r="G367" s="4">
        <f>raw_order_lines!G367</f>
        <v>12.3</v>
      </c>
      <c r="H367" s="4">
        <f>raw_order_lines!H367</f>
        <v>12.3</v>
      </c>
      <c r="I367" s="4">
        <f>raw_order_lines!I367</f>
        <v>0.3</v>
      </c>
      <c r="J367" s="5">
        <f>raw_order_lines!J367</f>
        <v>5</v>
      </c>
      <c r="K367" s="2" t="str">
        <f>raw_order_lines!K367</f>
        <v>正常交付；签收时挑出黄叶退回</v>
      </c>
      <c r="L367" s="2" t="str">
        <f>raw_order_lines!L367</f>
        <v>true</v>
      </c>
      <c r="M367" s="2" t="str">
        <f>INDEX(dim_products!$B$2:$B$21,MATCH($E367,dim_products!$A$2:$A$21,0))</f>
        <v>小白菜</v>
      </c>
      <c r="N367" s="2" t="str">
        <f>INDEX(dim_products!$C$2:$C$21,MATCH($E367,dim_products!$A$2:$A$21,0))</f>
        <v>散装鲜菜</v>
      </c>
      <c r="O367" s="2" t="str">
        <f>INDEX(dim_customers!$B$2:$B$7,MATCH($C367,dim_customers!$A$2:$A$7,0))</f>
        <v>模拟_溪桥医院食堂</v>
      </c>
      <c r="P367" s="6">
        <f>INT((ROUND(raw_order_lines!H367*10,0)*ROUND(raw_order_lines!J367*100,0)+5)/10)/100</f>
        <v>61.5</v>
      </c>
      <c r="Q367" s="6">
        <f>INT((ROUND(raw_order_lines!I367*10,0)*ROUND(raw_order_lines!J367*100,0)+5)/10)/100</f>
        <v>1.5</v>
      </c>
      <c r="R367" s="6">
        <f t="shared" si="15"/>
        <v>60</v>
      </c>
      <c r="S367" s="2" t="str">
        <f>IF(OR(ROUND(raw_order_lines!I367*10,0)&gt;ROUND(raw_order_lines!H367*10,0),ROUND(raw_order_lines!H367*10,0)&gt;ROUND(raw_order_lines!G367*10,0),ROUND(raw_order_lines!G367*10,0)&lt;=0),"数量关系异常","")</f>
        <v/>
      </c>
      <c r="T367" s="2" t="str">
        <f>IF($F367&lt;&gt;INDEX(dim_products!$D$2:$D$21,MATCH($E367,dim_products!$A$2:$A$21,0)),"单位不一致","")</f>
        <v/>
      </c>
      <c r="U367" s="2" t="str">
        <f>IF(OR(ROUND(raw_order_lines!J367*100,0)&lt;ROUND(INDEX(dim_products!$F$2:$F$21,MATCH($E367,dim_products!$A$2:$A$21,0))*100,0),ROUND(raw_order_lines!J367*100,0)&gt;ROUND(INDEX(dim_products!$G$2:$G$21,MATCH($E367,dim_products!$A$2:$A$21,0))*100,0)),"单价越界","")</f>
        <v/>
      </c>
      <c r="V367" s="2" t="str">
        <f t="shared" si="16"/>
        <v/>
      </c>
      <c r="W367" s="2" t="str">
        <f t="shared" si="17"/>
        <v>通过</v>
      </c>
    </row>
    <row r="368" spans="1:23" ht="15">
      <c r="A368" s="2" t="str">
        <f>raw_order_lines!A368</f>
        <v>SIM-20260911-C006</v>
      </c>
      <c r="B368" s="2">
        <f>raw_order_lines!B368</f>
        <v>2</v>
      </c>
      <c r="C368" s="2" t="str">
        <f>raw_order_lines!C368</f>
        <v>C006</v>
      </c>
      <c r="D368" s="3">
        <f>raw_order_lines!D368</f>
        <v>46276</v>
      </c>
      <c r="E368" s="2" t="str">
        <f>raw_order_lines!E368</f>
        <v>P004</v>
      </c>
      <c r="F368" s="2" t="str">
        <f>raw_order_lines!F368</f>
        <v>公斤</v>
      </c>
      <c r="G368" s="4">
        <f>raw_order_lines!G368</f>
        <v>5.4</v>
      </c>
      <c r="H368" s="4">
        <f>raw_order_lines!H368</f>
        <v>5.4</v>
      </c>
      <c r="I368" s="4">
        <f>raw_order_lines!I368</f>
        <v>0</v>
      </c>
      <c r="J368" s="5">
        <f>raw_order_lines!J368</f>
        <v>2.7</v>
      </c>
      <c r="K368" s="2" t="str">
        <f>raw_order_lines!K368</f>
        <v>正常交付</v>
      </c>
      <c r="L368" s="2" t="str">
        <f>raw_order_lines!L368</f>
        <v>true</v>
      </c>
      <c r="M368" s="2" t="str">
        <f>INDEX(dim_products!$B$2:$B$21,MATCH($E368,dim_products!$A$2:$A$21,0))</f>
        <v>冬瓜</v>
      </c>
      <c r="N368" s="2" t="str">
        <f>INDEX(dim_products!$C$2:$C$21,MATCH($E368,dim_products!$A$2:$A$21,0))</f>
        <v>散装鲜菜</v>
      </c>
      <c r="O368" s="2" t="str">
        <f>INDEX(dim_customers!$B$2:$B$7,MATCH($C368,dim_customers!$A$2:$A$7,0))</f>
        <v>模拟_溪桥医院食堂</v>
      </c>
      <c r="P368" s="6">
        <f>INT((ROUND(raw_order_lines!H368*10,0)*ROUND(raw_order_lines!J368*100,0)+5)/10)/100</f>
        <v>14.58</v>
      </c>
      <c r="Q368" s="6">
        <f>INT((ROUND(raw_order_lines!I368*10,0)*ROUND(raw_order_lines!J368*100,0)+5)/10)/100</f>
        <v>0</v>
      </c>
      <c r="R368" s="6">
        <f t="shared" si="15"/>
        <v>14.58</v>
      </c>
      <c r="S368" s="2" t="str">
        <f>IF(OR(ROUND(raw_order_lines!I368*10,0)&gt;ROUND(raw_order_lines!H368*10,0),ROUND(raw_order_lines!H368*10,0)&gt;ROUND(raw_order_lines!G368*10,0),ROUND(raw_order_lines!G368*10,0)&lt;=0),"数量关系异常","")</f>
        <v/>
      </c>
      <c r="T368" s="2" t="str">
        <f>IF($F368&lt;&gt;INDEX(dim_products!$D$2:$D$21,MATCH($E368,dim_products!$A$2:$A$21,0)),"单位不一致","")</f>
        <v/>
      </c>
      <c r="U368" s="2" t="str">
        <f>IF(OR(ROUND(raw_order_lines!J368*100,0)&lt;ROUND(INDEX(dim_products!$F$2:$F$21,MATCH($E368,dim_products!$A$2:$A$21,0))*100,0),ROUND(raw_order_lines!J368*100,0)&gt;ROUND(INDEX(dim_products!$G$2:$G$21,MATCH($E368,dim_products!$A$2:$A$21,0))*100,0)),"单价越界","")</f>
        <v/>
      </c>
      <c r="V368" s="2" t="str">
        <f t="shared" si="16"/>
        <v/>
      </c>
      <c r="W368" s="2" t="str">
        <f t="shared" si="17"/>
        <v>通过</v>
      </c>
    </row>
    <row r="369" spans="1:23" ht="15">
      <c r="A369" s="2" t="str">
        <f>raw_order_lines!A369</f>
        <v>SIM-20260911-C006</v>
      </c>
      <c r="B369" s="2">
        <f>raw_order_lines!B369</f>
        <v>3</v>
      </c>
      <c r="C369" s="2" t="str">
        <f>raw_order_lines!C369</f>
        <v>C006</v>
      </c>
      <c r="D369" s="3">
        <f>raw_order_lines!D369</f>
        <v>46276</v>
      </c>
      <c r="E369" s="2" t="str">
        <f>raw_order_lines!E369</f>
        <v>P013</v>
      </c>
      <c r="F369" s="2" t="str">
        <f>raw_order_lines!F369</f>
        <v>公斤</v>
      </c>
      <c r="G369" s="4">
        <f>raw_order_lines!G369</f>
        <v>8.5</v>
      </c>
      <c r="H369" s="4">
        <f>raw_order_lines!H369</f>
        <v>8.5</v>
      </c>
      <c r="I369" s="4">
        <f>raw_order_lines!I369</f>
        <v>0</v>
      </c>
      <c r="J369" s="5">
        <f>raw_order_lines!J369</f>
        <v>6</v>
      </c>
      <c r="K369" s="2" t="str">
        <f>raw_order_lines!K369</f>
        <v>正常交付</v>
      </c>
      <c r="L369" s="2" t="str">
        <f>raw_order_lines!L369</f>
        <v>true</v>
      </c>
      <c r="M369" s="2" t="str">
        <f>INDEX(dim_products!$B$2:$B$21,MATCH($E369,dim_products!$A$2:$A$21,0))</f>
        <v>豇豆</v>
      </c>
      <c r="N369" s="2" t="str">
        <f>INDEX(dim_products!$C$2:$C$21,MATCH($E369,dim_products!$A$2:$A$21,0))</f>
        <v>散装鲜菜</v>
      </c>
      <c r="O369" s="2" t="str">
        <f>INDEX(dim_customers!$B$2:$B$7,MATCH($C369,dim_customers!$A$2:$A$7,0))</f>
        <v>模拟_溪桥医院食堂</v>
      </c>
      <c r="P369" s="6">
        <f>INT((ROUND(raw_order_lines!H369*10,0)*ROUND(raw_order_lines!J369*100,0)+5)/10)/100</f>
        <v>51</v>
      </c>
      <c r="Q369" s="6">
        <f>INT((ROUND(raw_order_lines!I369*10,0)*ROUND(raw_order_lines!J369*100,0)+5)/10)/100</f>
        <v>0</v>
      </c>
      <c r="R369" s="6">
        <f t="shared" si="15"/>
        <v>51</v>
      </c>
      <c r="S369" s="2" t="str">
        <f>IF(OR(ROUND(raw_order_lines!I369*10,0)&gt;ROUND(raw_order_lines!H369*10,0),ROUND(raw_order_lines!H369*10,0)&gt;ROUND(raw_order_lines!G369*10,0),ROUND(raw_order_lines!G369*10,0)&lt;=0),"数量关系异常","")</f>
        <v/>
      </c>
      <c r="T369" s="2" t="str">
        <f>IF($F369&lt;&gt;INDEX(dim_products!$D$2:$D$21,MATCH($E369,dim_products!$A$2:$A$21,0)),"单位不一致","")</f>
        <v/>
      </c>
      <c r="U369" s="2" t="str">
        <f>IF(OR(ROUND(raw_order_lines!J369*100,0)&lt;ROUND(INDEX(dim_products!$F$2:$F$21,MATCH($E369,dim_products!$A$2:$A$21,0))*100,0),ROUND(raw_order_lines!J369*100,0)&gt;ROUND(INDEX(dim_products!$G$2:$G$21,MATCH($E369,dim_products!$A$2:$A$21,0))*100,0)),"单价越界","")</f>
        <v/>
      </c>
      <c r="V369" s="2" t="str">
        <f t="shared" si="16"/>
        <v/>
      </c>
      <c r="W369" s="2" t="str">
        <f t="shared" si="17"/>
        <v>通过</v>
      </c>
    </row>
    <row r="370" spans="1:23" ht="15">
      <c r="A370" s="2" t="str">
        <f>raw_order_lines!A370</f>
        <v>SIM-20260911-C006</v>
      </c>
      <c r="B370" s="2">
        <f>raw_order_lines!B370</f>
        <v>4</v>
      </c>
      <c r="C370" s="2" t="str">
        <f>raw_order_lines!C370</f>
        <v>C006</v>
      </c>
      <c r="D370" s="3">
        <f>raw_order_lines!D370</f>
        <v>46276</v>
      </c>
      <c r="E370" s="2" t="str">
        <f>raw_order_lines!E370</f>
        <v>P002</v>
      </c>
      <c r="F370" s="2" t="str">
        <f>raw_order_lines!F370</f>
        <v>公斤</v>
      </c>
      <c r="G370" s="4">
        <f>raw_order_lines!G370</f>
        <v>9.1999999999999993</v>
      </c>
      <c r="H370" s="4">
        <f>raw_order_lines!H370</f>
        <v>9.1999999999999993</v>
      </c>
      <c r="I370" s="4">
        <f>raw_order_lines!I370</f>
        <v>0</v>
      </c>
      <c r="J370" s="5">
        <f>raw_order_lines!J370</f>
        <v>2.7</v>
      </c>
      <c r="K370" s="2" t="str">
        <f>raw_order_lines!K370</f>
        <v>正常交付</v>
      </c>
      <c r="L370" s="2" t="str">
        <f>raw_order_lines!L370</f>
        <v>true</v>
      </c>
      <c r="M370" s="2" t="str">
        <f>INDEX(dim_products!$B$2:$B$21,MATCH($E370,dim_products!$A$2:$A$21,0))</f>
        <v>白萝卜</v>
      </c>
      <c r="N370" s="2" t="str">
        <f>INDEX(dim_products!$C$2:$C$21,MATCH($E370,dim_products!$A$2:$A$21,0))</f>
        <v>散装鲜菜</v>
      </c>
      <c r="O370" s="2" t="str">
        <f>INDEX(dim_customers!$B$2:$B$7,MATCH($C370,dim_customers!$A$2:$A$7,0))</f>
        <v>模拟_溪桥医院食堂</v>
      </c>
      <c r="P370" s="6">
        <f>INT((ROUND(raw_order_lines!H370*10,0)*ROUND(raw_order_lines!J370*100,0)+5)/10)/100</f>
        <v>24.84</v>
      </c>
      <c r="Q370" s="6">
        <f>INT((ROUND(raw_order_lines!I370*10,0)*ROUND(raw_order_lines!J370*100,0)+5)/10)/100</f>
        <v>0</v>
      </c>
      <c r="R370" s="6">
        <f t="shared" si="15"/>
        <v>24.84</v>
      </c>
      <c r="S370" s="2" t="str">
        <f>IF(OR(ROUND(raw_order_lines!I370*10,0)&gt;ROUND(raw_order_lines!H370*10,0),ROUND(raw_order_lines!H370*10,0)&gt;ROUND(raw_order_lines!G370*10,0),ROUND(raw_order_lines!G370*10,0)&lt;=0),"数量关系异常","")</f>
        <v/>
      </c>
      <c r="T370" s="2" t="str">
        <f>IF($F370&lt;&gt;INDEX(dim_products!$D$2:$D$21,MATCH($E370,dim_products!$A$2:$A$21,0)),"单位不一致","")</f>
        <v/>
      </c>
      <c r="U370" s="2" t="str">
        <f>IF(OR(ROUND(raw_order_lines!J370*100,0)&lt;ROUND(INDEX(dim_products!$F$2:$F$21,MATCH($E370,dim_products!$A$2:$A$21,0))*100,0),ROUND(raw_order_lines!J370*100,0)&gt;ROUND(INDEX(dim_products!$G$2:$G$21,MATCH($E370,dim_products!$A$2:$A$21,0))*100,0)),"单价越界","")</f>
        <v/>
      </c>
      <c r="V370" s="2" t="str">
        <f t="shared" si="16"/>
        <v/>
      </c>
      <c r="W370" s="2" t="str">
        <f t="shared" si="17"/>
        <v>通过</v>
      </c>
    </row>
    <row r="371" spans="1:23" ht="15">
      <c r="A371" s="2" t="str">
        <f>raw_order_lines!A371</f>
        <v>SIM-20260911-C006</v>
      </c>
      <c r="B371" s="2">
        <f>raw_order_lines!B371</f>
        <v>5</v>
      </c>
      <c r="C371" s="2" t="str">
        <f>raw_order_lines!C371</f>
        <v>C006</v>
      </c>
      <c r="D371" s="3">
        <f>raw_order_lines!D371</f>
        <v>46276</v>
      </c>
      <c r="E371" s="2" t="str">
        <f>raw_order_lines!E371</f>
        <v>P014</v>
      </c>
      <c r="F371" s="2" t="str">
        <f>raw_order_lines!F371</f>
        <v>公斤</v>
      </c>
      <c r="G371" s="4">
        <f>raw_order_lines!G371</f>
        <v>5.4</v>
      </c>
      <c r="H371" s="4">
        <f>raw_order_lines!H371</f>
        <v>5.4</v>
      </c>
      <c r="I371" s="4">
        <f>raw_order_lines!I371</f>
        <v>0</v>
      </c>
      <c r="J371" s="5">
        <f>raw_order_lines!J371</f>
        <v>5</v>
      </c>
      <c r="K371" s="2" t="str">
        <f>raw_order_lines!K371</f>
        <v>正常交付</v>
      </c>
      <c r="L371" s="2" t="str">
        <f>raw_order_lines!L371</f>
        <v>true</v>
      </c>
      <c r="M371" s="2" t="str">
        <f>INDEX(dim_products!$B$2:$B$21,MATCH($E371,dim_products!$A$2:$A$21,0))</f>
        <v>丝瓜</v>
      </c>
      <c r="N371" s="2" t="str">
        <f>INDEX(dim_products!$C$2:$C$21,MATCH($E371,dim_products!$A$2:$A$21,0))</f>
        <v>散装鲜菜</v>
      </c>
      <c r="O371" s="2" t="str">
        <f>INDEX(dim_customers!$B$2:$B$7,MATCH($C371,dim_customers!$A$2:$A$7,0))</f>
        <v>模拟_溪桥医院食堂</v>
      </c>
      <c r="P371" s="6">
        <f>INT((ROUND(raw_order_lines!H371*10,0)*ROUND(raw_order_lines!J371*100,0)+5)/10)/100</f>
        <v>27</v>
      </c>
      <c r="Q371" s="6">
        <f>INT((ROUND(raw_order_lines!I371*10,0)*ROUND(raw_order_lines!J371*100,0)+5)/10)/100</f>
        <v>0</v>
      </c>
      <c r="R371" s="6">
        <f t="shared" si="15"/>
        <v>27</v>
      </c>
      <c r="S371" s="2" t="str">
        <f>IF(OR(ROUND(raw_order_lines!I371*10,0)&gt;ROUND(raw_order_lines!H371*10,0),ROUND(raw_order_lines!H371*10,0)&gt;ROUND(raw_order_lines!G371*10,0),ROUND(raw_order_lines!G371*10,0)&lt;=0),"数量关系异常","")</f>
        <v/>
      </c>
      <c r="T371" s="2" t="str">
        <f>IF($F371&lt;&gt;INDEX(dim_products!$D$2:$D$21,MATCH($E371,dim_products!$A$2:$A$21,0)),"单位不一致","")</f>
        <v/>
      </c>
      <c r="U371" s="2" t="str">
        <f>IF(OR(ROUND(raw_order_lines!J371*100,0)&lt;ROUND(INDEX(dim_products!$F$2:$F$21,MATCH($E371,dim_products!$A$2:$A$21,0))*100,0),ROUND(raw_order_lines!J371*100,0)&gt;ROUND(INDEX(dim_products!$G$2:$G$21,MATCH($E371,dim_products!$A$2:$A$21,0))*100,0)),"单价越界","")</f>
        <v/>
      </c>
      <c r="V371" s="2" t="str">
        <f t="shared" si="16"/>
        <v/>
      </c>
      <c r="W371" s="2" t="str">
        <f t="shared" si="17"/>
        <v>通过</v>
      </c>
    </row>
    <row r="372" spans="1:23" ht="15">
      <c r="A372" s="2" t="str">
        <f>raw_order_lines!A372</f>
        <v>SIM-20260911-C006</v>
      </c>
      <c r="B372" s="2">
        <f>raw_order_lines!B372</f>
        <v>6</v>
      </c>
      <c r="C372" s="2" t="str">
        <f>raw_order_lines!C372</f>
        <v>C006</v>
      </c>
      <c r="D372" s="3">
        <f>raw_order_lines!D372</f>
        <v>46276</v>
      </c>
      <c r="E372" s="2" t="str">
        <f>raw_order_lines!E372</f>
        <v>P007</v>
      </c>
      <c r="F372" s="2" t="str">
        <f>raw_order_lines!F372</f>
        <v>公斤</v>
      </c>
      <c r="G372" s="4">
        <f>raw_order_lines!G372</f>
        <v>7.7</v>
      </c>
      <c r="H372" s="4">
        <f>raw_order_lines!H372</f>
        <v>7.7</v>
      </c>
      <c r="I372" s="4">
        <f>raw_order_lines!I372</f>
        <v>0</v>
      </c>
      <c r="J372" s="5">
        <f>raw_order_lines!J372</f>
        <v>5.45</v>
      </c>
      <c r="K372" s="2" t="str">
        <f>raw_order_lines!K372</f>
        <v>正常交付</v>
      </c>
      <c r="L372" s="2" t="str">
        <f>raw_order_lines!L372</f>
        <v>true</v>
      </c>
      <c r="M372" s="2" t="str">
        <f>INDEX(dim_products!$B$2:$B$21,MATCH($E372,dim_products!$A$2:$A$21,0))</f>
        <v>青椒</v>
      </c>
      <c r="N372" s="2" t="str">
        <f>INDEX(dim_products!$C$2:$C$21,MATCH($E372,dim_products!$A$2:$A$21,0))</f>
        <v>散装鲜菜</v>
      </c>
      <c r="O372" s="2" t="str">
        <f>INDEX(dim_customers!$B$2:$B$7,MATCH($C372,dim_customers!$A$2:$A$7,0))</f>
        <v>模拟_溪桥医院食堂</v>
      </c>
      <c r="P372" s="6">
        <f>INT((ROUND(raw_order_lines!H372*10,0)*ROUND(raw_order_lines!J372*100,0)+5)/10)/100</f>
        <v>41.97</v>
      </c>
      <c r="Q372" s="6">
        <f>INT((ROUND(raw_order_lines!I372*10,0)*ROUND(raw_order_lines!J372*100,0)+5)/10)/100</f>
        <v>0</v>
      </c>
      <c r="R372" s="6">
        <f t="shared" si="15"/>
        <v>41.97</v>
      </c>
      <c r="S372" s="2" t="str">
        <f>IF(OR(ROUND(raw_order_lines!I372*10,0)&gt;ROUND(raw_order_lines!H372*10,0),ROUND(raw_order_lines!H372*10,0)&gt;ROUND(raw_order_lines!G372*10,0),ROUND(raw_order_lines!G372*10,0)&lt;=0),"数量关系异常","")</f>
        <v/>
      </c>
      <c r="T372" s="2" t="str">
        <f>IF($F372&lt;&gt;INDEX(dim_products!$D$2:$D$21,MATCH($E372,dim_products!$A$2:$A$21,0)),"单位不一致","")</f>
        <v/>
      </c>
      <c r="U372" s="2" t="str">
        <f>IF(OR(ROUND(raw_order_lines!J372*100,0)&lt;ROUND(INDEX(dim_products!$F$2:$F$21,MATCH($E372,dim_products!$A$2:$A$21,0))*100,0),ROUND(raw_order_lines!J372*100,0)&gt;ROUND(INDEX(dim_products!$G$2:$G$21,MATCH($E372,dim_products!$A$2:$A$21,0))*100,0)),"单价越界","")</f>
        <v/>
      </c>
      <c r="V372" s="2" t="str">
        <f t="shared" si="16"/>
        <v/>
      </c>
      <c r="W372" s="2" t="str">
        <f t="shared" si="17"/>
        <v>通过</v>
      </c>
    </row>
    <row r="373" spans="1:23" ht="15">
      <c r="A373" s="2" t="str">
        <f>raw_order_lines!A373</f>
        <v>SIM-20260911-C006</v>
      </c>
      <c r="B373" s="2">
        <f>raw_order_lines!B373</f>
        <v>7</v>
      </c>
      <c r="C373" s="2" t="str">
        <f>raw_order_lines!C373</f>
        <v>C006</v>
      </c>
      <c r="D373" s="3">
        <f>raw_order_lines!D373</f>
        <v>46276</v>
      </c>
      <c r="E373" s="2" t="str">
        <f>raw_order_lines!E373</f>
        <v>P016</v>
      </c>
      <c r="F373" s="2" t="str">
        <f>raw_order_lines!F373</f>
        <v>公斤</v>
      </c>
      <c r="G373" s="4">
        <f>raw_order_lines!G373</f>
        <v>9</v>
      </c>
      <c r="H373" s="4">
        <f>raw_order_lines!H373</f>
        <v>9</v>
      </c>
      <c r="I373" s="4">
        <f>raw_order_lines!I373</f>
        <v>0</v>
      </c>
      <c r="J373" s="5">
        <f>raw_order_lines!J373</f>
        <v>10.4</v>
      </c>
      <c r="K373" s="2" t="str">
        <f>raw_order_lines!K373</f>
        <v>正常交付</v>
      </c>
      <c r="L373" s="2" t="str">
        <f>raw_order_lines!L373</f>
        <v>true</v>
      </c>
      <c r="M373" s="2" t="str">
        <f>INDEX(dim_products!$B$2:$B$21,MATCH($E373,dim_products!$A$2:$A$21,0))</f>
        <v>鸡蛋</v>
      </c>
      <c r="N373" s="2" t="str">
        <f>INDEX(dim_products!$C$2:$C$21,MATCH($E373,dim_products!$A$2:$A$21,0))</f>
        <v>普通鲜鸡蛋按净重</v>
      </c>
      <c r="O373" s="2" t="str">
        <f>INDEX(dim_customers!$B$2:$B$7,MATCH($C373,dim_customers!$A$2:$A$7,0))</f>
        <v>模拟_溪桥医院食堂</v>
      </c>
      <c r="P373" s="6">
        <f>INT((ROUND(raw_order_lines!H373*10,0)*ROUND(raw_order_lines!J373*100,0)+5)/10)/100</f>
        <v>93.6</v>
      </c>
      <c r="Q373" s="6">
        <f>INT((ROUND(raw_order_lines!I373*10,0)*ROUND(raw_order_lines!J373*100,0)+5)/10)/100</f>
        <v>0</v>
      </c>
      <c r="R373" s="6">
        <f t="shared" si="15"/>
        <v>93.6</v>
      </c>
      <c r="S373" s="2" t="str">
        <f>IF(OR(ROUND(raw_order_lines!I373*10,0)&gt;ROUND(raw_order_lines!H373*10,0),ROUND(raw_order_lines!H373*10,0)&gt;ROUND(raw_order_lines!G373*10,0),ROUND(raw_order_lines!G373*10,0)&lt;=0),"数量关系异常","")</f>
        <v/>
      </c>
      <c r="T373" s="2" t="str">
        <f>IF($F373&lt;&gt;INDEX(dim_products!$D$2:$D$21,MATCH($E373,dim_products!$A$2:$A$21,0)),"单位不一致","")</f>
        <v/>
      </c>
      <c r="U373" s="2" t="str">
        <f>IF(OR(ROUND(raw_order_lines!J373*100,0)&lt;ROUND(INDEX(dim_products!$F$2:$F$21,MATCH($E373,dim_products!$A$2:$A$21,0))*100,0),ROUND(raw_order_lines!J373*100,0)&gt;ROUND(INDEX(dim_products!$G$2:$G$21,MATCH($E373,dim_products!$A$2:$A$21,0))*100,0)),"单价越界","")</f>
        <v/>
      </c>
      <c r="V373" s="2" t="str">
        <f t="shared" si="16"/>
        <v/>
      </c>
      <c r="W373" s="2" t="str">
        <f t="shared" si="17"/>
        <v>通过</v>
      </c>
    </row>
    <row r="374" spans="1:23" ht="15">
      <c r="A374" s="2" t="str">
        <f>raw_order_lines!A374</f>
        <v>SIM-20260911-C006</v>
      </c>
      <c r="B374" s="2">
        <f>raw_order_lines!B374</f>
        <v>8</v>
      </c>
      <c r="C374" s="2" t="str">
        <f>raw_order_lines!C374</f>
        <v>C006</v>
      </c>
      <c r="D374" s="3">
        <f>raw_order_lines!D374</f>
        <v>46276</v>
      </c>
      <c r="E374" s="2" t="str">
        <f>raw_order_lines!E374</f>
        <v>P017</v>
      </c>
      <c r="F374" s="2" t="str">
        <f>raw_order_lines!F374</f>
        <v>袋</v>
      </c>
      <c r="G374" s="4">
        <f>raw_order_lines!G374</f>
        <v>4</v>
      </c>
      <c r="H374" s="4">
        <f>raw_order_lines!H374</f>
        <v>4</v>
      </c>
      <c r="I374" s="4">
        <f>raw_order_lines!I374</f>
        <v>0</v>
      </c>
      <c r="J374" s="5">
        <f>raw_order_lines!J374</f>
        <v>116</v>
      </c>
      <c r="K374" s="2" t="str">
        <f>raw_order_lines!K374</f>
        <v>正常交付</v>
      </c>
      <c r="L374" s="2" t="str">
        <f>raw_order_lines!L374</f>
        <v>true</v>
      </c>
      <c r="M374" s="2" t="str">
        <f>INDEX(dim_products!$B$2:$B$21,MATCH($E374,dim_products!$A$2:$A$21,0))</f>
        <v>籼米</v>
      </c>
      <c r="N374" s="2" t="str">
        <f>INDEX(dim_products!$C$2:$C$21,MATCH($E374,dim_products!$A$2:$A$21,0))</f>
        <v>25公斤/袋普通籼米</v>
      </c>
      <c r="O374" s="2" t="str">
        <f>INDEX(dim_customers!$B$2:$B$7,MATCH($C374,dim_customers!$A$2:$A$7,0))</f>
        <v>模拟_溪桥医院食堂</v>
      </c>
      <c r="P374" s="6">
        <f>INT((ROUND(raw_order_lines!H374*10,0)*ROUND(raw_order_lines!J374*100,0)+5)/10)/100</f>
        <v>464</v>
      </c>
      <c r="Q374" s="6">
        <f>INT((ROUND(raw_order_lines!I374*10,0)*ROUND(raw_order_lines!J374*100,0)+5)/10)/100</f>
        <v>0</v>
      </c>
      <c r="R374" s="6">
        <f t="shared" si="15"/>
        <v>464</v>
      </c>
      <c r="S374" s="2" t="str">
        <f>IF(OR(ROUND(raw_order_lines!I374*10,0)&gt;ROUND(raw_order_lines!H374*10,0),ROUND(raw_order_lines!H374*10,0)&gt;ROUND(raw_order_lines!G374*10,0),ROUND(raw_order_lines!G374*10,0)&lt;=0),"数量关系异常","")</f>
        <v/>
      </c>
      <c r="T374" s="2" t="str">
        <f>IF($F374&lt;&gt;INDEX(dim_products!$D$2:$D$21,MATCH($E374,dim_products!$A$2:$A$21,0)),"单位不一致","")</f>
        <v/>
      </c>
      <c r="U374" s="2" t="str">
        <f>IF(OR(ROUND(raw_order_lines!J374*100,0)&lt;ROUND(INDEX(dim_products!$F$2:$F$21,MATCH($E374,dim_products!$A$2:$A$21,0))*100,0),ROUND(raw_order_lines!J374*100,0)&gt;ROUND(INDEX(dim_products!$G$2:$G$21,MATCH($E374,dim_products!$A$2:$A$21,0))*100,0)),"单价越界","")</f>
        <v/>
      </c>
      <c r="V374" s="2" t="str">
        <f t="shared" si="16"/>
        <v/>
      </c>
      <c r="W374" s="2" t="str">
        <f t="shared" si="17"/>
        <v>通过</v>
      </c>
    </row>
    <row r="375" spans="1:23" ht="15">
      <c r="A375" s="2" t="str">
        <f>raw_order_lines!A375</f>
        <v>SIM-20260911-C006</v>
      </c>
      <c r="B375" s="2">
        <f>raw_order_lines!B375</f>
        <v>9</v>
      </c>
      <c r="C375" s="2" t="str">
        <f>raw_order_lines!C375</f>
        <v>C006</v>
      </c>
      <c r="D375" s="3">
        <f>raw_order_lines!D375</f>
        <v>46276</v>
      </c>
      <c r="E375" s="2" t="str">
        <f>raw_order_lines!E375</f>
        <v>P020</v>
      </c>
      <c r="F375" s="2" t="str">
        <f>raw_order_lines!F375</f>
        <v>桶</v>
      </c>
      <c r="G375" s="4">
        <f>raw_order_lines!G375</f>
        <v>2</v>
      </c>
      <c r="H375" s="4">
        <f>raw_order_lines!H375</f>
        <v>2</v>
      </c>
      <c r="I375" s="4">
        <f>raw_order_lines!I375</f>
        <v>0</v>
      </c>
      <c r="J375" s="5">
        <f>raw_order_lines!J375</f>
        <v>59</v>
      </c>
      <c r="K375" s="2" t="str">
        <f>raw_order_lines!K375</f>
        <v>正常交付</v>
      </c>
      <c r="L375" s="2" t="str">
        <f>raw_order_lines!L375</f>
        <v>true</v>
      </c>
      <c r="M375" s="2" t="str">
        <f>INDEX(dim_products!$B$2:$B$21,MATCH($E375,dim_products!$A$2:$A$21,0))</f>
        <v>大豆油</v>
      </c>
      <c r="N375" s="2" t="str">
        <f>INDEX(dim_products!$C$2:$C$21,MATCH($E375,dim_products!$A$2:$A$21,0))</f>
        <v>5升/桶普通大豆油</v>
      </c>
      <c r="O375" s="2" t="str">
        <f>INDEX(dim_customers!$B$2:$B$7,MATCH($C375,dim_customers!$A$2:$A$7,0))</f>
        <v>模拟_溪桥医院食堂</v>
      </c>
      <c r="P375" s="6">
        <f>INT((ROUND(raw_order_lines!H375*10,0)*ROUND(raw_order_lines!J375*100,0)+5)/10)/100</f>
        <v>118</v>
      </c>
      <c r="Q375" s="6">
        <f>INT((ROUND(raw_order_lines!I375*10,0)*ROUND(raw_order_lines!J375*100,0)+5)/10)/100</f>
        <v>0</v>
      </c>
      <c r="R375" s="6">
        <f t="shared" si="15"/>
        <v>118</v>
      </c>
      <c r="S375" s="2" t="str">
        <f>IF(OR(ROUND(raw_order_lines!I375*10,0)&gt;ROUND(raw_order_lines!H375*10,0),ROUND(raw_order_lines!H375*10,0)&gt;ROUND(raw_order_lines!G375*10,0),ROUND(raw_order_lines!G375*10,0)&lt;=0),"数量关系异常","")</f>
        <v/>
      </c>
      <c r="T375" s="2" t="str">
        <f>IF($F375&lt;&gt;INDEX(dim_products!$D$2:$D$21,MATCH($E375,dim_products!$A$2:$A$21,0)),"单位不一致","")</f>
        <v/>
      </c>
      <c r="U375" s="2" t="str">
        <f>IF(OR(ROUND(raw_order_lines!J375*100,0)&lt;ROUND(INDEX(dim_products!$F$2:$F$21,MATCH($E375,dim_products!$A$2:$A$21,0))*100,0),ROUND(raw_order_lines!J375*100,0)&gt;ROUND(INDEX(dim_products!$G$2:$G$21,MATCH($E375,dim_products!$A$2:$A$21,0))*100,0)),"单价越界","")</f>
        <v/>
      </c>
      <c r="V375" s="2" t="str">
        <f t="shared" si="16"/>
        <v/>
      </c>
      <c r="W375" s="2" t="str">
        <f t="shared" si="17"/>
        <v>通过</v>
      </c>
    </row>
    <row r="376" spans="1:23" ht="15">
      <c r="A376" s="2" t="str">
        <f>raw_order_lines!A376</f>
        <v>SIM-20260912-C001</v>
      </c>
      <c r="B376" s="2">
        <f>raw_order_lines!B376</f>
        <v>1</v>
      </c>
      <c r="C376" s="2" t="str">
        <f>raw_order_lines!C376</f>
        <v>C001</v>
      </c>
      <c r="D376" s="3">
        <f>raw_order_lines!D376</f>
        <v>46277</v>
      </c>
      <c r="E376" s="2" t="str">
        <f>raw_order_lines!E376</f>
        <v>P011</v>
      </c>
      <c r="F376" s="2" t="str">
        <f>raw_order_lines!F376</f>
        <v>公斤</v>
      </c>
      <c r="G376" s="4">
        <f>raw_order_lines!G376</f>
        <v>3.2</v>
      </c>
      <c r="H376" s="4">
        <f>raw_order_lines!H376</f>
        <v>3.2</v>
      </c>
      <c r="I376" s="4">
        <f>raw_order_lines!I376</f>
        <v>0</v>
      </c>
      <c r="J376" s="5">
        <f>raw_order_lines!J376</f>
        <v>4.3</v>
      </c>
      <c r="K376" s="2" t="str">
        <f>raw_order_lines!K376</f>
        <v>正常交付</v>
      </c>
      <c r="L376" s="2" t="str">
        <f>raw_order_lines!L376</f>
        <v>true</v>
      </c>
      <c r="M376" s="2" t="str">
        <f>INDEX(dim_products!$B$2:$B$21,MATCH($E376,dim_products!$A$2:$A$21,0))</f>
        <v>红薯叶</v>
      </c>
      <c r="N376" s="2" t="str">
        <f>INDEX(dim_products!$C$2:$C$21,MATCH($E376,dim_products!$A$2:$A$21,0))</f>
        <v>散装鲜菜</v>
      </c>
      <c r="O376" s="2" t="str">
        <f>INDEX(dim_customers!$B$2:$B$7,MATCH($C376,dim_customers!$A$2:$A$7,0))</f>
        <v>模拟_榕树下粉面店</v>
      </c>
      <c r="P376" s="6">
        <f>INT((ROUND(raw_order_lines!H376*10,0)*ROUND(raw_order_lines!J376*100,0)+5)/10)/100</f>
        <v>13.76</v>
      </c>
      <c r="Q376" s="6">
        <f>INT((ROUND(raw_order_lines!I376*10,0)*ROUND(raw_order_lines!J376*100,0)+5)/10)/100</f>
        <v>0</v>
      </c>
      <c r="R376" s="6">
        <f t="shared" si="15"/>
        <v>13.76</v>
      </c>
      <c r="S376" s="2" t="str">
        <f>IF(OR(ROUND(raw_order_lines!I376*10,0)&gt;ROUND(raw_order_lines!H376*10,0),ROUND(raw_order_lines!H376*10,0)&gt;ROUND(raw_order_lines!G376*10,0),ROUND(raw_order_lines!G376*10,0)&lt;=0),"数量关系异常","")</f>
        <v/>
      </c>
      <c r="T376" s="2" t="str">
        <f>IF($F376&lt;&gt;INDEX(dim_products!$D$2:$D$21,MATCH($E376,dim_products!$A$2:$A$21,0)),"单位不一致","")</f>
        <v/>
      </c>
      <c r="U376" s="2" t="str">
        <f>IF(OR(ROUND(raw_order_lines!J376*100,0)&lt;ROUND(INDEX(dim_products!$F$2:$F$21,MATCH($E376,dim_products!$A$2:$A$21,0))*100,0),ROUND(raw_order_lines!J376*100,0)&gt;ROUND(INDEX(dim_products!$G$2:$G$21,MATCH($E376,dim_products!$A$2:$A$21,0))*100,0)),"单价越界","")</f>
        <v/>
      </c>
      <c r="V376" s="2" t="str">
        <f t="shared" si="16"/>
        <v/>
      </c>
      <c r="W376" s="2" t="str">
        <f t="shared" si="17"/>
        <v>通过</v>
      </c>
    </row>
    <row r="377" spans="1:23" ht="15">
      <c r="A377" s="2" t="str">
        <f>raw_order_lines!A377</f>
        <v>SIM-20260912-C001</v>
      </c>
      <c r="B377" s="2">
        <f>raw_order_lines!B377</f>
        <v>2</v>
      </c>
      <c r="C377" s="2" t="str">
        <f>raw_order_lines!C377</f>
        <v>C001</v>
      </c>
      <c r="D377" s="3">
        <f>raw_order_lines!D377</f>
        <v>46277</v>
      </c>
      <c r="E377" s="2" t="str">
        <f>raw_order_lines!E377</f>
        <v>P013</v>
      </c>
      <c r="F377" s="2" t="str">
        <f>raw_order_lines!F377</f>
        <v>公斤</v>
      </c>
      <c r="G377" s="4">
        <f>raw_order_lines!G377</f>
        <v>3.6</v>
      </c>
      <c r="H377" s="4">
        <f>raw_order_lines!H377</f>
        <v>3.6</v>
      </c>
      <c r="I377" s="4">
        <f>raw_order_lines!I377</f>
        <v>0</v>
      </c>
      <c r="J377" s="5">
        <f>raw_order_lines!J377</f>
        <v>6</v>
      </c>
      <c r="K377" s="2" t="str">
        <f>raw_order_lines!K377</f>
        <v>正常交付</v>
      </c>
      <c r="L377" s="2" t="str">
        <f>raw_order_lines!L377</f>
        <v>true</v>
      </c>
      <c r="M377" s="2" t="str">
        <f>INDEX(dim_products!$B$2:$B$21,MATCH($E377,dim_products!$A$2:$A$21,0))</f>
        <v>豇豆</v>
      </c>
      <c r="N377" s="2" t="str">
        <f>INDEX(dim_products!$C$2:$C$21,MATCH($E377,dim_products!$A$2:$A$21,0))</f>
        <v>散装鲜菜</v>
      </c>
      <c r="O377" s="2" t="str">
        <f>INDEX(dim_customers!$B$2:$B$7,MATCH($C377,dim_customers!$A$2:$A$7,0))</f>
        <v>模拟_榕树下粉面店</v>
      </c>
      <c r="P377" s="6">
        <f>INT((ROUND(raw_order_lines!H377*10,0)*ROUND(raw_order_lines!J377*100,0)+5)/10)/100</f>
        <v>21.6</v>
      </c>
      <c r="Q377" s="6">
        <f>INT((ROUND(raw_order_lines!I377*10,0)*ROUND(raw_order_lines!J377*100,0)+5)/10)/100</f>
        <v>0</v>
      </c>
      <c r="R377" s="6">
        <f t="shared" si="15"/>
        <v>21.6</v>
      </c>
      <c r="S377" s="2" t="str">
        <f>IF(OR(ROUND(raw_order_lines!I377*10,0)&gt;ROUND(raw_order_lines!H377*10,0),ROUND(raw_order_lines!H377*10,0)&gt;ROUND(raw_order_lines!G377*10,0),ROUND(raw_order_lines!G377*10,0)&lt;=0),"数量关系异常","")</f>
        <v/>
      </c>
      <c r="T377" s="2" t="str">
        <f>IF($F377&lt;&gt;INDEX(dim_products!$D$2:$D$21,MATCH($E377,dim_products!$A$2:$A$21,0)),"单位不一致","")</f>
        <v/>
      </c>
      <c r="U377" s="2" t="str">
        <f>IF(OR(ROUND(raw_order_lines!J377*100,0)&lt;ROUND(INDEX(dim_products!$F$2:$F$21,MATCH($E377,dim_products!$A$2:$A$21,0))*100,0),ROUND(raw_order_lines!J377*100,0)&gt;ROUND(INDEX(dim_products!$G$2:$G$21,MATCH($E377,dim_products!$A$2:$A$21,0))*100,0)),"单价越界","")</f>
        <v/>
      </c>
      <c r="V377" s="2" t="str">
        <f t="shared" si="16"/>
        <v/>
      </c>
      <c r="W377" s="2" t="str">
        <f t="shared" si="17"/>
        <v>通过</v>
      </c>
    </row>
    <row r="378" spans="1:23" ht="15">
      <c r="A378" s="2" t="str">
        <f>raw_order_lines!A378</f>
        <v>SIM-20260912-C001</v>
      </c>
      <c r="B378" s="2">
        <f>raw_order_lines!B378</f>
        <v>3</v>
      </c>
      <c r="C378" s="2" t="str">
        <f>raw_order_lines!C378</f>
        <v>C001</v>
      </c>
      <c r="D378" s="3">
        <f>raw_order_lines!D378</f>
        <v>46277</v>
      </c>
      <c r="E378" s="2" t="str">
        <f>raw_order_lines!E378</f>
        <v>P014</v>
      </c>
      <c r="F378" s="2" t="str">
        <f>raw_order_lines!F378</f>
        <v>公斤</v>
      </c>
      <c r="G378" s="4">
        <f>raw_order_lines!G378</f>
        <v>3</v>
      </c>
      <c r="H378" s="4">
        <f>raw_order_lines!H378</f>
        <v>3</v>
      </c>
      <c r="I378" s="4">
        <f>raw_order_lines!I378</f>
        <v>0</v>
      </c>
      <c r="J378" s="5">
        <f>raw_order_lines!J378</f>
        <v>5</v>
      </c>
      <c r="K378" s="2" t="str">
        <f>raw_order_lines!K378</f>
        <v>正常交付</v>
      </c>
      <c r="L378" s="2" t="str">
        <f>raw_order_lines!L378</f>
        <v>true</v>
      </c>
      <c r="M378" s="2" t="str">
        <f>INDEX(dim_products!$B$2:$B$21,MATCH($E378,dim_products!$A$2:$A$21,0))</f>
        <v>丝瓜</v>
      </c>
      <c r="N378" s="2" t="str">
        <f>INDEX(dim_products!$C$2:$C$21,MATCH($E378,dim_products!$A$2:$A$21,0))</f>
        <v>散装鲜菜</v>
      </c>
      <c r="O378" s="2" t="str">
        <f>INDEX(dim_customers!$B$2:$B$7,MATCH($C378,dim_customers!$A$2:$A$7,0))</f>
        <v>模拟_榕树下粉面店</v>
      </c>
      <c r="P378" s="6">
        <f>INT((ROUND(raw_order_lines!H378*10,0)*ROUND(raw_order_lines!J378*100,0)+5)/10)/100</f>
        <v>15</v>
      </c>
      <c r="Q378" s="6">
        <f>INT((ROUND(raw_order_lines!I378*10,0)*ROUND(raw_order_lines!J378*100,0)+5)/10)/100</f>
        <v>0</v>
      </c>
      <c r="R378" s="6">
        <f t="shared" si="15"/>
        <v>15</v>
      </c>
      <c r="S378" s="2" t="str">
        <f>IF(OR(ROUND(raw_order_lines!I378*10,0)&gt;ROUND(raw_order_lines!H378*10,0),ROUND(raw_order_lines!H378*10,0)&gt;ROUND(raw_order_lines!G378*10,0),ROUND(raw_order_lines!G378*10,0)&lt;=0),"数量关系异常","")</f>
        <v/>
      </c>
      <c r="T378" s="2" t="str">
        <f>IF($F378&lt;&gt;INDEX(dim_products!$D$2:$D$21,MATCH($E378,dim_products!$A$2:$A$21,0)),"单位不一致","")</f>
        <v/>
      </c>
      <c r="U378" s="2" t="str">
        <f>IF(OR(ROUND(raw_order_lines!J378*100,0)&lt;ROUND(INDEX(dim_products!$F$2:$F$21,MATCH($E378,dim_products!$A$2:$A$21,0))*100,0),ROUND(raw_order_lines!J378*100,0)&gt;ROUND(INDEX(dim_products!$G$2:$G$21,MATCH($E378,dim_products!$A$2:$A$21,0))*100,0)),"单价越界","")</f>
        <v/>
      </c>
      <c r="V378" s="2" t="str">
        <f t="shared" si="16"/>
        <v/>
      </c>
      <c r="W378" s="2" t="str">
        <f t="shared" si="17"/>
        <v>通过</v>
      </c>
    </row>
    <row r="379" spans="1:23" ht="15">
      <c r="A379" s="2" t="str">
        <f>raw_order_lines!A379</f>
        <v>SIM-20260912-C001</v>
      </c>
      <c r="B379" s="2">
        <f>raw_order_lines!B379</f>
        <v>4</v>
      </c>
      <c r="C379" s="2" t="str">
        <f>raw_order_lines!C379</f>
        <v>C001</v>
      </c>
      <c r="D379" s="3">
        <f>raw_order_lines!D379</f>
        <v>46277</v>
      </c>
      <c r="E379" s="2" t="str">
        <f>raw_order_lines!E379</f>
        <v>P008</v>
      </c>
      <c r="F379" s="2" t="str">
        <f>raw_order_lines!F379</f>
        <v>公斤</v>
      </c>
      <c r="G379" s="4">
        <f>raw_order_lines!G379</f>
        <v>3.2</v>
      </c>
      <c r="H379" s="4">
        <f>raw_order_lines!H379</f>
        <v>3.2</v>
      </c>
      <c r="I379" s="4">
        <f>raw_order_lines!I379</f>
        <v>0</v>
      </c>
      <c r="J379" s="5">
        <f>raw_order_lines!J379</f>
        <v>4.4000000000000004</v>
      </c>
      <c r="K379" s="2" t="str">
        <f>raw_order_lines!K379</f>
        <v>正常交付</v>
      </c>
      <c r="L379" s="2" t="str">
        <f>raw_order_lines!L379</f>
        <v>true</v>
      </c>
      <c r="M379" s="2" t="str">
        <f>INDEX(dim_products!$B$2:$B$21,MATCH($E379,dim_products!$A$2:$A$21,0))</f>
        <v>黄瓜</v>
      </c>
      <c r="N379" s="2" t="str">
        <f>INDEX(dim_products!$C$2:$C$21,MATCH($E379,dim_products!$A$2:$A$21,0))</f>
        <v>散装鲜菜</v>
      </c>
      <c r="O379" s="2" t="str">
        <f>INDEX(dim_customers!$B$2:$B$7,MATCH($C379,dim_customers!$A$2:$A$7,0))</f>
        <v>模拟_榕树下粉面店</v>
      </c>
      <c r="P379" s="6">
        <f>INT((ROUND(raw_order_lines!H379*10,0)*ROUND(raw_order_lines!J379*100,0)+5)/10)/100</f>
        <v>14.08</v>
      </c>
      <c r="Q379" s="6">
        <f>INT((ROUND(raw_order_lines!I379*10,0)*ROUND(raw_order_lines!J379*100,0)+5)/10)/100</f>
        <v>0</v>
      </c>
      <c r="R379" s="6">
        <f t="shared" si="15"/>
        <v>14.08</v>
      </c>
      <c r="S379" s="2" t="str">
        <f>IF(OR(ROUND(raw_order_lines!I379*10,0)&gt;ROUND(raw_order_lines!H379*10,0),ROUND(raw_order_lines!H379*10,0)&gt;ROUND(raw_order_lines!G379*10,0),ROUND(raw_order_lines!G379*10,0)&lt;=0),"数量关系异常","")</f>
        <v/>
      </c>
      <c r="T379" s="2" t="str">
        <f>IF($F379&lt;&gt;INDEX(dim_products!$D$2:$D$21,MATCH($E379,dim_products!$A$2:$A$21,0)),"单位不一致","")</f>
        <v/>
      </c>
      <c r="U379" s="2" t="str">
        <f>IF(OR(ROUND(raw_order_lines!J379*100,0)&lt;ROUND(INDEX(dim_products!$F$2:$F$21,MATCH($E379,dim_products!$A$2:$A$21,0))*100,0),ROUND(raw_order_lines!J379*100,0)&gt;ROUND(INDEX(dim_products!$G$2:$G$21,MATCH($E379,dim_products!$A$2:$A$21,0))*100,0)),"单价越界","")</f>
        <v/>
      </c>
      <c r="V379" s="2" t="str">
        <f t="shared" si="16"/>
        <v/>
      </c>
      <c r="W379" s="2" t="str">
        <f t="shared" si="17"/>
        <v>通过</v>
      </c>
    </row>
    <row r="380" spans="1:23" ht="15">
      <c r="A380" s="2" t="str">
        <f>raw_order_lines!A380</f>
        <v>SIM-20260912-C001</v>
      </c>
      <c r="B380" s="2">
        <f>raw_order_lines!B380</f>
        <v>5</v>
      </c>
      <c r="C380" s="2" t="str">
        <f>raw_order_lines!C380</f>
        <v>C001</v>
      </c>
      <c r="D380" s="3">
        <f>raw_order_lines!D380</f>
        <v>46277</v>
      </c>
      <c r="E380" s="2" t="str">
        <f>raw_order_lines!E380</f>
        <v>P016</v>
      </c>
      <c r="F380" s="2" t="str">
        <f>raw_order_lines!F380</f>
        <v>公斤</v>
      </c>
      <c r="G380" s="4">
        <f>raw_order_lines!G380</f>
        <v>3</v>
      </c>
      <c r="H380" s="4">
        <f>raw_order_lines!H380</f>
        <v>3</v>
      </c>
      <c r="I380" s="4">
        <f>raw_order_lines!I380</f>
        <v>0</v>
      </c>
      <c r="J380" s="5">
        <f>raw_order_lines!J380</f>
        <v>10.4</v>
      </c>
      <c r="K380" s="2" t="str">
        <f>raw_order_lines!K380</f>
        <v>正常交付</v>
      </c>
      <c r="L380" s="2" t="str">
        <f>raw_order_lines!L380</f>
        <v>true</v>
      </c>
      <c r="M380" s="2" t="str">
        <f>INDEX(dim_products!$B$2:$B$21,MATCH($E380,dim_products!$A$2:$A$21,0))</f>
        <v>鸡蛋</v>
      </c>
      <c r="N380" s="2" t="str">
        <f>INDEX(dim_products!$C$2:$C$21,MATCH($E380,dim_products!$A$2:$A$21,0))</f>
        <v>普通鲜鸡蛋按净重</v>
      </c>
      <c r="O380" s="2" t="str">
        <f>INDEX(dim_customers!$B$2:$B$7,MATCH($C380,dim_customers!$A$2:$A$7,0))</f>
        <v>模拟_榕树下粉面店</v>
      </c>
      <c r="P380" s="6">
        <f>INT((ROUND(raw_order_lines!H380*10,0)*ROUND(raw_order_lines!J380*100,0)+5)/10)/100</f>
        <v>31.2</v>
      </c>
      <c r="Q380" s="6">
        <f>INT((ROUND(raw_order_lines!I380*10,0)*ROUND(raw_order_lines!J380*100,0)+5)/10)/100</f>
        <v>0</v>
      </c>
      <c r="R380" s="6">
        <f t="shared" si="15"/>
        <v>31.2</v>
      </c>
      <c r="S380" s="2" t="str">
        <f>IF(OR(ROUND(raw_order_lines!I380*10,0)&gt;ROUND(raw_order_lines!H380*10,0),ROUND(raw_order_lines!H380*10,0)&gt;ROUND(raw_order_lines!G380*10,0),ROUND(raw_order_lines!G380*10,0)&lt;=0),"数量关系异常","")</f>
        <v/>
      </c>
      <c r="T380" s="2" t="str">
        <f>IF($F380&lt;&gt;INDEX(dim_products!$D$2:$D$21,MATCH($E380,dim_products!$A$2:$A$21,0)),"单位不一致","")</f>
        <v/>
      </c>
      <c r="U380" s="2" t="str">
        <f>IF(OR(ROUND(raw_order_lines!J380*100,0)&lt;ROUND(INDEX(dim_products!$F$2:$F$21,MATCH($E380,dim_products!$A$2:$A$21,0))*100,0),ROUND(raw_order_lines!J380*100,0)&gt;ROUND(INDEX(dim_products!$G$2:$G$21,MATCH($E380,dim_products!$A$2:$A$21,0))*100,0)),"单价越界","")</f>
        <v/>
      </c>
      <c r="V380" s="2" t="str">
        <f t="shared" si="16"/>
        <v/>
      </c>
      <c r="W380" s="2" t="str">
        <f t="shared" si="17"/>
        <v>通过</v>
      </c>
    </row>
    <row r="381" spans="1:23" ht="15">
      <c r="A381" s="2" t="str">
        <f>raw_order_lines!A381</f>
        <v>SIM-20260912-C001</v>
      </c>
      <c r="B381" s="2">
        <f>raw_order_lines!B381</f>
        <v>6</v>
      </c>
      <c r="C381" s="2" t="str">
        <f>raw_order_lines!C381</f>
        <v>C001</v>
      </c>
      <c r="D381" s="3">
        <f>raw_order_lines!D381</f>
        <v>46277</v>
      </c>
      <c r="E381" s="2" t="str">
        <f>raw_order_lines!E381</f>
        <v>P019</v>
      </c>
      <c r="F381" s="2" t="str">
        <f>raw_order_lines!F381</f>
        <v>桶</v>
      </c>
      <c r="G381" s="4">
        <f>raw_order_lines!G381</f>
        <v>1</v>
      </c>
      <c r="H381" s="4">
        <f>raw_order_lines!H381</f>
        <v>1</v>
      </c>
      <c r="I381" s="4">
        <f>raw_order_lines!I381</f>
        <v>0</v>
      </c>
      <c r="J381" s="5">
        <f>raw_order_lines!J381</f>
        <v>66</v>
      </c>
      <c r="K381" s="2" t="str">
        <f>raw_order_lines!K381</f>
        <v>正常交付</v>
      </c>
      <c r="L381" s="2" t="str">
        <f>raw_order_lines!L381</f>
        <v>true</v>
      </c>
      <c r="M381" s="2" t="str">
        <f>INDEX(dim_products!$B$2:$B$21,MATCH($E381,dim_products!$A$2:$A$21,0))</f>
        <v>菜籽油</v>
      </c>
      <c r="N381" s="2" t="str">
        <f>INDEX(dim_products!$C$2:$C$21,MATCH($E381,dim_products!$A$2:$A$21,0))</f>
        <v>5升/桶普通菜籽油</v>
      </c>
      <c r="O381" s="2" t="str">
        <f>INDEX(dim_customers!$B$2:$B$7,MATCH($C381,dim_customers!$A$2:$A$7,0))</f>
        <v>模拟_榕树下粉面店</v>
      </c>
      <c r="P381" s="6">
        <f>INT((ROUND(raw_order_lines!H381*10,0)*ROUND(raw_order_lines!J381*100,0)+5)/10)/100</f>
        <v>66</v>
      </c>
      <c r="Q381" s="6">
        <f>INT((ROUND(raw_order_lines!I381*10,0)*ROUND(raw_order_lines!J381*100,0)+5)/10)/100</f>
        <v>0</v>
      </c>
      <c r="R381" s="6">
        <f t="shared" si="15"/>
        <v>66</v>
      </c>
      <c r="S381" s="2" t="str">
        <f>IF(OR(ROUND(raw_order_lines!I381*10,0)&gt;ROUND(raw_order_lines!H381*10,0),ROUND(raw_order_lines!H381*10,0)&gt;ROUND(raw_order_lines!G381*10,0),ROUND(raw_order_lines!G381*10,0)&lt;=0),"数量关系异常","")</f>
        <v/>
      </c>
      <c r="T381" s="2" t="str">
        <f>IF($F381&lt;&gt;INDEX(dim_products!$D$2:$D$21,MATCH($E381,dim_products!$A$2:$A$21,0)),"单位不一致","")</f>
        <v/>
      </c>
      <c r="U381" s="2" t="str">
        <f>IF(OR(ROUND(raw_order_lines!J381*100,0)&lt;ROUND(INDEX(dim_products!$F$2:$F$21,MATCH($E381,dim_products!$A$2:$A$21,0))*100,0),ROUND(raw_order_lines!J381*100,0)&gt;ROUND(INDEX(dim_products!$G$2:$G$21,MATCH($E381,dim_products!$A$2:$A$21,0))*100,0)),"单价越界","")</f>
        <v/>
      </c>
      <c r="V381" s="2" t="str">
        <f t="shared" si="16"/>
        <v/>
      </c>
      <c r="W381" s="2" t="str">
        <f t="shared" si="17"/>
        <v>通过</v>
      </c>
    </row>
    <row r="382" spans="1:23" ht="15">
      <c r="A382" s="2" t="str">
        <f>raw_order_lines!A382</f>
        <v>SIM-20260912-C001</v>
      </c>
      <c r="B382" s="2">
        <f>raw_order_lines!B382</f>
        <v>7</v>
      </c>
      <c r="C382" s="2" t="str">
        <f>raw_order_lines!C382</f>
        <v>C001</v>
      </c>
      <c r="D382" s="3">
        <f>raw_order_lines!D382</f>
        <v>46277</v>
      </c>
      <c r="E382" s="2" t="str">
        <f>raw_order_lines!E382</f>
        <v>P018</v>
      </c>
      <c r="F382" s="2" t="str">
        <f>raw_order_lines!F382</f>
        <v>袋</v>
      </c>
      <c r="G382" s="4">
        <f>raw_order_lines!G382</f>
        <v>1</v>
      </c>
      <c r="H382" s="4">
        <f>raw_order_lines!H382</f>
        <v>1</v>
      </c>
      <c r="I382" s="4">
        <f>raw_order_lines!I382</f>
        <v>0</v>
      </c>
      <c r="J382" s="5">
        <f>raw_order_lines!J382</f>
        <v>108</v>
      </c>
      <c r="K382" s="2" t="str">
        <f>raw_order_lines!K382</f>
        <v>正常交付</v>
      </c>
      <c r="L382" s="2" t="str">
        <f>raw_order_lines!L382</f>
        <v>true</v>
      </c>
      <c r="M382" s="2" t="str">
        <f>INDEX(dim_products!$B$2:$B$21,MATCH($E382,dim_products!$A$2:$A$21,0))</f>
        <v>小麦粉</v>
      </c>
      <c r="N382" s="2" t="str">
        <f>INDEX(dim_products!$C$2:$C$21,MATCH($E382,dim_products!$A$2:$A$21,0))</f>
        <v>25公斤/袋普通小麦粉</v>
      </c>
      <c r="O382" s="2" t="str">
        <f>INDEX(dim_customers!$B$2:$B$7,MATCH($C382,dim_customers!$A$2:$A$7,0))</f>
        <v>模拟_榕树下粉面店</v>
      </c>
      <c r="P382" s="6">
        <f>INT((ROUND(raw_order_lines!H382*10,0)*ROUND(raw_order_lines!J382*100,0)+5)/10)/100</f>
        <v>108</v>
      </c>
      <c r="Q382" s="6">
        <f>INT((ROUND(raw_order_lines!I382*10,0)*ROUND(raw_order_lines!J382*100,0)+5)/10)/100</f>
        <v>0</v>
      </c>
      <c r="R382" s="6">
        <f t="shared" si="15"/>
        <v>108</v>
      </c>
      <c r="S382" s="2" t="str">
        <f>IF(OR(ROUND(raw_order_lines!I382*10,0)&gt;ROUND(raw_order_lines!H382*10,0),ROUND(raw_order_lines!H382*10,0)&gt;ROUND(raw_order_lines!G382*10,0),ROUND(raw_order_lines!G382*10,0)&lt;=0),"数量关系异常","")</f>
        <v/>
      </c>
      <c r="T382" s="2" t="str">
        <f>IF($F382&lt;&gt;INDEX(dim_products!$D$2:$D$21,MATCH($E382,dim_products!$A$2:$A$21,0)),"单位不一致","")</f>
        <v/>
      </c>
      <c r="U382" s="2" t="str">
        <f>IF(OR(ROUND(raw_order_lines!J382*100,0)&lt;ROUND(INDEX(dim_products!$F$2:$F$21,MATCH($E382,dim_products!$A$2:$A$21,0))*100,0),ROUND(raw_order_lines!J382*100,0)&gt;ROUND(INDEX(dim_products!$G$2:$G$21,MATCH($E382,dim_products!$A$2:$A$21,0))*100,0)),"单价越界","")</f>
        <v/>
      </c>
      <c r="V382" s="2" t="str">
        <f t="shared" si="16"/>
        <v/>
      </c>
      <c r="W382" s="2" t="str">
        <f t="shared" si="17"/>
        <v>通过</v>
      </c>
    </row>
    <row r="383" spans="1:23" ht="15">
      <c r="A383" s="2" t="str">
        <f>raw_order_lines!A383</f>
        <v>SIM-20260912-C002</v>
      </c>
      <c r="B383" s="2">
        <f>raw_order_lines!B383</f>
        <v>1</v>
      </c>
      <c r="C383" s="2" t="str">
        <f>raw_order_lines!C383</f>
        <v>C002</v>
      </c>
      <c r="D383" s="3">
        <f>raw_order_lines!D383</f>
        <v>46277</v>
      </c>
      <c r="E383" s="2" t="str">
        <f>raw_order_lines!E383</f>
        <v>P010</v>
      </c>
      <c r="F383" s="2" t="str">
        <f>raw_order_lines!F383</f>
        <v>公斤</v>
      </c>
      <c r="G383" s="4">
        <f>raw_order_lines!G383</f>
        <v>5.0999999999999996</v>
      </c>
      <c r="H383" s="4">
        <f>raw_order_lines!H383</f>
        <v>5.0999999999999996</v>
      </c>
      <c r="I383" s="4">
        <f>raw_order_lines!I383</f>
        <v>0</v>
      </c>
      <c r="J383" s="5">
        <f>raw_order_lines!J383</f>
        <v>5</v>
      </c>
      <c r="K383" s="2" t="str">
        <f>raw_order_lines!K383</f>
        <v>正常交付</v>
      </c>
      <c r="L383" s="2" t="str">
        <f>raw_order_lines!L383</f>
        <v>true</v>
      </c>
      <c r="M383" s="2" t="str">
        <f>INDEX(dim_products!$B$2:$B$21,MATCH($E383,dim_products!$A$2:$A$21,0))</f>
        <v>空心菜</v>
      </c>
      <c r="N383" s="2" t="str">
        <f>INDEX(dim_products!$C$2:$C$21,MATCH($E383,dim_products!$A$2:$A$21,0))</f>
        <v>散装鲜菜</v>
      </c>
      <c r="O383" s="2" t="str">
        <f>INDEX(dim_customers!$B$2:$B$7,MATCH($C383,dim_customers!$A$2:$A$7,0))</f>
        <v>模拟_桥头家常菜馆</v>
      </c>
      <c r="P383" s="6">
        <f>INT((ROUND(raw_order_lines!H383*10,0)*ROUND(raw_order_lines!J383*100,0)+5)/10)/100</f>
        <v>25.5</v>
      </c>
      <c r="Q383" s="6">
        <f>INT((ROUND(raw_order_lines!I383*10,0)*ROUND(raw_order_lines!J383*100,0)+5)/10)/100</f>
        <v>0</v>
      </c>
      <c r="R383" s="6">
        <f t="shared" si="15"/>
        <v>25.5</v>
      </c>
      <c r="S383" s="2" t="str">
        <f>IF(OR(ROUND(raw_order_lines!I383*10,0)&gt;ROUND(raw_order_lines!H383*10,0),ROUND(raw_order_lines!H383*10,0)&gt;ROUND(raw_order_lines!G383*10,0),ROUND(raw_order_lines!G383*10,0)&lt;=0),"数量关系异常","")</f>
        <v/>
      </c>
      <c r="T383" s="2" t="str">
        <f>IF($F383&lt;&gt;INDEX(dim_products!$D$2:$D$21,MATCH($E383,dim_products!$A$2:$A$21,0)),"单位不一致","")</f>
        <v/>
      </c>
      <c r="U383" s="2" t="str">
        <f>IF(OR(ROUND(raw_order_lines!J383*100,0)&lt;ROUND(INDEX(dim_products!$F$2:$F$21,MATCH($E383,dim_products!$A$2:$A$21,0))*100,0),ROUND(raw_order_lines!J383*100,0)&gt;ROUND(INDEX(dim_products!$G$2:$G$21,MATCH($E383,dim_products!$A$2:$A$21,0))*100,0)),"单价越界","")</f>
        <v/>
      </c>
      <c r="V383" s="2" t="str">
        <f t="shared" si="16"/>
        <v/>
      </c>
      <c r="W383" s="2" t="str">
        <f t="shared" si="17"/>
        <v>通过</v>
      </c>
    </row>
    <row r="384" spans="1:23" ht="15">
      <c r="A384" s="2" t="str">
        <f>raw_order_lines!A384</f>
        <v>SIM-20260912-C002</v>
      </c>
      <c r="B384" s="2">
        <f>raw_order_lines!B384</f>
        <v>2</v>
      </c>
      <c r="C384" s="2" t="str">
        <f>raw_order_lines!C384</f>
        <v>C002</v>
      </c>
      <c r="D384" s="3">
        <f>raw_order_lines!D384</f>
        <v>46277</v>
      </c>
      <c r="E384" s="2" t="str">
        <f>raw_order_lines!E384</f>
        <v>P003</v>
      </c>
      <c r="F384" s="2" t="str">
        <f>raw_order_lines!F384</f>
        <v>公斤</v>
      </c>
      <c r="G384" s="4">
        <f>raw_order_lines!G384</f>
        <v>4.5999999999999996</v>
      </c>
      <c r="H384" s="4">
        <f>raw_order_lines!H384</f>
        <v>4.5999999999999996</v>
      </c>
      <c r="I384" s="4">
        <f>raw_order_lines!I384</f>
        <v>0</v>
      </c>
      <c r="J384" s="5">
        <f>raw_order_lines!J384</f>
        <v>2.9</v>
      </c>
      <c r="K384" s="2" t="str">
        <f>raw_order_lines!K384</f>
        <v>正常交付</v>
      </c>
      <c r="L384" s="2" t="str">
        <f>raw_order_lines!L384</f>
        <v>true</v>
      </c>
      <c r="M384" s="2" t="str">
        <f>INDEX(dim_products!$B$2:$B$21,MATCH($E384,dim_products!$A$2:$A$21,0))</f>
        <v>包菜</v>
      </c>
      <c r="N384" s="2" t="str">
        <f>INDEX(dim_products!$C$2:$C$21,MATCH($E384,dim_products!$A$2:$A$21,0))</f>
        <v>散装鲜菜</v>
      </c>
      <c r="O384" s="2" t="str">
        <f>INDEX(dim_customers!$B$2:$B$7,MATCH($C384,dim_customers!$A$2:$A$7,0))</f>
        <v>模拟_桥头家常菜馆</v>
      </c>
      <c r="P384" s="6">
        <f>INT((ROUND(raw_order_lines!H384*10,0)*ROUND(raw_order_lines!J384*100,0)+5)/10)/100</f>
        <v>13.34</v>
      </c>
      <c r="Q384" s="6">
        <f>INT((ROUND(raw_order_lines!I384*10,0)*ROUND(raw_order_lines!J384*100,0)+5)/10)/100</f>
        <v>0</v>
      </c>
      <c r="R384" s="6">
        <f t="shared" si="15"/>
        <v>13.34</v>
      </c>
      <c r="S384" s="2" t="str">
        <f>IF(OR(ROUND(raw_order_lines!I384*10,0)&gt;ROUND(raw_order_lines!H384*10,0),ROUND(raw_order_lines!H384*10,0)&gt;ROUND(raw_order_lines!G384*10,0),ROUND(raw_order_lines!G384*10,0)&lt;=0),"数量关系异常","")</f>
        <v/>
      </c>
      <c r="T384" s="2" t="str">
        <f>IF($F384&lt;&gt;INDEX(dim_products!$D$2:$D$21,MATCH($E384,dim_products!$A$2:$A$21,0)),"单位不一致","")</f>
        <v/>
      </c>
      <c r="U384" s="2" t="str">
        <f>IF(OR(ROUND(raw_order_lines!J384*100,0)&lt;ROUND(INDEX(dim_products!$F$2:$F$21,MATCH($E384,dim_products!$A$2:$A$21,0))*100,0),ROUND(raw_order_lines!J384*100,0)&gt;ROUND(INDEX(dim_products!$G$2:$G$21,MATCH($E384,dim_products!$A$2:$A$21,0))*100,0)),"单价越界","")</f>
        <v/>
      </c>
      <c r="V384" s="2" t="str">
        <f t="shared" si="16"/>
        <v/>
      </c>
      <c r="W384" s="2" t="str">
        <f t="shared" si="17"/>
        <v>通过</v>
      </c>
    </row>
    <row r="385" spans="1:23" ht="15">
      <c r="A385" s="2" t="str">
        <f>raw_order_lines!A385</f>
        <v>SIM-20260912-C002</v>
      </c>
      <c r="B385" s="2">
        <f>raw_order_lines!B385</f>
        <v>3</v>
      </c>
      <c r="C385" s="2" t="str">
        <f>raw_order_lines!C385</f>
        <v>C002</v>
      </c>
      <c r="D385" s="3">
        <f>raw_order_lines!D385</f>
        <v>46277</v>
      </c>
      <c r="E385" s="2" t="str">
        <f>raw_order_lines!E385</f>
        <v>P005</v>
      </c>
      <c r="F385" s="2" t="str">
        <f>raw_order_lines!F385</f>
        <v>公斤</v>
      </c>
      <c r="G385" s="4">
        <f>raw_order_lines!G385</f>
        <v>4.5999999999999996</v>
      </c>
      <c r="H385" s="4">
        <f>raw_order_lines!H385</f>
        <v>4.5999999999999996</v>
      </c>
      <c r="I385" s="4">
        <f>raw_order_lines!I385</f>
        <v>0</v>
      </c>
      <c r="J385" s="5">
        <f>raw_order_lines!J385</f>
        <v>2.7</v>
      </c>
      <c r="K385" s="2" t="str">
        <f>raw_order_lines!K385</f>
        <v>正常交付</v>
      </c>
      <c r="L385" s="2" t="str">
        <f>raw_order_lines!L385</f>
        <v>true</v>
      </c>
      <c r="M385" s="2" t="str">
        <f>INDEX(dim_products!$B$2:$B$21,MATCH($E385,dim_products!$A$2:$A$21,0))</f>
        <v>南瓜</v>
      </c>
      <c r="N385" s="2" t="str">
        <f>INDEX(dim_products!$C$2:$C$21,MATCH($E385,dim_products!$A$2:$A$21,0))</f>
        <v>散装鲜菜</v>
      </c>
      <c r="O385" s="2" t="str">
        <f>INDEX(dim_customers!$B$2:$B$7,MATCH($C385,dim_customers!$A$2:$A$7,0))</f>
        <v>模拟_桥头家常菜馆</v>
      </c>
      <c r="P385" s="6">
        <f>INT((ROUND(raw_order_lines!H385*10,0)*ROUND(raw_order_lines!J385*100,0)+5)/10)/100</f>
        <v>12.42</v>
      </c>
      <c r="Q385" s="6">
        <f>INT((ROUND(raw_order_lines!I385*10,0)*ROUND(raw_order_lines!J385*100,0)+5)/10)/100</f>
        <v>0</v>
      </c>
      <c r="R385" s="6">
        <f t="shared" si="15"/>
        <v>12.42</v>
      </c>
      <c r="S385" s="2" t="str">
        <f>IF(OR(ROUND(raw_order_lines!I385*10,0)&gt;ROUND(raw_order_lines!H385*10,0),ROUND(raw_order_lines!H385*10,0)&gt;ROUND(raw_order_lines!G385*10,0),ROUND(raw_order_lines!G385*10,0)&lt;=0),"数量关系异常","")</f>
        <v/>
      </c>
      <c r="T385" s="2" t="str">
        <f>IF($F385&lt;&gt;INDEX(dim_products!$D$2:$D$21,MATCH($E385,dim_products!$A$2:$A$21,0)),"单位不一致","")</f>
        <v/>
      </c>
      <c r="U385" s="2" t="str">
        <f>IF(OR(ROUND(raw_order_lines!J385*100,0)&lt;ROUND(INDEX(dim_products!$F$2:$F$21,MATCH($E385,dim_products!$A$2:$A$21,0))*100,0),ROUND(raw_order_lines!J385*100,0)&gt;ROUND(INDEX(dim_products!$G$2:$G$21,MATCH($E385,dim_products!$A$2:$A$21,0))*100,0)),"单价越界","")</f>
        <v/>
      </c>
      <c r="V385" s="2" t="str">
        <f t="shared" si="16"/>
        <v/>
      </c>
      <c r="W385" s="2" t="str">
        <f t="shared" si="17"/>
        <v>通过</v>
      </c>
    </row>
    <row r="386" spans="1:23" ht="15">
      <c r="A386" s="2" t="str">
        <f>raw_order_lines!A386</f>
        <v>SIM-20260912-C002</v>
      </c>
      <c r="B386" s="2">
        <f>raw_order_lines!B386</f>
        <v>4</v>
      </c>
      <c r="C386" s="2" t="str">
        <f>raw_order_lines!C386</f>
        <v>C002</v>
      </c>
      <c r="D386" s="3">
        <f>raw_order_lines!D386</f>
        <v>46277</v>
      </c>
      <c r="E386" s="2" t="str">
        <f>raw_order_lines!E386</f>
        <v>P009</v>
      </c>
      <c r="F386" s="2" t="str">
        <f>raw_order_lines!F386</f>
        <v>公斤</v>
      </c>
      <c r="G386" s="4">
        <f>raw_order_lines!G386</f>
        <v>8.6</v>
      </c>
      <c r="H386" s="4">
        <f>raw_order_lines!H386</f>
        <v>8.6</v>
      </c>
      <c r="I386" s="4">
        <f>raw_order_lines!I386</f>
        <v>0</v>
      </c>
      <c r="J386" s="5">
        <f>raw_order_lines!J386</f>
        <v>5</v>
      </c>
      <c r="K386" s="2" t="str">
        <f>raw_order_lines!K386</f>
        <v>正常交付</v>
      </c>
      <c r="L386" s="2" t="str">
        <f>raw_order_lines!L386</f>
        <v>true</v>
      </c>
      <c r="M386" s="2" t="str">
        <f>INDEX(dim_products!$B$2:$B$21,MATCH($E386,dim_products!$A$2:$A$21,0))</f>
        <v>西红柿</v>
      </c>
      <c r="N386" s="2" t="str">
        <f>INDEX(dim_products!$C$2:$C$21,MATCH($E386,dim_products!$A$2:$A$21,0))</f>
        <v>散装鲜菜</v>
      </c>
      <c r="O386" s="2" t="str">
        <f>INDEX(dim_customers!$B$2:$B$7,MATCH($C386,dim_customers!$A$2:$A$7,0))</f>
        <v>模拟_桥头家常菜馆</v>
      </c>
      <c r="P386" s="6">
        <f>INT((ROUND(raw_order_lines!H386*10,0)*ROUND(raw_order_lines!J386*100,0)+5)/10)/100</f>
        <v>43</v>
      </c>
      <c r="Q386" s="6">
        <f>INT((ROUND(raw_order_lines!I386*10,0)*ROUND(raw_order_lines!J386*100,0)+5)/10)/100</f>
        <v>0</v>
      </c>
      <c r="R386" s="6">
        <f t="shared" ref="R386:R449" si="18">$P386-$Q386</f>
        <v>43</v>
      </c>
      <c r="S386" s="2" t="str">
        <f>IF(OR(ROUND(raw_order_lines!I386*10,0)&gt;ROUND(raw_order_lines!H386*10,0),ROUND(raw_order_lines!H386*10,0)&gt;ROUND(raw_order_lines!G386*10,0),ROUND(raw_order_lines!G386*10,0)&lt;=0),"数量关系异常","")</f>
        <v/>
      </c>
      <c r="T386" s="2" t="str">
        <f>IF($F386&lt;&gt;INDEX(dim_products!$D$2:$D$21,MATCH($E386,dim_products!$A$2:$A$21,0)),"单位不一致","")</f>
        <v/>
      </c>
      <c r="U386" s="2" t="str">
        <f>IF(OR(ROUND(raw_order_lines!J386*100,0)&lt;ROUND(INDEX(dim_products!$F$2:$F$21,MATCH($E386,dim_products!$A$2:$A$21,0))*100,0),ROUND(raw_order_lines!J386*100,0)&gt;ROUND(INDEX(dim_products!$G$2:$G$21,MATCH($E386,dim_products!$A$2:$A$21,0))*100,0)),"单价越界","")</f>
        <v/>
      </c>
      <c r="V386" s="2" t="str">
        <f t="shared" ref="V386:V449" si="19">IF(COUNTIFS($A$2:$A$967,$A386,$B$2:$B$967,$B386)&gt;1,"主键重复","")</f>
        <v/>
      </c>
      <c r="W386" s="2" t="str">
        <f t="shared" ref="W386:W449" si="20">IF(COUNTIF($S386:$T386,"?*")+COUNTIF($V386:$V386,"?*")&gt;0,"阻断",IF(COUNTIF($U386:$U386,"?*")&gt;0,"提示","通过"))</f>
        <v>通过</v>
      </c>
    </row>
    <row r="387" spans="1:23" ht="15">
      <c r="A387" s="2" t="str">
        <f>raw_order_lines!A387</f>
        <v>SIM-20260912-C002</v>
      </c>
      <c r="B387" s="2">
        <f>raw_order_lines!B387</f>
        <v>5</v>
      </c>
      <c r="C387" s="2" t="str">
        <f>raw_order_lines!C387</f>
        <v>C002</v>
      </c>
      <c r="D387" s="3">
        <f>raw_order_lines!D387</f>
        <v>46277</v>
      </c>
      <c r="E387" s="2" t="str">
        <f>raw_order_lines!E387</f>
        <v>P002</v>
      </c>
      <c r="F387" s="2" t="str">
        <f>raw_order_lines!F387</f>
        <v>公斤</v>
      </c>
      <c r="G387" s="4">
        <f>raw_order_lines!G387</f>
        <v>8</v>
      </c>
      <c r="H387" s="4">
        <f>raw_order_lines!H387</f>
        <v>8</v>
      </c>
      <c r="I387" s="4">
        <f>raw_order_lines!I387</f>
        <v>0</v>
      </c>
      <c r="J387" s="5">
        <f>raw_order_lines!J387</f>
        <v>2.7</v>
      </c>
      <c r="K387" s="2" t="str">
        <f>raw_order_lines!K387</f>
        <v>正常交付</v>
      </c>
      <c r="L387" s="2" t="str">
        <f>raw_order_lines!L387</f>
        <v>true</v>
      </c>
      <c r="M387" s="2" t="str">
        <f>INDEX(dim_products!$B$2:$B$21,MATCH($E387,dim_products!$A$2:$A$21,0))</f>
        <v>白萝卜</v>
      </c>
      <c r="N387" s="2" t="str">
        <f>INDEX(dim_products!$C$2:$C$21,MATCH($E387,dim_products!$A$2:$A$21,0))</f>
        <v>散装鲜菜</v>
      </c>
      <c r="O387" s="2" t="str">
        <f>INDEX(dim_customers!$B$2:$B$7,MATCH($C387,dim_customers!$A$2:$A$7,0))</f>
        <v>模拟_桥头家常菜馆</v>
      </c>
      <c r="P387" s="6">
        <f>INT((ROUND(raw_order_lines!H387*10,0)*ROUND(raw_order_lines!J387*100,0)+5)/10)/100</f>
        <v>21.6</v>
      </c>
      <c r="Q387" s="6">
        <f>INT((ROUND(raw_order_lines!I387*10,0)*ROUND(raw_order_lines!J387*100,0)+5)/10)/100</f>
        <v>0</v>
      </c>
      <c r="R387" s="6">
        <f t="shared" si="18"/>
        <v>21.6</v>
      </c>
      <c r="S387" s="2" t="str">
        <f>IF(OR(ROUND(raw_order_lines!I387*10,0)&gt;ROUND(raw_order_lines!H387*10,0),ROUND(raw_order_lines!H387*10,0)&gt;ROUND(raw_order_lines!G387*10,0),ROUND(raw_order_lines!G387*10,0)&lt;=0),"数量关系异常","")</f>
        <v/>
      </c>
      <c r="T387" s="2" t="str">
        <f>IF($F387&lt;&gt;INDEX(dim_products!$D$2:$D$21,MATCH($E387,dim_products!$A$2:$A$21,0)),"单位不一致","")</f>
        <v/>
      </c>
      <c r="U387" s="2" t="str">
        <f>IF(OR(ROUND(raw_order_lines!J387*100,0)&lt;ROUND(INDEX(dim_products!$F$2:$F$21,MATCH($E387,dim_products!$A$2:$A$21,0))*100,0),ROUND(raw_order_lines!J387*100,0)&gt;ROUND(INDEX(dim_products!$G$2:$G$21,MATCH($E387,dim_products!$A$2:$A$21,0))*100,0)),"单价越界","")</f>
        <v/>
      </c>
      <c r="V387" s="2" t="str">
        <f t="shared" si="19"/>
        <v/>
      </c>
      <c r="W387" s="2" t="str">
        <f t="shared" si="20"/>
        <v>通过</v>
      </c>
    </row>
    <row r="388" spans="1:23" ht="15">
      <c r="A388" s="2" t="str">
        <f>raw_order_lines!A388</f>
        <v>SIM-20260912-C002</v>
      </c>
      <c r="B388" s="2">
        <f>raw_order_lines!B388</f>
        <v>6</v>
      </c>
      <c r="C388" s="2" t="str">
        <f>raw_order_lines!C388</f>
        <v>C002</v>
      </c>
      <c r="D388" s="3">
        <f>raw_order_lines!D388</f>
        <v>46277</v>
      </c>
      <c r="E388" s="2" t="str">
        <f>raw_order_lines!E388</f>
        <v>P016</v>
      </c>
      <c r="F388" s="2" t="str">
        <f>raw_order_lines!F388</f>
        <v>公斤</v>
      </c>
      <c r="G388" s="4">
        <f>raw_order_lines!G388</f>
        <v>4</v>
      </c>
      <c r="H388" s="4">
        <f>raw_order_lines!H388</f>
        <v>4</v>
      </c>
      <c r="I388" s="4">
        <f>raw_order_lines!I388</f>
        <v>0</v>
      </c>
      <c r="J388" s="5">
        <f>raw_order_lines!J388</f>
        <v>10.4</v>
      </c>
      <c r="K388" s="2" t="str">
        <f>raw_order_lines!K388</f>
        <v>正常交付</v>
      </c>
      <c r="L388" s="2" t="str">
        <f>raw_order_lines!L388</f>
        <v>true</v>
      </c>
      <c r="M388" s="2" t="str">
        <f>INDEX(dim_products!$B$2:$B$21,MATCH($E388,dim_products!$A$2:$A$21,0))</f>
        <v>鸡蛋</v>
      </c>
      <c r="N388" s="2" t="str">
        <f>INDEX(dim_products!$C$2:$C$21,MATCH($E388,dim_products!$A$2:$A$21,0))</f>
        <v>普通鲜鸡蛋按净重</v>
      </c>
      <c r="O388" s="2" t="str">
        <f>INDEX(dim_customers!$B$2:$B$7,MATCH($C388,dim_customers!$A$2:$A$7,0))</f>
        <v>模拟_桥头家常菜馆</v>
      </c>
      <c r="P388" s="6">
        <f>INT((ROUND(raw_order_lines!H388*10,0)*ROUND(raw_order_lines!J388*100,0)+5)/10)/100</f>
        <v>41.6</v>
      </c>
      <c r="Q388" s="6">
        <f>INT((ROUND(raw_order_lines!I388*10,0)*ROUND(raw_order_lines!J388*100,0)+5)/10)/100</f>
        <v>0</v>
      </c>
      <c r="R388" s="6">
        <f t="shared" si="18"/>
        <v>41.6</v>
      </c>
      <c r="S388" s="2" t="str">
        <f>IF(OR(ROUND(raw_order_lines!I388*10,0)&gt;ROUND(raw_order_lines!H388*10,0),ROUND(raw_order_lines!H388*10,0)&gt;ROUND(raw_order_lines!G388*10,0),ROUND(raw_order_lines!G388*10,0)&lt;=0),"数量关系异常","")</f>
        <v/>
      </c>
      <c r="T388" s="2" t="str">
        <f>IF($F388&lt;&gt;INDEX(dim_products!$D$2:$D$21,MATCH($E388,dim_products!$A$2:$A$21,0)),"单位不一致","")</f>
        <v/>
      </c>
      <c r="U388" s="2" t="str">
        <f>IF(OR(ROUND(raw_order_lines!J388*100,0)&lt;ROUND(INDEX(dim_products!$F$2:$F$21,MATCH($E388,dim_products!$A$2:$A$21,0))*100,0),ROUND(raw_order_lines!J388*100,0)&gt;ROUND(INDEX(dim_products!$G$2:$G$21,MATCH($E388,dim_products!$A$2:$A$21,0))*100,0)),"单价越界","")</f>
        <v/>
      </c>
      <c r="V388" s="2" t="str">
        <f t="shared" si="19"/>
        <v/>
      </c>
      <c r="W388" s="2" t="str">
        <f t="shared" si="20"/>
        <v>通过</v>
      </c>
    </row>
    <row r="389" spans="1:23" ht="15">
      <c r="A389" s="2" t="str">
        <f>raw_order_lines!A389</f>
        <v>SIM-20260912-C002</v>
      </c>
      <c r="B389" s="2">
        <f>raw_order_lines!B389</f>
        <v>7</v>
      </c>
      <c r="C389" s="2" t="str">
        <f>raw_order_lines!C389</f>
        <v>C002</v>
      </c>
      <c r="D389" s="3">
        <f>raw_order_lines!D389</f>
        <v>46277</v>
      </c>
      <c r="E389" s="2" t="str">
        <f>raw_order_lines!E389</f>
        <v>P017</v>
      </c>
      <c r="F389" s="2" t="str">
        <f>raw_order_lines!F389</f>
        <v>袋</v>
      </c>
      <c r="G389" s="4">
        <f>raw_order_lines!G389</f>
        <v>3</v>
      </c>
      <c r="H389" s="4">
        <f>raw_order_lines!H389</f>
        <v>3</v>
      </c>
      <c r="I389" s="4">
        <f>raw_order_lines!I389</f>
        <v>0</v>
      </c>
      <c r="J389" s="5">
        <f>raw_order_lines!J389</f>
        <v>116</v>
      </c>
      <c r="K389" s="2" t="str">
        <f>raw_order_lines!K389</f>
        <v>正常交付</v>
      </c>
      <c r="L389" s="2" t="str">
        <f>raw_order_lines!L389</f>
        <v>true</v>
      </c>
      <c r="M389" s="2" t="str">
        <f>INDEX(dim_products!$B$2:$B$21,MATCH($E389,dim_products!$A$2:$A$21,0))</f>
        <v>籼米</v>
      </c>
      <c r="N389" s="2" t="str">
        <f>INDEX(dim_products!$C$2:$C$21,MATCH($E389,dim_products!$A$2:$A$21,0))</f>
        <v>25公斤/袋普通籼米</v>
      </c>
      <c r="O389" s="2" t="str">
        <f>INDEX(dim_customers!$B$2:$B$7,MATCH($C389,dim_customers!$A$2:$A$7,0))</f>
        <v>模拟_桥头家常菜馆</v>
      </c>
      <c r="P389" s="6">
        <f>INT((ROUND(raw_order_lines!H389*10,0)*ROUND(raw_order_lines!J389*100,0)+5)/10)/100</f>
        <v>348</v>
      </c>
      <c r="Q389" s="6">
        <f>INT((ROUND(raw_order_lines!I389*10,0)*ROUND(raw_order_lines!J389*100,0)+5)/10)/100</f>
        <v>0</v>
      </c>
      <c r="R389" s="6">
        <f t="shared" si="18"/>
        <v>348</v>
      </c>
      <c r="S389" s="2" t="str">
        <f>IF(OR(ROUND(raw_order_lines!I389*10,0)&gt;ROUND(raw_order_lines!H389*10,0),ROUND(raw_order_lines!H389*10,0)&gt;ROUND(raw_order_lines!G389*10,0),ROUND(raw_order_lines!G389*10,0)&lt;=0),"数量关系异常","")</f>
        <v/>
      </c>
      <c r="T389" s="2" t="str">
        <f>IF($F389&lt;&gt;INDEX(dim_products!$D$2:$D$21,MATCH($E389,dim_products!$A$2:$A$21,0)),"单位不一致","")</f>
        <v/>
      </c>
      <c r="U389" s="2" t="str">
        <f>IF(OR(ROUND(raw_order_lines!J389*100,0)&lt;ROUND(INDEX(dim_products!$F$2:$F$21,MATCH($E389,dim_products!$A$2:$A$21,0))*100,0),ROUND(raw_order_lines!J389*100,0)&gt;ROUND(INDEX(dim_products!$G$2:$G$21,MATCH($E389,dim_products!$A$2:$A$21,0))*100,0)),"单价越界","")</f>
        <v/>
      </c>
      <c r="V389" s="2" t="str">
        <f t="shared" si="19"/>
        <v/>
      </c>
      <c r="W389" s="2" t="str">
        <f t="shared" si="20"/>
        <v>通过</v>
      </c>
    </row>
    <row r="390" spans="1:23" ht="15">
      <c r="A390" s="2" t="str">
        <f>raw_order_lines!A390</f>
        <v>SIM-20260912-C002</v>
      </c>
      <c r="B390" s="2">
        <f>raw_order_lines!B390</f>
        <v>8</v>
      </c>
      <c r="C390" s="2" t="str">
        <f>raw_order_lines!C390</f>
        <v>C002</v>
      </c>
      <c r="D390" s="3">
        <f>raw_order_lines!D390</f>
        <v>46277</v>
      </c>
      <c r="E390" s="2" t="str">
        <f>raw_order_lines!E390</f>
        <v>P019</v>
      </c>
      <c r="F390" s="2" t="str">
        <f>raw_order_lines!F390</f>
        <v>桶</v>
      </c>
      <c r="G390" s="4">
        <f>raw_order_lines!G390</f>
        <v>1</v>
      </c>
      <c r="H390" s="4">
        <f>raw_order_lines!H390</f>
        <v>1</v>
      </c>
      <c r="I390" s="4">
        <f>raw_order_lines!I390</f>
        <v>0</v>
      </c>
      <c r="J390" s="5">
        <f>raw_order_lines!J390</f>
        <v>66</v>
      </c>
      <c r="K390" s="2" t="str">
        <f>raw_order_lines!K390</f>
        <v>正常交付</v>
      </c>
      <c r="L390" s="2" t="str">
        <f>raw_order_lines!L390</f>
        <v>true</v>
      </c>
      <c r="M390" s="2" t="str">
        <f>INDEX(dim_products!$B$2:$B$21,MATCH($E390,dim_products!$A$2:$A$21,0))</f>
        <v>菜籽油</v>
      </c>
      <c r="N390" s="2" t="str">
        <f>INDEX(dim_products!$C$2:$C$21,MATCH($E390,dim_products!$A$2:$A$21,0))</f>
        <v>5升/桶普通菜籽油</v>
      </c>
      <c r="O390" s="2" t="str">
        <f>INDEX(dim_customers!$B$2:$B$7,MATCH($C390,dim_customers!$A$2:$A$7,0))</f>
        <v>模拟_桥头家常菜馆</v>
      </c>
      <c r="P390" s="6">
        <f>INT((ROUND(raw_order_lines!H390*10,0)*ROUND(raw_order_lines!J390*100,0)+5)/10)/100</f>
        <v>66</v>
      </c>
      <c r="Q390" s="6">
        <f>INT((ROUND(raw_order_lines!I390*10,0)*ROUND(raw_order_lines!J390*100,0)+5)/10)/100</f>
        <v>0</v>
      </c>
      <c r="R390" s="6">
        <f t="shared" si="18"/>
        <v>66</v>
      </c>
      <c r="S390" s="2" t="str">
        <f>IF(OR(ROUND(raw_order_lines!I390*10,0)&gt;ROUND(raw_order_lines!H390*10,0),ROUND(raw_order_lines!H390*10,0)&gt;ROUND(raw_order_lines!G390*10,0),ROUND(raw_order_lines!G390*10,0)&lt;=0),"数量关系异常","")</f>
        <v/>
      </c>
      <c r="T390" s="2" t="str">
        <f>IF($F390&lt;&gt;INDEX(dim_products!$D$2:$D$21,MATCH($E390,dim_products!$A$2:$A$21,0)),"单位不一致","")</f>
        <v/>
      </c>
      <c r="U390" s="2" t="str">
        <f>IF(OR(ROUND(raw_order_lines!J390*100,0)&lt;ROUND(INDEX(dim_products!$F$2:$F$21,MATCH($E390,dim_products!$A$2:$A$21,0))*100,0),ROUND(raw_order_lines!J390*100,0)&gt;ROUND(INDEX(dim_products!$G$2:$G$21,MATCH($E390,dim_products!$A$2:$A$21,0))*100,0)),"单价越界","")</f>
        <v/>
      </c>
      <c r="V390" s="2" t="str">
        <f t="shared" si="19"/>
        <v/>
      </c>
      <c r="W390" s="2" t="str">
        <f t="shared" si="20"/>
        <v>通过</v>
      </c>
    </row>
    <row r="391" spans="1:23" ht="15">
      <c r="A391" s="2" t="str">
        <f>raw_order_lines!A391</f>
        <v>SIM-20260912-C003</v>
      </c>
      <c r="B391" s="2">
        <f>raw_order_lines!B391</f>
        <v>1</v>
      </c>
      <c r="C391" s="2" t="str">
        <f>raw_order_lines!C391</f>
        <v>C003</v>
      </c>
      <c r="D391" s="3">
        <f>raw_order_lines!D391</f>
        <v>46277</v>
      </c>
      <c r="E391" s="2" t="str">
        <f>raw_order_lines!E391</f>
        <v>P012</v>
      </c>
      <c r="F391" s="2" t="str">
        <f>raw_order_lines!F391</f>
        <v>公斤</v>
      </c>
      <c r="G391" s="4">
        <f>raw_order_lines!G391</f>
        <v>4.9000000000000004</v>
      </c>
      <c r="H391" s="4">
        <f>raw_order_lines!H391</f>
        <v>4.9000000000000004</v>
      </c>
      <c r="I391" s="4">
        <f>raw_order_lines!I391</f>
        <v>0</v>
      </c>
      <c r="J391" s="5">
        <f>raw_order_lines!J391</f>
        <v>5</v>
      </c>
      <c r="K391" s="2" t="str">
        <f>raw_order_lines!K391</f>
        <v>正常交付</v>
      </c>
      <c r="L391" s="2" t="str">
        <f>raw_order_lines!L391</f>
        <v>true</v>
      </c>
      <c r="M391" s="2" t="str">
        <f>INDEX(dim_products!$B$2:$B$21,MATCH($E391,dim_products!$A$2:$A$21,0))</f>
        <v>小白菜</v>
      </c>
      <c r="N391" s="2" t="str">
        <f>INDEX(dim_products!$C$2:$C$21,MATCH($E391,dim_products!$A$2:$A$21,0))</f>
        <v>散装鲜菜</v>
      </c>
      <c r="O391" s="2" t="str">
        <f>INDEX(dim_customers!$B$2:$B$7,MATCH($C391,dim_customers!$A$2:$A$7,0))</f>
        <v>模拟_兴街快餐店</v>
      </c>
      <c r="P391" s="6">
        <f>INT((ROUND(raw_order_lines!H391*10,0)*ROUND(raw_order_lines!J391*100,0)+5)/10)/100</f>
        <v>24.5</v>
      </c>
      <c r="Q391" s="6">
        <f>INT((ROUND(raw_order_lines!I391*10,0)*ROUND(raw_order_lines!J391*100,0)+5)/10)/100</f>
        <v>0</v>
      </c>
      <c r="R391" s="6">
        <f t="shared" si="18"/>
        <v>24.5</v>
      </c>
      <c r="S391" s="2" t="str">
        <f>IF(OR(ROUND(raw_order_lines!I391*10,0)&gt;ROUND(raw_order_lines!H391*10,0),ROUND(raw_order_lines!H391*10,0)&gt;ROUND(raw_order_lines!G391*10,0),ROUND(raw_order_lines!G391*10,0)&lt;=0),"数量关系异常","")</f>
        <v/>
      </c>
      <c r="T391" s="2" t="str">
        <f>IF($F391&lt;&gt;INDEX(dim_products!$D$2:$D$21,MATCH($E391,dim_products!$A$2:$A$21,0)),"单位不一致","")</f>
        <v/>
      </c>
      <c r="U391" s="2" t="str">
        <f>IF(OR(ROUND(raw_order_lines!J391*100,0)&lt;ROUND(INDEX(dim_products!$F$2:$F$21,MATCH($E391,dim_products!$A$2:$A$21,0))*100,0),ROUND(raw_order_lines!J391*100,0)&gt;ROUND(INDEX(dim_products!$G$2:$G$21,MATCH($E391,dim_products!$A$2:$A$21,0))*100,0)),"单价越界","")</f>
        <v/>
      </c>
      <c r="V391" s="2" t="str">
        <f t="shared" si="19"/>
        <v/>
      </c>
      <c r="W391" s="2" t="str">
        <f t="shared" si="20"/>
        <v>通过</v>
      </c>
    </row>
    <row r="392" spans="1:23" ht="15">
      <c r="A392" s="2" t="str">
        <f>raw_order_lines!A392</f>
        <v>SIM-20260912-C003</v>
      </c>
      <c r="B392" s="2">
        <f>raw_order_lines!B392</f>
        <v>2</v>
      </c>
      <c r="C392" s="2" t="str">
        <f>raw_order_lines!C392</f>
        <v>C003</v>
      </c>
      <c r="D392" s="3">
        <f>raw_order_lines!D392</f>
        <v>46277</v>
      </c>
      <c r="E392" s="2" t="str">
        <f>raw_order_lines!E392</f>
        <v>P013</v>
      </c>
      <c r="F392" s="2" t="str">
        <f>raw_order_lines!F392</f>
        <v>公斤</v>
      </c>
      <c r="G392" s="4">
        <f>raw_order_lines!G392</f>
        <v>6.3</v>
      </c>
      <c r="H392" s="4">
        <f>raw_order_lines!H392</f>
        <v>6.3</v>
      </c>
      <c r="I392" s="4">
        <f>raw_order_lines!I392</f>
        <v>0</v>
      </c>
      <c r="J392" s="5">
        <f>raw_order_lines!J392</f>
        <v>6</v>
      </c>
      <c r="K392" s="2" t="str">
        <f>raw_order_lines!K392</f>
        <v>正常交付</v>
      </c>
      <c r="L392" s="2" t="str">
        <f>raw_order_lines!L392</f>
        <v>true</v>
      </c>
      <c r="M392" s="2" t="str">
        <f>INDEX(dim_products!$B$2:$B$21,MATCH($E392,dim_products!$A$2:$A$21,0))</f>
        <v>豇豆</v>
      </c>
      <c r="N392" s="2" t="str">
        <f>INDEX(dim_products!$C$2:$C$21,MATCH($E392,dim_products!$A$2:$A$21,0))</f>
        <v>散装鲜菜</v>
      </c>
      <c r="O392" s="2" t="str">
        <f>INDEX(dim_customers!$B$2:$B$7,MATCH($C392,dim_customers!$A$2:$A$7,0))</f>
        <v>模拟_兴街快餐店</v>
      </c>
      <c r="P392" s="6">
        <f>INT((ROUND(raw_order_lines!H392*10,0)*ROUND(raw_order_lines!J392*100,0)+5)/10)/100</f>
        <v>37.799999999999997</v>
      </c>
      <c r="Q392" s="6">
        <f>INT((ROUND(raw_order_lines!I392*10,0)*ROUND(raw_order_lines!J392*100,0)+5)/10)/100</f>
        <v>0</v>
      </c>
      <c r="R392" s="6">
        <f t="shared" si="18"/>
        <v>37.799999999999997</v>
      </c>
      <c r="S392" s="2" t="str">
        <f>IF(OR(ROUND(raw_order_lines!I392*10,0)&gt;ROUND(raw_order_lines!H392*10,0),ROUND(raw_order_lines!H392*10,0)&gt;ROUND(raw_order_lines!G392*10,0),ROUND(raw_order_lines!G392*10,0)&lt;=0),"数量关系异常","")</f>
        <v/>
      </c>
      <c r="T392" s="2" t="str">
        <f>IF($F392&lt;&gt;INDEX(dim_products!$D$2:$D$21,MATCH($E392,dim_products!$A$2:$A$21,0)),"单位不一致","")</f>
        <v/>
      </c>
      <c r="U392" s="2" t="str">
        <f>IF(OR(ROUND(raw_order_lines!J392*100,0)&lt;ROUND(INDEX(dim_products!$F$2:$F$21,MATCH($E392,dim_products!$A$2:$A$21,0))*100,0),ROUND(raw_order_lines!J392*100,0)&gt;ROUND(INDEX(dim_products!$G$2:$G$21,MATCH($E392,dim_products!$A$2:$A$21,0))*100,0)),"单价越界","")</f>
        <v/>
      </c>
      <c r="V392" s="2" t="str">
        <f t="shared" si="19"/>
        <v/>
      </c>
      <c r="W392" s="2" t="str">
        <f t="shared" si="20"/>
        <v>通过</v>
      </c>
    </row>
    <row r="393" spans="1:23" ht="15">
      <c r="A393" s="2" t="str">
        <f>raw_order_lines!A393</f>
        <v>SIM-20260912-C003</v>
      </c>
      <c r="B393" s="2">
        <f>raw_order_lines!B393</f>
        <v>3</v>
      </c>
      <c r="C393" s="2" t="str">
        <f>raw_order_lines!C393</f>
        <v>C003</v>
      </c>
      <c r="D393" s="3">
        <f>raw_order_lines!D393</f>
        <v>46277</v>
      </c>
      <c r="E393" s="2" t="str">
        <f>raw_order_lines!E393</f>
        <v>P014</v>
      </c>
      <c r="F393" s="2" t="str">
        <f>raw_order_lines!F393</f>
        <v>公斤</v>
      </c>
      <c r="G393" s="4">
        <f>raw_order_lines!G393</f>
        <v>7.3</v>
      </c>
      <c r="H393" s="4">
        <f>raw_order_lines!H393</f>
        <v>7.3</v>
      </c>
      <c r="I393" s="4">
        <f>raw_order_lines!I393</f>
        <v>0</v>
      </c>
      <c r="J393" s="5">
        <f>raw_order_lines!J393</f>
        <v>5</v>
      </c>
      <c r="K393" s="2" t="str">
        <f>raw_order_lines!K393</f>
        <v>正常交付</v>
      </c>
      <c r="L393" s="2" t="str">
        <f>raw_order_lines!L393</f>
        <v>true</v>
      </c>
      <c r="M393" s="2" t="str">
        <f>INDEX(dim_products!$B$2:$B$21,MATCH($E393,dim_products!$A$2:$A$21,0))</f>
        <v>丝瓜</v>
      </c>
      <c r="N393" s="2" t="str">
        <f>INDEX(dim_products!$C$2:$C$21,MATCH($E393,dim_products!$A$2:$A$21,0))</f>
        <v>散装鲜菜</v>
      </c>
      <c r="O393" s="2" t="str">
        <f>INDEX(dim_customers!$B$2:$B$7,MATCH($C393,dim_customers!$A$2:$A$7,0))</f>
        <v>模拟_兴街快餐店</v>
      </c>
      <c r="P393" s="6">
        <f>INT((ROUND(raw_order_lines!H393*10,0)*ROUND(raw_order_lines!J393*100,0)+5)/10)/100</f>
        <v>36.5</v>
      </c>
      <c r="Q393" s="6">
        <f>INT((ROUND(raw_order_lines!I393*10,0)*ROUND(raw_order_lines!J393*100,0)+5)/10)/100</f>
        <v>0</v>
      </c>
      <c r="R393" s="6">
        <f t="shared" si="18"/>
        <v>36.5</v>
      </c>
      <c r="S393" s="2" t="str">
        <f>IF(OR(ROUND(raw_order_lines!I393*10,0)&gt;ROUND(raw_order_lines!H393*10,0),ROUND(raw_order_lines!H393*10,0)&gt;ROUND(raw_order_lines!G393*10,0),ROUND(raw_order_lines!G393*10,0)&lt;=0),"数量关系异常","")</f>
        <v/>
      </c>
      <c r="T393" s="2" t="str">
        <f>IF($F393&lt;&gt;INDEX(dim_products!$D$2:$D$21,MATCH($E393,dim_products!$A$2:$A$21,0)),"单位不一致","")</f>
        <v/>
      </c>
      <c r="U393" s="2" t="str">
        <f>IF(OR(ROUND(raw_order_lines!J393*100,0)&lt;ROUND(INDEX(dim_products!$F$2:$F$21,MATCH($E393,dim_products!$A$2:$A$21,0))*100,0),ROUND(raw_order_lines!J393*100,0)&gt;ROUND(INDEX(dim_products!$G$2:$G$21,MATCH($E393,dim_products!$A$2:$A$21,0))*100,0)),"单价越界","")</f>
        <v/>
      </c>
      <c r="V393" s="2" t="str">
        <f t="shared" si="19"/>
        <v/>
      </c>
      <c r="W393" s="2" t="str">
        <f t="shared" si="20"/>
        <v>通过</v>
      </c>
    </row>
    <row r="394" spans="1:23" ht="15">
      <c r="A394" s="2" t="str">
        <f>raw_order_lines!A394</f>
        <v>SIM-20260912-C003</v>
      </c>
      <c r="B394" s="2">
        <f>raw_order_lines!B394</f>
        <v>4</v>
      </c>
      <c r="C394" s="2" t="str">
        <f>raw_order_lines!C394</f>
        <v>C003</v>
      </c>
      <c r="D394" s="3">
        <f>raw_order_lines!D394</f>
        <v>46277</v>
      </c>
      <c r="E394" s="2" t="str">
        <f>raw_order_lines!E394</f>
        <v>P003</v>
      </c>
      <c r="F394" s="2" t="str">
        <f>raw_order_lines!F394</f>
        <v>公斤</v>
      </c>
      <c r="G394" s="4">
        <f>raw_order_lines!G394</f>
        <v>4.4000000000000004</v>
      </c>
      <c r="H394" s="4">
        <f>raw_order_lines!H394</f>
        <v>4.4000000000000004</v>
      </c>
      <c r="I394" s="4">
        <f>raw_order_lines!I394</f>
        <v>0</v>
      </c>
      <c r="J394" s="5">
        <f>raw_order_lines!J394</f>
        <v>2.9</v>
      </c>
      <c r="K394" s="2" t="str">
        <f>raw_order_lines!K394</f>
        <v>正常交付</v>
      </c>
      <c r="L394" s="2" t="str">
        <f>raw_order_lines!L394</f>
        <v>true</v>
      </c>
      <c r="M394" s="2" t="str">
        <f>INDEX(dim_products!$B$2:$B$21,MATCH($E394,dim_products!$A$2:$A$21,0))</f>
        <v>包菜</v>
      </c>
      <c r="N394" s="2" t="str">
        <f>INDEX(dim_products!$C$2:$C$21,MATCH($E394,dim_products!$A$2:$A$21,0))</f>
        <v>散装鲜菜</v>
      </c>
      <c r="O394" s="2" t="str">
        <f>INDEX(dim_customers!$B$2:$B$7,MATCH($C394,dim_customers!$A$2:$A$7,0))</f>
        <v>模拟_兴街快餐店</v>
      </c>
      <c r="P394" s="6">
        <f>INT((ROUND(raw_order_lines!H394*10,0)*ROUND(raw_order_lines!J394*100,0)+5)/10)/100</f>
        <v>12.76</v>
      </c>
      <c r="Q394" s="6">
        <f>INT((ROUND(raw_order_lines!I394*10,0)*ROUND(raw_order_lines!J394*100,0)+5)/10)/100</f>
        <v>0</v>
      </c>
      <c r="R394" s="6">
        <f t="shared" si="18"/>
        <v>12.76</v>
      </c>
      <c r="S394" s="2" t="str">
        <f>IF(OR(ROUND(raw_order_lines!I394*10,0)&gt;ROUND(raw_order_lines!H394*10,0),ROUND(raw_order_lines!H394*10,0)&gt;ROUND(raw_order_lines!G394*10,0),ROUND(raw_order_lines!G394*10,0)&lt;=0),"数量关系异常","")</f>
        <v/>
      </c>
      <c r="T394" s="2" t="str">
        <f>IF($F394&lt;&gt;INDEX(dim_products!$D$2:$D$21,MATCH($E394,dim_products!$A$2:$A$21,0)),"单位不一致","")</f>
        <v/>
      </c>
      <c r="U394" s="2" t="str">
        <f>IF(OR(ROUND(raw_order_lines!J394*100,0)&lt;ROUND(INDEX(dim_products!$F$2:$F$21,MATCH($E394,dim_products!$A$2:$A$21,0))*100,0),ROUND(raw_order_lines!J394*100,0)&gt;ROUND(INDEX(dim_products!$G$2:$G$21,MATCH($E394,dim_products!$A$2:$A$21,0))*100,0)),"单价越界","")</f>
        <v/>
      </c>
      <c r="V394" s="2" t="str">
        <f t="shared" si="19"/>
        <v/>
      </c>
      <c r="W394" s="2" t="str">
        <f t="shared" si="20"/>
        <v>通过</v>
      </c>
    </row>
    <row r="395" spans="1:23" ht="15">
      <c r="A395" s="2" t="str">
        <f>raw_order_lines!A395</f>
        <v>SIM-20260912-C003</v>
      </c>
      <c r="B395" s="2">
        <f>raw_order_lines!B395</f>
        <v>5</v>
      </c>
      <c r="C395" s="2" t="str">
        <f>raw_order_lines!C395</f>
        <v>C003</v>
      </c>
      <c r="D395" s="3">
        <f>raw_order_lines!D395</f>
        <v>46277</v>
      </c>
      <c r="E395" s="2" t="str">
        <f>raw_order_lines!E395</f>
        <v>P005</v>
      </c>
      <c r="F395" s="2" t="str">
        <f>raw_order_lines!F395</f>
        <v>公斤</v>
      </c>
      <c r="G395" s="4">
        <f>raw_order_lines!G395</f>
        <v>6.8</v>
      </c>
      <c r="H395" s="4">
        <f>raw_order_lines!H395</f>
        <v>6.8</v>
      </c>
      <c r="I395" s="4">
        <f>raw_order_lines!I395</f>
        <v>0</v>
      </c>
      <c r="J395" s="5">
        <f>raw_order_lines!J395</f>
        <v>2.7</v>
      </c>
      <c r="K395" s="2" t="str">
        <f>raw_order_lines!K395</f>
        <v>正常交付</v>
      </c>
      <c r="L395" s="2" t="str">
        <f>raw_order_lines!L395</f>
        <v>true</v>
      </c>
      <c r="M395" s="2" t="str">
        <f>INDEX(dim_products!$B$2:$B$21,MATCH($E395,dim_products!$A$2:$A$21,0))</f>
        <v>南瓜</v>
      </c>
      <c r="N395" s="2" t="str">
        <f>INDEX(dim_products!$C$2:$C$21,MATCH($E395,dim_products!$A$2:$A$21,0))</f>
        <v>散装鲜菜</v>
      </c>
      <c r="O395" s="2" t="str">
        <f>INDEX(dim_customers!$B$2:$B$7,MATCH($C395,dim_customers!$A$2:$A$7,0))</f>
        <v>模拟_兴街快餐店</v>
      </c>
      <c r="P395" s="6">
        <f>INT((ROUND(raw_order_lines!H395*10,0)*ROUND(raw_order_lines!J395*100,0)+5)/10)/100</f>
        <v>18.36</v>
      </c>
      <c r="Q395" s="6">
        <f>INT((ROUND(raw_order_lines!I395*10,0)*ROUND(raw_order_lines!J395*100,0)+5)/10)/100</f>
        <v>0</v>
      </c>
      <c r="R395" s="6">
        <f t="shared" si="18"/>
        <v>18.36</v>
      </c>
      <c r="S395" s="2" t="str">
        <f>IF(OR(ROUND(raw_order_lines!I395*10,0)&gt;ROUND(raw_order_lines!H395*10,0),ROUND(raw_order_lines!H395*10,0)&gt;ROUND(raw_order_lines!G395*10,0),ROUND(raw_order_lines!G395*10,0)&lt;=0),"数量关系异常","")</f>
        <v/>
      </c>
      <c r="T395" s="2" t="str">
        <f>IF($F395&lt;&gt;INDEX(dim_products!$D$2:$D$21,MATCH($E395,dim_products!$A$2:$A$21,0)),"单位不一致","")</f>
        <v/>
      </c>
      <c r="U395" s="2" t="str">
        <f>IF(OR(ROUND(raw_order_lines!J395*100,0)&lt;ROUND(INDEX(dim_products!$F$2:$F$21,MATCH($E395,dim_products!$A$2:$A$21,0))*100,0),ROUND(raw_order_lines!J395*100,0)&gt;ROUND(INDEX(dim_products!$G$2:$G$21,MATCH($E395,dim_products!$A$2:$A$21,0))*100,0)),"单价越界","")</f>
        <v/>
      </c>
      <c r="V395" s="2" t="str">
        <f t="shared" si="19"/>
        <v/>
      </c>
      <c r="W395" s="2" t="str">
        <f t="shared" si="20"/>
        <v>通过</v>
      </c>
    </row>
    <row r="396" spans="1:23" ht="15">
      <c r="A396" s="2" t="str">
        <f>raw_order_lines!A396</f>
        <v>SIM-20260912-C003</v>
      </c>
      <c r="B396" s="2">
        <f>raw_order_lines!B396</f>
        <v>6</v>
      </c>
      <c r="C396" s="2" t="str">
        <f>raw_order_lines!C396</f>
        <v>C003</v>
      </c>
      <c r="D396" s="3">
        <f>raw_order_lines!D396</f>
        <v>46277</v>
      </c>
      <c r="E396" s="2" t="str">
        <f>raw_order_lines!E396</f>
        <v>P002</v>
      </c>
      <c r="F396" s="2" t="str">
        <f>raw_order_lines!F396</f>
        <v>公斤</v>
      </c>
      <c r="G396" s="4">
        <f>raw_order_lines!G396</f>
        <v>7.8</v>
      </c>
      <c r="H396" s="4">
        <f>raw_order_lines!H396</f>
        <v>7.8</v>
      </c>
      <c r="I396" s="4">
        <f>raw_order_lines!I396</f>
        <v>0</v>
      </c>
      <c r="J396" s="5">
        <f>raw_order_lines!J396</f>
        <v>2.7</v>
      </c>
      <c r="K396" s="2" t="str">
        <f>raw_order_lines!K396</f>
        <v>正常交付</v>
      </c>
      <c r="L396" s="2" t="str">
        <f>raw_order_lines!L396</f>
        <v>true</v>
      </c>
      <c r="M396" s="2" t="str">
        <f>INDEX(dim_products!$B$2:$B$21,MATCH($E396,dim_products!$A$2:$A$21,0))</f>
        <v>白萝卜</v>
      </c>
      <c r="N396" s="2" t="str">
        <f>INDEX(dim_products!$C$2:$C$21,MATCH($E396,dim_products!$A$2:$A$21,0))</f>
        <v>散装鲜菜</v>
      </c>
      <c r="O396" s="2" t="str">
        <f>INDEX(dim_customers!$B$2:$B$7,MATCH($C396,dim_customers!$A$2:$A$7,0))</f>
        <v>模拟_兴街快餐店</v>
      </c>
      <c r="P396" s="6">
        <f>INT((ROUND(raw_order_lines!H396*10,0)*ROUND(raw_order_lines!J396*100,0)+5)/10)/100</f>
        <v>21.06</v>
      </c>
      <c r="Q396" s="6">
        <f>INT((ROUND(raw_order_lines!I396*10,0)*ROUND(raw_order_lines!J396*100,0)+5)/10)/100</f>
        <v>0</v>
      </c>
      <c r="R396" s="6">
        <f t="shared" si="18"/>
        <v>21.06</v>
      </c>
      <c r="S396" s="2" t="str">
        <f>IF(OR(ROUND(raw_order_lines!I396*10,0)&gt;ROUND(raw_order_lines!H396*10,0),ROUND(raw_order_lines!H396*10,0)&gt;ROUND(raw_order_lines!G396*10,0),ROUND(raw_order_lines!G396*10,0)&lt;=0),"数量关系异常","")</f>
        <v/>
      </c>
      <c r="T396" s="2" t="str">
        <f>IF($F396&lt;&gt;INDEX(dim_products!$D$2:$D$21,MATCH($E396,dim_products!$A$2:$A$21,0)),"单位不一致","")</f>
        <v/>
      </c>
      <c r="U396" s="2" t="str">
        <f>IF(OR(ROUND(raw_order_lines!J396*100,0)&lt;ROUND(INDEX(dim_products!$F$2:$F$21,MATCH($E396,dim_products!$A$2:$A$21,0))*100,0),ROUND(raw_order_lines!J396*100,0)&gt;ROUND(INDEX(dim_products!$G$2:$G$21,MATCH($E396,dim_products!$A$2:$A$21,0))*100,0)),"单价越界","")</f>
        <v/>
      </c>
      <c r="V396" s="2" t="str">
        <f t="shared" si="19"/>
        <v/>
      </c>
      <c r="W396" s="2" t="str">
        <f t="shared" si="20"/>
        <v>通过</v>
      </c>
    </row>
    <row r="397" spans="1:23" ht="15">
      <c r="A397" s="2" t="str">
        <f>raw_order_lines!A397</f>
        <v>SIM-20260912-C003</v>
      </c>
      <c r="B397" s="2">
        <f>raw_order_lines!B397</f>
        <v>7</v>
      </c>
      <c r="C397" s="2" t="str">
        <f>raw_order_lines!C397</f>
        <v>C003</v>
      </c>
      <c r="D397" s="3">
        <f>raw_order_lines!D397</f>
        <v>46277</v>
      </c>
      <c r="E397" s="2" t="str">
        <f>raw_order_lines!E397</f>
        <v>P016</v>
      </c>
      <c r="F397" s="2" t="str">
        <f>raw_order_lines!F397</f>
        <v>公斤</v>
      </c>
      <c r="G397" s="4">
        <f>raw_order_lines!G397</f>
        <v>6</v>
      </c>
      <c r="H397" s="4">
        <f>raw_order_lines!H397</f>
        <v>6</v>
      </c>
      <c r="I397" s="4">
        <f>raw_order_lines!I397</f>
        <v>0</v>
      </c>
      <c r="J397" s="5">
        <f>raw_order_lines!J397</f>
        <v>10.4</v>
      </c>
      <c r="K397" s="2" t="str">
        <f>raw_order_lines!K397</f>
        <v>正常交付</v>
      </c>
      <c r="L397" s="2" t="str">
        <f>raw_order_lines!L397</f>
        <v>true</v>
      </c>
      <c r="M397" s="2" t="str">
        <f>INDEX(dim_products!$B$2:$B$21,MATCH($E397,dim_products!$A$2:$A$21,0))</f>
        <v>鸡蛋</v>
      </c>
      <c r="N397" s="2" t="str">
        <f>INDEX(dim_products!$C$2:$C$21,MATCH($E397,dim_products!$A$2:$A$21,0))</f>
        <v>普通鲜鸡蛋按净重</v>
      </c>
      <c r="O397" s="2" t="str">
        <f>INDEX(dim_customers!$B$2:$B$7,MATCH($C397,dim_customers!$A$2:$A$7,0))</f>
        <v>模拟_兴街快餐店</v>
      </c>
      <c r="P397" s="6">
        <f>INT((ROUND(raw_order_lines!H397*10,0)*ROUND(raw_order_lines!J397*100,0)+5)/10)/100</f>
        <v>62.4</v>
      </c>
      <c r="Q397" s="6">
        <f>INT((ROUND(raw_order_lines!I397*10,0)*ROUND(raw_order_lines!J397*100,0)+5)/10)/100</f>
        <v>0</v>
      </c>
      <c r="R397" s="6">
        <f t="shared" si="18"/>
        <v>62.4</v>
      </c>
      <c r="S397" s="2" t="str">
        <f>IF(OR(ROUND(raw_order_lines!I397*10,0)&gt;ROUND(raw_order_lines!H397*10,0),ROUND(raw_order_lines!H397*10,0)&gt;ROUND(raw_order_lines!G397*10,0),ROUND(raw_order_lines!G397*10,0)&lt;=0),"数量关系异常","")</f>
        <v/>
      </c>
      <c r="T397" s="2" t="str">
        <f>IF($F397&lt;&gt;INDEX(dim_products!$D$2:$D$21,MATCH($E397,dim_products!$A$2:$A$21,0)),"单位不一致","")</f>
        <v/>
      </c>
      <c r="U397" s="2" t="str">
        <f>IF(OR(ROUND(raw_order_lines!J397*100,0)&lt;ROUND(INDEX(dim_products!$F$2:$F$21,MATCH($E397,dim_products!$A$2:$A$21,0))*100,0),ROUND(raw_order_lines!J397*100,0)&gt;ROUND(INDEX(dim_products!$G$2:$G$21,MATCH($E397,dim_products!$A$2:$A$21,0))*100,0)),"单价越界","")</f>
        <v/>
      </c>
      <c r="V397" s="2" t="str">
        <f t="shared" si="19"/>
        <v/>
      </c>
      <c r="W397" s="2" t="str">
        <f t="shared" si="20"/>
        <v>通过</v>
      </c>
    </row>
    <row r="398" spans="1:23" ht="15">
      <c r="A398" s="2" t="str">
        <f>raw_order_lines!A398</f>
        <v>SIM-20260912-C003</v>
      </c>
      <c r="B398" s="2">
        <f>raw_order_lines!B398</f>
        <v>8</v>
      </c>
      <c r="C398" s="2" t="str">
        <f>raw_order_lines!C398</f>
        <v>C003</v>
      </c>
      <c r="D398" s="3">
        <f>raw_order_lines!D398</f>
        <v>46277</v>
      </c>
      <c r="E398" s="2" t="str">
        <f>raw_order_lines!E398</f>
        <v>P017</v>
      </c>
      <c r="F398" s="2" t="str">
        <f>raw_order_lines!F398</f>
        <v>袋</v>
      </c>
      <c r="G398" s="4">
        <f>raw_order_lines!G398</f>
        <v>5</v>
      </c>
      <c r="H398" s="4">
        <f>raw_order_lines!H398</f>
        <v>5</v>
      </c>
      <c r="I398" s="4">
        <f>raw_order_lines!I398</f>
        <v>0</v>
      </c>
      <c r="J398" s="5">
        <f>raw_order_lines!J398</f>
        <v>116</v>
      </c>
      <c r="K398" s="2" t="str">
        <f>raw_order_lines!K398</f>
        <v>正常交付</v>
      </c>
      <c r="L398" s="2" t="str">
        <f>raw_order_lines!L398</f>
        <v>true</v>
      </c>
      <c r="M398" s="2" t="str">
        <f>INDEX(dim_products!$B$2:$B$21,MATCH($E398,dim_products!$A$2:$A$21,0))</f>
        <v>籼米</v>
      </c>
      <c r="N398" s="2" t="str">
        <f>INDEX(dim_products!$C$2:$C$21,MATCH($E398,dim_products!$A$2:$A$21,0))</f>
        <v>25公斤/袋普通籼米</v>
      </c>
      <c r="O398" s="2" t="str">
        <f>INDEX(dim_customers!$B$2:$B$7,MATCH($C398,dim_customers!$A$2:$A$7,0))</f>
        <v>模拟_兴街快餐店</v>
      </c>
      <c r="P398" s="6">
        <f>INT((ROUND(raw_order_lines!H398*10,0)*ROUND(raw_order_lines!J398*100,0)+5)/10)/100</f>
        <v>580</v>
      </c>
      <c r="Q398" s="6">
        <f>INT((ROUND(raw_order_lines!I398*10,0)*ROUND(raw_order_lines!J398*100,0)+5)/10)/100</f>
        <v>0</v>
      </c>
      <c r="R398" s="6">
        <f t="shared" si="18"/>
        <v>580</v>
      </c>
      <c r="S398" s="2" t="str">
        <f>IF(OR(ROUND(raw_order_lines!I398*10,0)&gt;ROUND(raw_order_lines!H398*10,0),ROUND(raw_order_lines!H398*10,0)&gt;ROUND(raw_order_lines!G398*10,0),ROUND(raw_order_lines!G398*10,0)&lt;=0),"数量关系异常","")</f>
        <v/>
      </c>
      <c r="T398" s="2" t="str">
        <f>IF($F398&lt;&gt;INDEX(dim_products!$D$2:$D$21,MATCH($E398,dim_products!$A$2:$A$21,0)),"单位不一致","")</f>
        <v/>
      </c>
      <c r="U398" s="2" t="str">
        <f>IF(OR(ROUND(raw_order_lines!J398*100,0)&lt;ROUND(INDEX(dim_products!$F$2:$F$21,MATCH($E398,dim_products!$A$2:$A$21,0))*100,0),ROUND(raw_order_lines!J398*100,0)&gt;ROUND(INDEX(dim_products!$G$2:$G$21,MATCH($E398,dim_products!$A$2:$A$21,0))*100,0)),"单价越界","")</f>
        <v/>
      </c>
      <c r="V398" s="2" t="str">
        <f t="shared" si="19"/>
        <v/>
      </c>
      <c r="W398" s="2" t="str">
        <f t="shared" si="20"/>
        <v>通过</v>
      </c>
    </row>
    <row r="399" spans="1:23" ht="15">
      <c r="A399" s="2" t="str">
        <f>raw_order_lines!A399</f>
        <v>SIM-20260912-C003</v>
      </c>
      <c r="B399" s="2">
        <f>raw_order_lines!B399</f>
        <v>9</v>
      </c>
      <c r="C399" s="2" t="str">
        <f>raw_order_lines!C399</f>
        <v>C003</v>
      </c>
      <c r="D399" s="3">
        <f>raw_order_lines!D399</f>
        <v>46277</v>
      </c>
      <c r="E399" s="2" t="str">
        <f>raw_order_lines!E399</f>
        <v>P020</v>
      </c>
      <c r="F399" s="2" t="str">
        <f>raw_order_lines!F399</f>
        <v>桶</v>
      </c>
      <c r="G399" s="4">
        <f>raw_order_lines!G399</f>
        <v>2</v>
      </c>
      <c r="H399" s="4">
        <f>raw_order_lines!H399</f>
        <v>2</v>
      </c>
      <c r="I399" s="4">
        <f>raw_order_lines!I399</f>
        <v>0</v>
      </c>
      <c r="J399" s="5">
        <f>raw_order_lines!J399</f>
        <v>59</v>
      </c>
      <c r="K399" s="2" t="str">
        <f>raw_order_lines!K399</f>
        <v>正常交付</v>
      </c>
      <c r="L399" s="2" t="str">
        <f>raw_order_lines!L399</f>
        <v>true</v>
      </c>
      <c r="M399" s="2" t="str">
        <f>INDEX(dim_products!$B$2:$B$21,MATCH($E399,dim_products!$A$2:$A$21,0))</f>
        <v>大豆油</v>
      </c>
      <c r="N399" s="2" t="str">
        <f>INDEX(dim_products!$C$2:$C$21,MATCH($E399,dim_products!$A$2:$A$21,0))</f>
        <v>5升/桶普通大豆油</v>
      </c>
      <c r="O399" s="2" t="str">
        <f>INDEX(dim_customers!$B$2:$B$7,MATCH($C399,dim_customers!$A$2:$A$7,0))</f>
        <v>模拟_兴街快餐店</v>
      </c>
      <c r="P399" s="6">
        <f>INT((ROUND(raw_order_lines!H399*10,0)*ROUND(raw_order_lines!J399*100,0)+5)/10)/100</f>
        <v>118</v>
      </c>
      <c r="Q399" s="6">
        <f>INT((ROUND(raw_order_lines!I399*10,0)*ROUND(raw_order_lines!J399*100,0)+5)/10)/100</f>
        <v>0</v>
      </c>
      <c r="R399" s="6">
        <f t="shared" si="18"/>
        <v>118</v>
      </c>
      <c r="S399" s="2" t="str">
        <f>IF(OR(ROUND(raw_order_lines!I399*10,0)&gt;ROUND(raw_order_lines!H399*10,0),ROUND(raw_order_lines!H399*10,0)&gt;ROUND(raw_order_lines!G399*10,0),ROUND(raw_order_lines!G399*10,0)&lt;=0),"数量关系异常","")</f>
        <v/>
      </c>
      <c r="T399" s="2" t="str">
        <f>IF($F399&lt;&gt;INDEX(dim_products!$D$2:$D$21,MATCH($E399,dim_products!$A$2:$A$21,0)),"单位不一致","")</f>
        <v/>
      </c>
      <c r="U399" s="2" t="str">
        <f>IF(OR(ROUND(raw_order_lines!J399*100,0)&lt;ROUND(INDEX(dim_products!$F$2:$F$21,MATCH($E399,dim_products!$A$2:$A$21,0))*100,0),ROUND(raw_order_lines!J399*100,0)&gt;ROUND(INDEX(dim_products!$G$2:$G$21,MATCH($E399,dim_products!$A$2:$A$21,0))*100,0)),"单价越界","")</f>
        <v/>
      </c>
      <c r="V399" s="2" t="str">
        <f t="shared" si="19"/>
        <v/>
      </c>
      <c r="W399" s="2" t="str">
        <f t="shared" si="20"/>
        <v>通过</v>
      </c>
    </row>
    <row r="400" spans="1:23" ht="15">
      <c r="A400" s="2" t="str">
        <f>raw_order_lines!A400</f>
        <v>SIM-20260912-C004</v>
      </c>
      <c r="B400" s="2">
        <f>raw_order_lines!B400</f>
        <v>1</v>
      </c>
      <c r="C400" s="2" t="str">
        <f>raw_order_lines!C400</f>
        <v>C004</v>
      </c>
      <c r="D400" s="3">
        <f>raw_order_lines!D400</f>
        <v>46277</v>
      </c>
      <c r="E400" s="2" t="str">
        <f>raw_order_lines!E400</f>
        <v>P011</v>
      </c>
      <c r="F400" s="2" t="str">
        <f>raw_order_lines!F400</f>
        <v>公斤</v>
      </c>
      <c r="G400" s="4">
        <f>raw_order_lines!G400</f>
        <v>7.2</v>
      </c>
      <c r="H400" s="4">
        <f>raw_order_lines!H400</f>
        <v>7.2</v>
      </c>
      <c r="I400" s="4">
        <f>raw_order_lines!I400</f>
        <v>0.3</v>
      </c>
      <c r="J400" s="5">
        <f>raw_order_lines!J400</f>
        <v>4.3</v>
      </c>
      <c r="K400" s="2" t="str">
        <f>raw_order_lines!K400</f>
        <v>正常交付；签收时挑出黄叶退回</v>
      </c>
      <c r="L400" s="2" t="str">
        <f>raw_order_lines!L400</f>
        <v>true</v>
      </c>
      <c r="M400" s="2" t="str">
        <f>INDEX(dim_products!$B$2:$B$21,MATCH($E400,dim_products!$A$2:$A$21,0))</f>
        <v>红薯叶</v>
      </c>
      <c r="N400" s="2" t="str">
        <f>INDEX(dim_products!$C$2:$C$21,MATCH($E400,dim_products!$A$2:$A$21,0))</f>
        <v>散装鲜菜</v>
      </c>
      <c r="O400" s="2" t="str">
        <f>INDEX(dim_customers!$B$2:$B$7,MATCH($C400,dim_customers!$A$2:$A$7,0))</f>
        <v>模拟_田畔饭店</v>
      </c>
      <c r="P400" s="6">
        <f>INT((ROUND(raw_order_lines!H400*10,0)*ROUND(raw_order_lines!J400*100,0)+5)/10)/100</f>
        <v>30.96</v>
      </c>
      <c r="Q400" s="6">
        <f>INT((ROUND(raw_order_lines!I400*10,0)*ROUND(raw_order_lines!J400*100,0)+5)/10)/100</f>
        <v>1.29</v>
      </c>
      <c r="R400" s="6">
        <f t="shared" si="18"/>
        <v>29.67</v>
      </c>
      <c r="S400" s="2" t="str">
        <f>IF(OR(ROUND(raw_order_lines!I400*10,0)&gt;ROUND(raw_order_lines!H400*10,0),ROUND(raw_order_lines!H400*10,0)&gt;ROUND(raw_order_lines!G400*10,0),ROUND(raw_order_lines!G400*10,0)&lt;=0),"数量关系异常","")</f>
        <v/>
      </c>
      <c r="T400" s="2" t="str">
        <f>IF($F400&lt;&gt;INDEX(dim_products!$D$2:$D$21,MATCH($E400,dim_products!$A$2:$A$21,0)),"单位不一致","")</f>
        <v/>
      </c>
      <c r="U400" s="2" t="str">
        <f>IF(OR(ROUND(raw_order_lines!J400*100,0)&lt;ROUND(INDEX(dim_products!$F$2:$F$21,MATCH($E400,dim_products!$A$2:$A$21,0))*100,0),ROUND(raw_order_lines!J400*100,0)&gt;ROUND(INDEX(dim_products!$G$2:$G$21,MATCH($E400,dim_products!$A$2:$A$21,0))*100,0)),"单价越界","")</f>
        <v/>
      </c>
      <c r="V400" s="2" t="str">
        <f t="shared" si="19"/>
        <v/>
      </c>
      <c r="W400" s="2" t="str">
        <f t="shared" si="20"/>
        <v>通过</v>
      </c>
    </row>
    <row r="401" spans="1:23" ht="15">
      <c r="A401" s="2" t="str">
        <f>raw_order_lines!A401</f>
        <v>SIM-20260912-C004</v>
      </c>
      <c r="B401" s="2">
        <f>raw_order_lines!B401</f>
        <v>2</v>
      </c>
      <c r="C401" s="2" t="str">
        <f>raw_order_lines!C401</f>
        <v>C004</v>
      </c>
      <c r="D401" s="3">
        <f>raw_order_lines!D401</f>
        <v>46277</v>
      </c>
      <c r="E401" s="2" t="str">
        <f>raw_order_lines!E401</f>
        <v>P005</v>
      </c>
      <c r="F401" s="2" t="str">
        <f>raw_order_lines!F401</f>
        <v>公斤</v>
      </c>
      <c r="G401" s="4">
        <f>raw_order_lines!G401</f>
        <v>7.2</v>
      </c>
      <c r="H401" s="4">
        <f>raw_order_lines!H401</f>
        <v>6.9</v>
      </c>
      <c r="I401" s="4">
        <f>raw_order_lines!I401</f>
        <v>0</v>
      </c>
      <c r="J401" s="5">
        <f>raw_order_lines!J401</f>
        <v>2.7</v>
      </c>
      <c r="K401" s="2" t="str">
        <f>raw_order_lines!K401</f>
        <v>到货不足；按实际交付计费</v>
      </c>
      <c r="L401" s="2" t="str">
        <f>raw_order_lines!L401</f>
        <v>true</v>
      </c>
      <c r="M401" s="2" t="str">
        <f>INDEX(dim_products!$B$2:$B$21,MATCH($E401,dim_products!$A$2:$A$21,0))</f>
        <v>南瓜</v>
      </c>
      <c r="N401" s="2" t="str">
        <f>INDEX(dim_products!$C$2:$C$21,MATCH($E401,dim_products!$A$2:$A$21,0))</f>
        <v>散装鲜菜</v>
      </c>
      <c r="O401" s="2" t="str">
        <f>INDEX(dim_customers!$B$2:$B$7,MATCH($C401,dim_customers!$A$2:$A$7,0))</f>
        <v>模拟_田畔饭店</v>
      </c>
      <c r="P401" s="6">
        <f>INT((ROUND(raw_order_lines!H401*10,0)*ROUND(raw_order_lines!J401*100,0)+5)/10)/100</f>
        <v>18.63</v>
      </c>
      <c r="Q401" s="6">
        <f>INT((ROUND(raw_order_lines!I401*10,0)*ROUND(raw_order_lines!J401*100,0)+5)/10)/100</f>
        <v>0</v>
      </c>
      <c r="R401" s="6">
        <f t="shared" si="18"/>
        <v>18.63</v>
      </c>
      <c r="S401" s="2" t="str">
        <f>IF(OR(ROUND(raw_order_lines!I401*10,0)&gt;ROUND(raw_order_lines!H401*10,0),ROUND(raw_order_lines!H401*10,0)&gt;ROUND(raw_order_lines!G401*10,0),ROUND(raw_order_lines!G401*10,0)&lt;=0),"数量关系异常","")</f>
        <v/>
      </c>
      <c r="T401" s="2" t="str">
        <f>IF($F401&lt;&gt;INDEX(dim_products!$D$2:$D$21,MATCH($E401,dim_products!$A$2:$A$21,0)),"单位不一致","")</f>
        <v/>
      </c>
      <c r="U401" s="2" t="str">
        <f>IF(OR(ROUND(raw_order_lines!J401*100,0)&lt;ROUND(INDEX(dim_products!$F$2:$F$21,MATCH($E401,dim_products!$A$2:$A$21,0))*100,0),ROUND(raw_order_lines!J401*100,0)&gt;ROUND(INDEX(dim_products!$G$2:$G$21,MATCH($E401,dim_products!$A$2:$A$21,0))*100,0)),"单价越界","")</f>
        <v/>
      </c>
      <c r="V401" s="2" t="str">
        <f t="shared" si="19"/>
        <v/>
      </c>
      <c r="W401" s="2" t="str">
        <f t="shared" si="20"/>
        <v>通过</v>
      </c>
    </row>
    <row r="402" spans="1:23" ht="15">
      <c r="A402" s="2" t="str">
        <f>raw_order_lines!A402</f>
        <v>SIM-20260912-C004</v>
      </c>
      <c r="B402" s="2">
        <f>raw_order_lines!B402</f>
        <v>3</v>
      </c>
      <c r="C402" s="2" t="str">
        <f>raw_order_lines!C402</f>
        <v>C004</v>
      </c>
      <c r="D402" s="3">
        <f>raw_order_lines!D402</f>
        <v>46277</v>
      </c>
      <c r="E402" s="2" t="str">
        <f>raw_order_lines!E402</f>
        <v>P007</v>
      </c>
      <c r="F402" s="2" t="str">
        <f>raw_order_lines!F402</f>
        <v>公斤</v>
      </c>
      <c r="G402" s="4">
        <f>raw_order_lines!G402</f>
        <v>10.4</v>
      </c>
      <c r="H402" s="4">
        <f>raw_order_lines!H402</f>
        <v>10.4</v>
      </c>
      <c r="I402" s="4">
        <f>raw_order_lines!I402</f>
        <v>0</v>
      </c>
      <c r="J402" s="5">
        <f>raw_order_lines!J402</f>
        <v>5.45</v>
      </c>
      <c r="K402" s="2" t="str">
        <f>raw_order_lines!K402</f>
        <v>正常交付</v>
      </c>
      <c r="L402" s="2" t="str">
        <f>raw_order_lines!L402</f>
        <v>true</v>
      </c>
      <c r="M402" s="2" t="str">
        <f>INDEX(dim_products!$B$2:$B$21,MATCH($E402,dim_products!$A$2:$A$21,0))</f>
        <v>青椒</v>
      </c>
      <c r="N402" s="2" t="str">
        <f>INDEX(dim_products!$C$2:$C$21,MATCH($E402,dim_products!$A$2:$A$21,0))</f>
        <v>散装鲜菜</v>
      </c>
      <c r="O402" s="2" t="str">
        <f>INDEX(dim_customers!$B$2:$B$7,MATCH($C402,dim_customers!$A$2:$A$7,0))</f>
        <v>模拟_田畔饭店</v>
      </c>
      <c r="P402" s="6">
        <f>INT((ROUND(raw_order_lines!H402*10,0)*ROUND(raw_order_lines!J402*100,0)+5)/10)/100</f>
        <v>56.68</v>
      </c>
      <c r="Q402" s="6">
        <f>INT((ROUND(raw_order_lines!I402*10,0)*ROUND(raw_order_lines!J402*100,0)+5)/10)/100</f>
        <v>0</v>
      </c>
      <c r="R402" s="6">
        <f t="shared" si="18"/>
        <v>56.68</v>
      </c>
      <c r="S402" s="2" t="str">
        <f>IF(OR(ROUND(raw_order_lines!I402*10,0)&gt;ROUND(raw_order_lines!H402*10,0),ROUND(raw_order_lines!H402*10,0)&gt;ROUND(raw_order_lines!G402*10,0),ROUND(raw_order_lines!G402*10,0)&lt;=0),"数量关系异常","")</f>
        <v/>
      </c>
      <c r="T402" s="2" t="str">
        <f>IF($F402&lt;&gt;INDEX(dim_products!$D$2:$D$21,MATCH($E402,dim_products!$A$2:$A$21,0)),"单位不一致","")</f>
        <v/>
      </c>
      <c r="U402" s="2" t="str">
        <f>IF(OR(ROUND(raw_order_lines!J402*100,0)&lt;ROUND(INDEX(dim_products!$F$2:$F$21,MATCH($E402,dim_products!$A$2:$A$21,0))*100,0),ROUND(raw_order_lines!J402*100,0)&gt;ROUND(INDEX(dim_products!$G$2:$G$21,MATCH($E402,dim_products!$A$2:$A$21,0))*100,0)),"单价越界","")</f>
        <v/>
      </c>
      <c r="V402" s="2" t="str">
        <f t="shared" si="19"/>
        <v/>
      </c>
      <c r="W402" s="2" t="str">
        <f t="shared" si="20"/>
        <v>通过</v>
      </c>
    </row>
    <row r="403" spans="1:23" ht="15">
      <c r="A403" s="2" t="str">
        <f>raw_order_lines!A403</f>
        <v>SIM-20260912-C004</v>
      </c>
      <c r="B403" s="2">
        <f>raw_order_lines!B403</f>
        <v>4</v>
      </c>
      <c r="C403" s="2" t="str">
        <f>raw_order_lines!C403</f>
        <v>C004</v>
      </c>
      <c r="D403" s="3">
        <f>raw_order_lines!D403</f>
        <v>46277</v>
      </c>
      <c r="E403" s="2" t="str">
        <f>raw_order_lines!E403</f>
        <v>P008</v>
      </c>
      <c r="F403" s="2" t="str">
        <f>raw_order_lines!F403</f>
        <v>公斤</v>
      </c>
      <c r="G403" s="4">
        <f>raw_order_lines!G403</f>
        <v>6.5</v>
      </c>
      <c r="H403" s="4">
        <f>raw_order_lines!H403</f>
        <v>6.3</v>
      </c>
      <c r="I403" s="4">
        <f>raw_order_lines!I403</f>
        <v>0</v>
      </c>
      <c r="J403" s="5">
        <f>raw_order_lines!J403</f>
        <v>4.4000000000000004</v>
      </c>
      <c r="K403" s="2" t="str">
        <f>raw_order_lines!K403</f>
        <v>到货不足；按实际交付计费</v>
      </c>
      <c r="L403" s="2" t="str">
        <f>raw_order_lines!L403</f>
        <v>true</v>
      </c>
      <c r="M403" s="2" t="str">
        <f>INDEX(dim_products!$B$2:$B$21,MATCH($E403,dim_products!$A$2:$A$21,0))</f>
        <v>黄瓜</v>
      </c>
      <c r="N403" s="2" t="str">
        <f>INDEX(dim_products!$C$2:$C$21,MATCH($E403,dim_products!$A$2:$A$21,0))</f>
        <v>散装鲜菜</v>
      </c>
      <c r="O403" s="2" t="str">
        <f>INDEX(dim_customers!$B$2:$B$7,MATCH($C403,dim_customers!$A$2:$A$7,0))</f>
        <v>模拟_田畔饭店</v>
      </c>
      <c r="P403" s="6">
        <f>INT((ROUND(raw_order_lines!H403*10,0)*ROUND(raw_order_lines!J403*100,0)+5)/10)/100</f>
        <v>27.72</v>
      </c>
      <c r="Q403" s="6">
        <f>INT((ROUND(raw_order_lines!I403*10,0)*ROUND(raw_order_lines!J403*100,0)+5)/10)/100</f>
        <v>0</v>
      </c>
      <c r="R403" s="6">
        <f t="shared" si="18"/>
        <v>27.72</v>
      </c>
      <c r="S403" s="2" t="str">
        <f>IF(OR(ROUND(raw_order_lines!I403*10,0)&gt;ROUND(raw_order_lines!H403*10,0),ROUND(raw_order_lines!H403*10,0)&gt;ROUND(raw_order_lines!G403*10,0),ROUND(raw_order_lines!G403*10,0)&lt;=0),"数量关系异常","")</f>
        <v/>
      </c>
      <c r="T403" s="2" t="str">
        <f>IF($F403&lt;&gt;INDEX(dim_products!$D$2:$D$21,MATCH($E403,dim_products!$A$2:$A$21,0)),"单位不一致","")</f>
        <v/>
      </c>
      <c r="U403" s="2" t="str">
        <f>IF(OR(ROUND(raw_order_lines!J403*100,0)&lt;ROUND(INDEX(dim_products!$F$2:$F$21,MATCH($E403,dim_products!$A$2:$A$21,0))*100,0),ROUND(raw_order_lines!J403*100,0)&gt;ROUND(INDEX(dim_products!$G$2:$G$21,MATCH($E403,dim_products!$A$2:$A$21,0))*100,0)),"单价越界","")</f>
        <v/>
      </c>
      <c r="V403" s="2" t="str">
        <f t="shared" si="19"/>
        <v/>
      </c>
      <c r="W403" s="2" t="str">
        <f t="shared" si="20"/>
        <v>通过</v>
      </c>
    </row>
    <row r="404" spans="1:23" ht="15">
      <c r="A404" s="2" t="str">
        <f>raw_order_lines!A404</f>
        <v>SIM-20260912-C004</v>
      </c>
      <c r="B404" s="2">
        <f>raw_order_lines!B404</f>
        <v>5</v>
      </c>
      <c r="C404" s="2" t="str">
        <f>raw_order_lines!C404</f>
        <v>C004</v>
      </c>
      <c r="D404" s="3">
        <f>raw_order_lines!D404</f>
        <v>46277</v>
      </c>
      <c r="E404" s="2" t="str">
        <f>raw_order_lines!E404</f>
        <v>P006</v>
      </c>
      <c r="F404" s="2" t="str">
        <f>raw_order_lines!F404</f>
        <v>公斤</v>
      </c>
      <c r="G404" s="4">
        <f>raw_order_lines!G404</f>
        <v>9.1</v>
      </c>
      <c r="H404" s="4">
        <f>raw_order_lines!H404</f>
        <v>9.1</v>
      </c>
      <c r="I404" s="4">
        <f>raw_order_lines!I404</f>
        <v>0</v>
      </c>
      <c r="J404" s="5">
        <f>raw_order_lines!J404</f>
        <v>4.8</v>
      </c>
      <c r="K404" s="2" t="str">
        <f>raw_order_lines!K404</f>
        <v>正常交付</v>
      </c>
      <c r="L404" s="2" t="str">
        <f>raw_order_lines!L404</f>
        <v>true</v>
      </c>
      <c r="M404" s="2" t="str">
        <f>INDEX(dim_products!$B$2:$B$21,MATCH($E404,dim_products!$A$2:$A$21,0))</f>
        <v>茄子</v>
      </c>
      <c r="N404" s="2" t="str">
        <f>INDEX(dim_products!$C$2:$C$21,MATCH($E404,dim_products!$A$2:$A$21,0))</f>
        <v>散装鲜菜</v>
      </c>
      <c r="O404" s="2" t="str">
        <f>INDEX(dim_customers!$B$2:$B$7,MATCH($C404,dim_customers!$A$2:$A$7,0))</f>
        <v>模拟_田畔饭店</v>
      </c>
      <c r="P404" s="6">
        <f>INT((ROUND(raw_order_lines!H404*10,0)*ROUND(raw_order_lines!J404*100,0)+5)/10)/100</f>
        <v>43.68</v>
      </c>
      <c r="Q404" s="6">
        <f>INT((ROUND(raw_order_lines!I404*10,0)*ROUND(raw_order_lines!J404*100,0)+5)/10)/100</f>
        <v>0</v>
      </c>
      <c r="R404" s="6">
        <f t="shared" si="18"/>
        <v>43.68</v>
      </c>
      <c r="S404" s="2" t="str">
        <f>IF(OR(ROUND(raw_order_lines!I404*10,0)&gt;ROUND(raw_order_lines!H404*10,0),ROUND(raw_order_lines!H404*10,0)&gt;ROUND(raw_order_lines!G404*10,0),ROUND(raw_order_lines!G404*10,0)&lt;=0),"数量关系异常","")</f>
        <v/>
      </c>
      <c r="T404" s="2" t="str">
        <f>IF($F404&lt;&gt;INDEX(dim_products!$D$2:$D$21,MATCH($E404,dim_products!$A$2:$A$21,0)),"单位不一致","")</f>
        <v/>
      </c>
      <c r="U404" s="2" t="str">
        <f>IF(OR(ROUND(raw_order_lines!J404*100,0)&lt;ROUND(INDEX(dim_products!$F$2:$F$21,MATCH($E404,dim_products!$A$2:$A$21,0))*100,0),ROUND(raw_order_lines!J404*100,0)&gt;ROUND(INDEX(dim_products!$G$2:$G$21,MATCH($E404,dim_products!$A$2:$A$21,0))*100,0)),"单价越界","")</f>
        <v/>
      </c>
      <c r="V404" s="2" t="str">
        <f t="shared" si="19"/>
        <v/>
      </c>
      <c r="W404" s="2" t="str">
        <f t="shared" si="20"/>
        <v>通过</v>
      </c>
    </row>
    <row r="405" spans="1:23" ht="15">
      <c r="A405" s="2" t="str">
        <f>raw_order_lines!A405</f>
        <v>SIM-20260912-C004</v>
      </c>
      <c r="B405" s="2">
        <f>raw_order_lines!B405</f>
        <v>6</v>
      </c>
      <c r="C405" s="2" t="str">
        <f>raw_order_lines!C405</f>
        <v>C004</v>
      </c>
      <c r="D405" s="3">
        <f>raw_order_lines!D405</f>
        <v>46277</v>
      </c>
      <c r="E405" s="2" t="str">
        <f>raw_order_lines!E405</f>
        <v>P004</v>
      </c>
      <c r="F405" s="2" t="str">
        <f>raw_order_lines!F405</f>
        <v>公斤</v>
      </c>
      <c r="G405" s="4">
        <f>raw_order_lines!G405</f>
        <v>5.2</v>
      </c>
      <c r="H405" s="4">
        <f>raw_order_lines!H405</f>
        <v>5.2</v>
      </c>
      <c r="I405" s="4">
        <f>raw_order_lines!I405</f>
        <v>0</v>
      </c>
      <c r="J405" s="5">
        <f>raw_order_lines!J405</f>
        <v>2.7</v>
      </c>
      <c r="K405" s="2" t="str">
        <f>raw_order_lines!K405</f>
        <v>正常交付</v>
      </c>
      <c r="L405" s="2" t="str">
        <f>raw_order_lines!L405</f>
        <v>true</v>
      </c>
      <c r="M405" s="2" t="str">
        <f>INDEX(dim_products!$B$2:$B$21,MATCH($E405,dim_products!$A$2:$A$21,0))</f>
        <v>冬瓜</v>
      </c>
      <c r="N405" s="2" t="str">
        <f>INDEX(dim_products!$C$2:$C$21,MATCH($E405,dim_products!$A$2:$A$21,0))</f>
        <v>散装鲜菜</v>
      </c>
      <c r="O405" s="2" t="str">
        <f>INDEX(dim_customers!$B$2:$B$7,MATCH($C405,dim_customers!$A$2:$A$7,0))</f>
        <v>模拟_田畔饭店</v>
      </c>
      <c r="P405" s="6">
        <f>INT((ROUND(raw_order_lines!H405*10,0)*ROUND(raw_order_lines!J405*100,0)+5)/10)/100</f>
        <v>14.04</v>
      </c>
      <c r="Q405" s="6">
        <f>INT((ROUND(raw_order_lines!I405*10,0)*ROUND(raw_order_lines!J405*100,0)+5)/10)/100</f>
        <v>0</v>
      </c>
      <c r="R405" s="6">
        <f t="shared" si="18"/>
        <v>14.04</v>
      </c>
      <c r="S405" s="2" t="str">
        <f>IF(OR(ROUND(raw_order_lines!I405*10,0)&gt;ROUND(raw_order_lines!H405*10,0),ROUND(raw_order_lines!H405*10,0)&gt;ROUND(raw_order_lines!G405*10,0),ROUND(raw_order_lines!G405*10,0)&lt;=0),"数量关系异常","")</f>
        <v/>
      </c>
      <c r="T405" s="2" t="str">
        <f>IF($F405&lt;&gt;INDEX(dim_products!$D$2:$D$21,MATCH($E405,dim_products!$A$2:$A$21,0)),"单位不一致","")</f>
        <v/>
      </c>
      <c r="U405" s="2" t="str">
        <f>IF(OR(ROUND(raw_order_lines!J405*100,0)&lt;ROUND(INDEX(dim_products!$F$2:$F$21,MATCH($E405,dim_products!$A$2:$A$21,0))*100,0),ROUND(raw_order_lines!J405*100,0)&gt;ROUND(INDEX(dim_products!$G$2:$G$21,MATCH($E405,dim_products!$A$2:$A$21,0))*100,0)),"单价越界","")</f>
        <v/>
      </c>
      <c r="V405" s="2" t="str">
        <f t="shared" si="19"/>
        <v/>
      </c>
      <c r="W405" s="2" t="str">
        <f t="shared" si="20"/>
        <v>通过</v>
      </c>
    </row>
    <row r="406" spans="1:23" ht="15">
      <c r="A406" s="2" t="str">
        <f>raw_order_lines!A406</f>
        <v>SIM-20260912-C004</v>
      </c>
      <c r="B406" s="2">
        <f>raw_order_lines!B406</f>
        <v>7</v>
      </c>
      <c r="C406" s="2" t="str">
        <f>raw_order_lines!C406</f>
        <v>C004</v>
      </c>
      <c r="D406" s="3">
        <f>raw_order_lines!D406</f>
        <v>46277</v>
      </c>
      <c r="E406" s="2" t="str">
        <f>raw_order_lines!E406</f>
        <v>P017</v>
      </c>
      <c r="F406" s="2" t="str">
        <f>raw_order_lines!F406</f>
        <v>袋</v>
      </c>
      <c r="G406" s="4">
        <f>raw_order_lines!G406</f>
        <v>3</v>
      </c>
      <c r="H406" s="4">
        <f>raw_order_lines!H406</f>
        <v>3</v>
      </c>
      <c r="I406" s="4">
        <f>raw_order_lines!I406</f>
        <v>0</v>
      </c>
      <c r="J406" s="5">
        <f>raw_order_lines!J406</f>
        <v>116</v>
      </c>
      <c r="K406" s="2" t="str">
        <f>raw_order_lines!K406</f>
        <v>正常交付</v>
      </c>
      <c r="L406" s="2" t="str">
        <f>raw_order_lines!L406</f>
        <v>true</v>
      </c>
      <c r="M406" s="2" t="str">
        <f>INDEX(dim_products!$B$2:$B$21,MATCH($E406,dim_products!$A$2:$A$21,0))</f>
        <v>籼米</v>
      </c>
      <c r="N406" s="2" t="str">
        <f>INDEX(dim_products!$C$2:$C$21,MATCH($E406,dim_products!$A$2:$A$21,0))</f>
        <v>25公斤/袋普通籼米</v>
      </c>
      <c r="O406" s="2" t="str">
        <f>INDEX(dim_customers!$B$2:$B$7,MATCH($C406,dim_customers!$A$2:$A$7,0))</f>
        <v>模拟_田畔饭店</v>
      </c>
      <c r="P406" s="6">
        <f>INT((ROUND(raw_order_lines!H406*10,0)*ROUND(raw_order_lines!J406*100,0)+5)/10)/100</f>
        <v>348</v>
      </c>
      <c r="Q406" s="6">
        <f>INT((ROUND(raw_order_lines!I406*10,0)*ROUND(raw_order_lines!J406*100,0)+5)/10)/100</f>
        <v>0</v>
      </c>
      <c r="R406" s="6">
        <f t="shared" si="18"/>
        <v>348</v>
      </c>
      <c r="S406" s="2" t="str">
        <f>IF(OR(ROUND(raw_order_lines!I406*10,0)&gt;ROUND(raw_order_lines!H406*10,0),ROUND(raw_order_lines!H406*10,0)&gt;ROUND(raw_order_lines!G406*10,0),ROUND(raw_order_lines!G406*10,0)&lt;=0),"数量关系异常","")</f>
        <v/>
      </c>
      <c r="T406" s="2" t="str">
        <f>IF($F406&lt;&gt;INDEX(dim_products!$D$2:$D$21,MATCH($E406,dim_products!$A$2:$A$21,0)),"单位不一致","")</f>
        <v/>
      </c>
      <c r="U406" s="2" t="str">
        <f>IF(OR(ROUND(raw_order_lines!J406*100,0)&lt;ROUND(INDEX(dim_products!$F$2:$F$21,MATCH($E406,dim_products!$A$2:$A$21,0))*100,0),ROUND(raw_order_lines!J406*100,0)&gt;ROUND(INDEX(dim_products!$G$2:$G$21,MATCH($E406,dim_products!$A$2:$A$21,0))*100,0)),"单价越界","")</f>
        <v/>
      </c>
      <c r="V406" s="2" t="str">
        <f t="shared" si="19"/>
        <v/>
      </c>
      <c r="W406" s="2" t="str">
        <f t="shared" si="20"/>
        <v>通过</v>
      </c>
    </row>
    <row r="407" spans="1:23" ht="15">
      <c r="A407" s="2" t="str">
        <f>raw_order_lines!A407</f>
        <v>SIM-20260912-C004</v>
      </c>
      <c r="B407" s="2">
        <f>raw_order_lines!B407</f>
        <v>8</v>
      </c>
      <c r="C407" s="2" t="str">
        <f>raw_order_lines!C407</f>
        <v>C004</v>
      </c>
      <c r="D407" s="3">
        <f>raw_order_lines!D407</f>
        <v>46277</v>
      </c>
      <c r="E407" s="2" t="str">
        <f>raw_order_lines!E407</f>
        <v>P019</v>
      </c>
      <c r="F407" s="2" t="str">
        <f>raw_order_lines!F407</f>
        <v>桶</v>
      </c>
      <c r="G407" s="4">
        <f>raw_order_lines!G407</f>
        <v>1</v>
      </c>
      <c r="H407" s="4">
        <f>raw_order_lines!H407</f>
        <v>1</v>
      </c>
      <c r="I407" s="4">
        <f>raw_order_lines!I407</f>
        <v>0</v>
      </c>
      <c r="J407" s="5">
        <f>raw_order_lines!J407</f>
        <v>66</v>
      </c>
      <c r="K407" s="2" t="str">
        <f>raw_order_lines!K407</f>
        <v>正常交付</v>
      </c>
      <c r="L407" s="2" t="str">
        <f>raw_order_lines!L407</f>
        <v>true</v>
      </c>
      <c r="M407" s="2" t="str">
        <f>INDEX(dim_products!$B$2:$B$21,MATCH($E407,dim_products!$A$2:$A$21,0))</f>
        <v>菜籽油</v>
      </c>
      <c r="N407" s="2" t="str">
        <f>INDEX(dim_products!$C$2:$C$21,MATCH($E407,dim_products!$A$2:$A$21,0))</f>
        <v>5升/桶普通菜籽油</v>
      </c>
      <c r="O407" s="2" t="str">
        <f>INDEX(dim_customers!$B$2:$B$7,MATCH($C407,dim_customers!$A$2:$A$7,0))</f>
        <v>模拟_田畔饭店</v>
      </c>
      <c r="P407" s="6">
        <f>INT((ROUND(raw_order_lines!H407*10,0)*ROUND(raw_order_lines!J407*100,0)+5)/10)/100</f>
        <v>66</v>
      </c>
      <c r="Q407" s="6">
        <f>INT((ROUND(raw_order_lines!I407*10,0)*ROUND(raw_order_lines!J407*100,0)+5)/10)/100</f>
        <v>0</v>
      </c>
      <c r="R407" s="6">
        <f t="shared" si="18"/>
        <v>66</v>
      </c>
      <c r="S407" s="2" t="str">
        <f>IF(OR(ROUND(raw_order_lines!I407*10,0)&gt;ROUND(raw_order_lines!H407*10,0),ROUND(raw_order_lines!H407*10,0)&gt;ROUND(raw_order_lines!G407*10,0),ROUND(raw_order_lines!G407*10,0)&lt;=0),"数量关系异常","")</f>
        <v/>
      </c>
      <c r="T407" s="2" t="str">
        <f>IF($F407&lt;&gt;INDEX(dim_products!$D$2:$D$21,MATCH($E407,dim_products!$A$2:$A$21,0)),"单位不一致","")</f>
        <v/>
      </c>
      <c r="U407" s="2" t="str">
        <f>IF(OR(ROUND(raw_order_lines!J407*100,0)&lt;ROUND(INDEX(dim_products!$F$2:$F$21,MATCH($E407,dim_products!$A$2:$A$21,0))*100,0),ROUND(raw_order_lines!J407*100,0)&gt;ROUND(INDEX(dim_products!$G$2:$G$21,MATCH($E407,dim_products!$A$2:$A$21,0))*100,0)),"单价越界","")</f>
        <v/>
      </c>
      <c r="V407" s="2" t="str">
        <f t="shared" si="19"/>
        <v/>
      </c>
      <c r="W407" s="2" t="str">
        <f t="shared" si="20"/>
        <v>通过</v>
      </c>
    </row>
    <row r="408" spans="1:23" ht="15">
      <c r="A408" s="2" t="str">
        <f>raw_order_lines!A408</f>
        <v>SIM-20260912-C006</v>
      </c>
      <c r="B408" s="2">
        <f>raw_order_lines!B408</f>
        <v>1</v>
      </c>
      <c r="C408" s="2" t="str">
        <f>raw_order_lines!C408</f>
        <v>C006</v>
      </c>
      <c r="D408" s="3">
        <f>raw_order_lines!D408</f>
        <v>46277</v>
      </c>
      <c r="E408" s="2" t="str">
        <f>raw_order_lines!E408</f>
        <v>P011</v>
      </c>
      <c r="F408" s="2" t="str">
        <f>raw_order_lines!F408</f>
        <v>公斤</v>
      </c>
      <c r="G408" s="4">
        <f>raw_order_lines!G408</f>
        <v>5.4</v>
      </c>
      <c r="H408" s="4">
        <f>raw_order_lines!H408</f>
        <v>5.4</v>
      </c>
      <c r="I408" s="4">
        <f>raw_order_lines!I408</f>
        <v>0</v>
      </c>
      <c r="J408" s="5">
        <f>raw_order_lines!J408</f>
        <v>4.3</v>
      </c>
      <c r="K408" s="2" t="str">
        <f>raw_order_lines!K408</f>
        <v>正常交付</v>
      </c>
      <c r="L408" s="2" t="str">
        <f>raw_order_lines!L408</f>
        <v>true</v>
      </c>
      <c r="M408" s="2" t="str">
        <f>INDEX(dim_products!$B$2:$B$21,MATCH($E408,dim_products!$A$2:$A$21,0))</f>
        <v>红薯叶</v>
      </c>
      <c r="N408" s="2" t="str">
        <f>INDEX(dim_products!$C$2:$C$21,MATCH($E408,dim_products!$A$2:$A$21,0))</f>
        <v>散装鲜菜</v>
      </c>
      <c r="O408" s="2" t="str">
        <f>INDEX(dim_customers!$B$2:$B$7,MATCH($C408,dim_customers!$A$2:$A$7,0))</f>
        <v>模拟_溪桥医院食堂</v>
      </c>
      <c r="P408" s="6">
        <f>INT((ROUND(raw_order_lines!H408*10,0)*ROUND(raw_order_lines!J408*100,0)+5)/10)/100</f>
        <v>23.22</v>
      </c>
      <c r="Q408" s="6">
        <f>INT((ROUND(raw_order_lines!I408*10,0)*ROUND(raw_order_lines!J408*100,0)+5)/10)/100</f>
        <v>0</v>
      </c>
      <c r="R408" s="6">
        <f t="shared" si="18"/>
        <v>23.22</v>
      </c>
      <c r="S408" s="2" t="str">
        <f>IF(OR(ROUND(raw_order_lines!I408*10,0)&gt;ROUND(raw_order_lines!H408*10,0),ROUND(raw_order_lines!H408*10,0)&gt;ROUND(raw_order_lines!G408*10,0),ROUND(raw_order_lines!G408*10,0)&lt;=0),"数量关系异常","")</f>
        <v/>
      </c>
      <c r="T408" s="2" t="str">
        <f>IF($F408&lt;&gt;INDEX(dim_products!$D$2:$D$21,MATCH($E408,dim_products!$A$2:$A$21,0)),"单位不一致","")</f>
        <v/>
      </c>
      <c r="U408" s="2" t="str">
        <f>IF(OR(ROUND(raw_order_lines!J408*100,0)&lt;ROUND(INDEX(dim_products!$F$2:$F$21,MATCH($E408,dim_products!$A$2:$A$21,0))*100,0),ROUND(raw_order_lines!J408*100,0)&gt;ROUND(INDEX(dim_products!$G$2:$G$21,MATCH($E408,dim_products!$A$2:$A$21,0))*100,0)),"单价越界","")</f>
        <v/>
      </c>
      <c r="V408" s="2" t="str">
        <f t="shared" si="19"/>
        <v/>
      </c>
      <c r="W408" s="2" t="str">
        <f t="shared" si="20"/>
        <v>通过</v>
      </c>
    </row>
    <row r="409" spans="1:23" ht="15">
      <c r="A409" s="2" t="str">
        <f>raw_order_lines!A409</f>
        <v>SIM-20260912-C006</v>
      </c>
      <c r="B409" s="2">
        <f>raw_order_lines!B409</f>
        <v>2</v>
      </c>
      <c r="C409" s="2" t="str">
        <f>raw_order_lines!C409</f>
        <v>C006</v>
      </c>
      <c r="D409" s="3">
        <f>raw_order_lines!D409</f>
        <v>46277</v>
      </c>
      <c r="E409" s="2" t="str">
        <f>raw_order_lines!E409</f>
        <v>P005</v>
      </c>
      <c r="F409" s="2" t="str">
        <f>raw_order_lines!F409</f>
        <v>公斤</v>
      </c>
      <c r="G409" s="4">
        <f>raw_order_lines!G409</f>
        <v>8.8000000000000007</v>
      </c>
      <c r="H409" s="4">
        <f>raw_order_lines!H409</f>
        <v>8.8000000000000007</v>
      </c>
      <c r="I409" s="4">
        <f>raw_order_lines!I409</f>
        <v>0</v>
      </c>
      <c r="J409" s="5">
        <f>raw_order_lines!J409</f>
        <v>2.7</v>
      </c>
      <c r="K409" s="2" t="str">
        <f>raw_order_lines!K409</f>
        <v>正常交付</v>
      </c>
      <c r="L409" s="2" t="str">
        <f>raw_order_lines!L409</f>
        <v>true</v>
      </c>
      <c r="M409" s="2" t="str">
        <f>INDEX(dim_products!$B$2:$B$21,MATCH($E409,dim_products!$A$2:$A$21,0))</f>
        <v>南瓜</v>
      </c>
      <c r="N409" s="2" t="str">
        <f>INDEX(dim_products!$C$2:$C$21,MATCH($E409,dim_products!$A$2:$A$21,0))</f>
        <v>散装鲜菜</v>
      </c>
      <c r="O409" s="2" t="str">
        <f>INDEX(dim_customers!$B$2:$B$7,MATCH($C409,dim_customers!$A$2:$A$7,0))</f>
        <v>模拟_溪桥医院食堂</v>
      </c>
      <c r="P409" s="6">
        <f>INT((ROUND(raw_order_lines!H409*10,0)*ROUND(raw_order_lines!J409*100,0)+5)/10)/100</f>
        <v>23.76</v>
      </c>
      <c r="Q409" s="6">
        <f>INT((ROUND(raw_order_lines!I409*10,0)*ROUND(raw_order_lines!J409*100,0)+5)/10)/100</f>
        <v>0</v>
      </c>
      <c r="R409" s="6">
        <f t="shared" si="18"/>
        <v>23.76</v>
      </c>
      <c r="S409" s="2" t="str">
        <f>IF(OR(ROUND(raw_order_lines!I409*10,0)&gt;ROUND(raw_order_lines!H409*10,0),ROUND(raw_order_lines!H409*10,0)&gt;ROUND(raw_order_lines!G409*10,0),ROUND(raw_order_lines!G409*10,0)&lt;=0),"数量关系异常","")</f>
        <v/>
      </c>
      <c r="T409" s="2" t="str">
        <f>IF($F409&lt;&gt;INDEX(dim_products!$D$2:$D$21,MATCH($E409,dim_products!$A$2:$A$21,0)),"单位不一致","")</f>
        <v/>
      </c>
      <c r="U409" s="2" t="str">
        <f>IF(OR(ROUND(raw_order_lines!J409*100,0)&lt;ROUND(INDEX(dim_products!$F$2:$F$21,MATCH($E409,dim_products!$A$2:$A$21,0))*100,0),ROUND(raw_order_lines!J409*100,0)&gt;ROUND(INDEX(dim_products!$G$2:$G$21,MATCH($E409,dim_products!$A$2:$A$21,0))*100,0)),"单价越界","")</f>
        <v/>
      </c>
      <c r="V409" s="2" t="str">
        <f t="shared" si="19"/>
        <v/>
      </c>
      <c r="W409" s="2" t="str">
        <f t="shared" si="20"/>
        <v>通过</v>
      </c>
    </row>
    <row r="410" spans="1:23" ht="15">
      <c r="A410" s="2" t="str">
        <f>raw_order_lines!A410</f>
        <v>SIM-20260912-C006</v>
      </c>
      <c r="B410" s="2">
        <f>raw_order_lines!B410</f>
        <v>3</v>
      </c>
      <c r="C410" s="2" t="str">
        <f>raw_order_lines!C410</f>
        <v>C006</v>
      </c>
      <c r="D410" s="3">
        <f>raw_order_lines!D410</f>
        <v>46277</v>
      </c>
      <c r="E410" s="2" t="str">
        <f>raw_order_lines!E410</f>
        <v>P013</v>
      </c>
      <c r="F410" s="2" t="str">
        <f>raw_order_lines!F410</f>
        <v>公斤</v>
      </c>
      <c r="G410" s="4">
        <f>raw_order_lines!G410</f>
        <v>8.8000000000000007</v>
      </c>
      <c r="H410" s="4">
        <f>raw_order_lines!H410</f>
        <v>8.8000000000000007</v>
      </c>
      <c r="I410" s="4">
        <f>raw_order_lines!I410</f>
        <v>0</v>
      </c>
      <c r="J410" s="5">
        <f>raw_order_lines!J410</f>
        <v>6</v>
      </c>
      <c r="K410" s="2" t="str">
        <f>raw_order_lines!K410</f>
        <v>正常交付</v>
      </c>
      <c r="L410" s="2" t="str">
        <f>raw_order_lines!L410</f>
        <v>true</v>
      </c>
      <c r="M410" s="2" t="str">
        <f>INDEX(dim_products!$B$2:$B$21,MATCH($E410,dim_products!$A$2:$A$21,0))</f>
        <v>豇豆</v>
      </c>
      <c r="N410" s="2" t="str">
        <f>INDEX(dim_products!$C$2:$C$21,MATCH($E410,dim_products!$A$2:$A$21,0))</f>
        <v>散装鲜菜</v>
      </c>
      <c r="O410" s="2" t="str">
        <f>INDEX(dim_customers!$B$2:$B$7,MATCH($C410,dim_customers!$A$2:$A$7,0))</f>
        <v>模拟_溪桥医院食堂</v>
      </c>
      <c r="P410" s="6">
        <f>INT((ROUND(raw_order_lines!H410*10,0)*ROUND(raw_order_lines!J410*100,0)+5)/10)/100</f>
        <v>52.8</v>
      </c>
      <c r="Q410" s="6">
        <f>INT((ROUND(raw_order_lines!I410*10,0)*ROUND(raw_order_lines!J410*100,0)+5)/10)/100</f>
        <v>0</v>
      </c>
      <c r="R410" s="6">
        <f t="shared" si="18"/>
        <v>52.8</v>
      </c>
      <c r="S410" s="2" t="str">
        <f>IF(OR(ROUND(raw_order_lines!I410*10,0)&gt;ROUND(raw_order_lines!H410*10,0),ROUND(raw_order_lines!H410*10,0)&gt;ROUND(raw_order_lines!G410*10,0),ROUND(raw_order_lines!G410*10,0)&lt;=0),"数量关系异常","")</f>
        <v/>
      </c>
      <c r="T410" s="2" t="str">
        <f>IF($F410&lt;&gt;INDEX(dim_products!$D$2:$D$21,MATCH($E410,dim_products!$A$2:$A$21,0)),"单位不一致","")</f>
        <v/>
      </c>
      <c r="U410" s="2" t="str">
        <f>IF(OR(ROUND(raw_order_lines!J410*100,0)&lt;ROUND(INDEX(dim_products!$F$2:$F$21,MATCH($E410,dim_products!$A$2:$A$21,0))*100,0),ROUND(raw_order_lines!J410*100,0)&gt;ROUND(INDEX(dim_products!$G$2:$G$21,MATCH($E410,dim_products!$A$2:$A$21,0))*100,0)),"单价越界","")</f>
        <v/>
      </c>
      <c r="V410" s="2" t="str">
        <f t="shared" si="19"/>
        <v/>
      </c>
      <c r="W410" s="2" t="str">
        <f t="shared" si="20"/>
        <v>通过</v>
      </c>
    </row>
    <row r="411" spans="1:23" ht="15">
      <c r="A411" s="2" t="str">
        <f>raw_order_lines!A411</f>
        <v>SIM-20260912-C006</v>
      </c>
      <c r="B411" s="2">
        <f>raw_order_lines!B411</f>
        <v>4</v>
      </c>
      <c r="C411" s="2" t="str">
        <f>raw_order_lines!C411</f>
        <v>C006</v>
      </c>
      <c r="D411" s="3">
        <f>raw_order_lines!D411</f>
        <v>46277</v>
      </c>
      <c r="E411" s="2" t="str">
        <f>raw_order_lines!E411</f>
        <v>P006</v>
      </c>
      <c r="F411" s="2" t="str">
        <f>raw_order_lines!F411</f>
        <v>公斤</v>
      </c>
      <c r="G411" s="4">
        <f>raw_order_lines!G411</f>
        <v>8.8000000000000007</v>
      </c>
      <c r="H411" s="4">
        <f>raw_order_lines!H411</f>
        <v>8.8000000000000007</v>
      </c>
      <c r="I411" s="4">
        <f>raw_order_lines!I411</f>
        <v>0</v>
      </c>
      <c r="J411" s="5">
        <f>raw_order_lines!J411</f>
        <v>4.8</v>
      </c>
      <c r="K411" s="2" t="str">
        <f>raw_order_lines!K411</f>
        <v>正常交付</v>
      </c>
      <c r="L411" s="2" t="str">
        <f>raw_order_lines!L411</f>
        <v>true</v>
      </c>
      <c r="M411" s="2" t="str">
        <f>INDEX(dim_products!$B$2:$B$21,MATCH($E411,dim_products!$A$2:$A$21,0))</f>
        <v>茄子</v>
      </c>
      <c r="N411" s="2" t="str">
        <f>INDEX(dim_products!$C$2:$C$21,MATCH($E411,dim_products!$A$2:$A$21,0))</f>
        <v>散装鲜菜</v>
      </c>
      <c r="O411" s="2" t="str">
        <f>INDEX(dim_customers!$B$2:$B$7,MATCH($C411,dim_customers!$A$2:$A$7,0))</f>
        <v>模拟_溪桥医院食堂</v>
      </c>
      <c r="P411" s="6">
        <f>INT((ROUND(raw_order_lines!H411*10,0)*ROUND(raw_order_lines!J411*100,0)+5)/10)/100</f>
        <v>42.24</v>
      </c>
      <c r="Q411" s="6">
        <f>INT((ROUND(raw_order_lines!I411*10,0)*ROUND(raw_order_lines!J411*100,0)+5)/10)/100</f>
        <v>0</v>
      </c>
      <c r="R411" s="6">
        <f t="shared" si="18"/>
        <v>42.24</v>
      </c>
      <c r="S411" s="2" t="str">
        <f>IF(OR(ROUND(raw_order_lines!I411*10,0)&gt;ROUND(raw_order_lines!H411*10,0),ROUND(raw_order_lines!H411*10,0)&gt;ROUND(raw_order_lines!G411*10,0),ROUND(raw_order_lines!G411*10,0)&lt;=0),"数量关系异常","")</f>
        <v/>
      </c>
      <c r="T411" s="2" t="str">
        <f>IF($F411&lt;&gt;INDEX(dim_products!$D$2:$D$21,MATCH($E411,dim_products!$A$2:$A$21,0)),"单位不一致","")</f>
        <v/>
      </c>
      <c r="U411" s="2" t="str">
        <f>IF(OR(ROUND(raw_order_lines!J411*100,0)&lt;ROUND(INDEX(dim_products!$F$2:$F$21,MATCH($E411,dim_products!$A$2:$A$21,0))*100,0),ROUND(raw_order_lines!J411*100,0)&gt;ROUND(INDEX(dim_products!$G$2:$G$21,MATCH($E411,dim_products!$A$2:$A$21,0))*100,0)),"单价越界","")</f>
        <v/>
      </c>
      <c r="V411" s="2" t="str">
        <f t="shared" si="19"/>
        <v/>
      </c>
      <c r="W411" s="2" t="str">
        <f t="shared" si="20"/>
        <v>通过</v>
      </c>
    </row>
    <row r="412" spans="1:23" ht="15">
      <c r="A412" s="2" t="str">
        <f>raw_order_lines!A412</f>
        <v>SIM-20260912-C006</v>
      </c>
      <c r="B412" s="2">
        <f>raw_order_lines!B412</f>
        <v>5</v>
      </c>
      <c r="C412" s="2" t="str">
        <f>raw_order_lines!C412</f>
        <v>C006</v>
      </c>
      <c r="D412" s="3">
        <f>raw_order_lines!D412</f>
        <v>46277</v>
      </c>
      <c r="E412" s="2" t="str">
        <f>raw_order_lines!E412</f>
        <v>P014</v>
      </c>
      <c r="F412" s="2" t="str">
        <f>raw_order_lines!F412</f>
        <v>公斤</v>
      </c>
      <c r="G412" s="4">
        <f>raw_order_lines!G412</f>
        <v>4.7</v>
      </c>
      <c r="H412" s="4">
        <f>raw_order_lines!H412</f>
        <v>4.7</v>
      </c>
      <c r="I412" s="4">
        <f>raw_order_lines!I412</f>
        <v>0</v>
      </c>
      <c r="J412" s="5">
        <f>raw_order_lines!J412</f>
        <v>5</v>
      </c>
      <c r="K412" s="2" t="str">
        <f>raw_order_lines!K412</f>
        <v>正常交付</v>
      </c>
      <c r="L412" s="2" t="str">
        <f>raw_order_lines!L412</f>
        <v>true</v>
      </c>
      <c r="M412" s="2" t="str">
        <f>INDEX(dim_products!$B$2:$B$21,MATCH($E412,dim_products!$A$2:$A$21,0))</f>
        <v>丝瓜</v>
      </c>
      <c r="N412" s="2" t="str">
        <f>INDEX(dim_products!$C$2:$C$21,MATCH($E412,dim_products!$A$2:$A$21,0))</f>
        <v>散装鲜菜</v>
      </c>
      <c r="O412" s="2" t="str">
        <f>INDEX(dim_customers!$B$2:$B$7,MATCH($C412,dim_customers!$A$2:$A$7,0))</f>
        <v>模拟_溪桥医院食堂</v>
      </c>
      <c r="P412" s="6">
        <f>INT((ROUND(raw_order_lines!H412*10,0)*ROUND(raw_order_lines!J412*100,0)+5)/10)/100</f>
        <v>23.5</v>
      </c>
      <c r="Q412" s="6">
        <f>INT((ROUND(raw_order_lines!I412*10,0)*ROUND(raw_order_lines!J412*100,0)+5)/10)/100</f>
        <v>0</v>
      </c>
      <c r="R412" s="6">
        <f t="shared" si="18"/>
        <v>23.5</v>
      </c>
      <c r="S412" s="2" t="str">
        <f>IF(OR(ROUND(raw_order_lines!I412*10,0)&gt;ROUND(raw_order_lines!H412*10,0),ROUND(raw_order_lines!H412*10,0)&gt;ROUND(raw_order_lines!G412*10,0),ROUND(raw_order_lines!G412*10,0)&lt;=0),"数量关系异常","")</f>
        <v/>
      </c>
      <c r="T412" s="2" t="str">
        <f>IF($F412&lt;&gt;INDEX(dim_products!$D$2:$D$21,MATCH($E412,dim_products!$A$2:$A$21,0)),"单位不一致","")</f>
        <v/>
      </c>
      <c r="U412" s="2" t="str">
        <f>IF(OR(ROUND(raw_order_lines!J412*100,0)&lt;ROUND(INDEX(dim_products!$F$2:$F$21,MATCH($E412,dim_products!$A$2:$A$21,0))*100,0),ROUND(raw_order_lines!J412*100,0)&gt;ROUND(INDEX(dim_products!$G$2:$G$21,MATCH($E412,dim_products!$A$2:$A$21,0))*100,0)),"单价越界","")</f>
        <v/>
      </c>
      <c r="V412" s="2" t="str">
        <f t="shared" si="19"/>
        <v/>
      </c>
      <c r="W412" s="2" t="str">
        <f t="shared" si="20"/>
        <v>通过</v>
      </c>
    </row>
    <row r="413" spans="1:23" ht="15">
      <c r="A413" s="2" t="str">
        <f>raw_order_lines!A413</f>
        <v>SIM-20260912-C006</v>
      </c>
      <c r="B413" s="2">
        <f>raw_order_lines!B413</f>
        <v>6</v>
      </c>
      <c r="C413" s="2" t="str">
        <f>raw_order_lines!C413</f>
        <v>C006</v>
      </c>
      <c r="D413" s="3">
        <f>raw_order_lines!D413</f>
        <v>46277</v>
      </c>
      <c r="E413" s="2" t="str">
        <f>raw_order_lines!E413</f>
        <v>P008</v>
      </c>
      <c r="F413" s="2" t="str">
        <f>raw_order_lines!F413</f>
        <v>公斤</v>
      </c>
      <c r="G413" s="4">
        <f>raw_order_lines!G413</f>
        <v>6.8</v>
      </c>
      <c r="H413" s="4">
        <f>raw_order_lines!H413</f>
        <v>6.8</v>
      </c>
      <c r="I413" s="4">
        <f>raw_order_lines!I413</f>
        <v>0</v>
      </c>
      <c r="J413" s="5">
        <f>raw_order_lines!J413</f>
        <v>4.4000000000000004</v>
      </c>
      <c r="K413" s="2" t="str">
        <f>raw_order_lines!K413</f>
        <v>正常交付</v>
      </c>
      <c r="L413" s="2" t="str">
        <f>raw_order_lines!L413</f>
        <v>true</v>
      </c>
      <c r="M413" s="2" t="str">
        <f>INDEX(dim_products!$B$2:$B$21,MATCH($E413,dim_products!$A$2:$A$21,0))</f>
        <v>黄瓜</v>
      </c>
      <c r="N413" s="2" t="str">
        <f>INDEX(dim_products!$C$2:$C$21,MATCH($E413,dim_products!$A$2:$A$21,0))</f>
        <v>散装鲜菜</v>
      </c>
      <c r="O413" s="2" t="str">
        <f>INDEX(dim_customers!$B$2:$B$7,MATCH($C413,dim_customers!$A$2:$A$7,0))</f>
        <v>模拟_溪桥医院食堂</v>
      </c>
      <c r="P413" s="6">
        <f>INT((ROUND(raw_order_lines!H413*10,0)*ROUND(raw_order_lines!J413*100,0)+5)/10)/100</f>
        <v>29.92</v>
      </c>
      <c r="Q413" s="6">
        <f>INT((ROUND(raw_order_lines!I413*10,0)*ROUND(raw_order_lines!J413*100,0)+5)/10)/100</f>
        <v>0</v>
      </c>
      <c r="R413" s="6">
        <f t="shared" si="18"/>
        <v>29.92</v>
      </c>
      <c r="S413" s="2" t="str">
        <f>IF(OR(ROUND(raw_order_lines!I413*10,0)&gt;ROUND(raw_order_lines!H413*10,0),ROUND(raw_order_lines!H413*10,0)&gt;ROUND(raw_order_lines!G413*10,0),ROUND(raw_order_lines!G413*10,0)&lt;=0),"数量关系异常","")</f>
        <v/>
      </c>
      <c r="T413" s="2" t="str">
        <f>IF($F413&lt;&gt;INDEX(dim_products!$D$2:$D$21,MATCH($E413,dim_products!$A$2:$A$21,0)),"单位不一致","")</f>
        <v/>
      </c>
      <c r="U413" s="2" t="str">
        <f>IF(OR(ROUND(raw_order_lines!J413*100,0)&lt;ROUND(INDEX(dim_products!$F$2:$F$21,MATCH($E413,dim_products!$A$2:$A$21,0))*100,0),ROUND(raw_order_lines!J413*100,0)&gt;ROUND(INDEX(dim_products!$G$2:$G$21,MATCH($E413,dim_products!$A$2:$A$21,0))*100,0)),"单价越界","")</f>
        <v/>
      </c>
      <c r="V413" s="2" t="str">
        <f t="shared" si="19"/>
        <v/>
      </c>
      <c r="W413" s="2" t="str">
        <f t="shared" si="20"/>
        <v>通过</v>
      </c>
    </row>
    <row r="414" spans="1:23" ht="15">
      <c r="A414" s="2" t="str">
        <f>raw_order_lines!A414</f>
        <v>SIM-20260913-C002</v>
      </c>
      <c r="B414" s="2">
        <f>raw_order_lines!B414</f>
        <v>1</v>
      </c>
      <c r="C414" s="2" t="str">
        <f>raw_order_lines!C414</f>
        <v>C002</v>
      </c>
      <c r="D414" s="3">
        <f>raw_order_lines!D414</f>
        <v>46278</v>
      </c>
      <c r="E414" s="2" t="str">
        <f>raw_order_lines!E414</f>
        <v>P010</v>
      </c>
      <c r="F414" s="2" t="str">
        <f>raw_order_lines!F414</f>
        <v>公斤</v>
      </c>
      <c r="G414" s="4">
        <f>raw_order_lines!G414</f>
        <v>8</v>
      </c>
      <c r="H414" s="4">
        <f>raw_order_lines!H414</f>
        <v>8</v>
      </c>
      <c r="I414" s="4">
        <f>raw_order_lines!I414</f>
        <v>0</v>
      </c>
      <c r="J414" s="5">
        <f>raw_order_lines!J414</f>
        <v>5</v>
      </c>
      <c r="K414" s="2" t="str">
        <f>raw_order_lines!K414</f>
        <v>正常交付</v>
      </c>
      <c r="L414" s="2" t="str">
        <f>raw_order_lines!L414</f>
        <v>true</v>
      </c>
      <c r="M414" s="2" t="str">
        <f>INDEX(dim_products!$B$2:$B$21,MATCH($E414,dim_products!$A$2:$A$21,0))</f>
        <v>空心菜</v>
      </c>
      <c r="N414" s="2" t="str">
        <f>INDEX(dim_products!$C$2:$C$21,MATCH($E414,dim_products!$A$2:$A$21,0))</f>
        <v>散装鲜菜</v>
      </c>
      <c r="O414" s="2" t="str">
        <f>INDEX(dim_customers!$B$2:$B$7,MATCH($C414,dim_customers!$A$2:$A$7,0))</f>
        <v>模拟_桥头家常菜馆</v>
      </c>
      <c r="P414" s="6">
        <f>INT((ROUND(raw_order_lines!H414*10,0)*ROUND(raw_order_lines!J414*100,0)+5)/10)/100</f>
        <v>40</v>
      </c>
      <c r="Q414" s="6">
        <f>INT((ROUND(raw_order_lines!I414*10,0)*ROUND(raw_order_lines!J414*100,0)+5)/10)/100</f>
        <v>0</v>
      </c>
      <c r="R414" s="6">
        <f t="shared" si="18"/>
        <v>40</v>
      </c>
      <c r="S414" s="2" t="str">
        <f>IF(OR(ROUND(raw_order_lines!I414*10,0)&gt;ROUND(raw_order_lines!H414*10,0),ROUND(raw_order_lines!H414*10,0)&gt;ROUND(raw_order_lines!G414*10,0),ROUND(raw_order_lines!G414*10,0)&lt;=0),"数量关系异常","")</f>
        <v/>
      </c>
      <c r="T414" s="2" t="str">
        <f>IF($F414&lt;&gt;INDEX(dim_products!$D$2:$D$21,MATCH($E414,dim_products!$A$2:$A$21,0)),"单位不一致","")</f>
        <v/>
      </c>
      <c r="U414" s="2" t="str">
        <f>IF(OR(ROUND(raw_order_lines!J414*100,0)&lt;ROUND(INDEX(dim_products!$F$2:$F$21,MATCH($E414,dim_products!$A$2:$A$21,0))*100,0),ROUND(raw_order_lines!J414*100,0)&gt;ROUND(INDEX(dim_products!$G$2:$G$21,MATCH($E414,dim_products!$A$2:$A$21,0))*100,0)),"单价越界","")</f>
        <v/>
      </c>
      <c r="V414" s="2" t="str">
        <f t="shared" si="19"/>
        <v/>
      </c>
      <c r="W414" s="2" t="str">
        <f t="shared" si="20"/>
        <v>通过</v>
      </c>
    </row>
    <row r="415" spans="1:23" ht="15">
      <c r="A415" s="2" t="str">
        <f>raw_order_lines!A415</f>
        <v>SIM-20260913-C002</v>
      </c>
      <c r="B415" s="2">
        <f>raw_order_lines!B415</f>
        <v>2</v>
      </c>
      <c r="C415" s="2" t="str">
        <f>raw_order_lines!C415</f>
        <v>C002</v>
      </c>
      <c r="D415" s="3">
        <f>raw_order_lines!D415</f>
        <v>46278</v>
      </c>
      <c r="E415" s="2" t="str">
        <f>raw_order_lines!E415</f>
        <v>P006</v>
      </c>
      <c r="F415" s="2" t="str">
        <f>raw_order_lines!F415</f>
        <v>公斤</v>
      </c>
      <c r="G415" s="4">
        <f>raw_order_lines!G415</f>
        <v>8.6</v>
      </c>
      <c r="H415" s="4">
        <f>raw_order_lines!H415</f>
        <v>8.6</v>
      </c>
      <c r="I415" s="4">
        <f>raw_order_lines!I415</f>
        <v>0</v>
      </c>
      <c r="J415" s="5">
        <f>raw_order_lines!J415</f>
        <v>4.8</v>
      </c>
      <c r="K415" s="2" t="str">
        <f>raw_order_lines!K415</f>
        <v>正常交付</v>
      </c>
      <c r="L415" s="2" t="str">
        <f>raw_order_lines!L415</f>
        <v>true</v>
      </c>
      <c r="M415" s="2" t="str">
        <f>INDEX(dim_products!$B$2:$B$21,MATCH($E415,dim_products!$A$2:$A$21,0))</f>
        <v>茄子</v>
      </c>
      <c r="N415" s="2" t="str">
        <f>INDEX(dim_products!$C$2:$C$21,MATCH($E415,dim_products!$A$2:$A$21,0))</f>
        <v>散装鲜菜</v>
      </c>
      <c r="O415" s="2" t="str">
        <f>INDEX(dim_customers!$B$2:$B$7,MATCH($C415,dim_customers!$A$2:$A$7,0))</f>
        <v>模拟_桥头家常菜馆</v>
      </c>
      <c r="P415" s="6">
        <f>INT((ROUND(raw_order_lines!H415*10,0)*ROUND(raw_order_lines!J415*100,0)+5)/10)/100</f>
        <v>41.28</v>
      </c>
      <c r="Q415" s="6">
        <f>INT((ROUND(raw_order_lines!I415*10,0)*ROUND(raw_order_lines!J415*100,0)+5)/10)/100</f>
        <v>0</v>
      </c>
      <c r="R415" s="6">
        <f t="shared" si="18"/>
        <v>41.28</v>
      </c>
      <c r="S415" s="2" t="str">
        <f>IF(OR(ROUND(raw_order_lines!I415*10,0)&gt;ROUND(raw_order_lines!H415*10,0),ROUND(raw_order_lines!H415*10,0)&gt;ROUND(raw_order_lines!G415*10,0),ROUND(raw_order_lines!G415*10,0)&lt;=0),"数量关系异常","")</f>
        <v/>
      </c>
      <c r="T415" s="2" t="str">
        <f>IF($F415&lt;&gt;INDEX(dim_products!$D$2:$D$21,MATCH($E415,dim_products!$A$2:$A$21,0)),"单位不一致","")</f>
        <v/>
      </c>
      <c r="U415" s="2" t="str">
        <f>IF(OR(ROUND(raw_order_lines!J415*100,0)&lt;ROUND(INDEX(dim_products!$F$2:$F$21,MATCH($E415,dim_products!$A$2:$A$21,0))*100,0),ROUND(raw_order_lines!J415*100,0)&gt;ROUND(INDEX(dim_products!$G$2:$G$21,MATCH($E415,dim_products!$A$2:$A$21,0))*100,0)),"单价越界","")</f>
        <v/>
      </c>
      <c r="V415" s="2" t="str">
        <f t="shared" si="19"/>
        <v/>
      </c>
      <c r="W415" s="2" t="str">
        <f t="shared" si="20"/>
        <v>通过</v>
      </c>
    </row>
    <row r="416" spans="1:23" ht="15">
      <c r="A416" s="2" t="str">
        <f>raw_order_lines!A416</f>
        <v>SIM-20260913-C002</v>
      </c>
      <c r="B416" s="2">
        <f>raw_order_lines!B416</f>
        <v>3</v>
      </c>
      <c r="C416" s="2" t="str">
        <f>raw_order_lines!C416</f>
        <v>C002</v>
      </c>
      <c r="D416" s="3">
        <f>raw_order_lines!D416</f>
        <v>46278</v>
      </c>
      <c r="E416" s="2" t="str">
        <f>raw_order_lines!E416</f>
        <v>P003</v>
      </c>
      <c r="F416" s="2" t="str">
        <f>raw_order_lines!F416</f>
        <v>公斤</v>
      </c>
      <c r="G416" s="4">
        <f>raw_order_lines!G416</f>
        <v>7.5</v>
      </c>
      <c r="H416" s="4">
        <f>raw_order_lines!H416</f>
        <v>7.5</v>
      </c>
      <c r="I416" s="4">
        <f>raw_order_lines!I416</f>
        <v>0</v>
      </c>
      <c r="J416" s="5">
        <f>raw_order_lines!J416</f>
        <v>2.9</v>
      </c>
      <c r="K416" s="2" t="str">
        <f>raw_order_lines!K416</f>
        <v>正常交付</v>
      </c>
      <c r="L416" s="2" t="str">
        <f>raw_order_lines!L416</f>
        <v>true</v>
      </c>
      <c r="M416" s="2" t="str">
        <f>INDEX(dim_products!$B$2:$B$21,MATCH($E416,dim_products!$A$2:$A$21,0))</f>
        <v>包菜</v>
      </c>
      <c r="N416" s="2" t="str">
        <f>INDEX(dim_products!$C$2:$C$21,MATCH($E416,dim_products!$A$2:$A$21,0))</f>
        <v>散装鲜菜</v>
      </c>
      <c r="O416" s="2" t="str">
        <f>INDEX(dim_customers!$B$2:$B$7,MATCH($C416,dim_customers!$A$2:$A$7,0))</f>
        <v>模拟_桥头家常菜馆</v>
      </c>
      <c r="P416" s="6">
        <f>INT((ROUND(raw_order_lines!H416*10,0)*ROUND(raw_order_lines!J416*100,0)+5)/10)/100</f>
        <v>21.75</v>
      </c>
      <c r="Q416" s="6">
        <f>INT((ROUND(raw_order_lines!I416*10,0)*ROUND(raw_order_lines!J416*100,0)+5)/10)/100</f>
        <v>0</v>
      </c>
      <c r="R416" s="6">
        <f t="shared" si="18"/>
        <v>21.75</v>
      </c>
      <c r="S416" s="2" t="str">
        <f>IF(OR(ROUND(raw_order_lines!I416*10,0)&gt;ROUND(raw_order_lines!H416*10,0),ROUND(raw_order_lines!H416*10,0)&gt;ROUND(raw_order_lines!G416*10,0),ROUND(raw_order_lines!G416*10,0)&lt;=0),"数量关系异常","")</f>
        <v/>
      </c>
      <c r="T416" s="2" t="str">
        <f>IF($F416&lt;&gt;INDEX(dim_products!$D$2:$D$21,MATCH($E416,dim_products!$A$2:$A$21,0)),"单位不一致","")</f>
        <v/>
      </c>
      <c r="U416" s="2" t="str">
        <f>IF(OR(ROUND(raw_order_lines!J416*100,0)&lt;ROUND(INDEX(dim_products!$F$2:$F$21,MATCH($E416,dim_products!$A$2:$A$21,0))*100,0),ROUND(raw_order_lines!J416*100,0)&gt;ROUND(INDEX(dim_products!$G$2:$G$21,MATCH($E416,dim_products!$A$2:$A$21,0))*100,0)),"单价越界","")</f>
        <v/>
      </c>
      <c r="V416" s="2" t="str">
        <f t="shared" si="19"/>
        <v/>
      </c>
      <c r="W416" s="2" t="str">
        <f t="shared" si="20"/>
        <v>通过</v>
      </c>
    </row>
    <row r="417" spans="1:23" ht="15">
      <c r="A417" s="2" t="str">
        <f>raw_order_lines!A417</f>
        <v>SIM-20260913-C002</v>
      </c>
      <c r="B417" s="2">
        <f>raw_order_lines!B417</f>
        <v>4</v>
      </c>
      <c r="C417" s="2" t="str">
        <f>raw_order_lines!C417</f>
        <v>C002</v>
      </c>
      <c r="D417" s="3">
        <f>raw_order_lines!D417</f>
        <v>46278</v>
      </c>
      <c r="E417" s="2" t="str">
        <f>raw_order_lines!E417</f>
        <v>P008</v>
      </c>
      <c r="F417" s="2" t="str">
        <f>raw_order_lines!F417</f>
        <v>公斤</v>
      </c>
      <c r="G417" s="4">
        <f>raw_order_lines!G417</f>
        <v>6.9</v>
      </c>
      <c r="H417" s="4">
        <f>raw_order_lines!H417</f>
        <v>6.4</v>
      </c>
      <c r="I417" s="4">
        <f>raw_order_lines!I417</f>
        <v>0</v>
      </c>
      <c r="J417" s="5">
        <f>raw_order_lines!J417</f>
        <v>4.4000000000000004</v>
      </c>
      <c r="K417" s="2" t="str">
        <f>raw_order_lines!K417</f>
        <v>到货不足；按实际交付计费</v>
      </c>
      <c r="L417" s="2" t="str">
        <f>raw_order_lines!L417</f>
        <v>true</v>
      </c>
      <c r="M417" s="2" t="str">
        <f>INDEX(dim_products!$B$2:$B$21,MATCH($E417,dim_products!$A$2:$A$21,0))</f>
        <v>黄瓜</v>
      </c>
      <c r="N417" s="2" t="str">
        <f>INDEX(dim_products!$C$2:$C$21,MATCH($E417,dim_products!$A$2:$A$21,0))</f>
        <v>散装鲜菜</v>
      </c>
      <c r="O417" s="2" t="str">
        <f>INDEX(dim_customers!$B$2:$B$7,MATCH($C417,dim_customers!$A$2:$A$7,0))</f>
        <v>模拟_桥头家常菜馆</v>
      </c>
      <c r="P417" s="6">
        <f>INT((ROUND(raw_order_lines!H417*10,0)*ROUND(raw_order_lines!J417*100,0)+5)/10)/100</f>
        <v>28.16</v>
      </c>
      <c r="Q417" s="6">
        <f>INT((ROUND(raw_order_lines!I417*10,0)*ROUND(raw_order_lines!J417*100,0)+5)/10)/100</f>
        <v>0</v>
      </c>
      <c r="R417" s="6">
        <f t="shared" si="18"/>
        <v>28.16</v>
      </c>
      <c r="S417" s="2" t="str">
        <f>IF(OR(ROUND(raw_order_lines!I417*10,0)&gt;ROUND(raw_order_lines!H417*10,0),ROUND(raw_order_lines!H417*10,0)&gt;ROUND(raw_order_lines!G417*10,0),ROUND(raw_order_lines!G417*10,0)&lt;=0),"数量关系异常","")</f>
        <v/>
      </c>
      <c r="T417" s="2" t="str">
        <f>IF($F417&lt;&gt;INDEX(dim_products!$D$2:$D$21,MATCH($E417,dim_products!$A$2:$A$21,0)),"单位不一致","")</f>
        <v/>
      </c>
      <c r="U417" s="2" t="str">
        <f>IF(OR(ROUND(raw_order_lines!J417*100,0)&lt;ROUND(INDEX(dim_products!$F$2:$F$21,MATCH($E417,dim_products!$A$2:$A$21,0))*100,0),ROUND(raw_order_lines!J417*100,0)&gt;ROUND(INDEX(dim_products!$G$2:$G$21,MATCH($E417,dim_products!$A$2:$A$21,0))*100,0)),"单价越界","")</f>
        <v/>
      </c>
      <c r="V417" s="2" t="str">
        <f t="shared" si="19"/>
        <v/>
      </c>
      <c r="W417" s="2" t="str">
        <f t="shared" si="20"/>
        <v>通过</v>
      </c>
    </row>
    <row r="418" spans="1:23" ht="15">
      <c r="A418" s="2" t="str">
        <f>raw_order_lines!A418</f>
        <v>SIM-20260913-C002</v>
      </c>
      <c r="B418" s="2">
        <f>raw_order_lines!B418</f>
        <v>5</v>
      </c>
      <c r="C418" s="2" t="str">
        <f>raw_order_lines!C418</f>
        <v>C002</v>
      </c>
      <c r="D418" s="3">
        <f>raw_order_lines!D418</f>
        <v>46278</v>
      </c>
      <c r="E418" s="2" t="str">
        <f>raw_order_lines!E418</f>
        <v>P007</v>
      </c>
      <c r="F418" s="2" t="str">
        <f>raw_order_lines!F418</f>
        <v>公斤</v>
      </c>
      <c r="G418" s="4">
        <f>raw_order_lines!G418</f>
        <v>5.7</v>
      </c>
      <c r="H418" s="4">
        <f>raw_order_lines!H418</f>
        <v>5.4</v>
      </c>
      <c r="I418" s="4">
        <f>raw_order_lines!I418</f>
        <v>0</v>
      </c>
      <c r="J418" s="5">
        <f>raw_order_lines!J418</f>
        <v>5.45</v>
      </c>
      <c r="K418" s="2" t="str">
        <f>raw_order_lines!K418</f>
        <v>到货不足；按实际交付计费</v>
      </c>
      <c r="L418" s="2" t="str">
        <f>raw_order_lines!L418</f>
        <v>true</v>
      </c>
      <c r="M418" s="2" t="str">
        <f>INDEX(dim_products!$B$2:$B$21,MATCH($E418,dim_products!$A$2:$A$21,0))</f>
        <v>青椒</v>
      </c>
      <c r="N418" s="2" t="str">
        <f>INDEX(dim_products!$C$2:$C$21,MATCH($E418,dim_products!$A$2:$A$21,0))</f>
        <v>散装鲜菜</v>
      </c>
      <c r="O418" s="2" t="str">
        <f>INDEX(dim_customers!$B$2:$B$7,MATCH($C418,dim_customers!$A$2:$A$7,0))</f>
        <v>模拟_桥头家常菜馆</v>
      </c>
      <c r="P418" s="6">
        <f>INT((ROUND(raw_order_lines!H418*10,0)*ROUND(raw_order_lines!J418*100,0)+5)/10)/100</f>
        <v>29.43</v>
      </c>
      <c r="Q418" s="6">
        <f>INT((ROUND(raw_order_lines!I418*10,0)*ROUND(raw_order_lines!J418*100,0)+5)/10)/100</f>
        <v>0</v>
      </c>
      <c r="R418" s="6">
        <f t="shared" si="18"/>
        <v>29.43</v>
      </c>
      <c r="S418" s="2" t="str">
        <f>IF(OR(ROUND(raw_order_lines!I418*10,0)&gt;ROUND(raw_order_lines!H418*10,0),ROUND(raw_order_lines!H418*10,0)&gt;ROUND(raw_order_lines!G418*10,0),ROUND(raw_order_lines!G418*10,0)&lt;=0),"数量关系异常","")</f>
        <v/>
      </c>
      <c r="T418" s="2" t="str">
        <f>IF($F418&lt;&gt;INDEX(dim_products!$D$2:$D$21,MATCH($E418,dim_products!$A$2:$A$21,0)),"单位不一致","")</f>
        <v/>
      </c>
      <c r="U418" s="2" t="str">
        <f>IF(OR(ROUND(raw_order_lines!J418*100,0)&lt;ROUND(INDEX(dim_products!$F$2:$F$21,MATCH($E418,dim_products!$A$2:$A$21,0))*100,0),ROUND(raw_order_lines!J418*100,0)&gt;ROUND(INDEX(dim_products!$G$2:$G$21,MATCH($E418,dim_products!$A$2:$A$21,0))*100,0)),"单价越界","")</f>
        <v/>
      </c>
      <c r="V418" s="2" t="str">
        <f t="shared" si="19"/>
        <v/>
      </c>
      <c r="W418" s="2" t="str">
        <f t="shared" si="20"/>
        <v>通过</v>
      </c>
    </row>
    <row r="419" spans="1:23" ht="15">
      <c r="A419" s="2" t="str">
        <f>raw_order_lines!A419</f>
        <v>SIM-20260913-C006</v>
      </c>
      <c r="B419" s="2">
        <f>raw_order_lines!B419</f>
        <v>1</v>
      </c>
      <c r="C419" s="2" t="str">
        <f>raw_order_lines!C419</f>
        <v>C006</v>
      </c>
      <c r="D419" s="3">
        <f>raw_order_lines!D419</f>
        <v>46278</v>
      </c>
      <c r="E419" s="2" t="str">
        <f>raw_order_lines!E419</f>
        <v>P012</v>
      </c>
      <c r="F419" s="2" t="str">
        <f>raw_order_lines!F419</f>
        <v>公斤</v>
      </c>
      <c r="G419" s="4">
        <f>raw_order_lines!G419</f>
        <v>9.3000000000000007</v>
      </c>
      <c r="H419" s="4">
        <f>raw_order_lines!H419</f>
        <v>9.3000000000000007</v>
      </c>
      <c r="I419" s="4">
        <f>raw_order_lines!I419</f>
        <v>0</v>
      </c>
      <c r="J419" s="5">
        <f>raw_order_lines!J419</f>
        <v>5</v>
      </c>
      <c r="K419" s="2" t="str">
        <f>raw_order_lines!K419</f>
        <v>正常交付</v>
      </c>
      <c r="L419" s="2" t="str">
        <f>raw_order_lines!L419</f>
        <v>true</v>
      </c>
      <c r="M419" s="2" t="str">
        <f>INDEX(dim_products!$B$2:$B$21,MATCH($E419,dim_products!$A$2:$A$21,0))</f>
        <v>小白菜</v>
      </c>
      <c r="N419" s="2" t="str">
        <f>INDEX(dim_products!$C$2:$C$21,MATCH($E419,dim_products!$A$2:$A$21,0))</f>
        <v>散装鲜菜</v>
      </c>
      <c r="O419" s="2" t="str">
        <f>INDEX(dim_customers!$B$2:$B$7,MATCH($C419,dim_customers!$A$2:$A$7,0))</f>
        <v>模拟_溪桥医院食堂</v>
      </c>
      <c r="P419" s="6">
        <f>INT((ROUND(raw_order_lines!H419*10,0)*ROUND(raw_order_lines!J419*100,0)+5)/10)/100</f>
        <v>46.5</v>
      </c>
      <c r="Q419" s="6">
        <f>INT((ROUND(raw_order_lines!I419*10,0)*ROUND(raw_order_lines!J419*100,0)+5)/10)/100</f>
        <v>0</v>
      </c>
      <c r="R419" s="6">
        <f t="shared" si="18"/>
        <v>46.5</v>
      </c>
      <c r="S419" s="2" t="str">
        <f>IF(OR(ROUND(raw_order_lines!I419*10,0)&gt;ROUND(raw_order_lines!H419*10,0),ROUND(raw_order_lines!H419*10,0)&gt;ROUND(raw_order_lines!G419*10,0),ROUND(raw_order_lines!G419*10,0)&lt;=0),"数量关系异常","")</f>
        <v/>
      </c>
      <c r="T419" s="2" t="str">
        <f>IF($F419&lt;&gt;INDEX(dim_products!$D$2:$D$21,MATCH($E419,dim_products!$A$2:$A$21,0)),"单位不一致","")</f>
        <v/>
      </c>
      <c r="U419" s="2" t="str">
        <f>IF(OR(ROUND(raw_order_lines!J419*100,0)&lt;ROUND(INDEX(dim_products!$F$2:$F$21,MATCH($E419,dim_products!$A$2:$A$21,0))*100,0),ROUND(raw_order_lines!J419*100,0)&gt;ROUND(INDEX(dim_products!$G$2:$G$21,MATCH($E419,dim_products!$A$2:$A$21,0))*100,0)),"单价越界","")</f>
        <v/>
      </c>
      <c r="V419" s="2" t="str">
        <f t="shared" si="19"/>
        <v/>
      </c>
      <c r="W419" s="2" t="str">
        <f t="shared" si="20"/>
        <v>通过</v>
      </c>
    </row>
    <row r="420" spans="1:23" ht="15">
      <c r="A420" s="2" t="str">
        <f>raw_order_lines!A420</f>
        <v>SIM-20260913-C006</v>
      </c>
      <c r="B420" s="2">
        <f>raw_order_lines!B420</f>
        <v>2</v>
      </c>
      <c r="C420" s="2" t="str">
        <f>raw_order_lines!C420</f>
        <v>C006</v>
      </c>
      <c r="D420" s="3">
        <f>raw_order_lines!D420</f>
        <v>46278</v>
      </c>
      <c r="E420" s="2" t="str">
        <f>raw_order_lines!E420</f>
        <v>P006</v>
      </c>
      <c r="F420" s="2" t="str">
        <f>raw_order_lines!F420</f>
        <v>公斤</v>
      </c>
      <c r="G420" s="4">
        <f>raw_order_lines!G420</f>
        <v>5.6</v>
      </c>
      <c r="H420" s="4">
        <f>raw_order_lines!H420</f>
        <v>5.6</v>
      </c>
      <c r="I420" s="4">
        <f>raw_order_lines!I420</f>
        <v>0</v>
      </c>
      <c r="J420" s="5">
        <f>raw_order_lines!J420</f>
        <v>4.8</v>
      </c>
      <c r="K420" s="2" t="str">
        <f>raw_order_lines!K420</f>
        <v>正常交付</v>
      </c>
      <c r="L420" s="2" t="str">
        <f>raw_order_lines!L420</f>
        <v>true</v>
      </c>
      <c r="M420" s="2" t="str">
        <f>INDEX(dim_products!$B$2:$B$21,MATCH($E420,dim_products!$A$2:$A$21,0))</f>
        <v>茄子</v>
      </c>
      <c r="N420" s="2" t="str">
        <f>INDEX(dim_products!$C$2:$C$21,MATCH($E420,dim_products!$A$2:$A$21,0))</f>
        <v>散装鲜菜</v>
      </c>
      <c r="O420" s="2" t="str">
        <f>INDEX(dim_customers!$B$2:$B$7,MATCH($C420,dim_customers!$A$2:$A$7,0))</f>
        <v>模拟_溪桥医院食堂</v>
      </c>
      <c r="P420" s="6">
        <f>INT((ROUND(raw_order_lines!H420*10,0)*ROUND(raw_order_lines!J420*100,0)+5)/10)/100</f>
        <v>26.88</v>
      </c>
      <c r="Q420" s="6">
        <f>INT((ROUND(raw_order_lines!I420*10,0)*ROUND(raw_order_lines!J420*100,0)+5)/10)/100</f>
        <v>0</v>
      </c>
      <c r="R420" s="6">
        <f t="shared" si="18"/>
        <v>26.88</v>
      </c>
      <c r="S420" s="2" t="str">
        <f>IF(OR(ROUND(raw_order_lines!I420*10,0)&gt;ROUND(raw_order_lines!H420*10,0),ROUND(raw_order_lines!H420*10,0)&gt;ROUND(raw_order_lines!G420*10,0),ROUND(raw_order_lines!G420*10,0)&lt;=0),"数量关系异常","")</f>
        <v/>
      </c>
      <c r="T420" s="2" t="str">
        <f>IF($F420&lt;&gt;INDEX(dim_products!$D$2:$D$21,MATCH($E420,dim_products!$A$2:$A$21,0)),"单位不一致","")</f>
        <v/>
      </c>
      <c r="U420" s="2" t="str">
        <f>IF(OR(ROUND(raw_order_lines!J420*100,0)&lt;ROUND(INDEX(dim_products!$F$2:$F$21,MATCH($E420,dim_products!$A$2:$A$21,0))*100,0),ROUND(raw_order_lines!J420*100,0)&gt;ROUND(INDEX(dim_products!$G$2:$G$21,MATCH($E420,dim_products!$A$2:$A$21,0))*100,0)),"单价越界","")</f>
        <v/>
      </c>
      <c r="V420" s="2" t="str">
        <f t="shared" si="19"/>
        <v/>
      </c>
      <c r="W420" s="2" t="str">
        <f t="shared" si="20"/>
        <v>通过</v>
      </c>
    </row>
    <row r="421" spans="1:23" ht="15">
      <c r="A421" s="2" t="str">
        <f>raw_order_lines!A421</f>
        <v>SIM-20260913-C006</v>
      </c>
      <c r="B421" s="2">
        <f>raw_order_lines!B421</f>
        <v>3</v>
      </c>
      <c r="C421" s="2" t="str">
        <f>raw_order_lines!C421</f>
        <v>C006</v>
      </c>
      <c r="D421" s="3">
        <f>raw_order_lines!D421</f>
        <v>46278</v>
      </c>
      <c r="E421" s="2" t="str">
        <f>raw_order_lines!E421</f>
        <v>P014</v>
      </c>
      <c r="F421" s="2" t="str">
        <f>raw_order_lines!F421</f>
        <v>公斤</v>
      </c>
      <c r="G421" s="4">
        <f>raw_order_lines!G421</f>
        <v>7.4</v>
      </c>
      <c r="H421" s="4">
        <f>raw_order_lines!H421</f>
        <v>7.4</v>
      </c>
      <c r="I421" s="4">
        <f>raw_order_lines!I421</f>
        <v>0</v>
      </c>
      <c r="J421" s="5">
        <f>raw_order_lines!J421</f>
        <v>5</v>
      </c>
      <c r="K421" s="2" t="str">
        <f>raw_order_lines!K421</f>
        <v>正常交付</v>
      </c>
      <c r="L421" s="2" t="str">
        <f>raw_order_lines!L421</f>
        <v>true</v>
      </c>
      <c r="M421" s="2" t="str">
        <f>INDEX(dim_products!$B$2:$B$21,MATCH($E421,dim_products!$A$2:$A$21,0))</f>
        <v>丝瓜</v>
      </c>
      <c r="N421" s="2" t="str">
        <f>INDEX(dim_products!$C$2:$C$21,MATCH($E421,dim_products!$A$2:$A$21,0))</f>
        <v>散装鲜菜</v>
      </c>
      <c r="O421" s="2" t="str">
        <f>INDEX(dim_customers!$B$2:$B$7,MATCH($C421,dim_customers!$A$2:$A$7,0))</f>
        <v>模拟_溪桥医院食堂</v>
      </c>
      <c r="P421" s="6">
        <f>INT((ROUND(raw_order_lines!H421*10,0)*ROUND(raw_order_lines!J421*100,0)+5)/10)/100</f>
        <v>37</v>
      </c>
      <c r="Q421" s="6">
        <f>INT((ROUND(raw_order_lines!I421*10,0)*ROUND(raw_order_lines!J421*100,0)+5)/10)/100</f>
        <v>0</v>
      </c>
      <c r="R421" s="6">
        <f t="shared" si="18"/>
        <v>37</v>
      </c>
      <c r="S421" s="2" t="str">
        <f>IF(OR(ROUND(raw_order_lines!I421*10,0)&gt;ROUND(raw_order_lines!H421*10,0),ROUND(raw_order_lines!H421*10,0)&gt;ROUND(raw_order_lines!G421*10,0),ROUND(raw_order_lines!G421*10,0)&lt;=0),"数量关系异常","")</f>
        <v/>
      </c>
      <c r="T421" s="2" t="str">
        <f>IF($F421&lt;&gt;INDEX(dim_products!$D$2:$D$21,MATCH($E421,dim_products!$A$2:$A$21,0)),"单位不一致","")</f>
        <v/>
      </c>
      <c r="U421" s="2" t="str">
        <f>IF(OR(ROUND(raw_order_lines!J421*100,0)&lt;ROUND(INDEX(dim_products!$F$2:$F$21,MATCH($E421,dim_products!$A$2:$A$21,0))*100,0),ROUND(raw_order_lines!J421*100,0)&gt;ROUND(INDEX(dim_products!$G$2:$G$21,MATCH($E421,dim_products!$A$2:$A$21,0))*100,0)),"单价越界","")</f>
        <v/>
      </c>
      <c r="V421" s="2" t="str">
        <f t="shared" si="19"/>
        <v/>
      </c>
      <c r="W421" s="2" t="str">
        <f t="shared" si="20"/>
        <v>通过</v>
      </c>
    </row>
    <row r="422" spans="1:23" ht="15">
      <c r="A422" s="2" t="str">
        <f>raw_order_lines!A422</f>
        <v>SIM-20260913-C006</v>
      </c>
      <c r="B422" s="2">
        <f>raw_order_lines!B422</f>
        <v>4</v>
      </c>
      <c r="C422" s="2" t="str">
        <f>raw_order_lines!C422</f>
        <v>C006</v>
      </c>
      <c r="D422" s="3">
        <f>raw_order_lines!D422</f>
        <v>46278</v>
      </c>
      <c r="E422" s="2" t="str">
        <f>raw_order_lines!E422</f>
        <v>P002</v>
      </c>
      <c r="F422" s="2" t="str">
        <f>raw_order_lines!F422</f>
        <v>公斤</v>
      </c>
      <c r="G422" s="4">
        <f>raw_order_lines!G422</f>
        <v>9.9</v>
      </c>
      <c r="H422" s="4">
        <f>raw_order_lines!H422</f>
        <v>9.9</v>
      </c>
      <c r="I422" s="4">
        <f>raw_order_lines!I422</f>
        <v>0</v>
      </c>
      <c r="J422" s="5">
        <f>raw_order_lines!J422</f>
        <v>2.7</v>
      </c>
      <c r="K422" s="2" t="str">
        <f>raw_order_lines!K422</f>
        <v>正常交付</v>
      </c>
      <c r="L422" s="2" t="str">
        <f>raw_order_lines!L422</f>
        <v>true</v>
      </c>
      <c r="M422" s="2" t="str">
        <f>INDEX(dim_products!$B$2:$B$21,MATCH($E422,dim_products!$A$2:$A$21,0))</f>
        <v>白萝卜</v>
      </c>
      <c r="N422" s="2" t="str">
        <f>INDEX(dim_products!$C$2:$C$21,MATCH($E422,dim_products!$A$2:$A$21,0))</f>
        <v>散装鲜菜</v>
      </c>
      <c r="O422" s="2" t="str">
        <f>INDEX(dim_customers!$B$2:$B$7,MATCH($C422,dim_customers!$A$2:$A$7,0))</f>
        <v>模拟_溪桥医院食堂</v>
      </c>
      <c r="P422" s="6">
        <f>INT((ROUND(raw_order_lines!H422*10,0)*ROUND(raw_order_lines!J422*100,0)+5)/10)/100</f>
        <v>26.73</v>
      </c>
      <c r="Q422" s="6">
        <f>INT((ROUND(raw_order_lines!I422*10,0)*ROUND(raw_order_lines!J422*100,0)+5)/10)/100</f>
        <v>0</v>
      </c>
      <c r="R422" s="6">
        <f t="shared" si="18"/>
        <v>26.73</v>
      </c>
      <c r="S422" s="2" t="str">
        <f>IF(OR(ROUND(raw_order_lines!I422*10,0)&gt;ROUND(raw_order_lines!H422*10,0),ROUND(raw_order_lines!H422*10,0)&gt;ROUND(raw_order_lines!G422*10,0),ROUND(raw_order_lines!G422*10,0)&lt;=0),"数量关系异常","")</f>
        <v/>
      </c>
      <c r="T422" s="2" t="str">
        <f>IF($F422&lt;&gt;INDEX(dim_products!$D$2:$D$21,MATCH($E422,dim_products!$A$2:$A$21,0)),"单位不一致","")</f>
        <v/>
      </c>
      <c r="U422" s="2" t="str">
        <f>IF(OR(ROUND(raw_order_lines!J422*100,0)&lt;ROUND(INDEX(dim_products!$F$2:$F$21,MATCH($E422,dim_products!$A$2:$A$21,0))*100,0),ROUND(raw_order_lines!J422*100,0)&gt;ROUND(INDEX(dim_products!$G$2:$G$21,MATCH($E422,dim_products!$A$2:$A$21,0))*100,0)),"单价越界","")</f>
        <v/>
      </c>
      <c r="V422" s="2" t="str">
        <f t="shared" si="19"/>
        <v/>
      </c>
      <c r="W422" s="2" t="str">
        <f t="shared" si="20"/>
        <v>通过</v>
      </c>
    </row>
    <row r="423" spans="1:23" ht="15">
      <c r="A423" s="2" t="str">
        <f>raw_order_lines!A423</f>
        <v>SIM-20260913-C006</v>
      </c>
      <c r="B423" s="2">
        <f>raw_order_lines!B423</f>
        <v>5</v>
      </c>
      <c r="C423" s="2" t="str">
        <f>raw_order_lines!C423</f>
        <v>C006</v>
      </c>
      <c r="D423" s="3">
        <f>raw_order_lines!D423</f>
        <v>46278</v>
      </c>
      <c r="E423" s="2" t="str">
        <f>raw_order_lines!E423</f>
        <v>P008</v>
      </c>
      <c r="F423" s="2" t="str">
        <f>raw_order_lines!F423</f>
        <v>公斤</v>
      </c>
      <c r="G423" s="4">
        <f>raw_order_lines!G423</f>
        <v>7.4</v>
      </c>
      <c r="H423" s="4">
        <f>raw_order_lines!H423</f>
        <v>7.1</v>
      </c>
      <c r="I423" s="4">
        <f>raw_order_lines!I423</f>
        <v>0</v>
      </c>
      <c r="J423" s="5">
        <f>raw_order_lines!J423</f>
        <v>4.4000000000000004</v>
      </c>
      <c r="K423" s="2" t="str">
        <f>raw_order_lines!K423</f>
        <v>到货不足；按实际交付计费</v>
      </c>
      <c r="L423" s="2" t="str">
        <f>raw_order_lines!L423</f>
        <v>true</v>
      </c>
      <c r="M423" s="2" t="str">
        <f>INDEX(dim_products!$B$2:$B$21,MATCH($E423,dim_products!$A$2:$A$21,0))</f>
        <v>黄瓜</v>
      </c>
      <c r="N423" s="2" t="str">
        <f>INDEX(dim_products!$C$2:$C$21,MATCH($E423,dim_products!$A$2:$A$21,0))</f>
        <v>散装鲜菜</v>
      </c>
      <c r="O423" s="2" t="str">
        <f>INDEX(dim_customers!$B$2:$B$7,MATCH($C423,dim_customers!$A$2:$A$7,0))</f>
        <v>模拟_溪桥医院食堂</v>
      </c>
      <c r="P423" s="6">
        <f>INT((ROUND(raw_order_lines!H423*10,0)*ROUND(raw_order_lines!J423*100,0)+5)/10)/100</f>
        <v>31.24</v>
      </c>
      <c r="Q423" s="6">
        <f>INT((ROUND(raw_order_lines!I423*10,0)*ROUND(raw_order_lines!J423*100,0)+5)/10)/100</f>
        <v>0</v>
      </c>
      <c r="R423" s="6">
        <f t="shared" si="18"/>
        <v>31.24</v>
      </c>
      <c r="S423" s="2" t="str">
        <f>IF(OR(ROUND(raw_order_lines!I423*10,0)&gt;ROUND(raw_order_lines!H423*10,0),ROUND(raw_order_lines!H423*10,0)&gt;ROUND(raw_order_lines!G423*10,0),ROUND(raw_order_lines!G423*10,0)&lt;=0),"数量关系异常","")</f>
        <v/>
      </c>
      <c r="T423" s="2" t="str">
        <f>IF($F423&lt;&gt;INDEX(dim_products!$D$2:$D$21,MATCH($E423,dim_products!$A$2:$A$21,0)),"单位不一致","")</f>
        <v/>
      </c>
      <c r="U423" s="2" t="str">
        <f>IF(OR(ROUND(raw_order_lines!J423*100,0)&lt;ROUND(INDEX(dim_products!$F$2:$F$21,MATCH($E423,dim_products!$A$2:$A$21,0))*100,0),ROUND(raw_order_lines!J423*100,0)&gt;ROUND(INDEX(dim_products!$G$2:$G$21,MATCH($E423,dim_products!$A$2:$A$21,0))*100,0)),"单价越界","")</f>
        <v/>
      </c>
      <c r="V423" s="2" t="str">
        <f t="shared" si="19"/>
        <v/>
      </c>
      <c r="W423" s="2" t="str">
        <f t="shared" si="20"/>
        <v>通过</v>
      </c>
    </row>
    <row r="424" spans="1:23" ht="15">
      <c r="A424" s="2" t="str">
        <f>raw_order_lines!A424</f>
        <v>SIM-20260913-C006</v>
      </c>
      <c r="B424" s="2">
        <f>raw_order_lines!B424</f>
        <v>6</v>
      </c>
      <c r="C424" s="2" t="str">
        <f>raw_order_lines!C424</f>
        <v>C006</v>
      </c>
      <c r="D424" s="3">
        <f>raw_order_lines!D424</f>
        <v>46278</v>
      </c>
      <c r="E424" s="2" t="str">
        <f>raw_order_lines!E424</f>
        <v>P007</v>
      </c>
      <c r="F424" s="2" t="str">
        <f>raw_order_lines!F424</f>
        <v>公斤</v>
      </c>
      <c r="G424" s="4">
        <f>raw_order_lines!G424</f>
        <v>6.8</v>
      </c>
      <c r="H424" s="4">
        <f>raw_order_lines!H424</f>
        <v>6.8</v>
      </c>
      <c r="I424" s="4">
        <f>raw_order_lines!I424</f>
        <v>0</v>
      </c>
      <c r="J424" s="5">
        <f>raw_order_lines!J424</f>
        <v>5.45</v>
      </c>
      <c r="K424" s="2" t="str">
        <f>raw_order_lines!K424</f>
        <v>正常交付</v>
      </c>
      <c r="L424" s="2" t="str">
        <f>raw_order_lines!L424</f>
        <v>true</v>
      </c>
      <c r="M424" s="2" t="str">
        <f>INDEX(dim_products!$B$2:$B$21,MATCH($E424,dim_products!$A$2:$A$21,0))</f>
        <v>青椒</v>
      </c>
      <c r="N424" s="2" t="str">
        <f>INDEX(dim_products!$C$2:$C$21,MATCH($E424,dim_products!$A$2:$A$21,0))</f>
        <v>散装鲜菜</v>
      </c>
      <c r="O424" s="2" t="str">
        <f>INDEX(dim_customers!$B$2:$B$7,MATCH($C424,dim_customers!$A$2:$A$7,0))</f>
        <v>模拟_溪桥医院食堂</v>
      </c>
      <c r="P424" s="6">
        <f>INT((ROUND(raw_order_lines!H424*10,0)*ROUND(raw_order_lines!J424*100,0)+5)/10)/100</f>
        <v>37.06</v>
      </c>
      <c r="Q424" s="6">
        <f>INT((ROUND(raw_order_lines!I424*10,0)*ROUND(raw_order_lines!J424*100,0)+5)/10)/100</f>
        <v>0</v>
      </c>
      <c r="R424" s="6">
        <f t="shared" si="18"/>
        <v>37.06</v>
      </c>
      <c r="S424" s="2" t="str">
        <f>IF(OR(ROUND(raw_order_lines!I424*10,0)&gt;ROUND(raw_order_lines!H424*10,0),ROUND(raw_order_lines!H424*10,0)&gt;ROUND(raw_order_lines!G424*10,0),ROUND(raw_order_lines!G424*10,0)&lt;=0),"数量关系异常","")</f>
        <v/>
      </c>
      <c r="T424" s="2" t="str">
        <f>IF($F424&lt;&gt;INDEX(dim_products!$D$2:$D$21,MATCH($E424,dim_products!$A$2:$A$21,0)),"单位不一致","")</f>
        <v/>
      </c>
      <c r="U424" s="2" t="str">
        <f>IF(OR(ROUND(raw_order_lines!J424*100,0)&lt;ROUND(INDEX(dim_products!$F$2:$F$21,MATCH($E424,dim_products!$A$2:$A$21,0))*100,0),ROUND(raw_order_lines!J424*100,0)&gt;ROUND(INDEX(dim_products!$G$2:$G$21,MATCH($E424,dim_products!$A$2:$A$21,0))*100,0)),"单价越界","")</f>
        <v/>
      </c>
      <c r="V424" s="2" t="str">
        <f t="shared" si="19"/>
        <v/>
      </c>
      <c r="W424" s="2" t="str">
        <f t="shared" si="20"/>
        <v>通过</v>
      </c>
    </row>
    <row r="425" spans="1:23" ht="15">
      <c r="A425" s="2" t="str">
        <f>raw_order_lines!A425</f>
        <v>SIM-20260913-C006</v>
      </c>
      <c r="B425" s="2">
        <f>raw_order_lines!B425</f>
        <v>7</v>
      </c>
      <c r="C425" s="2" t="str">
        <f>raw_order_lines!C425</f>
        <v>C006</v>
      </c>
      <c r="D425" s="3">
        <f>raw_order_lines!D425</f>
        <v>46278</v>
      </c>
      <c r="E425" s="2" t="str">
        <f>raw_order_lines!E425</f>
        <v>P016</v>
      </c>
      <c r="F425" s="2" t="str">
        <f>raw_order_lines!F425</f>
        <v>公斤</v>
      </c>
      <c r="G425" s="4">
        <f>raw_order_lines!G425</f>
        <v>9</v>
      </c>
      <c r="H425" s="4">
        <f>raw_order_lines!H425</f>
        <v>9</v>
      </c>
      <c r="I425" s="4">
        <f>raw_order_lines!I425</f>
        <v>0</v>
      </c>
      <c r="J425" s="5">
        <f>raw_order_lines!J425</f>
        <v>10.4</v>
      </c>
      <c r="K425" s="2" t="str">
        <f>raw_order_lines!K425</f>
        <v>正常交付</v>
      </c>
      <c r="L425" s="2" t="str">
        <f>raw_order_lines!L425</f>
        <v>true</v>
      </c>
      <c r="M425" s="2" t="str">
        <f>INDEX(dim_products!$B$2:$B$21,MATCH($E425,dim_products!$A$2:$A$21,0))</f>
        <v>鸡蛋</v>
      </c>
      <c r="N425" s="2" t="str">
        <f>INDEX(dim_products!$C$2:$C$21,MATCH($E425,dim_products!$A$2:$A$21,0))</f>
        <v>普通鲜鸡蛋按净重</v>
      </c>
      <c r="O425" s="2" t="str">
        <f>INDEX(dim_customers!$B$2:$B$7,MATCH($C425,dim_customers!$A$2:$A$7,0))</f>
        <v>模拟_溪桥医院食堂</v>
      </c>
      <c r="P425" s="6">
        <f>INT((ROUND(raw_order_lines!H425*10,0)*ROUND(raw_order_lines!J425*100,0)+5)/10)/100</f>
        <v>93.6</v>
      </c>
      <c r="Q425" s="6">
        <f>INT((ROUND(raw_order_lines!I425*10,0)*ROUND(raw_order_lines!J425*100,0)+5)/10)/100</f>
        <v>0</v>
      </c>
      <c r="R425" s="6">
        <f t="shared" si="18"/>
        <v>93.6</v>
      </c>
      <c r="S425" s="2" t="str">
        <f>IF(OR(ROUND(raw_order_lines!I425*10,0)&gt;ROUND(raw_order_lines!H425*10,0),ROUND(raw_order_lines!H425*10,0)&gt;ROUND(raw_order_lines!G425*10,0),ROUND(raw_order_lines!G425*10,0)&lt;=0),"数量关系异常","")</f>
        <v/>
      </c>
      <c r="T425" s="2" t="str">
        <f>IF($F425&lt;&gt;INDEX(dim_products!$D$2:$D$21,MATCH($E425,dim_products!$A$2:$A$21,0)),"单位不一致","")</f>
        <v/>
      </c>
      <c r="U425" s="2" t="str">
        <f>IF(OR(ROUND(raw_order_lines!J425*100,0)&lt;ROUND(INDEX(dim_products!$F$2:$F$21,MATCH($E425,dim_products!$A$2:$A$21,0))*100,0),ROUND(raw_order_lines!J425*100,0)&gt;ROUND(INDEX(dim_products!$G$2:$G$21,MATCH($E425,dim_products!$A$2:$A$21,0))*100,0)),"单价越界","")</f>
        <v/>
      </c>
      <c r="V425" s="2" t="str">
        <f t="shared" si="19"/>
        <v/>
      </c>
      <c r="W425" s="2" t="str">
        <f t="shared" si="20"/>
        <v>通过</v>
      </c>
    </row>
    <row r="426" spans="1:23" ht="15">
      <c r="A426" s="2" t="str">
        <f>raw_order_lines!A426</f>
        <v>SIM-20260913-C006</v>
      </c>
      <c r="B426" s="2">
        <f>raw_order_lines!B426</f>
        <v>8</v>
      </c>
      <c r="C426" s="2" t="str">
        <f>raw_order_lines!C426</f>
        <v>C006</v>
      </c>
      <c r="D426" s="3">
        <f>raw_order_lines!D426</f>
        <v>46278</v>
      </c>
      <c r="E426" s="2" t="str">
        <f>raw_order_lines!E426</f>
        <v>P015</v>
      </c>
      <c r="F426" s="2" t="str">
        <f>raw_order_lines!F426</f>
        <v>公斤</v>
      </c>
      <c r="G426" s="4">
        <f>raw_order_lines!G426</f>
        <v>1</v>
      </c>
      <c r="H426" s="4">
        <f>raw_order_lines!H426</f>
        <v>1</v>
      </c>
      <c r="I426" s="4">
        <f>raw_order_lines!I426</f>
        <v>0</v>
      </c>
      <c r="J426" s="5">
        <f>raw_order_lines!J426</f>
        <v>7.2</v>
      </c>
      <c r="K426" s="2" t="str">
        <f>raw_order_lines!K426</f>
        <v>正常交付</v>
      </c>
      <c r="L426" s="2" t="str">
        <f>raw_order_lines!L426</f>
        <v>true</v>
      </c>
      <c r="M426" s="2" t="str">
        <f>INDEX(dim_products!$B$2:$B$21,MATCH($E426,dim_products!$A$2:$A$21,0))</f>
        <v>小葱</v>
      </c>
      <c r="N426" s="2" t="str">
        <f>INDEX(dim_products!$C$2:$C$21,MATCH($E426,dim_products!$A$2:$A$21,0))</f>
        <v>散装鲜菜</v>
      </c>
      <c r="O426" s="2" t="str">
        <f>INDEX(dim_customers!$B$2:$B$7,MATCH($C426,dim_customers!$A$2:$A$7,0))</f>
        <v>模拟_溪桥医院食堂</v>
      </c>
      <c r="P426" s="6">
        <f>INT((ROUND(raw_order_lines!H426*10,0)*ROUND(raw_order_lines!J426*100,0)+5)/10)/100</f>
        <v>7.2</v>
      </c>
      <c r="Q426" s="6">
        <f>INT((ROUND(raw_order_lines!I426*10,0)*ROUND(raw_order_lines!J426*100,0)+5)/10)/100</f>
        <v>0</v>
      </c>
      <c r="R426" s="6">
        <f t="shared" si="18"/>
        <v>7.2</v>
      </c>
      <c r="S426" s="2" t="str">
        <f>IF(OR(ROUND(raw_order_lines!I426*10,0)&gt;ROUND(raw_order_lines!H426*10,0),ROUND(raw_order_lines!H426*10,0)&gt;ROUND(raw_order_lines!G426*10,0),ROUND(raw_order_lines!G426*10,0)&lt;=0),"数量关系异常","")</f>
        <v/>
      </c>
      <c r="T426" s="2" t="str">
        <f>IF($F426&lt;&gt;INDEX(dim_products!$D$2:$D$21,MATCH($E426,dim_products!$A$2:$A$21,0)),"单位不一致","")</f>
        <v/>
      </c>
      <c r="U426" s="2" t="str">
        <f>IF(OR(ROUND(raw_order_lines!J426*100,0)&lt;ROUND(INDEX(dim_products!$F$2:$F$21,MATCH($E426,dim_products!$A$2:$A$21,0))*100,0),ROUND(raw_order_lines!J426*100,0)&gt;ROUND(INDEX(dim_products!$G$2:$G$21,MATCH($E426,dim_products!$A$2:$A$21,0))*100,0)),"单价越界","")</f>
        <v/>
      </c>
      <c r="V426" s="2" t="str">
        <f t="shared" si="19"/>
        <v/>
      </c>
      <c r="W426" s="2" t="str">
        <f t="shared" si="20"/>
        <v>通过</v>
      </c>
    </row>
    <row r="427" spans="1:23" ht="15">
      <c r="A427" s="2" t="str">
        <f>raw_order_lines!A427</f>
        <v>SIM-20260914-C001</v>
      </c>
      <c r="B427" s="2">
        <f>raw_order_lines!B427</f>
        <v>1</v>
      </c>
      <c r="C427" s="2" t="str">
        <f>raw_order_lines!C427</f>
        <v>C001</v>
      </c>
      <c r="D427" s="3">
        <f>raw_order_lines!D427</f>
        <v>46279</v>
      </c>
      <c r="E427" s="2" t="str">
        <f>raw_order_lines!E427</f>
        <v>P010</v>
      </c>
      <c r="F427" s="2" t="str">
        <f>raw_order_lines!F427</f>
        <v>公斤</v>
      </c>
      <c r="G427" s="4">
        <f>raw_order_lines!G427</f>
        <v>2</v>
      </c>
      <c r="H427" s="4">
        <f>raw_order_lines!H427</f>
        <v>2</v>
      </c>
      <c r="I427" s="4">
        <f>raw_order_lines!I427</f>
        <v>0</v>
      </c>
      <c r="J427" s="5">
        <f>raw_order_lines!J427</f>
        <v>5</v>
      </c>
      <c r="K427" s="2" t="str">
        <f>raw_order_lines!K427</f>
        <v>正常交付</v>
      </c>
      <c r="L427" s="2" t="str">
        <f>raw_order_lines!L427</f>
        <v>true</v>
      </c>
      <c r="M427" s="2" t="str">
        <f>INDEX(dim_products!$B$2:$B$21,MATCH($E427,dim_products!$A$2:$A$21,0))</f>
        <v>空心菜</v>
      </c>
      <c r="N427" s="2" t="str">
        <f>INDEX(dim_products!$C$2:$C$21,MATCH($E427,dim_products!$A$2:$A$21,0))</f>
        <v>散装鲜菜</v>
      </c>
      <c r="O427" s="2" t="str">
        <f>INDEX(dim_customers!$B$2:$B$7,MATCH($C427,dim_customers!$A$2:$A$7,0))</f>
        <v>模拟_榕树下粉面店</v>
      </c>
      <c r="P427" s="6">
        <f>INT((ROUND(raw_order_lines!H427*10,0)*ROUND(raw_order_lines!J427*100,0)+5)/10)/100</f>
        <v>10</v>
      </c>
      <c r="Q427" s="6">
        <f>INT((ROUND(raw_order_lines!I427*10,0)*ROUND(raw_order_lines!J427*100,0)+5)/10)/100</f>
        <v>0</v>
      </c>
      <c r="R427" s="6">
        <f t="shared" si="18"/>
        <v>10</v>
      </c>
      <c r="S427" s="2" t="str">
        <f>IF(OR(ROUND(raw_order_lines!I427*10,0)&gt;ROUND(raw_order_lines!H427*10,0),ROUND(raw_order_lines!H427*10,0)&gt;ROUND(raw_order_lines!G427*10,0),ROUND(raw_order_lines!G427*10,0)&lt;=0),"数量关系异常","")</f>
        <v/>
      </c>
      <c r="T427" s="2" t="str">
        <f>IF($F427&lt;&gt;INDEX(dim_products!$D$2:$D$21,MATCH($E427,dim_products!$A$2:$A$21,0)),"单位不一致","")</f>
        <v/>
      </c>
      <c r="U427" s="2" t="str">
        <f>IF(OR(ROUND(raw_order_lines!J427*100,0)&lt;ROUND(INDEX(dim_products!$F$2:$F$21,MATCH($E427,dim_products!$A$2:$A$21,0))*100,0),ROUND(raw_order_lines!J427*100,0)&gt;ROUND(INDEX(dim_products!$G$2:$G$21,MATCH($E427,dim_products!$A$2:$A$21,0))*100,0)),"单价越界","")</f>
        <v/>
      </c>
      <c r="V427" s="2" t="str">
        <f t="shared" si="19"/>
        <v/>
      </c>
      <c r="W427" s="2" t="str">
        <f t="shared" si="20"/>
        <v>通过</v>
      </c>
    </row>
    <row r="428" spans="1:23" ht="15">
      <c r="A428" s="2" t="str">
        <f>raw_order_lines!A428</f>
        <v>SIM-20260914-C001</v>
      </c>
      <c r="B428" s="2">
        <f>raw_order_lines!B428</f>
        <v>2</v>
      </c>
      <c r="C428" s="2" t="str">
        <f>raw_order_lines!C428</f>
        <v>C001</v>
      </c>
      <c r="D428" s="3">
        <f>raw_order_lines!D428</f>
        <v>46279</v>
      </c>
      <c r="E428" s="2" t="str">
        <f>raw_order_lines!E428</f>
        <v>P014</v>
      </c>
      <c r="F428" s="2" t="str">
        <f>raw_order_lines!F428</f>
        <v>公斤</v>
      </c>
      <c r="G428" s="4">
        <f>raw_order_lines!G428</f>
        <v>3.9</v>
      </c>
      <c r="H428" s="4">
        <f>raw_order_lines!H428</f>
        <v>3.9</v>
      </c>
      <c r="I428" s="4">
        <f>raw_order_lines!I428</f>
        <v>0</v>
      </c>
      <c r="J428" s="5">
        <f>raw_order_lines!J428</f>
        <v>5</v>
      </c>
      <c r="K428" s="2" t="str">
        <f>raw_order_lines!K428</f>
        <v>正常交付</v>
      </c>
      <c r="L428" s="2" t="str">
        <f>raw_order_lines!L428</f>
        <v>true</v>
      </c>
      <c r="M428" s="2" t="str">
        <f>INDEX(dim_products!$B$2:$B$21,MATCH($E428,dim_products!$A$2:$A$21,0))</f>
        <v>丝瓜</v>
      </c>
      <c r="N428" s="2" t="str">
        <f>INDEX(dim_products!$C$2:$C$21,MATCH($E428,dim_products!$A$2:$A$21,0))</f>
        <v>散装鲜菜</v>
      </c>
      <c r="O428" s="2" t="str">
        <f>INDEX(dim_customers!$B$2:$B$7,MATCH($C428,dim_customers!$A$2:$A$7,0))</f>
        <v>模拟_榕树下粉面店</v>
      </c>
      <c r="P428" s="6">
        <f>INT((ROUND(raw_order_lines!H428*10,0)*ROUND(raw_order_lines!J428*100,0)+5)/10)/100</f>
        <v>19.5</v>
      </c>
      <c r="Q428" s="6">
        <f>INT((ROUND(raw_order_lines!I428*10,0)*ROUND(raw_order_lines!J428*100,0)+5)/10)/100</f>
        <v>0</v>
      </c>
      <c r="R428" s="6">
        <f t="shared" si="18"/>
        <v>19.5</v>
      </c>
      <c r="S428" s="2" t="str">
        <f>IF(OR(ROUND(raw_order_lines!I428*10,0)&gt;ROUND(raw_order_lines!H428*10,0),ROUND(raw_order_lines!H428*10,0)&gt;ROUND(raw_order_lines!G428*10,0),ROUND(raw_order_lines!G428*10,0)&lt;=0),"数量关系异常","")</f>
        <v/>
      </c>
      <c r="T428" s="2" t="str">
        <f>IF($F428&lt;&gt;INDEX(dim_products!$D$2:$D$21,MATCH($E428,dim_products!$A$2:$A$21,0)),"单位不一致","")</f>
        <v/>
      </c>
      <c r="U428" s="2" t="str">
        <f>IF(OR(ROUND(raw_order_lines!J428*100,0)&lt;ROUND(INDEX(dim_products!$F$2:$F$21,MATCH($E428,dim_products!$A$2:$A$21,0))*100,0),ROUND(raw_order_lines!J428*100,0)&gt;ROUND(INDEX(dim_products!$G$2:$G$21,MATCH($E428,dim_products!$A$2:$A$21,0))*100,0)),"单价越界","")</f>
        <v/>
      </c>
      <c r="V428" s="2" t="str">
        <f t="shared" si="19"/>
        <v/>
      </c>
      <c r="W428" s="2" t="str">
        <f t="shared" si="20"/>
        <v>通过</v>
      </c>
    </row>
    <row r="429" spans="1:23" ht="15">
      <c r="A429" s="2" t="str">
        <f>raw_order_lines!A429</f>
        <v>SIM-20260914-C001</v>
      </c>
      <c r="B429" s="2">
        <f>raw_order_lines!B429</f>
        <v>3</v>
      </c>
      <c r="C429" s="2" t="str">
        <f>raw_order_lines!C429</f>
        <v>C001</v>
      </c>
      <c r="D429" s="3">
        <f>raw_order_lines!D429</f>
        <v>46279</v>
      </c>
      <c r="E429" s="2" t="str">
        <f>raw_order_lines!E429</f>
        <v>P003</v>
      </c>
      <c r="F429" s="2" t="str">
        <f>raw_order_lines!F429</f>
        <v>公斤</v>
      </c>
      <c r="G429" s="4">
        <f>raw_order_lines!G429</f>
        <v>3.7</v>
      </c>
      <c r="H429" s="4">
        <f>raw_order_lines!H429</f>
        <v>3.2</v>
      </c>
      <c r="I429" s="4">
        <f>raw_order_lines!I429</f>
        <v>0</v>
      </c>
      <c r="J429" s="5">
        <f>raw_order_lines!J429</f>
        <v>2.9</v>
      </c>
      <c r="K429" s="2" t="str">
        <f>raw_order_lines!K429</f>
        <v>到货不足；按实际交付计费</v>
      </c>
      <c r="L429" s="2" t="str">
        <f>raw_order_lines!L429</f>
        <v>true</v>
      </c>
      <c r="M429" s="2" t="str">
        <f>INDEX(dim_products!$B$2:$B$21,MATCH($E429,dim_products!$A$2:$A$21,0))</f>
        <v>包菜</v>
      </c>
      <c r="N429" s="2" t="str">
        <f>INDEX(dim_products!$C$2:$C$21,MATCH($E429,dim_products!$A$2:$A$21,0))</f>
        <v>散装鲜菜</v>
      </c>
      <c r="O429" s="2" t="str">
        <f>INDEX(dim_customers!$B$2:$B$7,MATCH($C429,dim_customers!$A$2:$A$7,0))</f>
        <v>模拟_榕树下粉面店</v>
      </c>
      <c r="P429" s="6">
        <f>INT((ROUND(raw_order_lines!H429*10,0)*ROUND(raw_order_lines!J429*100,0)+5)/10)/100</f>
        <v>9.2799999999999994</v>
      </c>
      <c r="Q429" s="6">
        <f>INT((ROUND(raw_order_lines!I429*10,0)*ROUND(raw_order_lines!J429*100,0)+5)/10)/100</f>
        <v>0</v>
      </c>
      <c r="R429" s="6">
        <f t="shared" si="18"/>
        <v>9.2799999999999994</v>
      </c>
      <c r="S429" s="2" t="str">
        <f>IF(OR(ROUND(raw_order_lines!I429*10,0)&gt;ROUND(raw_order_lines!H429*10,0),ROUND(raw_order_lines!H429*10,0)&gt;ROUND(raw_order_lines!G429*10,0),ROUND(raw_order_lines!G429*10,0)&lt;=0),"数量关系异常","")</f>
        <v/>
      </c>
      <c r="T429" s="2" t="str">
        <f>IF($F429&lt;&gt;INDEX(dim_products!$D$2:$D$21,MATCH($E429,dim_products!$A$2:$A$21,0)),"单位不一致","")</f>
        <v/>
      </c>
      <c r="U429" s="2" t="str">
        <f>IF(OR(ROUND(raw_order_lines!J429*100,0)&lt;ROUND(INDEX(dim_products!$F$2:$F$21,MATCH($E429,dim_products!$A$2:$A$21,0))*100,0),ROUND(raw_order_lines!J429*100,0)&gt;ROUND(INDEX(dim_products!$G$2:$G$21,MATCH($E429,dim_products!$A$2:$A$21,0))*100,0)),"单价越界","")</f>
        <v/>
      </c>
      <c r="V429" s="2" t="str">
        <f t="shared" si="19"/>
        <v/>
      </c>
      <c r="W429" s="2" t="str">
        <f t="shared" si="20"/>
        <v>通过</v>
      </c>
    </row>
    <row r="430" spans="1:23" ht="15">
      <c r="A430" s="2" t="str">
        <f>raw_order_lines!A430</f>
        <v>SIM-20260914-C001</v>
      </c>
      <c r="B430" s="2">
        <f>raw_order_lines!B430</f>
        <v>4</v>
      </c>
      <c r="C430" s="2" t="str">
        <f>raw_order_lines!C430</f>
        <v>C001</v>
      </c>
      <c r="D430" s="3">
        <f>raw_order_lines!D430</f>
        <v>46279</v>
      </c>
      <c r="E430" s="2" t="str">
        <f>raw_order_lines!E430</f>
        <v>P004</v>
      </c>
      <c r="F430" s="2" t="str">
        <f>raw_order_lines!F430</f>
        <v>公斤</v>
      </c>
      <c r="G430" s="4">
        <f>raw_order_lines!G430</f>
        <v>3.7</v>
      </c>
      <c r="H430" s="4">
        <f>raw_order_lines!H430</f>
        <v>3.7</v>
      </c>
      <c r="I430" s="4">
        <f>raw_order_lines!I430</f>
        <v>0</v>
      </c>
      <c r="J430" s="5">
        <f>raw_order_lines!J430</f>
        <v>2.7</v>
      </c>
      <c r="K430" s="2" t="str">
        <f>raw_order_lines!K430</f>
        <v>正常交付</v>
      </c>
      <c r="L430" s="2" t="str">
        <f>raw_order_lines!L430</f>
        <v>true</v>
      </c>
      <c r="M430" s="2" t="str">
        <f>INDEX(dim_products!$B$2:$B$21,MATCH($E430,dim_products!$A$2:$A$21,0))</f>
        <v>冬瓜</v>
      </c>
      <c r="N430" s="2" t="str">
        <f>INDEX(dim_products!$C$2:$C$21,MATCH($E430,dim_products!$A$2:$A$21,0))</f>
        <v>散装鲜菜</v>
      </c>
      <c r="O430" s="2" t="str">
        <f>INDEX(dim_customers!$B$2:$B$7,MATCH($C430,dim_customers!$A$2:$A$7,0))</f>
        <v>模拟_榕树下粉面店</v>
      </c>
      <c r="P430" s="6">
        <f>INT((ROUND(raw_order_lines!H430*10,0)*ROUND(raw_order_lines!J430*100,0)+5)/10)/100</f>
        <v>9.99</v>
      </c>
      <c r="Q430" s="6">
        <f>INT((ROUND(raw_order_lines!I430*10,0)*ROUND(raw_order_lines!J430*100,0)+5)/10)/100</f>
        <v>0</v>
      </c>
      <c r="R430" s="6">
        <f t="shared" si="18"/>
        <v>9.99</v>
      </c>
      <c r="S430" s="2" t="str">
        <f>IF(OR(ROUND(raw_order_lines!I430*10,0)&gt;ROUND(raw_order_lines!H430*10,0),ROUND(raw_order_lines!H430*10,0)&gt;ROUND(raw_order_lines!G430*10,0),ROUND(raw_order_lines!G430*10,0)&lt;=0),"数量关系异常","")</f>
        <v/>
      </c>
      <c r="T430" s="2" t="str">
        <f>IF($F430&lt;&gt;INDEX(dim_products!$D$2:$D$21,MATCH($E430,dim_products!$A$2:$A$21,0)),"单位不一致","")</f>
        <v/>
      </c>
      <c r="U430" s="2" t="str">
        <f>IF(OR(ROUND(raw_order_lines!J430*100,0)&lt;ROUND(INDEX(dim_products!$F$2:$F$21,MATCH($E430,dim_products!$A$2:$A$21,0))*100,0),ROUND(raw_order_lines!J430*100,0)&gt;ROUND(INDEX(dim_products!$G$2:$G$21,MATCH($E430,dim_products!$A$2:$A$21,0))*100,0)),"单价越界","")</f>
        <v/>
      </c>
      <c r="V430" s="2" t="str">
        <f t="shared" si="19"/>
        <v/>
      </c>
      <c r="W430" s="2" t="str">
        <f t="shared" si="20"/>
        <v>通过</v>
      </c>
    </row>
    <row r="431" spans="1:23" ht="15">
      <c r="A431" s="2" t="str">
        <f>raw_order_lines!A431</f>
        <v>SIM-20260914-C003</v>
      </c>
      <c r="B431" s="2">
        <f>raw_order_lines!B431</f>
        <v>1</v>
      </c>
      <c r="C431" s="2" t="str">
        <f>raw_order_lines!C431</f>
        <v>C003</v>
      </c>
      <c r="D431" s="3">
        <f>raw_order_lines!D431</f>
        <v>46279</v>
      </c>
      <c r="E431" s="2" t="str">
        <f>raw_order_lines!E431</f>
        <v>P012</v>
      </c>
      <c r="F431" s="2" t="str">
        <f>raw_order_lines!F431</f>
        <v>公斤</v>
      </c>
      <c r="G431" s="4">
        <f>raw_order_lines!G431</f>
        <v>6.5</v>
      </c>
      <c r="H431" s="4">
        <f>raw_order_lines!H431</f>
        <v>6.5</v>
      </c>
      <c r="I431" s="4">
        <f>raw_order_lines!I431</f>
        <v>0.2</v>
      </c>
      <c r="J431" s="5">
        <f>raw_order_lines!J431</f>
        <v>5</v>
      </c>
      <c r="K431" s="2" t="str">
        <f>raw_order_lines!K431</f>
        <v>正常交付；签收时挑出黄叶退回</v>
      </c>
      <c r="L431" s="2" t="str">
        <f>raw_order_lines!L431</f>
        <v>true</v>
      </c>
      <c r="M431" s="2" t="str">
        <f>INDEX(dim_products!$B$2:$B$21,MATCH($E431,dim_products!$A$2:$A$21,0))</f>
        <v>小白菜</v>
      </c>
      <c r="N431" s="2" t="str">
        <f>INDEX(dim_products!$C$2:$C$21,MATCH($E431,dim_products!$A$2:$A$21,0))</f>
        <v>散装鲜菜</v>
      </c>
      <c r="O431" s="2" t="str">
        <f>INDEX(dim_customers!$B$2:$B$7,MATCH($C431,dim_customers!$A$2:$A$7,0))</f>
        <v>模拟_兴街快餐店</v>
      </c>
      <c r="P431" s="6">
        <f>INT((ROUND(raw_order_lines!H431*10,0)*ROUND(raw_order_lines!J431*100,0)+5)/10)/100</f>
        <v>32.5</v>
      </c>
      <c r="Q431" s="6">
        <f>INT((ROUND(raw_order_lines!I431*10,0)*ROUND(raw_order_lines!J431*100,0)+5)/10)/100</f>
        <v>1</v>
      </c>
      <c r="R431" s="6">
        <f t="shared" si="18"/>
        <v>31.5</v>
      </c>
      <c r="S431" s="2" t="str">
        <f>IF(OR(ROUND(raw_order_lines!I431*10,0)&gt;ROUND(raw_order_lines!H431*10,0),ROUND(raw_order_lines!H431*10,0)&gt;ROUND(raw_order_lines!G431*10,0),ROUND(raw_order_lines!G431*10,0)&lt;=0),"数量关系异常","")</f>
        <v/>
      </c>
      <c r="T431" s="2" t="str">
        <f>IF($F431&lt;&gt;INDEX(dim_products!$D$2:$D$21,MATCH($E431,dim_products!$A$2:$A$21,0)),"单位不一致","")</f>
        <v/>
      </c>
      <c r="U431" s="2" t="str">
        <f>IF(OR(ROUND(raw_order_lines!J431*100,0)&lt;ROUND(INDEX(dim_products!$F$2:$F$21,MATCH($E431,dim_products!$A$2:$A$21,0))*100,0),ROUND(raw_order_lines!J431*100,0)&gt;ROUND(INDEX(dim_products!$G$2:$G$21,MATCH($E431,dim_products!$A$2:$A$21,0))*100,0)),"单价越界","")</f>
        <v/>
      </c>
      <c r="V431" s="2" t="str">
        <f t="shared" si="19"/>
        <v/>
      </c>
      <c r="W431" s="2" t="str">
        <f t="shared" si="20"/>
        <v>通过</v>
      </c>
    </row>
    <row r="432" spans="1:23" ht="15">
      <c r="A432" s="2" t="str">
        <f>raw_order_lines!A432</f>
        <v>SIM-20260914-C003</v>
      </c>
      <c r="B432" s="2">
        <f>raw_order_lines!B432</f>
        <v>2</v>
      </c>
      <c r="C432" s="2" t="str">
        <f>raw_order_lines!C432</f>
        <v>C003</v>
      </c>
      <c r="D432" s="3">
        <f>raw_order_lines!D432</f>
        <v>46279</v>
      </c>
      <c r="E432" s="2" t="str">
        <f>raw_order_lines!E432</f>
        <v>P004</v>
      </c>
      <c r="F432" s="2" t="str">
        <f>raw_order_lines!F432</f>
        <v>公斤</v>
      </c>
      <c r="G432" s="4">
        <f>raw_order_lines!G432</f>
        <v>8</v>
      </c>
      <c r="H432" s="4">
        <f>raw_order_lines!H432</f>
        <v>8</v>
      </c>
      <c r="I432" s="4">
        <f>raw_order_lines!I432</f>
        <v>0</v>
      </c>
      <c r="J432" s="5">
        <f>raw_order_lines!J432</f>
        <v>2.7</v>
      </c>
      <c r="K432" s="2" t="str">
        <f>raw_order_lines!K432</f>
        <v>正常交付</v>
      </c>
      <c r="L432" s="2" t="str">
        <f>raw_order_lines!L432</f>
        <v>true</v>
      </c>
      <c r="M432" s="2" t="str">
        <f>INDEX(dim_products!$B$2:$B$21,MATCH($E432,dim_products!$A$2:$A$21,0))</f>
        <v>冬瓜</v>
      </c>
      <c r="N432" s="2" t="str">
        <f>INDEX(dim_products!$C$2:$C$21,MATCH($E432,dim_products!$A$2:$A$21,0))</f>
        <v>散装鲜菜</v>
      </c>
      <c r="O432" s="2" t="str">
        <f>INDEX(dim_customers!$B$2:$B$7,MATCH($C432,dim_customers!$A$2:$A$7,0))</f>
        <v>模拟_兴街快餐店</v>
      </c>
      <c r="P432" s="6">
        <f>INT((ROUND(raw_order_lines!H432*10,0)*ROUND(raw_order_lines!J432*100,0)+5)/10)/100</f>
        <v>21.6</v>
      </c>
      <c r="Q432" s="6">
        <f>INT((ROUND(raw_order_lines!I432*10,0)*ROUND(raw_order_lines!J432*100,0)+5)/10)/100</f>
        <v>0</v>
      </c>
      <c r="R432" s="6">
        <f t="shared" si="18"/>
        <v>21.6</v>
      </c>
      <c r="S432" s="2" t="str">
        <f>IF(OR(ROUND(raw_order_lines!I432*10,0)&gt;ROUND(raw_order_lines!H432*10,0),ROUND(raw_order_lines!H432*10,0)&gt;ROUND(raw_order_lines!G432*10,0),ROUND(raw_order_lines!G432*10,0)&lt;=0),"数量关系异常","")</f>
        <v/>
      </c>
      <c r="T432" s="2" t="str">
        <f>IF($F432&lt;&gt;INDEX(dim_products!$D$2:$D$21,MATCH($E432,dim_products!$A$2:$A$21,0)),"单位不一致","")</f>
        <v/>
      </c>
      <c r="U432" s="2" t="str">
        <f>IF(OR(ROUND(raw_order_lines!J432*100,0)&lt;ROUND(INDEX(dim_products!$F$2:$F$21,MATCH($E432,dim_products!$A$2:$A$21,0))*100,0),ROUND(raw_order_lines!J432*100,0)&gt;ROUND(INDEX(dim_products!$G$2:$G$21,MATCH($E432,dim_products!$A$2:$A$21,0))*100,0)),"单价越界","")</f>
        <v/>
      </c>
      <c r="V432" s="2" t="str">
        <f t="shared" si="19"/>
        <v/>
      </c>
      <c r="W432" s="2" t="str">
        <f t="shared" si="20"/>
        <v>通过</v>
      </c>
    </row>
    <row r="433" spans="1:23" ht="15">
      <c r="A433" s="2" t="str">
        <f>raw_order_lines!A433</f>
        <v>SIM-20260914-C003</v>
      </c>
      <c r="B433" s="2">
        <f>raw_order_lines!B433</f>
        <v>3</v>
      </c>
      <c r="C433" s="2" t="str">
        <f>raw_order_lines!C433</f>
        <v>C003</v>
      </c>
      <c r="D433" s="3">
        <f>raw_order_lines!D433</f>
        <v>46279</v>
      </c>
      <c r="E433" s="2" t="str">
        <f>raw_order_lines!E433</f>
        <v>P014</v>
      </c>
      <c r="F433" s="2" t="str">
        <f>raw_order_lines!F433</f>
        <v>公斤</v>
      </c>
      <c r="G433" s="4">
        <f>raw_order_lines!G433</f>
        <v>7</v>
      </c>
      <c r="H433" s="4">
        <f>raw_order_lines!H433</f>
        <v>7</v>
      </c>
      <c r="I433" s="4">
        <f>raw_order_lines!I433</f>
        <v>0</v>
      </c>
      <c r="J433" s="5">
        <f>raw_order_lines!J433</f>
        <v>5</v>
      </c>
      <c r="K433" s="2" t="str">
        <f>raw_order_lines!K433</f>
        <v>正常交付</v>
      </c>
      <c r="L433" s="2" t="str">
        <f>raw_order_lines!L433</f>
        <v>true</v>
      </c>
      <c r="M433" s="2" t="str">
        <f>INDEX(dim_products!$B$2:$B$21,MATCH($E433,dim_products!$A$2:$A$21,0))</f>
        <v>丝瓜</v>
      </c>
      <c r="N433" s="2" t="str">
        <f>INDEX(dim_products!$C$2:$C$21,MATCH($E433,dim_products!$A$2:$A$21,0))</f>
        <v>散装鲜菜</v>
      </c>
      <c r="O433" s="2" t="str">
        <f>INDEX(dim_customers!$B$2:$B$7,MATCH($C433,dim_customers!$A$2:$A$7,0))</f>
        <v>模拟_兴街快餐店</v>
      </c>
      <c r="P433" s="6">
        <f>INT((ROUND(raw_order_lines!H433*10,0)*ROUND(raw_order_lines!J433*100,0)+5)/10)/100</f>
        <v>35</v>
      </c>
      <c r="Q433" s="6">
        <f>INT((ROUND(raw_order_lines!I433*10,0)*ROUND(raw_order_lines!J433*100,0)+5)/10)/100</f>
        <v>0</v>
      </c>
      <c r="R433" s="6">
        <f t="shared" si="18"/>
        <v>35</v>
      </c>
      <c r="S433" s="2" t="str">
        <f>IF(OR(ROUND(raw_order_lines!I433*10,0)&gt;ROUND(raw_order_lines!H433*10,0),ROUND(raw_order_lines!H433*10,0)&gt;ROUND(raw_order_lines!G433*10,0),ROUND(raw_order_lines!G433*10,0)&lt;=0),"数量关系异常","")</f>
        <v/>
      </c>
      <c r="T433" s="2" t="str">
        <f>IF($F433&lt;&gt;INDEX(dim_products!$D$2:$D$21,MATCH($E433,dim_products!$A$2:$A$21,0)),"单位不一致","")</f>
        <v/>
      </c>
      <c r="U433" s="2" t="str">
        <f>IF(OR(ROUND(raw_order_lines!J433*100,0)&lt;ROUND(INDEX(dim_products!$F$2:$F$21,MATCH($E433,dim_products!$A$2:$A$21,0))*100,0),ROUND(raw_order_lines!J433*100,0)&gt;ROUND(INDEX(dim_products!$G$2:$G$21,MATCH($E433,dim_products!$A$2:$A$21,0))*100,0)),"单价越界","")</f>
        <v/>
      </c>
      <c r="V433" s="2" t="str">
        <f t="shared" si="19"/>
        <v/>
      </c>
      <c r="W433" s="2" t="str">
        <f t="shared" si="20"/>
        <v>通过</v>
      </c>
    </row>
    <row r="434" spans="1:23" ht="15">
      <c r="A434" s="2" t="str">
        <f>raw_order_lines!A434</f>
        <v>SIM-20260914-C003</v>
      </c>
      <c r="B434" s="2">
        <f>raw_order_lines!B434</f>
        <v>4</v>
      </c>
      <c r="C434" s="2" t="str">
        <f>raw_order_lines!C434</f>
        <v>C003</v>
      </c>
      <c r="D434" s="3">
        <f>raw_order_lines!D434</f>
        <v>46279</v>
      </c>
      <c r="E434" s="2" t="str">
        <f>raw_order_lines!E434</f>
        <v>P013</v>
      </c>
      <c r="F434" s="2" t="str">
        <f>raw_order_lines!F434</f>
        <v>公斤</v>
      </c>
      <c r="G434" s="4">
        <f>raw_order_lines!G434</f>
        <v>7.5</v>
      </c>
      <c r="H434" s="4">
        <f>raw_order_lines!H434</f>
        <v>7.5</v>
      </c>
      <c r="I434" s="4">
        <f>raw_order_lines!I434</f>
        <v>0</v>
      </c>
      <c r="J434" s="5">
        <f>raw_order_lines!J434</f>
        <v>6</v>
      </c>
      <c r="K434" s="2" t="str">
        <f>raw_order_lines!K434</f>
        <v>正常交付</v>
      </c>
      <c r="L434" s="2" t="str">
        <f>raw_order_lines!L434</f>
        <v>true</v>
      </c>
      <c r="M434" s="2" t="str">
        <f>INDEX(dim_products!$B$2:$B$21,MATCH($E434,dim_products!$A$2:$A$21,0))</f>
        <v>豇豆</v>
      </c>
      <c r="N434" s="2" t="str">
        <f>INDEX(dim_products!$C$2:$C$21,MATCH($E434,dim_products!$A$2:$A$21,0))</f>
        <v>散装鲜菜</v>
      </c>
      <c r="O434" s="2" t="str">
        <f>INDEX(dim_customers!$B$2:$B$7,MATCH($C434,dim_customers!$A$2:$A$7,0))</f>
        <v>模拟_兴街快餐店</v>
      </c>
      <c r="P434" s="6">
        <f>INT((ROUND(raw_order_lines!H434*10,0)*ROUND(raw_order_lines!J434*100,0)+5)/10)/100</f>
        <v>45</v>
      </c>
      <c r="Q434" s="6">
        <f>INT((ROUND(raw_order_lines!I434*10,0)*ROUND(raw_order_lines!J434*100,0)+5)/10)/100</f>
        <v>0</v>
      </c>
      <c r="R434" s="6">
        <f t="shared" si="18"/>
        <v>45</v>
      </c>
      <c r="S434" s="2" t="str">
        <f>IF(OR(ROUND(raw_order_lines!I434*10,0)&gt;ROUND(raw_order_lines!H434*10,0),ROUND(raw_order_lines!H434*10,0)&gt;ROUND(raw_order_lines!G434*10,0),ROUND(raw_order_lines!G434*10,0)&lt;=0),"数量关系异常","")</f>
        <v/>
      </c>
      <c r="T434" s="2" t="str">
        <f>IF($F434&lt;&gt;INDEX(dim_products!$D$2:$D$21,MATCH($E434,dim_products!$A$2:$A$21,0)),"单位不一致","")</f>
        <v/>
      </c>
      <c r="U434" s="2" t="str">
        <f>IF(OR(ROUND(raw_order_lines!J434*100,0)&lt;ROUND(INDEX(dim_products!$F$2:$F$21,MATCH($E434,dim_products!$A$2:$A$21,0))*100,0),ROUND(raw_order_lines!J434*100,0)&gt;ROUND(INDEX(dim_products!$G$2:$G$21,MATCH($E434,dim_products!$A$2:$A$21,0))*100,0)),"单价越界","")</f>
        <v/>
      </c>
      <c r="V434" s="2" t="str">
        <f t="shared" si="19"/>
        <v/>
      </c>
      <c r="W434" s="2" t="str">
        <f t="shared" si="20"/>
        <v>通过</v>
      </c>
    </row>
    <row r="435" spans="1:23" ht="15">
      <c r="A435" s="2" t="str">
        <f>raw_order_lines!A435</f>
        <v>SIM-20260914-C003</v>
      </c>
      <c r="B435" s="2">
        <f>raw_order_lines!B435</f>
        <v>5</v>
      </c>
      <c r="C435" s="2" t="str">
        <f>raw_order_lines!C435</f>
        <v>C003</v>
      </c>
      <c r="D435" s="3">
        <f>raw_order_lines!D435</f>
        <v>46279</v>
      </c>
      <c r="E435" s="2" t="str">
        <f>raw_order_lines!E435</f>
        <v>P008</v>
      </c>
      <c r="F435" s="2" t="str">
        <f>raw_order_lines!F435</f>
        <v>公斤</v>
      </c>
      <c r="G435" s="4">
        <f>raw_order_lines!G435</f>
        <v>7.5</v>
      </c>
      <c r="H435" s="4">
        <f>raw_order_lines!H435</f>
        <v>7.5</v>
      </c>
      <c r="I435" s="4">
        <f>raw_order_lines!I435</f>
        <v>0</v>
      </c>
      <c r="J435" s="5">
        <f>raw_order_lines!J435</f>
        <v>4.4000000000000004</v>
      </c>
      <c r="K435" s="2" t="str">
        <f>raw_order_lines!K435</f>
        <v>正常交付</v>
      </c>
      <c r="L435" s="2" t="str">
        <f>raw_order_lines!L435</f>
        <v>true</v>
      </c>
      <c r="M435" s="2" t="str">
        <f>INDEX(dim_products!$B$2:$B$21,MATCH($E435,dim_products!$A$2:$A$21,0))</f>
        <v>黄瓜</v>
      </c>
      <c r="N435" s="2" t="str">
        <f>INDEX(dim_products!$C$2:$C$21,MATCH($E435,dim_products!$A$2:$A$21,0))</f>
        <v>散装鲜菜</v>
      </c>
      <c r="O435" s="2" t="str">
        <f>INDEX(dim_customers!$B$2:$B$7,MATCH($C435,dim_customers!$A$2:$A$7,0))</f>
        <v>模拟_兴街快餐店</v>
      </c>
      <c r="P435" s="6">
        <f>INT((ROUND(raw_order_lines!H435*10,0)*ROUND(raw_order_lines!J435*100,0)+5)/10)/100</f>
        <v>33</v>
      </c>
      <c r="Q435" s="6">
        <f>INT((ROUND(raw_order_lines!I435*10,0)*ROUND(raw_order_lines!J435*100,0)+5)/10)/100</f>
        <v>0</v>
      </c>
      <c r="R435" s="6">
        <f t="shared" si="18"/>
        <v>33</v>
      </c>
      <c r="S435" s="2" t="str">
        <f>IF(OR(ROUND(raw_order_lines!I435*10,0)&gt;ROUND(raw_order_lines!H435*10,0),ROUND(raw_order_lines!H435*10,0)&gt;ROUND(raw_order_lines!G435*10,0),ROUND(raw_order_lines!G435*10,0)&lt;=0),"数量关系异常","")</f>
        <v/>
      </c>
      <c r="T435" s="2" t="str">
        <f>IF($F435&lt;&gt;INDEX(dim_products!$D$2:$D$21,MATCH($E435,dim_products!$A$2:$A$21,0)),"单位不一致","")</f>
        <v/>
      </c>
      <c r="U435" s="2" t="str">
        <f>IF(OR(ROUND(raw_order_lines!J435*100,0)&lt;ROUND(INDEX(dim_products!$F$2:$F$21,MATCH($E435,dim_products!$A$2:$A$21,0))*100,0),ROUND(raw_order_lines!J435*100,0)&gt;ROUND(INDEX(dim_products!$G$2:$G$21,MATCH($E435,dim_products!$A$2:$A$21,0))*100,0)),"单价越界","")</f>
        <v/>
      </c>
      <c r="V435" s="2" t="str">
        <f t="shared" si="19"/>
        <v/>
      </c>
      <c r="W435" s="2" t="str">
        <f t="shared" si="20"/>
        <v>通过</v>
      </c>
    </row>
    <row r="436" spans="1:23" ht="15">
      <c r="A436" s="2" t="str">
        <f>raw_order_lines!A436</f>
        <v>SIM-20260914-C003</v>
      </c>
      <c r="B436" s="2">
        <f>raw_order_lines!B436</f>
        <v>6</v>
      </c>
      <c r="C436" s="2" t="str">
        <f>raw_order_lines!C436</f>
        <v>C003</v>
      </c>
      <c r="D436" s="3">
        <f>raw_order_lines!D436</f>
        <v>46279</v>
      </c>
      <c r="E436" s="2" t="str">
        <f>raw_order_lines!E436</f>
        <v>P005</v>
      </c>
      <c r="F436" s="2" t="str">
        <f>raw_order_lines!F436</f>
        <v>公斤</v>
      </c>
      <c r="G436" s="4">
        <f>raw_order_lines!G436</f>
        <v>6</v>
      </c>
      <c r="H436" s="4">
        <f>raw_order_lines!H436</f>
        <v>6</v>
      </c>
      <c r="I436" s="4">
        <f>raw_order_lines!I436</f>
        <v>0</v>
      </c>
      <c r="J436" s="5">
        <f>raw_order_lines!J436</f>
        <v>2.7</v>
      </c>
      <c r="K436" s="2" t="str">
        <f>raw_order_lines!K436</f>
        <v>正常交付</v>
      </c>
      <c r="L436" s="2" t="str">
        <f>raw_order_lines!L436</f>
        <v>true</v>
      </c>
      <c r="M436" s="2" t="str">
        <f>INDEX(dim_products!$B$2:$B$21,MATCH($E436,dim_products!$A$2:$A$21,0))</f>
        <v>南瓜</v>
      </c>
      <c r="N436" s="2" t="str">
        <f>INDEX(dim_products!$C$2:$C$21,MATCH($E436,dim_products!$A$2:$A$21,0))</f>
        <v>散装鲜菜</v>
      </c>
      <c r="O436" s="2" t="str">
        <f>INDEX(dim_customers!$B$2:$B$7,MATCH($C436,dim_customers!$A$2:$A$7,0))</f>
        <v>模拟_兴街快餐店</v>
      </c>
      <c r="P436" s="6">
        <f>INT((ROUND(raw_order_lines!H436*10,0)*ROUND(raw_order_lines!J436*100,0)+5)/10)/100</f>
        <v>16.2</v>
      </c>
      <c r="Q436" s="6">
        <f>INT((ROUND(raw_order_lines!I436*10,0)*ROUND(raw_order_lines!J436*100,0)+5)/10)/100</f>
        <v>0</v>
      </c>
      <c r="R436" s="6">
        <f t="shared" si="18"/>
        <v>16.2</v>
      </c>
      <c r="S436" s="2" t="str">
        <f>IF(OR(ROUND(raw_order_lines!I436*10,0)&gt;ROUND(raw_order_lines!H436*10,0),ROUND(raw_order_lines!H436*10,0)&gt;ROUND(raw_order_lines!G436*10,0),ROUND(raw_order_lines!G436*10,0)&lt;=0),"数量关系异常","")</f>
        <v/>
      </c>
      <c r="T436" s="2" t="str">
        <f>IF($F436&lt;&gt;INDEX(dim_products!$D$2:$D$21,MATCH($E436,dim_products!$A$2:$A$21,0)),"单位不一致","")</f>
        <v/>
      </c>
      <c r="U436" s="2" t="str">
        <f>IF(OR(ROUND(raw_order_lines!J436*100,0)&lt;ROUND(INDEX(dim_products!$F$2:$F$21,MATCH($E436,dim_products!$A$2:$A$21,0))*100,0),ROUND(raw_order_lines!J436*100,0)&gt;ROUND(INDEX(dim_products!$G$2:$G$21,MATCH($E436,dim_products!$A$2:$A$21,0))*100,0)),"单价越界","")</f>
        <v/>
      </c>
      <c r="V436" s="2" t="str">
        <f t="shared" si="19"/>
        <v/>
      </c>
      <c r="W436" s="2" t="str">
        <f t="shared" si="20"/>
        <v>通过</v>
      </c>
    </row>
    <row r="437" spans="1:23" ht="15">
      <c r="A437" s="2" t="str">
        <f>raw_order_lines!A437</f>
        <v>SIM-20260914-C005</v>
      </c>
      <c r="B437" s="2">
        <f>raw_order_lines!B437</f>
        <v>1</v>
      </c>
      <c r="C437" s="2" t="str">
        <f>raw_order_lines!C437</f>
        <v>C005</v>
      </c>
      <c r="D437" s="3">
        <f>raw_order_lines!D437</f>
        <v>46279</v>
      </c>
      <c r="E437" s="2" t="str">
        <f>raw_order_lines!E437</f>
        <v>P010</v>
      </c>
      <c r="F437" s="2" t="str">
        <f>raw_order_lines!F437</f>
        <v>公斤</v>
      </c>
      <c r="G437" s="4">
        <f>raw_order_lines!G437</f>
        <v>9.6999999999999993</v>
      </c>
      <c r="H437" s="4">
        <f>raw_order_lines!H437</f>
        <v>9.6999999999999993</v>
      </c>
      <c r="I437" s="4">
        <f>raw_order_lines!I437</f>
        <v>0</v>
      </c>
      <c r="J437" s="5">
        <f>raw_order_lines!J437</f>
        <v>5</v>
      </c>
      <c r="K437" s="2" t="str">
        <f>raw_order_lines!K437</f>
        <v>正常交付</v>
      </c>
      <c r="L437" s="2" t="str">
        <f>raw_order_lines!L437</f>
        <v>true</v>
      </c>
      <c r="M437" s="2" t="str">
        <f>INDEX(dim_products!$B$2:$B$21,MATCH($E437,dim_products!$A$2:$A$21,0))</f>
        <v>空心菜</v>
      </c>
      <c r="N437" s="2" t="str">
        <f>INDEX(dim_products!$C$2:$C$21,MATCH($E437,dim_products!$A$2:$A$21,0))</f>
        <v>散装鲜菜</v>
      </c>
      <c r="O437" s="2" t="str">
        <f>INDEX(dim_customers!$B$2:$B$7,MATCH($C437,dim_customers!$A$2:$A$7,0))</f>
        <v>模拟_青禾小学食堂</v>
      </c>
      <c r="P437" s="6">
        <f>INT((ROUND(raw_order_lines!H437*10,0)*ROUND(raw_order_lines!J437*100,0)+5)/10)/100</f>
        <v>48.5</v>
      </c>
      <c r="Q437" s="6">
        <f>INT((ROUND(raw_order_lines!I437*10,0)*ROUND(raw_order_lines!J437*100,0)+5)/10)/100</f>
        <v>0</v>
      </c>
      <c r="R437" s="6">
        <f t="shared" si="18"/>
        <v>48.5</v>
      </c>
      <c r="S437" s="2" t="str">
        <f>IF(OR(ROUND(raw_order_lines!I437*10,0)&gt;ROUND(raw_order_lines!H437*10,0),ROUND(raw_order_lines!H437*10,0)&gt;ROUND(raw_order_lines!G437*10,0),ROUND(raw_order_lines!G437*10,0)&lt;=0),"数量关系异常","")</f>
        <v/>
      </c>
      <c r="T437" s="2" t="str">
        <f>IF($F437&lt;&gt;INDEX(dim_products!$D$2:$D$21,MATCH($E437,dim_products!$A$2:$A$21,0)),"单位不一致","")</f>
        <v/>
      </c>
      <c r="U437" s="2" t="str">
        <f>IF(OR(ROUND(raw_order_lines!J437*100,0)&lt;ROUND(INDEX(dim_products!$F$2:$F$21,MATCH($E437,dim_products!$A$2:$A$21,0))*100,0),ROUND(raw_order_lines!J437*100,0)&gt;ROUND(INDEX(dim_products!$G$2:$G$21,MATCH($E437,dim_products!$A$2:$A$21,0))*100,0)),"单价越界","")</f>
        <v/>
      </c>
      <c r="V437" s="2" t="str">
        <f t="shared" si="19"/>
        <v/>
      </c>
      <c r="W437" s="2" t="str">
        <f t="shared" si="20"/>
        <v>通过</v>
      </c>
    </row>
    <row r="438" spans="1:23" ht="15">
      <c r="A438" s="2" t="str">
        <f>raw_order_lines!A438</f>
        <v>SIM-20260914-C005</v>
      </c>
      <c r="B438" s="2">
        <f>raw_order_lines!B438</f>
        <v>2</v>
      </c>
      <c r="C438" s="2" t="str">
        <f>raw_order_lines!C438</f>
        <v>C005</v>
      </c>
      <c r="D438" s="3">
        <f>raw_order_lines!D438</f>
        <v>46279</v>
      </c>
      <c r="E438" s="2" t="str">
        <f>raw_order_lines!E438</f>
        <v>P004</v>
      </c>
      <c r="F438" s="2" t="str">
        <f>raw_order_lines!F438</f>
        <v>公斤</v>
      </c>
      <c r="G438" s="4">
        <f>raw_order_lines!G438</f>
        <v>12.1</v>
      </c>
      <c r="H438" s="4">
        <f>raw_order_lines!H438</f>
        <v>12.1</v>
      </c>
      <c r="I438" s="4">
        <f>raw_order_lines!I438</f>
        <v>0</v>
      </c>
      <c r="J438" s="5">
        <f>raw_order_lines!J438</f>
        <v>2.7</v>
      </c>
      <c r="K438" s="2" t="str">
        <f>raw_order_lines!K438</f>
        <v>正常交付</v>
      </c>
      <c r="L438" s="2" t="str">
        <f>raw_order_lines!L438</f>
        <v>true</v>
      </c>
      <c r="M438" s="2" t="str">
        <f>INDEX(dim_products!$B$2:$B$21,MATCH($E438,dim_products!$A$2:$A$21,0))</f>
        <v>冬瓜</v>
      </c>
      <c r="N438" s="2" t="str">
        <f>INDEX(dim_products!$C$2:$C$21,MATCH($E438,dim_products!$A$2:$A$21,0))</f>
        <v>散装鲜菜</v>
      </c>
      <c r="O438" s="2" t="str">
        <f>INDEX(dim_customers!$B$2:$B$7,MATCH($C438,dim_customers!$A$2:$A$7,0))</f>
        <v>模拟_青禾小学食堂</v>
      </c>
      <c r="P438" s="6">
        <f>INT((ROUND(raw_order_lines!H438*10,0)*ROUND(raw_order_lines!J438*100,0)+5)/10)/100</f>
        <v>32.67</v>
      </c>
      <c r="Q438" s="6">
        <f>INT((ROUND(raw_order_lines!I438*10,0)*ROUND(raw_order_lines!J438*100,0)+5)/10)/100</f>
        <v>0</v>
      </c>
      <c r="R438" s="6">
        <f t="shared" si="18"/>
        <v>32.67</v>
      </c>
      <c r="S438" s="2" t="str">
        <f>IF(OR(ROUND(raw_order_lines!I438*10,0)&gt;ROUND(raw_order_lines!H438*10,0),ROUND(raw_order_lines!H438*10,0)&gt;ROUND(raw_order_lines!G438*10,0),ROUND(raw_order_lines!G438*10,0)&lt;=0),"数量关系异常","")</f>
        <v/>
      </c>
      <c r="T438" s="2" t="str">
        <f>IF($F438&lt;&gt;INDEX(dim_products!$D$2:$D$21,MATCH($E438,dim_products!$A$2:$A$21,0)),"单位不一致","")</f>
        <v/>
      </c>
      <c r="U438" s="2" t="str">
        <f>IF(OR(ROUND(raw_order_lines!J438*100,0)&lt;ROUND(INDEX(dim_products!$F$2:$F$21,MATCH($E438,dim_products!$A$2:$A$21,0))*100,0),ROUND(raw_order_lines!J438*100,0)&gt;ROUND(INDEX(dim_products!$G$2:$G$21,MATCH($E438,dim_products!$A$2:$A$21,0))*100,0)),"单价越界","")</f>
        <v/>
      </c>
      <c r="V438" s="2" t="str">
        <f t="shared" si="19"/>
        <v/>
      </c>
      <c r="W438" s="2" t="str">
        <f t="shared" si="20"/>
        <v>通过</v>
      </c>
    </row>
    <row r="439" spans="1:23" ht="15">
      <c r="A439" s="2" t="str">
        <f>raw_order_lines!A439</f>
        <v>SIM-20260914-C005</v>
      </c>
      <c r="B439" s="2">
        <f>raw_order_lines!B439</f>
        <v>3</v>
      </c>
      <c r="C439" s="2" t="str">
        <f>raw_order_lines!C439</f>
        <v>C005</v>
      </c>
      <c r="D439" s="3">
        <f>raw_order_lines!D439</f>
        <v>46279</v>
      </c>
      <c r="E439" s="2" t="str">
        <f>raw_order_lines!E439</f>
        <v>P001</v>
      </c>
      <c r="F439" s="2" t="str">
        <f>raw_order_lines!F439</f>
        <v>公斤</v>
      </c>
      <c r="G439" s="4">
        <f>raw_order_lines!G439</f>
        <v>7.3</v>
      </c>
      <c r="H439" s="4">
        <f>raw_order_lines!H439</f>
        <v>7.3</v>
      </c>
      <c r="I439" s="4">
        <f>raw_order_lines!I439</f>
        <v>0</v>
      </c>
      <c r="J439" s="5">
        <f>raw_order_lines!J439</f>
        <v>3.3</v>
      </c>
      <c r="K439" s="2" t="str">
        <f>raw_order_lines!K439</f>
        <v>正常交付</v>
      </c>
      <c r="L439" s="2" t="str">
        <f>raw_order_lines!L439</f>
        <v>true</v>
      </c>
      <c r="M439" s="2" t="str">
        <f>INDEX(dim_products!$B$2:$B$21,MATCH($E439,dim_products!$A$2:$A$21,0))</f>
        <v>土豆</v>
      </c>
      <c r="N439" s="2" t="str">
        <f>INDEX(dim_products!$C$2:$C$21,MATCH($E439,dim_products!$A$2:$A$21,0))</f>
        <v>散装鲜菜</v>
      </c>
      <c r="O439" s="2" t="str">
        <f>INDEX(dim_customers!$B$2:$B$7,MATCH($C439,dim_customers!$A$2:$A$7,0))</f>
        <v>模拟_青禾小学食堂</v>
      </c>
      <c r="P439" s="6">
        <f>INT((ROUND(raw_order_lines!H439*10,0)*ROUND(raw_order_lines!J439*100,0)+5)/10)/100</f>
        <v>24.09</v>
      </c>
      <c r="Q439" s="6">
        <f>INT((ROUND(raw_order_lines!I439*10,0)*ROUND(raw_order_lines!J439*100,0)+5)/10)/100</f>
        <v>0</v>
      </c>
      <c r="R439" s="6">
        <f t="shared" si="18"/>
        <v>24.09</v>
      </c>
      <c r="S439" s="2" t="str">
        <f>IF(OR(ROUND(raw_order_lines!I439*10,0)&gt;ROUND(raw_order_lines!H439*10,0),ROUND(raw_order_lines!H439*10,0)&gt;ROUND(raw_order_lines!G439*10,0),ROUND(raw_order_lines!G439*10,0)&lt;=0),"数量关系异常","")</f>
        <v/>
      </c>
      <c r="T439" s="2" t="str">
        <f>IF($F439&lt;&gt;INDEX(dim_products!$D$2:$D$21,MATCH($E439,dim_products!$A$2:$A$21,0)),"单位不一致","")</f>
        <v/>
      </c>
      <c r="U439" s="2" t="str">
        <f>IF(OR(ROUND(raw_order_lines!J439*100,0)&lt;ROUND(INDEX(dim_products!$F$2:$F$21,MATCH($E439,dim_products!$A$2:$A$21,0))*100,0),ROUND(raw_order_lines!J439*100,0)&gt;ROUND(INDEX(dim_products!$G$2:$G$21,MATCH($E439,dim_products!$A$2:$A$21,0))*100,0)),"单价越界","")</f>
        <v/>
      </c>
      <c r="V439" s="2" t="str">
        <f t="shared" si="19"/>
        <v/>
      </c>
      <c r="W439" s="2" t="str">
        <f t="shared" si="20"/>
        <v>通过</v>
      </c>
    </row>
    <row r="440" spans="1:23" ht="15">
      <c r="A440" s="2" t="str">
        <f>raw_order_lines!A440</f>
        <v>SIM-20260914-C005</v>
      </c>
      <c r="B440" s="2">
        <f>raw_order_lines!B440</f>
        <v>4</v>
      </c>
      <c r="C440" s="2" t="str">
        <f>raw_order_lines!C440</f>
        <v>C005</v>
      </c>
      <c r="D440" s="3">
        <f>raw_order_lines!D440</f>
        <v>46279</v>
      </c>
      <c r="E440" s="2" t="str">
        <f>raw_order_lines!E440</f>
        <v>P008</v>
      </c>
      <c r="F440" s="2" t="str">
        <f>raw_order_lines!F440</f>
        <v>公斤</v>
      </c>
      <c r="G440" s="4">
        <f>raw_order_lines!G440</f>
        <v>7.3</v>
      </c>
      <c r="H440" s="4">
        <f>raw_order_lines!H440</f>
        <v>7.3</v>
      </c>
      <c r="I440" s="4">
        <f>raw_order_lines!I440</f>
        <v>0</v>
      </c>
      <c r="J440" s="5">
        <f>raw_order_lines!J440</f>
        <v>4.4000000000000004</v>
      </c>
      <c r="K440" s="2" t="str">
        <f>raw_order_lines!K440</f>
        <v>正常交付</v>
      </c>
      <c r="L440" s="2" t="str">
        <f>raw_order_lines!L440</f>
        <v>true</v>
      </c>
      <c r="M440" s="2" t="str">
        <f>INDEX(dim_products!$B$2:$B$21,MATCH($E440,dim_products!$A$2:$A$21,0))</f>
        <v>黄瓜</v>
      </c>
      <c r="N440" s="2" t="str">
        <f>INDEX(dim_products!$C$2:$C$21,MATCH($E440,dim_products!$A$2:$A$21,0))</f>
        <v>散装鲜菜</v>
      </c>
      <c r="O440" s="2" t="str">
        <f>INDEX(dim_customers!$B$2:$B$7,MATCH($C440,dim_customers!$A$2:$A$7,0))</f>
        <v>模拟_青禾小学食堂</v>
      </c>
      <c r="P440" s="6">
        <f>INT((ROUND(raw_order_lines!H440*10,0)*ROUND(raw_order_lines!J440*100,0)+5)/10)/100</f>
        <v>32.119999999999997</v>
      </c>
      <c r="Q440" s="6">
        <f>INT((ROUND(raw_order_lines!I440*10,0)*ROUND(raw_order_lines!J440*100,0)+5)/10)/100</f>
        <v>0</v>
      </c>
      <c r="R440" s="6">
        <f t="shared" si="18"/>
        <v>32.119999999999997</v>
      </c>
      <c r="S440" s="2" t="str">
        <f>IF(OR(ROUND(raw_order_lines!I440*10,0)&gt;ROUND(raw_order_lines!H440*10,0),ROUND(raw_order_lines!H440*10,0)&gt;ROUND(raw_order_lines!G440*10,0),ROUND(raw_order_lines!G440*10,0)&lt;=0),"数量关系异常","")</f>
        <v/>
      </c>
      <c r="T440" s="2" t="str">
        <f>IF($F440&lt;&gt;INDEX(dim_products!$D$2:$D$21,MATCH($E440,dim_products!$A$2:$A$21,0)),"单位不一致","")</f>
        <v/>
      </c>
      <c r="U440" s="2" t="str">
        <f>IF(OR(ROUND(raw_order_lines!J440*100,0)&lt;ROUND(INDEX(dim_products!$F$2:$F$21,MATCH($E440,dim_products!$A$2:$A$21,0))*100,0),ROUND(raw_order_lines!J440*100,0)&gt;ROUND(INDEX(dim_products!$G$2:$G$21,MATCH($E440,dim_products!$A$2:$A$21,0))*100,0)),"单价越界","")</f>
        <v/>
      </c>
      <c r="V440" s="2" t="str">
        <f t="shared" si="19"/>
        <v/>
      </c>
      <c r="W440" s="2" t="str">
        <f t="shared" si="20"/>
        <v>通过</v>
      </c>
    </row>
    <row r="441" spans="1:23" ht="15">
      <c r="A441" s="2" t="str">
        <f>raw_order_lines!A441</f>
        <v>SIM-20260914-C005</v>
      </c>
      <c r="B441" s="2">
        <f>raw_order_lines!B441</f>
        <v>5</v>
      </c>
      <c r="C441" s="2" t="str">
        <f>raw_order_lines!C441</f>
        <v>C005</v>
      </c>
      <c r="D441" s="3">
        <f>raw_order_lines!D441</f>
        <v>46279</v>
      </c>
      <c r="E441" s="2" t="str">
        <f>raw_order_lines!E441</f>
        <v>P014</v>
      </c>
      <c r="F441" s="2" t="str">
        <f>raw_order_lines!F441</f>
        <v>公斤</v>
      </c>
      <c r="G441" s="4">
        <f>raw_order_lines!G441</f>
        <v>9.6999999999999993</v>
      </c>
      <c r="H441" s="4">
        <f>raw_order_lines!H441</f>
        <v>9.6999999999999993</v>
      </c>
      <c r="I441" s="4">
        <f>raw_order_lines!I441</f>
        <v>0</v>
      </c>
      <c r="J441" s="5">
        <f>raw_order_lines!J441</f>
        <v>5</v>
      </c>
      <c r="K441" s="2" t="str">
        <f>raw_order_lines!K441</f>
        <v>正常交付</v>
      </c>
      <c r="L441" s="2" t="str">
        <f>raw_order_lines!L441</f>
        <v>true</v>
      </c>
      <c r="M441" s="2" t="str">
        <f>INDEX(dim_products!$B$2:$B$21,MATCH($E441,dim_products!$A$2:$A$21,0))</f>
        <v>丝瓜</v>
      </c>
      <c r="N441" s="2" t="str">
        <f>INDEX(dim_products!$C$2:$C$21,MATCH($E441,dim_products!$A$2:$A$21,0))</f>
        <v>散装鲜菜</v>
      </c>
      <c r="O441" s="2" t="str">
        <f>INDEX(dim_customers!$B$2:$B$7,MATCH($C441,dim_customers!$A$2:$A$7,0))</f>
        <v>模拟_青禾小学食堂</v>
      </c>
      <c r="P441" s="6">
        <f>INT((ROUND(raw_order_lines!H441*10,0)*ROUND(raw_order_lines!J441*100,0)+5)/10)/100</f>
        <v>48.5</v>
      </c>
      <c r="Q441" s="6">
        <f>INT((ROUND(raw_order_lines!I441*10,0)*ROUND(raw_order_lines!J441*100,0)+5)/10)/100</f>
        <v>0</v>
      </c>
      <c r="R441" s="6">
        <f t="shared" si="18"/>
        <v>48.5</v>
      </c>
      <c r="S441" s="2" t="str">
        <f>IF(OR(ROUND(raw_order_lines!I441*10,0)&gt;ROUND(raw_order_lines!H441*10,0),ROUND(raw_order_lines!H441*10,0)&gt;ROUND(raw_order_lines!G441*10,0),ROUND(raw_order_lines!G441*10,0)&lt;=0),"数量关系异常","")</f>
        <v/>
      </c>
      <c r="T441" s="2" t="str">
        <f>IF($F441&lt;&gt;INDEX(dim_products!$D$2:$D$21,MATCH($E441,dim_products!$A$2:$A$21,0)),"单位不一致","")</f>
        <v/>
      </c>
      <c r="U441" s="2" t="str">
        <f>IF(OR(ROUND(raw_order_lines!J441*100,0)&lt;ROUND(INDEX(dim_products!$F$2:$F$21,MATCH($E441,dim_products!$A$2:$A$21,0))*100,0),ROUND(raw_order_lines!J441*100,0)&gt;ROUND(INDEX(dim_products!$G$2:$G$21,MATCH($E441,dim_products!$A$2:$A$21,0))*100,0)),"单价越界","")</f>
        <v/>
      </c>
      <c r="V441" s="2" t="str">
        <f t="shared" si="19"/>
        <v/>
      </c>
      <c r="W441" s="2" t="str">
        <f t="shared" si="20"/>
        <v>通过</v>
      </c>
    </row>
    <row r="442" spans="1:23" ht="15">
      <c r="A442" s="2" t="str">
        <f>raw_order_lines!A442</f>
        <v>SIM-20260914-C005</v>
      </c>
      <c r="B442" s="2">
        <f>raw_order_lines!B442</f>
        <v>6</v>
      </c>
      <c r="C442" s="2" t="str">
        <f>raw_order_lines!C442</f>
        <v>C005</v>
      </c>
      <c r="D442" s="3">
        <f>raw_order_lines!D442</f>
        <v>46279</v>
      </c>
      <c r="E442" s="2" t="str">
        <f>raw_order_lines!E442</f>
        <v>P003</v>
      </c>
      <c r="F442" s="2" t="str">
        <f>raw_order_lines!F442</f>
        <v>公斤</v>
      </c>
      <c r="G442" s="4">
        <f>raw_order_lines!G442</f>
        <v>10.5</v>
      </c>
      <c r="H442" s="4">
        <f>raw_order_lines!H442</f>
        <v>10.5</v>
      </c>
      <c r="I442" s="4">
        <f>raw_order_lines!I442</f>
        <v>0</v>
      </c>
      <c r="J442" s="5">
        <f>raw_order_lines!J442</f>
        <v>2.9</v>
      </c>
      <c r="K442" s="2" t="str">
        <f>raw_order_lines!K442</f>
        <v>正常交付</v>
      </c>
      <c r="L442" s="2" t="str">
        <f>raw_order_lines!L442</f>
        <v>true</v>
      </c>
      <c r="M442" s="2" t="str">
        <f>INDEX(dim_products!$B$2:$B$21,MATCH($E442,dim_products!$A$2:$A$21,0))</f>
        <v>包菜</v>
      </c>
      <c r="N442" s="2" t="str">
        <f>INDEX(dim_products!$C$2:$C$21,MATCH($E442,dim_products!$A$2:$A$21,0))</f>
        <v>散装鲜菜</v>
      </c>
      <c r="O442" s="2" t="str">
        <f>INDEX(dim_customers!$B$2:$B$7,MATCH($C442,dim_customers!$A$2:$A$7,0))</f>
        <v>模拟_青禾小学食堂</v>
      </c>
      <c r="P442" s="6">
        <f>INT((ROUND(raw_order_lines!H442*10,0)*ROUND(raw_order_lines!J442*100,0)+5)/10)/100</f>
        <v>30.45</v>
      </c>
      <c r="Q442" s="6">
        <f>INT((ROUND(raw_order_lines!I442*10,0)*ROUND(raw_order_lines!J442*100,0)+5)/10)/100</f>
        <v>0</v>
      </c>
      <c r="R442" s="6">
        <f t="shared" si="18"/>
        <v>30.45</v>
      </c>
      <c r="S442" s="2" t="str">
        <f>IF(OR(ROUND(raw_order_lines!I442*10,0)&gt;ROUND(raw_order_lines!H442*10,0),ROUND(raw_order_lines!H442*10,0)&gt;ROUND(raw_order_lines!G442*10,0),ROUND(raw_order_lines!G442*10,0)&lt;=0),"数量关系异常","")</f>
        <v/>
      </c>
      <c r="T442" s="2" t="str">
        <f>IF($F442&lt;&gt;INDEX(dim_products!$D$2:$D$21,MATCH($E442,dim_products!$A$2:$A$21,0)),"单位不一致","")</f>
        <v/>
      </c>
      <c r="U442" s="2" t="str">
        <f>IF(OR(ROUND(raw_order_lines!J442*100,0)&lt;ROUND(INDEX(dim_products!$F$2:$F$21,MATCH($E442,dim_products!$A$2:$A$21,0))*100,0),ROUND(raw_order_lines!J442*100,0)&gt;ROUND(INDEX(dim_products!$G$2:$G$21,MATCH($E442,dim_products!$A$2:$A$21,0))*100,0)),"单价越界","")</f>
        <v/>
      </c>
      <c r="V442" s="2" t="str">
        <f t="shared" si="19"/>
        <v/>
      </c>
      <c r="W442" s="2" t="str">
        <f t="shared" si="20"/>
        <v>通过</v>
      </c>
    </row>
    <row r="443" spans="1:23" ht="15">
      <c r="A443" s="2" t="str">
        <f>raw_order_lines!A443</f>
        <v>SIM-20260914-C005</v>
      </c>
      <c r="B443" s="2">
        <f>raw_order_lines!B443</f>
        <v>7</v>
      </c>
      <c r="C443" s="2" t="str">
        <f>raw_order_lines!C443</f>
        <v>C005</v>
      </c>
      <c r="D443" s="3">
        <f>raw_order_lines!D443</f>
        <v>46279</v>
      </c>
      <c r="E443" s="2" t="str">
        <f>raw_order_lines!E443</f>
        <v>P015</v>
      </c>
      <c r="F443" s="2" t="str">
        <f>raw_order_lines!F443</f>
        <v>公斤</v>
      </c>
      <c r="G443" s="4">
        <f>raw_order_lines!G443</f>
        <v>1</v>
      </c>
      <c r="H443" s="4">
        <f>raw_order_lines!H443</f>
        <v>1</v>
      </c>
      <c r="I443" s="4">
        <f>raw_order_lines!I443</f>
        <v>0</v>
      </c>
      <c r="J443" s="5">
        <f>raw_order_lines!J443</f>
        <v>7.2</v>
      </c>
      <c r="K443" s="2" t="str">
        <f>raw_order_lines!K443</f>
        <v>正常交付</v>
      </c>
      <c r="L443" s="2" t="str">
        <f>raw_order_lines!L443</f>
        <v>true</v>
      </c>
      <c r="M443" s="2" t="str">
        <f>INDEX(dim_products!$B$2:$B$21,MATCH($E443,dim_products!$A$2:$A$21,0))</f>
        <v>小葱</v>
      </c>
      <c r="N443" s="2" t="str">
        <f>INDEX(dim_products!$C$2:$C$21,MATCH($E443,dim_products!$A$2:$A$21,0))</f>
        <v>散装鲜菜</v>
      </c>
      <c r="O443" s="2" t="str">
        <f>INDEX(dim_customers!$B$2:$B$7,MATCH($C443,dim_customers!$A$2:$A$7,0))</f>
        <v>模拟_青禾小学食堂</v>
      </c>
      <c r="P443" s="6">
        <f>INT((ROUND(raw_order_lines!H443*10,0)*ROUND(raw_order_lines!J443*100,0)+5)/10)/100</f>
        <v>7.2</v>
      </c>
      <c r="Q443" s="6">
        <f>INT((ROUND(raw_order_lines!I443*10,0)*ROUND(raw_order_lines!J443*100,0)+5)/10)/100</f>
        <v>0</v>
      </c>
      <c r="R443" s="6">
        <f t="shared" si="18"/>
        <v>7.2</v>
      </c>
      <c r="S443" s="2" t="str">
        <f>IF(OR(ROUND(raw_order_lines!I443*10,0)&gt;ROUND(raw_order_lines!H443*10,0),ROUND(raw_order_lines!H443*10,0)&gt;ROUND(raw_order_lines!G443*10,0),ROUND(raw_order_lines!G443*10,0)&lt;=0),"数量关系异常","")</f>
        <v/>
      </c>
      <c r="T443" s="2" t="str">
        <f>IF($F443&lt;&gt;INDEX(dim_products!$D$2:$D$21,MATCH($E443,dim_products!$A$2:$A$21,0)),"单位不一致","")</f>
        <v/>
      </c>
      <c r="U443" s="2" t="str">
        <f>IF(OR(ROUND(raw_order_lines!J443*100,0)&lt;ROUND(INDEX(dim_products!$F$2:$F$21,MATCH($E443,dim_products!$A$2:$A$21,0))*100,0),ROUND(raw_order_lines!J443*100,0)&gt;ROUND(INDEX(dim_products!$G$2:$G$21,MATCH($E443,dim_products!$A$2:$A$21,0))*100,0)),"单价越界","")</f>
        <v/>
      </c>
      <c r="V443" s="2" t="str">
        <f t="shared" si="19"/>
        <v/>
      </c>
      <c r="W443" s="2" t="str">
        <f t="shared" si="20"/>
        <v>通过</v>
      </c>
    </row>
    <row r="444" spans="1:23" ht="15">
      <c r="A444" s="2" t="str">
        <f>raw_order_lines!A444</f>
        <v>SIM-20260914-C006</v>
      </c>
      <c r="B444" s="2">
        <f>raw_order_lines!B444</f>
        <v>1</v>
      </c>
      <c r="C444" s="2" t="str">
        <f>raw_order_lines!C444</f>
        <v>C006</v>
      </c>
      <c r="D444" s="3">
        <f>raw_order_lines!D444</f>
        <v>46279</v>
      </c>
      <c r="E444" s="2" t="str">
        <f>raw_order_lines!E444</f>
        <v>P010</v>
      </c>
      <c r="F444" s="2" t="str">
        <f>raw_order_lines!F444</f>
        <v>公斤</v>
      </c>
      <c r="G444" s="4">
        <f>raw_order_lines!G444</f>
        <v>6.5</v>
      </c>
      <c r="H444" s="4">
        <f>raw_order_lines!H444</f>
        <v>6.5</v>
      </c>
      <c r="I444" s="4">
        <f>raw_order_lines!I444</f>
        <v>0</v>
      </c>
      <c r="J444" s="5">
        <f>raw_order_lines!J444</f>
        <v>5</v>
      </c>
      <c r="K444" s="2" t="str">
        <f>raw_order_lines!K444</f>
        <v>正常交付</v>
      </c>
      <c r="L444" s="2" t="str">
        <f>raw_order_lines!L444</f>
        <v>true</v>
      </c>
      <c r="M444" s="2" t="str">
        <f>INDEX(dim_products!$B$2:$B$21,MATCH($E444,dim_products!$A$2:$A$21,0))</f>
        <v>空心菜</v>
      </c>
      <c r="N444" s="2" t="str">
        <f>INDEX(dim_products!$C$2:$C$21,MATCH($E444,dim_products!$A$2:$A$21,0))</f>
        <v>散装鲜菜</v>
      </c>
      <c r="O444" s="2" t="str">
        <f>INDEX(dim_customers!$B$2:$B$7,MATCH($C444,dim_customers!$A$2:$A$7,0))</f>
        <v>模拟_溪桥医院食堂</v>
      </c>
      <c r="P444" s="6">
        <f>INT((ROUND(raw_order_lines!H444*10,0)*ROUND(raw_order_lines!J444*100,0)+5)/10)/100</f>
        <v>32.5</v>
      </c>
      <c r="Q444" s="6">
        <f>INT((ROUND(raw_order_lines!I444*10,0)*ROUND(raw_order_lines!J444*100,0)+5)/10)/100</f>
        <v>0</v>
      </c>
      <c r="R444" s="6">
        <f t="shared" si="18"/>
        <v>32.5</v>
      </c>
      <c r="S444" s="2" t="str">
        <f>IF(OR(ROUND(raw_order_lines!I444*10,0)&gt;ROUND(raw_order_lines!H444*10,0),ROUND(raw_order_lines!H444*10,0)&gt;ROUND(raw_order_lines!G444*10,0),ROUND(raw_order_lines!G444*10,0)&lt;=0),"数量关系异常","")</f>
        <v/>
      </c>
      <c r="T444" s="2" t="str">
        <f>IF($F444&lt;&gt;INDEX(dim_products!$D$2:$D$21,MATCH($E444,dim_products!$A$2:$A$21,0)),"单位不一致","")</f>
        <v/>
      </c>
      <c r="U444" s="2" t="str">
        <f>IF(OR(ROUND(raw_order_lines!J444*100,0)&lt;ROUND(INDEX(dim_products!$F$2:$F$21,MATCH($E444,dim_products!$A$2:$A$21,0))*100,0),ROUND(raw_order_lines!J444*100,0)&gt;ROUND(INDEX(dim_products!$G$2:$G$21,MATCH($E444,dim_products!$A$2:$A$21,0))*100,0)),"单价越界","")</f>
        <v/>
      </c>
      <c r="V444" s="2" t="str">
        <f t="shared" si="19"/>
        <v/>
      </c>
      <c r="W444" s="2" t="str">
        <f t="shared" si="20"/>
        <v>通过</v>
      </c>
    </row>
    <row r="445" spans="1:23" ht="15">
      <c r="A445" s="2" t="str">
        <f>raw_order_lines!A445</f>
        <v>SIM-20260914-C006</v>
      </c>
      <c r="B445" s="2">
        <f>raw_order_lines!B445</f>
        <v>2</v>
      </c>
      <c r="C445" s="2" t="str">
        <f>raw_order_lines!C445</f>
        <v>C006</v>
      </c>
      <c r="D445" s="3">
        <f>raw_order_lines!D445</f>
        <v>46279</v>
      </c>
      <c r="E445" s="2" t="str">
        <f>raw_order_lines!E445</f>
        <v>P008</v>
      </c>
      <c r="F445" s="2" t="str">
        <f>raw_order_lines!F445</f>
        <v>公斤</v>
      </c>
      <c r="G445" s="4">
        <f>raw_order_lines!G445</f>
        <v>9.5</v>
      </c>
      <c r="H445" s="4">
        <f>raw_order_lines!H445</f>
        <v>9.5</v>
      </c>
      <c r="I445" s="4">
        <f>raw_order_lines!I445</f>
        <v>0</v>
      </c>
      <c r="J445" s="5">
        <f>raw_order_lines!J445</f>
        <v>4.4000000000000004</v>
      </c>
      <c r="K445" s="2" t="str">
        <f>raw_order_lines!K445</f>
        <v>正常交付</v>
      </c>
      <c r="L445" s="2" t="str">
        <f>raw_order_lines!L445</f>
        <v>true</v>
      </c>
      <c r="M445" s="2" t="str">
        <f>INDEX(dim_products!$B$2:$B$21,MATCH($E445,dim_products!$A$2:$A$21,0))</f>
        <v>黄瓜</v>
      </c>
      <c r="N445" s="2" t="str">
        <f>INDEX(dim_products!$C$2:$C$21,MATCH($E445,dim_products!$A$2:$A$21,0))</f>
        <v>散装鲜菜</v>
      </c>
      <c r="O445" s="2" t="str">
        <f>INDEX(dim_customers!$B$2:$B$7,MATCH($C445,dim_customers!$A$2:$A$7,0))</f>
        <v>模拟_溪桥医院食堂</v>
      </c>
      <c r="P445" s="6">
        <f>INT((ROUND(raw_order_lines!H445*10,0)*ROUND(raw_order_lines!J445*100,0)+5)/10)/100</f>
        <v>41.8</v>
      </c>
      <c r="Q445" s="6">
        <f>INT((ROUND(raw_order_lines!I445*10,0)*ROUND(raw_order_lines!J445*100,0)+5)/10)/100</f>
        <v>0</v>
      </c>
      <c r="R445" s="6">
        <f t="shared" si="18"/>
        <v>41.8</v>
      </c>
      <c r="S445" s="2" t="str">
        <f>IF(OR(ROUND(raw_order_lines!I445*10,0)&gt;ROUND(raw_order_lines!H445*10,0),ROUND(raw_order_lines!H445*10,0)&gt;ROUND(raw_order_lines!G445*10,0),ROUND(raw_order_lines!G445*10,0)&lt;=0),"数量关系异常","")</f>
        <v/>
      </c>
      <c r="T445" s="2" t="str">
        <f>IF($F445&lt;&gt;INDEX(dim_products!$D$2:$D$21,MATCH($E445,dim_products!$A$2:$A$21,0)),"单位不一致","")</f>
        <v/>
      </c>
      <c r="U445" s="2" t="str">
        <f>IF(OR(ROUND(raw_order_lines!J445*100,0)&lt;ROUND(INDEX(dim_products!$F$2:$F$21,MATCH($E445,dim_products!$A$2:$A$21,0))*100,0),ROUND(raw_order_lines!J445*100,0)&gt;ROUND(INDEX(dim_products!$G$2:$G$21,MATCH($E445,dim_products!$A$2:$A$21,0))*100,0)),"单价越界","")</f>
        <v/>
      </c>
      <c r="V445" s="2" t="str">
        <f t="shared" si="19"/>
        <v/>
      </c>
      <c r="W445" s="2" t="str">
        <f t="shared" si="20"/>
        <v>通过</v>
      </c>
    </row>
    <row r="446" spans="1:23" ht="15">
      <c r="A446" s="2" t="str">
        <f>raw_order_lines!A446</f>
        <v>SIM-20260914-C006</v>
      </c>
      <c r="B446" s="2">
        <f>raw_order_lines!B446</f>
        <v>3</v>
      </c>
      <c r="C446" s="2" t="str">
        <f>raw_order_lines!C446</f>
        <v>C006</v>
      </c>
      <c r="D446" s="3">
        <f>raw_order_lines!D446</f>
        <v>46279</v>
      </c>
      <c r="E446" s="2" t="str">
        <f>raw_order_lines!E446</f>
        <v>P014</v>
      </c>
      <c r="F446" s="2" t="str">
        <f>raw_order_lines!F446</f>
        <v>公斤</v>
      </c>
      <c r="G446" s="4">
        <f>raw_order_lines!G446</f>
        <v>7.7</v>
      </c>
      <c r="H446" s="4">
        <f>raw_order_lines!H446</f>
        <v>7.5</v>
      </c>
      <c r="I446" s="4">
        <f>raw_order_lines!I446</f>
        <v>0</v>
      </c>
      <c r="J446" s="5">
        <f>raw_order_lines!J446</f>
        <v>5</v>
      </c>
      <c r="K446" s="2" t="str">
        <f>raw_order_lines!K446</f>
        <v>到货不足；按实际交付计费</v>
      </c>
      <c r="L446" s="2" t="str">
        <f>raw_order_lines!L446</f>
        <v>true</v>
      </c>
      <c r="M446" s="2" t="str">
        <f>INDEX(dim_products!$B$2:$B$21,MATCH($E446,dim_products!$A$2:$A$21,0))</f>
        <v>丝瓜</v>
      </c>
      <c r="N446" s="2" t="str">
        <f>INDEX(dim_products!$C$2:$C$21,MATCH($E446,dim_products!$A$2:$A$21,0))</f>
        <v>散装鲜菜</v>
      </c>
      <c r="O446" s="2" t="str">
        <f>INDEX(dim_customers!$B$2:$B$7,MATCH($C446,dim_customers!$A$2:$A$7,0))</f>
        <v>模拟_溪桥医院食堂</v>
      </c>
      <c r="P446" s="6">
        <f>INT((ROUND(raw_order_lines!H446*10,0)*ROUND(raw_order_lines!J446*100,0)+5)/10)/100</f>
        <v>37.5</v>
      </c>
      <c r="Q446" s="6">
        <f>INT((ROUND(raw_order_lines!I446*10,0)*ROUND(raw_order_lines!J446*100,0)+5)/10)/100</f>
        <v>0</v>
      </c>
      <c r="R446" s="6">
        <f t="shared" si="18"/>
        <v>37.5</v>
      </c>
      <c r="S446" s="2" t="str">
        <f>IF(OR(ROUND(raw_order_lines!I446*10,0)&gt;ROUND(raw_order_lines!H446*10,0),ROUND(raw_order_lines!H446*10,0)&gt;ROUND(raw_order_lines!G446*10,0),ROUND(raw_order_lines!G446*10,0)&lt;=0),"数量关系异常","")</f>
        <v/>
      </c>
      <c r="T446" s="2" t="str">
        <f>IF($F446&lt;&gt;INDEX(dim_products!$D$2:$D$21,MATCH($E446,dim_products!$A$2:$A$21,0)),"单位不一致","")</f>
        <v/>
      </c>
      <c r="U446" s="2" t="str">
        <f>IF(OR(ROUND(raw_order_lines!J446*100,0)&lt;ROUND(INDEX(dim_products!$F$2:$F$21,MATCH($E446,dim_products!$A$2:$A$21,0))*100,0),ROUND(raw_order_lines!J446*100,0)&gt;ROUND(INDEX(dim_products!$G$2:$G$21,MATCH($E446,dim_products!$A$2:$A$21,0))*100,0)),"单价越界","")</f>
        <v/>
      </c>
      <c r="V446" s="2" t="str">
        <f t="shared" si="19"/>
        <v/>
      </c>
      <c r="W446" s="2" t="str">
        <f t="shared" si="20"/>
        <v>通过</v>
      </c>
    </row>
    <row r="447" spans="1:23" ht="15">
      <c r="A447" s="2" t="str">
        <f>raw_order_lines!A447</f>
        <v>SIM-20260914-C006</v>
      </c>
      <c r="B447" s="2">
        <f>raw_order_lines!B447</f>
        <v>4</v>
      </c>
      <c r="C447" s="2" t="str">
        <f>raw_order_lines!C447</f>
        <v>C006</v>
      </c>
      <c r="D447" s="3">
        <f>raw_order_lines!D447</f>
        <v>46279</v>
      </c>
      <c r="E447" s="2" t="str">
        <f>raw_order_lines!E447</f>
        <v>P004</v>
      </c>
      <c r="F447" s="2" t="str">
        <f>raw_order_lines!F447</f>
        <v>公斤</v>
      </c>
      <c r="G447" s="4">
        <f>raw_order_lines!G447</f>
        <v>8.3000000000000007</v>
      </c>
      <c r="H447" s="4">
        <f>raw_order_lines!H447</f>
        <v>8.3000000000000007</v>
      </c>
      <c r="I447" s="4">
        <f>raw_order_lines!I447</f>
        <v>0</v>
      </c>
      <c r="J447" s="5">
        <f>raw_order_lines!J447</f>
        <v>2.7</v>
      </c>
      <c r="K447" s="2" t="str">
        <f>raw_order_lines!K447</f>
        <v>正常交付</v>
      </c>
      <c r="L447" s="2" t="str">
        <f>raw_order_lines!L447</f>
        <v>true</v>
      </c>
      <c r="M447" s="2" t="str">
        <f>INDEX(dim_products!$B$2:$B$21,MATCH($E447,dim_products!$A$2:$A$21,0))</f>
        <v>冬瓜</v>
      </c>
      <c r="N447" s="2" t="str">
        <f>INDEX(dim_products!$C$2:$C$21,MATCH($E447,dim_products!$A$2:$A$21,0))</f>
        <v>散装鲜菜</v>
      </c>
      <c r="O447" s="2" t="str">
        <f>INDEX(dim_customers!$B$2:$B$7,MATCH($C447,dim_customers!$A$2:$A$7,0))</f>
        <v>模拟_溪桥医院食堂</v>
      </c>
      <c r="P447" s="6">
        <f>INT((ROUND(raw_order_lines!H447*10,0)*ROUND(raw_order_lines!J447*100,0)+5)/10)/100</f>
        <v>22.41</v>
      </c>
      <c r="Q447" s="6">
        <f>INT((ROUND(raw_order_lines!I447*10,0)*ROUND(raw_order_lines!J447*100,0)+5)/10)/100</f>
        <v>0</v>
      </c>
      <c r="R447" s="6">
        <f t="shared" si="18"/>
        <v>22.41</v>
      </c>
      <c r="S447" s="2" t="str">
        <f>IF(OR(ROUND(raw_order_lines!I447*10,0)&gt;ROUND(raw_order_lines!H447*10,0),ROUND(raw_order_lines!H447*10,0)&gt;ROUND(raw_order_lines!G447*10,0),ROUND(raw_order_lines!G447*10,0)&lt;=0),"数量关系异常","")</f>
        <v/>
      </c>
      <c r="T447" s="2" t="str">
        <f>IF($F447&lt;&gt;INDEX(dim_products!$D$2:$D$21,MATCH($E447,dim_products!$A$2:$A$21,0)),"单位不一致","")</f>
        <v/>
      </c>
      <c r="U447" s="2" t="str">
        <f>IF(OR(ROUND(raw_order_lines!J447*100,0)&lt;ROUND(INDEX(dim_products!$F$2:$F$21,MATCH($E447,dim_products!$A$2:$A$21,0))*100,0),ROUND(raw_order_lines!J447*100,0)&gt;ROUND(INDEX(dim_products!$G$2:$G$21,MATCH($E447,dim_products!$A$2:$A$21,0))*100,0)),"单价越界","")</f>
        <v/>
      </c>
      <c r="V447" s="2" t="str">
        <f t="shared" si="19"/>
        <v/>
      </c>
      <c r="W447" s="2" t="str">
        <f t="shared" si="20"/>
        <v>通过</v>
      </c>
    </row>
    <row r="448" spans="1:23" ht="15">
      <c r="A448" s="2" t="str">
        <f>raw_order_lines!A448</f>
        <v>SIM-20260914-C006</v>
      </c>
      <c r="B448" s="2">
        <f>raw_order_lines!B448</f>
        <v>5</v>
      </c>
      <c r="C448" s="2" t="str">
        <f>raw_order_lines!C448</f>
        <v>C006</v>
      </c>
      <c r="D448" s="3">
        <f>raw_order_lines!D448</f>
        <v>46279</v>
      </c>
      <c r="E448" s="2" t="str">
        <f>raw_order_lines!E448</f>
        <v>P013</v>
      </c>
      <c r="F448" s="2" t="str">
        <f>raw_order_lines!F448</f>
        <v>公斤</v>
      </c>
      <c r="G448" s="4">
        <f>raw_order_lines!G448</f>
        <v>5.3</v>
      </c>
      <c r="H448" s="4">
        <f>raw_order_lines!H448</f>
        <v>5.3</v>
      </c>
      <c r="I448" s="4">
        <f>raw_order_lines!I448</f>
        <v>0</v>
      </c>
      <c r="J448" s="5">
        <f>raw_order_lines!J448</f>
        <v>6</v>
      </c>
      <c r="K448" s="2" t="str">
        <f>raw_order_lines!K448</f>
        <v>正常交付</v>
      </c>
      <c r="L448" s="2" t="str">
        <f>raw_order_lines!L448</f>
        <v>true</v>
      </c>
      <c r="M448" s="2" t="str">
        <f>INDEX(dim_products!$B$2:$B$21,MATCH($E448,dim_products!$A$2:$A$21,0))</f>
        <v>豇豆</v>
      </c>
      <c r="N448" s="2" t="str">
        <f>INDEX(dim_products!$C$2:$C$21,MATCH($E448,dim_products!$A$2:$A$21,0))</f>
        <v>散装鲜菜</v>
      </c>
      <c r="O448" s="2" t="str">
        <f>INDEX(dim_customers!$B$2:$B$7,MATCH($C448,dim_customers!$A$2:$A$7,0))</f>
        <v>模拟_溪桥医院食堂</v>
      </c>
      <c r="P448" s="6">
        <f>INT((ROUND(raw_order_lines!H448*10,0)*ROUND(raw_order_lines!J448*100,0)+5)/10)/100</f>
        <v>31.8</v>
      </c>
      <c r="Q448" s="6">
        <f>INT((ROUND(raw_order_lines!I448*10,0)*ROUND(raw_order_lines!J448*100,0)+5)/10)/100</f>
        <v>0</v>
      </c>
      <c r="R448" s="6">
        <f t="shared" si="18"/>
        <v>31.8</v>
      </c>
      <c r="S448" s="2" t="str">
        <f>IF(OR(ROUND(raw_order_lines!I448*10,0)&gt;ROUND(raw_order_lines!H448*10,0),ROUND(raw_order_lines!H448*10,0)&gt;ROUND(raw_order_lines!G448*10,0),ROUND(raw_order_lines!G448*10,0)&lt;=0),"数量关系异常","")</f>
        <v/>
      </c>
      <c r="T448" s="2" t="str">
        <f>IF($F448&lt;&gt;INDEX(dim_products!$D$2:$D$21,MATCH($E448,dim_products!$A$2:$A$21,0)),"单位不一致","")</f>
        <v/>
      </c>
      <c r="U448" s="2" t="str">
        <f>IF(OR(ROUND(raw_order_lines!J448*100,0)&lt;ROUND(INDEX(dim_products!$F$2:$F$21,MATCH($E448,dim_products!$A$2:$A$21,0))*100,0),ROUND(raw_order_lines!J448*100,0)&gt;ROUND(INDEX(dim_products!$G$2:$G$21,MATCH($E448,dim_products!$A$2:$A$21,0))*100,0)),"单价越界","")</f>
        <v/>
      </c>
      <c r="V448" s="2" t="str">
        <f t="shared" si="19"/>
        <v/>
      </c>
      <c r="W448" s="2" t="str">
        <f t="shared" si="20"/>
        <v>通过</v>
      </c>
    </row>
    <row r="449" spans="1:23" ht="15">
      <c r="A449" s="2" t="str">
        <f>raw_order_lines!A449</f>
        <v>SIM-20260914-C006</v>
      </c>
      <c r="B449" s="2">
        <f>raw_order_lines!B449</f>
        <v>6</v>
      </c>
      <c r="C449" s="2" t="str">
        <f>raw_order_lines!C449</f>
        <v>C006</v>
      </c>
      <c r="D449" s="3">
        <f>raw_order_lines!D449</f>
        <v>46279</v>
      </c>
      <c r="E449" s="2" t="str">
        <f>raw_order_lines!E449</f>
        <v>P001</v>
      </c>
      <c r="F449" s="2" t="str">
        <f>raw_order_lines!F449</f>
        <v>公斤</v>
      </c>
      <c r="G449" s="4">
        <f>raw_order_lines!G449</f>
        <v>7.7</v>
      </c>
      <c r="H449" s="4">
        <f>raw_order_lines!H449</f>
        <v>7.7</v>
      </c>
      <c r="I449" s="4">
        <f>raw_order_lines!I449</f>
        <v>0</v>
      </c>
      <c r="J449" s="5">
        <f>raw_order_lines!J449</f>
        <v>3.3</v>
      </c>
      <c r="K449" s="2" t="str">
        <f>raw_order_lines!K449</f>
        <v>正常交付</v>
      </c>
      <c r="L449" s="2" t="str">
        <f>raw_order_lines!L449</f>
        <v>true</v>
      </c>
      <c r="M449" s="2" t="str">
        <f>INDEX(dim_products!$B$2:$B$21,MATCH($E449,dim_products!$A$2:$A$21,0))</f>
        <v>土豆</v>
      </c>
      <c r="N449" s="2" t="str">
        <f>INDEX(dim_products!$C$2:$C$21,MATCH($E449,dim_products!$A$2:$A$21,0))</f>
        <v>散装鲜菜</v>
      </c>
      <c r="O449" s="2" t="str">
        <f>INDEX(dim_customers!$B$2:$B$7,MATCH($C449,dim_customers!$A$2:$A$7,0))</f>
        <v>模拟_溪桥医院食堂</v>
      </c>
      <c r="P449" s="6">
        <f>INT((ROUND(raw_order_lines!H449*10,0)*ROUND(raw_order_lines!J449*100,0)+5)/10)/100</f>
        <v>25.41</v>
      </c>
      <c r="Q449" s="6">
        <f>INT((ROUND(raw_order_lines!I449*10,0)*ROUND(raw_order_lines!J449*100,0)+5)/10)/100</f>
        <v>0</v>
      </c>
      <c r="R449" s="6">
        <f t="shared" si="18"/>
        <v>25.41</v>
      </c>
      <c r="S449" s="2" t="str">
        <f>IF(OR(ROUND(raw_order_lines!I449*10,0)&gt;ROUND(raw_order_lines!H449*10,0),ROUND(raw_order_lines!H449*10,0)&gt;ROUND(raw_order_lines!G449*10,0),ROUND(raw_order_lines!G449*10,0)&lt;=0),"数量关系异常","")</f>
        <v/>
      </c>
      <c r="T449" s="2" t="str">
        <f>IF($F449&lt;&gt;INDEX(dim_products!$D$2:$D$21,MATCH($E449,dim_products!$A$2:$A$21,0)),"单位不一致","")</f>
        <v/>
      </c>
      <c r="U449" s="2" t="str">
        <f>IF(OR(ROUND(raw_order_lines!J449*100,0)&lt;ROUND(INDEX(dim_products!$F$2:$F$21,MATCH($E449,dim_products!$A$2:$A$21,0))*100,0),ROUND(raw_order_lines!J449*100,0)&gt;ROUND(INDEX(dim_products!$G$2:$G$21,MATCH($E449,dim_products!$A$2:$A$21,0))*100,0)),"单价越界","")</f>
        <v/>
      </c>
      <c r="V449" s="2" t="str">
        <f t="shared" si="19"/>
        <v/>
      </c>
      <c r="W449" s="2" t="str">
        <f t="shared" si="20"/>
        <v>通过</v>
      </c>
    </row>
    <row r="450" spans="1:23" ht="15">
      <c r="A450" s="2" t="str">
        <f>raw_order_lines!A450</f>
        <v>SIM-20260915-C001</v>
      </c>
      <c r="B450" s="2">
        <f>raw_order_lines!B450</f>
        <v>1</v>
      </c>
      <c r="C450" s="2" t="str">
        <f>raw_order_lines!C450</f>
        <v>C001</v>
      </c>
      <c r="D450" s="3">
        <f>raw_order_lines!D450</f>
        <v>46280</v>
      </c>
      <c r="E450" s="2" t="str">
        <f>raw_order_lines!E450</f>
        <v>P010</v>
      </c>
      <c r="F450" s="2" t="str">
        <f>raw_order_lines!F450</f>
        <v>公斤</v>
      </c>
      <c r="G450" s="4">
        <f>raw_order_lines!G450</f>
        <v>3.2</v>
      </c>
      <c r="H450" s="4">
        <f>raw_order_lines!H450</f>
        <v>3.2</v>
      </c>
      <c r="I450" s="4">
        <f>raw_order_lines!I450</f>
        <v>0</v>
      </c>
      <c r="J450" s="5">
        <f>raw_order_lines!J450</f>
        <v>4.5</v>
      </c>
      <c r="K450" s="2" t="str">
        <f>raw_order_lines!K450</f>
        <v>正常交付</v>
      </c>
      <c r="L450" s="2" t="str">
        <f>raw_order_lines!L450</f>
        <v>true</v>
      </c>
      <c r="M450" s="2" t="str">
        <f>INDEX(dim_products!$B$2:$B$21,MATCH($E450,dim_products!$A$2:$A$21,0))</f>
        <v>空心菜</v>
      </c>
      <c r="N450" s="2" t="str">
        <f>INDEX(dim_products!$C$2:$C$21,MATCH($E450,dim_products!$A$2:$A$21,0))</f>
        <v>散装鲜菜</v>
      </c>
      <c r="O450" s="2" t="str">
        <f>INDEX(dim_customers!$B$2:$B$7,MATCH($C450,dim_customers!$A$2:$A$7,0))</f>
        <v>模拟_榕树下粉面店</v>
      </c>
      <c r="P450" s="6">
        <f>INT((ROUND(raw_order_lines!H450*10,0)*ROUND(raw_order_lines!J450*100,0)+5)/10)/100</f>
        <v>14.4</v>
      </c>
      <c r="Q450" s="6">
        <f>INT((ROUND(raw_order_lines!I450*10,0)*ROUND(raw_order_lines!J450*100,0)+5)/10)/100</f>
        <v>0</v>
      </c>
      <c r="R450" s="6">
        <f t="shared" ref="R450:R513" si="21">$P450-$Q450</f>
        <v>14.4</v>
      </c>
      <c r="S450" s="2" t="str">
        <f>IF(OR(ROUND(raw_order_lines!I450*10,0)&gt;ROUND(raw_order_lines!H450*10,0),ROUND(raw_order_lines!H450*10,0)&gt;ROUND(raw_order_lines!G450*10,0),ROUND(raw_order_lines!G450*10,0)&lt;=0),"数量关系异常","")</f>
        <v/>
      </c>
      <c r="T450" s="2" t="str">
        <f>IF($F450&lt;&gt;INDEX(dim_products!$D$2:$D$21,MATCH($E450,dim_products!$A$2:$A$21,0)),"单位不一致","")</f>
        <v/>
      </c>
      <c r="U450" s="2" t="str">
        <f>IF(OR(ROUND(raw_order_lines!J450*100,0)&lt;ROUND(INDEX(dim_products!$F$2:$F$21,MATCH($E450,dim_products!$A$2:$A$21,0))*100,0),ROUND(raw_order_lines!J450*100,0)&gt;ROUND(INDEX(dim_products!$G$2:$G$21,MATCH($E450,dim_products!$A$2:$A$21,0))*100,0)),"单价越界","")</f>
        <v/>
      </c>
      <c r="V450" s="2" t="str">
        <f t="shared" ref="V450:V513" si="22">IF(COUNTIFS($A$2:$A$967,$A450,$B$2:$B$967,$B450)&gt;1,"主键重复","")</f>
        <v/>
      </c>
      <c r="W450" s="2" t="str">
        <f t="shared" ref="W450:W513" si="23">IF(COUNTIF($S450:$T450,"?*")+COUNTIF($V450:$V450,"?*")&gt;0,"阻断",IF(COUNTIF($U450:$U450,"?*")&gt;0,"提示","通过"))</f>
        <v>通过</v>
      </c>
    </row>
    <row r="451" spans="1:23" ht="15">
      <c r="A451" s="2" t="str">
        <f>raw_order_lines!A451</f>
        <v>SIM-20260915-C001</v>
      </c>
      <c r="B451" s="2">
        <f>raw_order_lines!B451</f>
        <v>2</v>
      </c>
      <c r="C451" s="2" t="str">
        <f>raw_order_lines!C451</f>
        <v>C001</v>
      </c>
      <c r="D451" s="3">
        <f>raw_order_lines!D451</f>
        <v>46280</v>
      </c>
      <c r="E451" s="2" t="str">
        <f>raw_order_lines!E451</f>
        <v>P001</v>
      </c>
      <c r="F451" s="2" t="str">
        <f>raw_order_lines!F451</f>
        <v>公斤</v>
      </c>
      <c r="G451" s="4">
        <f>raw_order_lines!G451</f>
        <v>2.1</v>
      </c>
      <c r="H451" s="4">
        <f>raw_order_lines!H451</f>
        <v>2.1</v>
      </c>
      <c r="I451" s="4">
        <f>raw_order_lines!I451</f>
        <v>0</v>
      </c>
      <c r="J451" s="5">
        <f>raw_order_lines!J451</f>
        <v>3.4</v>
      </c>
      <c r="K451" s="2" t="str">
        <f>raw_order_lines!K451</f>
        <v>正常交付</v>
      </c>
      <c r="L451" s="2" t="str">
        <f>raw_order_lines!L451</f>
        <v>true</v>
      </c>
      <c r="M451" s="2" t="str">
        <f>INDEX(dim_products!$B$2:$B$21,MATCH($E451,dim_products!$A$2:$A$21,0))</f>
        <v>土豆</v>
      </c>
      <c r="N451" s="2" t="str">
        <f>INDEX(dim_products!$C$2:$C$21,MATCH($E451,dim_products!$A$2:$A$21,0))</f>
        <v>散装鲜菜</v>
      </c>
      <c r="O451" s="2" t="str">
        <f>INDEX(dim_customers!$B$2:$B$7,MATCH($C451,dim_customers!$A$2:$A$7,0))</f>
        <v>模拟_榕树下粉面店</v>
      </c>
      <c r="P451" s="6">
        <f>INT((ROUND(raw_order_lines!H451*10,0)*ROUND(raw_order_lines!J451*100,0)+5)/10)/100</f>
        <v>7.14</v>
      </c>
      <c r="Q451" s="6">
        <f>INT((ROUND(raw_order_lines!I451*10,0)*ROUND(raw_order_lines!J451*100,0)+5)/10)/100</f>
        <v>0</v>
      </c>
      <c r="R451" s="6">
        <f t="shared" si="21"/>
        <v>7.14</v>
      </c>
      <c r="S451" s="2" t="str">
        <f>IF(OR(ROUND(raw_order_lines!I451*10,0)&gt;ROUND(raw_order_lines!H451*10,0),ROUND(raw_order_lines!H451*10,0)&gt;ROUND(raw_order_lines!G451*10,0),ROUND(raw_order_lines!G451*10,0)&lt;=0),"数量关系异常","")</f>
        <v/>
      </c>
      <c r="T451" s="2" t="str">
        <f>IF($F451&lt;&gt;INDEX(dim_products!$D$2:$D$21,MATCH($E451,dim_products!$A$2:$A$21,0)),"单位不一致","")</f>
        <v/>
      </c>
      <c r="U451" s="2" t="str">
        <f>IF(OR(ROUND(raw_order_lines!J451*100,0)&lt;ROUND(INDEX(dim_products!$F$2:$F$21,MATCH($E451,dim_products!$A$2:$A$21,0))*100,0),ROUND(raw_order_lines!J451*100,0)&gt;ROUND(INDEX(dim_products!$G$2:$G$21,MATCH($E451,dim_products!$A$2:$A$21,0))*100,0)),"单价越界","")</f>
        <v/>
      </c>
      <c r="V451" s="2" t="str">
        <f t="shared" si="22"/>
        <v/>
      </c>
      <c r="W451" s="2" t="str">
        <f t="shared" si="23"/>
        <v>通过</v>
      </c>
    </row>
    <row r="452" spans="1:23" ht="15">
      <c r="A452" s="2" t="str">
        <f>raw_order_lines!A452</f>
        <v>SIM-20260915-C001</v>
      </c>
      <c r="B452" s="2">
        <f>raw_order_lines!B452</f>
        <v>3</v>
      </c>
      <c r="C452" s="2" t="str">
        <f>raw_order_lines!C452</f>
        <v>C001</v>
      </c>
      <c r="D452" s="3">
        <f>raw_order_lines!D452</f>
        <v>46280</v>
      </c>
      <c r="E452" s="2" t="str">
        <f>raw_order_lines!E452</f>
        <v>P005</v>
      </c>
      <c r="F452" s="2" t="str">
        <f>raw_order_lines!F452</f>
        <v>公斤</v>
      </c>
      <c r="G452" s="4">
        <f>raw_order_lines!G452</f>
        <v>2.6</v>
      </c>
      <c r="H452" s="4">
        <f>raw_order_lines!H452</f>
        <v>2.6</v>
      </c>
      <c r="I452" s="4">
        <f>raw_order_lines!I452</f>
        <v>0</v>
      </c>
      <c r="J452" s="5">
        <f>raw_order_lines!J452</f>
        <v>3.2</v>
      </c>
      <c r="K452" s="2" t="str">
        <f>raw_order_lines!K452</f>
        <v>正常交付</v>
      </c>
      <c r="L452" s="2" t="str">
        <f>raw_order_lines!L452</f>
        <v>true</v>
      </c>
      <c r="M452" s="2" t="str">
        <f>INDEX(dim_products!$B$2:$B$21,MATCH($E452,dim_products!$A$2:$A$21,0))</f>
        <v>南瓜</v>
      </c>
      <c r="N452" s="2" t="str">
        <f>INDEX(dim_products!$C$2:$C$21,MATCH($E452,dim_products!$A$2:$A$21,0))</f>
        <v>散装鲜菜</v>
      </c>
      <c r="O452" s="2" t="str">
        <f>INDEX(dim_customers!$B$2:$B$7,MATCH($C452,dim_customers!$A$2:$A$7,0))</f>
        <v>模拟_榕树下粉面店</v>
      </c>
      <c r="P452" s="6">
        <f>INT((ROUND(raw_order_lines!H452*10,0)*ROUND(raw_order_lines!J452*100,0)+5)/10)/100</f>
        <v>8.32</v>
      </c>
      <c r="Q452" s="6">
        <f>INT((ROUND(raw_order_lines!I452*10,0)*ROUND(raw_order_lines!J452*100,0)+5)/10)/100</f>
        <v>0</v>
      </c>
      <c r="R452" s="6">
        <f t="shared" si="21"/>
        <v>8.32</v>
      </c>
      <c r="S452" s="2" t="str">
        <f>IF(OR(ROUND(raw_order_lines!I452*10,0)&gt;ROUND(raw_order_lines!H452*10,0),ROUND(raw_order_lines!H452*10,0)&gt;ROUND(raw_order_lines!G452*10,0),ROUND(raw_order_lines!G452*10,0)&lt;=0),"数量关系异常","")</f>
        <v/>
      </c>
      <c r="T452" s="2" t="str">
        <f>IF($F452&lt;&gt;INDEX(dim_products!$D$2:$D$21,MATCH($E452,dim_products!$A$2:$A$21,0)),"单位不一致","")</f>
        <v/>
      </c>
      <c r="U452" s="2" t="str">
        <f>IF(OR(ROUND(raw_order_lines!J452*100,0)&lt;ROUND(INDEX(dim_products!$F$2:$F$21,MATCH($E452,dim_products!$A$2:$A$21,0))*100,0),ROUND(raw_order_lines!J452*100,0)&gt;ROUND(INDEX(dim_products!$G$2:$G$21,MATCH($E452,dim_products!$A$2:$A$21,0))*100,0)),"单价越界","")</f>
        <v/>
      </c>
      <c r="V452" s="2" t="str">
        <f t="shared" si="22"/>
        <v/>
      </c>
      <c r="W452" s="2" t="str">
        <f t="shared" si="23"/>
        <v>通过</v>
      </c>
    </row>
    <row r="453" spans="1:23" ht="15">
      <c r="A453" s="2" t="str">
        <f>raw_order_lines!A453</f>
        <v>SIM-20260915-C001</v>
      </c>
      <c r="B453" s="2">
        <f>raw_order_lines!B453</f>
        <v>4</v>
      </c>
      <c r="C453" s="2" t="str">
        <f>raw_order_lines!C453</f>
        <v>C001</v>
      </c>
      <c r="D453" s="3">
        <f>raw_order_lines!D453</f>
        <v>46280</v>
      </c>
      <c r="E453" s="2" t="str">
        <f>raw_order_lines!E453</f>
        <v>P006</v>
      </c>
      <c r="F453" s="2" t="str">
        <f>raw_order_lines!F453</f>
        <v>公斤</v>
      </c>
      <c r="G453" s="4">
        <f>raw_order_lines!G453</f>
        <v>2.6</v>
      </c>
      <c r="H453" s="4">
        <f>raw_order_lines!H453</f>
        <v>2.6</v>
      </c>
      <c r="I453" s="4">
        <f>raw_order_lines!I453</f>
        <v>0</v>
      </c>
      <c r="J453" s="5">
        <f>raw_order_lines!J453</f>
        <v>4.8</v>
      </c>
      <c r="K453" s="2" t="str">
        <f>raw_order_lines!K453</f>
        <v>正常交付</v>
      </c>
      <c r="L453" s="2" t="str">
        <f>raw_order_lines!L453</f>
        <v>true</v>
      </c>
      <c r="M453" s="2" t="str">
        <f>INDEX(dim_products!$B$2:$B$21,MATCH($E453,dim_products!$A$2:$A$21,0))</f>
        <v>茄子</v>
      </c>
      <c r="N453" s="2" t="str">
        <f>INDEX(dim_products!$C$2:$C$21,MATCH($E453,dim_products!$A$2:$A$21,0))</f>
        <v>散装鲜菜</v>
      </c>
      <c r="O453" s="2" t="str">
        <f>INDEX(dim_customers!$B$2:$B$7,MATCH($C453,dim_customers!$A$2:$A$7,0))</f>
        <v>模拟_榕树下粉面店</v>
      </c>
      <c r="P453" s="6">
        <f>INT((ROUND(raw_order_lines!H453*10,0)*ROUND(raw_order_lines!J453*100,0)+5)/10)/100</f>
        <v>12.48</v>
      </c>
      <c r="Q453" s="6">
        <f>INT((ROUND(raw_order_lines!I453*10,0)*ROUND(raw_order_lines!J453*100,0)+5)/10)/100</f>
        <v>0</v>
      </c>
      <c r="R453" s="6">
        <f t="shared" si="21"/>
        <v>12.48</v>
      </c>
      <c r="S453" s="2" t="str">
        <f>IF(OR(ROUND(raw_order_lines!I453*10,0)&gt;ROUND(raw_order_lines!H453*10,0),ROUND(raw_order_lines!H453*10,0)&gt;ROUND(raw_order_lines!G453*10,0),ROUND(raw_order_lines!G453*10,0)&lt;=0),"数量关系异常","")</f>
        <v/>
      </c>
      <c r="T453" s="2" t="str">
        <f>IF($F453&lt;&gt;INDEX(dim_products!$D$2:$D$21,MATCH($E453,dim_products!$A$2:$A$21,0)),"单位不一致","")</f>
        <v/>
      </c>
      <c r="U453" s="2" t="str">
        <f>IF(OR(ROUND(raw_order_lines!J453*100,0)&lt;ROUND(INDEX(dim_products!$F$2:$F$21,MATCH($E453,dim_products!$A$2:$A$21,0))*100,0),ROUND(raw_order_lines!J453*100,0)&gt;ROUND(INDEX(dim_products!$G$2:$G$21,MATCH($E453,dim_products!$A$2:$A$21,0))*100,0)),"单价越界","")</f>
        <v/>
      </c>
      <c r="V453" s="2" t="str">
        <f t="shared" si="22"/>
        <v/>
      </c>
      <c r="W453" s="2" t="str">
        <f t="shared" si="23"/>
        <v>通过</v>
      </c>
    </row>
    <row r="454" spans="1:23" ht="15">
      <c r="A454" s="2" t="str">
        <f>raw_order_lines!A454</f>
        <v>SIM-20260915-C001</v>
      </c>
      <c r="B454" s="2">
        <f>raw_order_lines!B454</f>
        <v>5</v>
      </c>
      <c r="C454" s="2" t="str">
        <f>raw_order_lines!C454</f>
        <v>C001</v>
      </c>
      <c r="D454" s="3">
        <f>raw_order_lines!D454</f>
        <v>46280</v>
      </c>
      <c r="E454" s="2" t="str">
        <f>raw_order_lines!E454</f>
        <v>P016</v>
      </c>
      <c r="F454" s="2" t="str">
        <f>raw_order_lines!F454</f>
        <v>公斤</v>
      </c>
      <c r="G454" s="4">
        <f>raw_order_lines!G454</f>
        <v>3</v>
      </c>
      <c r="H454" s="4">
        <f>raw_order_lines!H454</f>
        <v>3</v>
      </c>
      <c r="I454" s="4">
        <f>raw_order_lines!I454</f>
        <v>0</v>
      </c>
      <c r="J454" s="5">
        <f>raw_order_lines!J454</f>
        <v>10.199999999999999</v>
      </c>
      <c r="K454" s="2" t="str">
        <f>raw_order_lines!K454</f>
        <v>正常交付</v>
      </c>
      <c r="L454" s="2" t="str">
        <f>raw_order_lines!L454</f>
        <v>true</v>
      </c>
      <c r="M454" s="2" t="str">
        <f>INDEX(dim_products!$B$2:$B$21,MATCH($E454,dim_products!$A$2:$A$21,0))</f>
        <v>鸡蛋</v>
      </c>
      <c r="N454" s="2" t="str">
        <f>INDEX(dim_products!$C$2:$C$21,MATCH($E454,dim_products!$A$2:$A$21,0))</f>
        <v>普通鲜鸡蛋按净重</v>
      </c>
      <c r="O454" s="2" t="str">
        <f>INDEX(dim_customers!$B$2:$B$7,MATCH($C454,dim_customers!$A$2:$A$7,0))</f>
        <v>模拟_榕树下粉面店</v>
      </c>
      <c r="P454" s="6">
        <f>INT((ROUND(raw_order_lines!H454*10,0)*ROUND(raw_order_lines!J454*100,0)+5)/10)/100</f>
        <v>30.6</v>
      </c>
      <c r="Q454" s="6">
        <f>INT((ROUND(raw_order_lines!I454*10,0)*ROUND(raw_order_lines!J454*100,0)+5)/10)/100</f>
        <v>0</v>
      </c>
      <c r="R454" s="6">
        <f t="shared" si="21"/>
        <v>30.6</v>
      </c>
      <c r="S454" s="2" t="str">
        <f>IF(OR(ROUND(raw_order_lines!I454*10,0)&gt;ROUND(raw_order_lines!H454*10,0),ROUND(raw_order_lines!H454*10,0)&gt;ROUND(raw_order_lines!G454*10,0),ROUND(raw_order_lines!G454*10,0)&lt;=0),"数量关系异常","")</f>
        <v/>
      </c>
      <c r="T454" s="2" t="str">
        <f>IF($F454&lt;&gt;INDEX(dim_products!$D$2:$D$21,MATCH($E454,dim_products!$A$2:$A$21,0)),"单位不一致","")</f>
        <v/>
      </c>
      <c r="U454" s="2" t="str">
        <f>IF(OR(ROUND(raw_order_lines!J454*100,0)&lt;ROUND(INDEX(dim_products!$F$2:$F$21,MATCH($E454,dim_products!$A$2:$A$21,0))*100,0),ROUND(raw_order_lines!J454*100,0)&gt;ROUND(INDEX(dim_products!$G$2:$G$21,MATCH($E454,dim_products!$A$2:$A$21,0))*100,0)),"单价越界","")</f>
        <v/>
      </c>
      <c r="V454" s="2" t="str">
        <f t="shared" si="22"/>
        <v/>
      </c>
      <c r="W454" s="2" t="str">
        <f t="shared" si="23"/>
        <v>通过</v>
      </c>
    </row>
    <row r="455" spans="1:23" ht="15">
      <c r="A455" s="2" t="str">
        <f>raw_order_lines!A455</f>
        <v>SIM-20260915-C001</v>
      </c>
      <c r="B455" s="2">
        <f>raw_order_lines!B455</f>
        <v>6</v>
      </c>
      <c r="C455" s="2" t="str">
        <f>raw_order_lines!C455</f>
        <v>C001</v>
      </c>
      <c r="D455" s="3">
        <f>raw_order_lines!D455</f>
        <v>46280</v>
      </c>
      <c r="E455" s="2" t="str">
        <f>raw_order_lines!E455</f>
        <v>P015</v>
      </c>
      <c r="F455" s="2" t="str">
        <f>raw_order_lines!F455</f>
        <v>公斤</v>
      </c>
      <c r="G455" s="4">
        <f>raw_order_lines!G455</f>
        <v>0.5</v>
      </c>
      <c r="H455" s="4">
        <f>raw_order_lines!H455</f>
        <v>0.5</v>
      </c>
      <c r="I455" s="4">
        <f>raw_order_lines!I455</f>
        <v>0</v>
      </c>
      <c r="J455" s="5">
        <f>raw_order_lines!J455</f>
        <v>7.3</v>
      </c>
      <c r="K455" s="2" t="str">
        <f>raw_order_lines!K455</f>
        <v>正常交付</v>
      </c>
      <c r="L455" s="2" t="str">
        <f>raw_order_lines!L455</f>
        <v>true</v>
      </c>
      <c r="M455" s="2" t="str">
        <f>INDEX(dim_products!$B$2:$B$21,MATCH($E455,dim_products!$A$2:$A$21,0))</f>
        <v>小葱</v>
      </c>
      <c r="N455" s="2" t="str">
        <f>INDEX(dim_products!$C$2:$C$21,MATCH($E455,dim_products!$A$2:$A$21,0))</f>
        <v>散装鲜菜</v>
      </c>
      <c r="O455" s="2" t="str">
        <f>INDEX(dim_customers!$B$2:$B$7,MATCH($C455,dim_customers!$A$2:$A$7,0))</f>
        <v>模拟_榕树下粉面店</v>
      </c>
      <c r="P455" s="6">
        <f>INT((ROUND(raw_order_lines!H455*10,0)*ROUND(raw_order_lines!J455*100,0)+5)/10)/100</f>
        <v>3.65</v>
      </c>
      <c r="Q455" s="6">
        <f>INT((ROUND(raw_order_lines!I455*10,0)*ROUND(raw_order_lines!J455*100,0)+5)/10)/100</f>
        <v>0</v>
      </c>
      <c r="R455" s="6">
        <f t="shared" si="21"/>
        <v>3.65</v>
      </c>
      <c r="S455" s="2" t="str">
        <f>IF(OR(ROUND(raw_order_lines!I455*10,0)&gt;ROUND(raw_order_lines!H455*10,0),ROUND(raw_order_lines!H455*10,0)&gt;ROUND(raw_order_lines!G455*10,0),ROUND(raw_order_lines!G455*10,0)&lt;=0),"数量关系异常","")</f>
        <v/>
      </c>
      <c r="T455" s="2" t="str">
        <f>IF($F455&lt;&gt;INDEX(dim_products!$D$2:$D$21,MATCH($E455,dim_products!$A$2:$A$21,0)),"单位不一致","")</f>
        <v/>
      </c>
      <c r="U455" s="2" t="str">
        <f>IF(OR(ROUND(raw_order_lines!J455*100,0)&lt;ROUND(INDEX(dim_products!$F$2:$F$21,MATCH($E455,dim_products!$A$2:$A$21,0))*100,0),ROUND(raw_order_lines!J455*100,0)&gt;ROUND(INDEX(dim_products!$G$2:$G$21,MATCH($E455,dim_products!$A$2:$A$21,0))*100,0)),"单价越界","")</f>
        <v/>
      </c>
      <c r="V455" s="2" t="str">
        <f t="shared" si="22"/>
        <v/>
      </c>
      <c r="W455" s="2" t="str">
        <f t="shared" si="23"/>
        <v>通过</v>
      </c>
    </row>
    <row r="456" spans="1:23" ht="15">
      <c r="A456" s="2" t="str">
        <f>raw_order_lines!A456</f>
        <v>SIM-20260915-C002</v>
      </c>
      <c r="B456" s="2">
        <f>raw_order_lines!B456</f>
        <v>1</v>
      </c>
      <c r="C456" s="2" t="str">
        <f>raw_order_lines!C456</f>
        <v>C002</v>
      </c>
      <c r="D456" s="3">
        <f>raw_order_lines!D456</f>
        <v>46280</v>
      </c>
      <c r="E456" s="2" t="str">
        <f>raw_order_lines!E456</f>
        <v>P012</v>
      </c>
      <c r="F456" s="2" t="str">
        <f>raw_order_lines!F456</f>
        <v>公斤</v>
      </c>
      <c r="G456" s="4">
        <f>raw_order_lines!G456</f>
        <v>5</v>
      </c>
      <c r="H456" s="4">
        <f>raw_order_lines!H456</f>
        <v>5</v>
      </c>
      <c r="I456" s="4">
        <f>raw_order_lines!I456</f>
        <v>0</v>
      </c>
      <c r="J456" s="5">
        <f>raw_order_lines!J456</f>
        <v>5.2</v>
      </c>
      <c r="K456" s="2" t="str">
        <f>raw_order_lines!K456</f>
        <v>正常交付</v>
      </c>
      <c r="L456" s="2" t="str">
        <f>raw_order_lines!L456</f>
        <v>true</v>
      </c>
      <c r="M456" s="2" t="str">
        <f>INDEX(dim_products!$B$2:$B$21,MATCH($E456,dim_products!$A$2:$A$21,0))</f>
        <v>小白菜</v>
      </c>
      <c r="N456" s="2" t="str">
        <f>INDEX(dim_products!$C$2:$C$21,MATCH($E456,dim_products!$A$2:$A$21,0))</f>
        <v>散装鲜菜</v>
      </c>
      <c r="O456" s="2" t="str">
        <f>INDEX(dim_customers!$B$2:$B$7,MATCH($C456,dim_customers!$A$2:$A$7,0))</f>
        <v>模拟_桥头家常菜馆</v>
      </c>
      <c r="P456" s="6">
        <f>INT((ROUND(raw_order_lines!H456*10,0)*ROUND(raw_order_lines!J456*100,0)+5)/10)/100</f>
        <v>26</v>
      </c>
      <c r="Q456" s="6">
        <f>INT((ROUND(raw_order_lines!I456*10,0)*ROUND(raw_order_lines!J456*100,0)+5)/10)/100</f>
        <v>0</v>
      </c>
      <c r="R456" s="6">
        <f t="shared" si="21"/>
        <v>26</v>
      </c>
      <c r="S456" s="2" t="str">
        <f>IF(OR(ROUND(raw_order_lines!I456*10,0)&gt;ROUND(raw_order_lines!H456*10,0),ROUND(raw_order_lines!H456*10,0)&gt;ROUND(raw_order_lines!G456*10,0),ROUND(raw_order_lines!G456*10,0)&lt;=0),"数量关系异常","")</f>
        <v/>
      </c>
      <c r="T456" s="2" t="str">
        <f>IF($F456&lt;&gt;INDEX(dim_products!$D$2:$D$21,MATCH($E456,dim_products!$A$2:$A$21,0)),"单位不一致","")</f>
        <v/>
      </c>
      <c r="U456" s="2" t="str">
        <f>IF(OR(ROUND(raw_order_lines!J456*100,0)&lt;ROUND(INDEX(dim_products!$F$2:$F$21,MATCH($E456,dim_products!$A$2:$A$21,0))*100,0),ROUND(raw_order_lines!J456*100,0)&gt;ROUND(INDEX(dim_products!$G$2:$G$21,MATCH($E456,dim_products!$A$2:$A$21,0))*100,0)),"单价越界","")</f>
        <v/>
      </c>
      <c r="V456" s="2" t="str">
        <f t="shared" si="22"/>
        <v/>
      </c>
      <c r="W456" s="2" t="str">
        <f t="shared" si="23"/>
        <v>通过</v>
      </c>
    </row>
    <row r="457" spans="1:23" ht="15">
      <c r="A457" s="2" t="str">
        <f>raw_order_lines!A457</f>
        <v>SIM-20260915-C002</v>
      </c>
      <c r="B457" s="2">
        <f>raw_order_lines!B457</f>
        <v>2</v>
      </c>
      <c r="C457" s="2" t="str">
        <f>raw_order_lines!C457</f>
        <v>C002</v>
      </c>
      <c r="D457" s="3">
        <f>raw_order_lines!D457</f>
        <v>46280</v>
      </c>
      <c r="E457" s="2" t="str">
        <f>raw_order_lines!E457</f>
        <v>P009</v>
      </c>
      <c r="F457" s="2" t="str">
        <f>raw_order_lines!F457</f>
        <v>公斤</v>
      </c>
      <c r="G457" s="4">
        <f>raw_order_lines!G457</f>
        <v>7.2</v>
      </c>
      <c r="H457" s="4">
        <f>raw_order_lines!H457</f>
        <v>7.2</v>
      </c>
      <c r="I457" s="4">
        <f>raw_order_lines!I457</f>
        <v>0</v>
      </c>
      <c r="J457" s="5">
        <f>raw_order_lines!J457</f>
        <v>4.8</v>
      </c>
      <c r="K457" s="2" t="str">
        <f>raw_order_lines!K457</f>
        <v>正常交付</v>
      </c>
      <c r="L457" s="2" t="str">
        <f>raw_order_lines!L457</f>
        <v>true</v>
      </c>
      <c r="M457" s="2" t="str">
        <f>INDEX(dim_products!$B$2:$B$21,MATCH($E457,dim_products!$A$2:$A$21,0))</f>
        <v>西红柿</v>
      </c>
      <c r="N457" s="2" t="str">
        <f>INDEX(dim_products!$C$2:$C$21,MATCH($E457,dim_products!$A$2:$A$21,0))</f>
        <v>散装鲜菜</v>
      </c>
      <c r="O457" s="2" t="str">
        <f>INDEX(dim_customers!$B$2:$B$7,MATCH($C457,dim_customers!$A$2:$A$7,0))</f>
        <v>模拟_桥头家常菜馆</v>
      </c>
      <c r="P457" s="6">
        <f>INT((ROUND(raw_order_lines!H457*10,0)*ROUND(raw_order_lines!J457*100,0)+5)/10)/100</f>
        <v>34.56</v>
      </c>
      <c r="Q457" s="6">
        <f>INT((ROUND(raw_order_lines!I457*10,0)*ROUND(raw_order_lines!J457*100,0)+5)/10)/100</f>
        <v>0</v>
      </c>
      <c r="R457" s="6">
        <f t="shared" si="21"/>
        <v>34.56</v>
      </c>
      <c r="S457" s="2" t="str">
        <f>IF(OR(ROUND(raw_order_lines!I457*10,0)&gt;ROUND(raw_order_lines!H457*10,0),ROUND(raw_order_lines!H457*10,0)&gt;ROUND(raw_order_lines!G457*10,0),ROUND(raw_order_lines!G457*10,0)&lt;=0),"数量关系异常","")</f>
        <v/>
      </c>
      <c r="T457" s="2" t="str">
        <f>IF($F457&lt;&gt;INDEX(dim_products!$D$2:$D$21,MATCH($E457,dim_products!$A$2:$A$21,0)),"单位不一致","")</f>
        <v/>
      </c>
      <c r="U457" s="2" t="str">
        <f>IF(OR(ROUND(raw_order_lines!J457*100,0)&lt;ROUND(INDEX(dim_products!$F$2:$F$21,MATCH($E457,dim_products!$A$2:$A$21,0))*100,0),ROUND(raw_order_lines!J457*100,0)&gt;ROUND(INDEX(dim_products!$G$2:$G$21,MATCH($E457,dim_products!$A$2:$A$21,0))*100,0)),"单价越界","")</f>
        <v/>
      </c>
      <c r="V457" s="2" t="str">
        <f t="shared" si="22"/>
        <v/>
      </c>
      <c r="W457" s="2" t="str">
        <f t="shared" si="23"/>
        <v>通过</v>
      </c>
    </row>
    <row r="458" spans="1:23" ht="15">
      <c r="A458" s="2" t="str">
        <f>raw_order_lines!A458</f>
        <v>SIM-20260915-C002</v>
      </c>
      <c r="B458" s="2">
        <f>raw_order_lines!B458</f>
        <v>3</v>
      </c>
      <c r="C458" s="2" t="str">
        <f>raw_order_lines!C458</f>
        <v>C002</v>
      </c>
      <c r="D458" s="3">
        <f>raw_order_lines!D458</f>
        <v>46280</v>
      </c>
      <c r="E458" s="2" t="str">
        <f>raw_order_lines!E458</f>
        <v>P013</v>
      </c>
      <c r="F458" s="2" t="str">
        <f>raw_order_lines!F458</f>
        <v>公斤</v>
      </c>
      <c r="G458" s="4">
        <f>raw_order_lines!G458</f>
        <v>3.9</v>
      </c>
      <c r="H458" s="4">
        <f>raw_order_lines!H458</f>
        <v>3.9</v>
      </c>
      <c r="I458" s="4">
        <f>raw_order_lines!I458</f>
        <v>0</v>
      </c>
      <c r="J458" s="5">
        <f>raw_order_lines!J458</f>
        <v>6</v>
      </c>
      <c r="K458" s="2" t="str">
        <f>raw_order_lines!K458</f>
        <v>正常交付</v>
      </c>
      <c r="L458" s="2" t="str">
        <f>raw_order_lines!L458</f>
        <v>true</v>
      </c>
      <c r="M458" s="2" t="str">
        <f>INDEX(dim_products!$B$2:$B$21,MATCH($E458,dim_products!$A$2:$A$21,0))</f>
        <v>豇豆</v>
      </c>
      <c r="N458" s="2" t="str">
        <f>INDEX(dim_products!$C$2:$C$21,MATCH($E458,dim_products!$A$2:$A$21,0))</f>
        <v>散装鲜菜</v>
      </c>
      <c r="O458" s="2" t="str">
        <f>INDEX(dim_customers!$B$2:$B$7,MATCH($C458,dim_customers!$A$2:$A$7,0))</f>
        <v>模拟_桥头家常菜馆</v>
      </c>
      <c r="P458" s="6">
        <f>INT((ROUND(raw_order_lines!H458*10,0)*ROUND(raw_order_lines!J458*100,0)+5)/10)/100</f>
        <v>23.4</v>
      </c>
      <c r="Q458" s="6">
        <f>INT((ROUND(raw_order_lines!I458*10,0)*ROUND(raw_order_lines!J458*100,0)+5)/10)/100</f>
        <v>0</v>
      </c>
      <c r="R458" s="6">
        <f t="shared" si="21"/>
        <v>23.4</v>
      </c>
      <c r="S458" s="2" t="str">
        <f>IF(OR(ROUND(raw_order_lines!I458*10,0)&gt;ROUND(raw_order_lines!H458*10,0),ROUND(raw_order_lines!H458*10,0)&gt;ROUND(raw_order_lines!G458*10,0),ROUND(raw_order_lines!G458*10,0)&lt;=0),"数量关系异常","")</f>
        <v/>
      </c>
      <c r="T458" s="2" t="str">
        <f>IF($F458&lt;&gt;INDEX(dim_products!$D$2:$D$21,MATCH($E458,dim_products!$A$2:$A$21,0)),"单位不一致","")</f>
        <v/>
      </c>
      <c r="U458" s="2" t="str">
        <f>IF(OR(ROUND(raw_order_lines!J458*100,0)&lt;ROUND(INDEX(dim_products!$F$2:$F$21,MATCH($E458,dim_products!$A$2:$A$21,0))*100,0),ROUND(raw_order_lines!J458*100,0)&gt;ROUND(INDEX(dim_products!$G$2:$G$21,MATCH($E458,dim_products!$A$2:$A$21,0))*100,0)),"单价越界","")</f>
        <v/>
      </c>
      <c r="V458" s="2" t="str">
        <f t="shared" si="22"/>
        <v/>
      </c>
      <c r="W458" s="2" t="str">
        <f t="shared" si="23"/>
        <v>通过</v>
      </c>
    </row>
    <row r="459" spans="1:23" ht="15">
      <c r="A459" s="2" t="str">
        <f>raw_order_lines!A459</f>
        <v>SIM-20260915-C002</v>
      </c>
      <c r="B459" s="2">
        <f>raw_order_lines!B459</f>
        <v>4</v>
      </c>
      <c r="C459" s="2" t="str">
        <f>raw_order_lines!C459</f>
        <v>C002</v>
      </c>
      <c r="D459" s="3">
        <f>raw_order_lines!D459</f>
        <v>46280</v>
      </c>
      <c r="E459" s="2" t="str">
        <f>raw_order_lines!E459</f>
        <v>P007</v>
      </c>
      <c r="F459" s="2" t="str">
        <f>raw_order_lines!F459</f>
        <v>公斤</v>
      </c>
      <c r="G459" s="4">
        <f>raw_order_lines!G459</f>
        <v>8.9</v>
      </c>
      <c r="H459" s="4">
        <f>raw_order_lines!H459</f>
        <v>8.9</v>
      </c>
      <c r="I459" s="4">
        <f>raw_order_lines!I459</f>
        <v>0</v>
      </c>
      <c r="J459" s="5">
        <f>raw_order_lines!J459</f>
        <v>5.25</v>
      </c>
      <c r="K459" s="2" t="str">
        <f>raw_order_lines!K459</f>
        <v>正常交付</v>
      </c>
      <c r="L459" s="2" t="str">
        <f>raw_order_lines!L459</f>
        <v>true</v>
      </c>
      <c r="M459" s="2" t="str">
        <f>INDEX(dim_products!$B$2:$B$21,MATCH($E459,dim_products!$A$2:$A$21,0))</f>
        <v>青椒</v>
      </c>
      <c r="N459" s="2" t="str">
        <f>INDEX(dim_products!$C$2:$C$21,MATCH($E459,dim_products!$A$2:$A$21,0))</f>
        <v>散装鲜菜</v>
      </c>
      <c r="O459" s="2" t="str">
        <f>INDEX(dim_customers!$B$2:$B$7,MATCH($C459,dim_customers!$A$2:$A$7,0))</f>
        <v>模拟_桥头家常菜馆</v>
      </c>
      <c r="P459" s="6">
        <f>INT((ROUND(raw_order_lines!H459*10,0)*ROUND(raw_order_lines!J459*100,0)+5)/10)/100</f>
        <v>46.73</v>
      </c>
      <c r="Q459" s="6">
        <f>INT((ROUND(raw_order_lines!I459*10,0)*ROUND(raw_order_lines!J459*100,0)+5)/10)/100</f>
        <v>0</v>
      </c>
      <c r="R459" s="6">
        <f t="shared" si="21"/>
        <v>46.73</v>
      </c>
      <c r="S459" s="2" t="str">
        <f>IF(OR(ROUND(raw_order_lines!I459*10,0)&gt;ROUND(raw_order_lines!H459*10,0),ROUND(raw_order_lines!H459*10,0)&gt;ROUND(raw_order_lines!G459*10,0),ROUND(raw_order_lines!G459*10,0)&lt;=0),"数量关系异常","")</f>
        <v/>
      </c>
      <c r="T459" s="2" t="str">
        <f>IF($F459&lt;&gt;INDEX(dim_products!$D$2:$D$21,MATCH($E459,dim_products!$A$2:$A$21,0)),"单位不一致","")</f>
        <v/>
      </c>
      <c r="U459" s="2" t="str">
        <f>IF(OR(ROUND(raw_order_lines!J459*100,0)&lt;ROUND(INDEX(dim_products!$F$2:$F$21,MATCH($E459,dim_products!$A$2:$A$21,0))*100,0),ROUND(raw_order_lines!J459*100,0)&gt;ROUND(INDEX(dim_products!$G$2:$G$21,MATCH($E459,dim_products!$A$2:$A$21,0))*100,0)),"单价越界","")</f>
        <v/>
      </c>
      <c r="V459" s="2" t="str">
        <f t="shared" si="22"/>
        <v/>
      </c>
      <c r="W459" s="2" t="str">
        <f t="shared" si="23"/>
        <v>通过</v>
      </c>
    </row>
    <row r="460" spans="1:23" ht="15">
      <c r="A460" s="2" t="str">
        <f>raw_order_lines!A460</f>
        <v>SIM-20260915-C002</v>
      </c>
      <c r="B460" s="2">
        <f>raw_order_lines!B460</f>
        <v>5</v>
      </c>
      <c r="C460" s="2" t="str">
        <f>raw_order_lines!C460</f>
        <v>C002</v>
      </c>
      <c r="D460" s="3">
        <f>raw_order_lines!D460</f>
        <v>46280</v>
      </c>
      <c r="E460" s="2" t="str">
        <f>raw_order_lines!E460</f>
        <v>P003</v>
      </c>
      <c r="F460" s="2" t="str">
        <f>raw_order_lines!F460</f>
        <v>公斤</v>
      </c>
      <c r="G460" s="4">
        <f>raw_order_lines!G460</f>
        <v>5.5</v>
      </c>
      <c r="H460" s="4">
        <f>raw_order_lines!H460</f>
        <v>5.5</v>
      </c>
      <c r="I460" s="4">
        <f>raw_order_lines!I460</f>
        <v>0</v>
      </c>
      <c r="J460" s="5">
        <f>raw_order_lines!J460</f>
        <v>3.5</v>
      </c>
      <c r="K460" s="2" t="str">
        <f>raw_order_lines!K460</f>
        <v>正常交付</v>
      </c>
      <c r="L460" s="2" t="str">
        <f>raw_order_lines!L460</f>
        <v>true</v>
      </c>
      <c r="M460" s="2" t="str">
        <f>INDEX(dim_products!$B$2:$B$21,MATCH($E460,dim_products!$A$2:$A$21,0))</f>
        <v>包菜</v>
      </c>
      <c r="N460" s="2" t="str">
        <f>INDEX(dim_products!$C$2:$C$21,MATCH($E460,dim_products!$A$2:$A$21,0))</f>
        <v>散装鲜菜</v>
      </c>
      <c r="O460" s="2" t="str">
        <f>INDEX(dim_customers!$B$2:$B$7,MATCH($C460,dim_customers!$A$2:$A$7,0))</f>
        <v>模拟_桥头家常菜馆</v>
      </c>
      <c r="P460" s="6">
        <f>INT((ROUND(raw_order_lines!H460*10,0)*ROUND(raw_order_lines!J460*100,0)+5)/10)/100</f>
        <v>19.25</v>
      </c>
      <c r="Q460" s="6">
        <f>INT((ROUND(raw_order_lines!I460*10,0)*ROUND(raw_order_lines!J460*100,0)+5)/10)/100</f>
        <v>0</v>
      </c>
      <c r="R460" s="6">
        <f t="shared" si="21"/>
        <v>19.25</v>
      </c>
      <c r="S460" s="2" t="str">
        <f>IF(OR(ROUND(raw_order_lines!I460*10,0)&gt;ROUND(raw_order_lines!H460*10,0),ROUND(raw_order_lines!H460*10,0)&gt;ROUND(raw_order_lines!G460*10,0),ROUND(raw_order_lines!G460*10,0)&lt;=0),"数量关系异常","")</f>
        <v/>
      </c>
      <c r="T460" s="2" t="str">
        <f>IF($F460&lt;&gt;INDEX(dim_products!$D$2:$D$21,MATCH($E460,dim_products!$A$2:$A$21,0)),"单位不一致","")</f>
        <v/>
      </c>
      <c r="U460" s="2" t="str">
        <f>IF(OR(ROUND(raw_order_lines!J460*100,0)&lt;ROUND(INDEX(dim_products!$F$2:$F$21,MATCH($E460,dim_products!$A$2:$A$21,0))*100,0),ROUND(raw_order_lines!J460*100,0)&gt;ROUND(INDEX(dim_products!$G$2:$G$21,MATCH($E460,dim_products!$A$2:$A$21,0))*100,0)),"单价越界","")</f>
        <v/>
      </c>
      <c r="V460" s="2" t="str">
        <f t="shared" si="22"/>
        <v/>
      </c>
      <c r="W460" s="2" t="str">
        <f t="shared" si="23"/>
        <v>通过</v>
      </c>
    </row>
    <row r="461" spans="1:23" ht="15">
      <c r="A461" s="2" t="str">
        <f>raw_order_lines!A461</f>
        <v>SIM-20260915-C002</v>
      </c>
      <c r="B461" s="2">
        <f>raw_order_lines!B461</f>
        <v>6</v>
      </c>
      <c r="C461" s="2" t="str">
        <f>raw_order_lines!C461</f>
        <v>C002</v>
      </c>
      <c r="D461" s="3">
        <f>raw_order_lines!D461</f>
        <v>46280</v>
      </c>
      <c r="E461" s="2" t="str">
        <f>raw_order_lines!E461</f>
        <v>P016</v>
      </c>
      <c r="F461" s="2" t="str">
        <f>raw_order_lines!F461</f>
        <v>公斤</v>
      </c>
      <c r="G461" s="4">
        <f>raw_order_lines!G461</f>
        <v>4</v>
      </c>
      <c r="H461" s="4">
        <f>raw_order_lines!H461</f>
        <v>4</v>
      </c>
      <c r="I461" s="4">
        <f>raw_order_lines!I461</f>
        <v>0</v>
      </c>
      <c r="J461" s="5">
        <f>raw_order_lines!J461</f>
        <v>10.199999999999999</v>
      </c>
      <c r="K461" s="2" t="str">
        <f>raw_order_lines!K461</f>
        <v>正常交付</v>
      </c>
      <c r="L461" s="2" t="str">
        <f>raw_order_lines!L461</f>
        <v>true</v>
      </c>
      <c r="M461" s="2" t="str">
        <f>INDEX(dim_products!$B$2:$B$21,MATCH($E461,dim_products!$A$2:$A$21,0))</f>
        <v>鸡蛋</v>
      </c>
      <c r="N461" s="2" t="str">
        <f>INDEX(dim_products!$C$2:$C$21,MATCH($E461,dim_products!$A$2:$A$21,0))</f>
        <v>普通鲜鸡蛋按净重</v>
      </c>
      <c r="O461" s="2" t="str">
        <f>INDEX(dim_customers!$B$2:$B$7,MATCH($C461,dim_customers!$A$2:$A$7,0))</f>
        <v>模拟_桥头家常菜馆</v>
      </c>
      <c r="P461" s="6">
        <f>INT((ROUND(raw_order_lines!H461*10,0)*ROUND(raw_order_lines!J461*100,0)+5)/10)/100</f>
        <v>40.799999999999997</v>
      </c>
      <c r="Q461" s="6">
        <f>INT((ROUND(raw_order_lines!I461*10,0)*ROUND(raw_order_lines!J461*100,0)+5)/10)/100</f>
        <v>0</v>
      </c>
      <c r="R461" s="6">
        <f t="shared" si="21"/>
        <v>40.799999999999997</v>
      </c>
      <c r="S461" s="2" t="str">
        <f>IF(OR(ROUND(raw_order_lines!I461*10,0)&gt;ROUND(raw_order_lines!H461*10,0),ROUND(raw_order_lines!H461*10,0)&gt;ROUND(raw_order_lines!G461*10,0),ROUND(raw_order_lines!G461*10,0)&lt;=0),"数量关系异常","")</f>
        <v/>
      </c>
      <c r="T461" s="2" t="str">
        <f>IF($F461&lt;&gt;INDEX(dim_products!$D$2:$D$21,MATCH($E461,dim_products!$A$2:$A$21,0)),"单位不一致","")</f>
        <v/>
      </c>
      <c r="U461" s="2" t="str">
        <f>IF(OR(ROUND(raw_order_lines!J461*100,0)&lt;ROUND(INDEX(dim_products!$F$2:$F$21,MATCH($E461,dim_products!$A$2:$A$21,0))*100,0),ROUND(raw_order_lines!J461*100,0)&gt;ROUND(INDEX(dim_products!$G$2:$G$21,MATCH($E461,dim_products!$A$2:$A$21,0))*100,0)),"单价越界","")</f>
        <v/>
      </c>
      <c r="V461" s="2" t="str">
        <f t="shared" si="22"/>
        <v/>
      </c>
      <c r="W461" s="2" t="str">
        <f t="shared" si="23"/>
        <v>通过</v>
      </c>
    </row>
    <row r="462" spans="1:23" ht="15">
      <c r="A462" s="2" t="str">
        <f>raw_order_lines!A462</f>
        <v>SIM-20260915-C002</v>
      </c>
      <c r="B462" s="2">
        <f>raw_order_lines!B462</f>
        <v>7</v>
      </c>
      <c r="C462" s="2" t="str">
        <f>raw_order_lines!C462</f>
        <v>C002</v>
      </c>
      <c r="D462" s="3">
        <f>raw_order_lines!D462</f>
        <v>46280</v>
      </c>
      <c r="E462" s="2" t="str">
        <f>raw_order_lines!E462</f>
        <v>P015</v>
      </c>
      <c r="F462" s="2" t="str">
        <f>raw_order_lines!F462</f>
        <v>公斤</v>
      </c>
      <c r="G462" s="4">
        <f>raw_order_lines!G462</f>
        <v>1</v>
      </c>
      <c r="H462" s="4">
        <f>raw_order_lines!H462</f>
        <v>1</v>
      </c>
      <c r="I462" s="4">
        <f>raw_order_lines!I462</f>
        <v>0</v>
      </c>
      <c r="J462" s="5">
        <f>raw_order_lines!J462</f>
        <v>7.3</v>
      </c>
      <c r="K462" s="2" t="str">
        <f>raw_order_lines!K462</f>
        <v>正常交付</v>
      </c>
      <c r="L462" s="2" t="str">
        <f>raw_order_lines!L462</f>
        <v>true</v>
      </c>
      <c r="M462" s="2" t="str">
        <f>INDEX(dim_products!$B$2:$B$21,MATCH($E462,dim_products!$A$2:$A$21,0))</f>
        <v>小葱</v>
      </c>
      <c r="N462" s="2" t="str">
        <f>INDEX(dim_products!$C$2:$C$21,MATCH($E462,dim_products!$A$2:$A$21,0))</f>
        <v>散装鲜菜</v>
      </c>
      <c r="O462" s="2" t="str">
        <f>INDEX(dim_customers!$B$2:$B$7,MATCH($C462,dim_customers!$A$2:$A$7,0))</f>
        <v>模拟_桥头家常菜馆</v>
      </c>
      <c r="P462" s="6">
        <f>INT((ROUND(raw_order_lines!H462*10,0)*ROUND(raw_order_lines!J462*100,0)+5)/10)/100</f>
        <v>7.3</v>
      </c>
      <c r="Q462" s="6">
        <f>INT((ROUND(raw_order_lines!I462*10,0)*ROUND(raw_order_lines!J462*100,0)+5)/10)/100</f>
        <v>0</v>
      </c>
      <c r="R462" s="6">
        <f t="shared" si="21"/>
        <v>7.3</v>
      </c>
      <c r="S462" s="2" t="str">
        <f>IF(OR(ROUND(raw_order_lines!I462*10,0)&gt;ROUND(raw_order_lines!H462*10,0),ROUND(raw_order_lines!H462*10,0)&gt;ROUND(raw_order_lines!G462*10,0),ROUND(raw_order_lines!G462*10,0)&lt;=0),"数量关系异常","")</f>
        <v/>
      </c>
      <c r="T462" s="2" t="str">
        <f>IF($F462&lt;&gt;INDEX(dim_products!$D$2:$D$21,MATCH($E462,dim_products!$A$2:$A$21,0)),"单位不一致","")</f>
        <v/>
      </c>
      <c r="U462" s="2" t="str">
        <f>IF(OR(ROUND(raw_order_lines!J462*100,0)&lt;ROUND(INDEX(dim_products!$F$2:$F$21,MATCH($E462,dim_products!$A$2:$A$21,0))*100,0),ROUND(raw_order_lines!J462*100,0)&gt;ROUND(INDEX(dim_products!$G$2:$G$21,MATCH($E462,dim_products!$A$2:$A$21,0))*100,0)),"单价越界","")</f>
        <v/>
      </c>
      <c r="V462" s="2" t="str">
        <f t="shared" si="22"/>
        <v/>
      </c>
      <c r="W462" s="2" t="str">
        <f t="shared" si="23"/>
        <v>通过</v>
      </c>
    </row>
    <row r="463" spans="1:23" ht="15">
      <c r="A463" s="2" t="str">
        <f>raw_order_lines!A463</f>
        <v>SIM-20260915-C003</v>
      </c>
      <c r="B463" s="2">
        <f>raw_order_lines!B463</f>
        <v>1</v>
      </c>
      <c r="C463" s="2" t="str">
        <f>raw_order_lines!C463</f>
        <v>C003</v>
      </c>
      <c r="D463" s="3">
        <f>raw_order_lines!D463</f>
        <v>46280</v>
      </c>
      <c r="E463" s="2" t="str">
        <f>raw_order_lines!E463</f>
        <v>P012</v>
      </c>
      <c r="F463" s="2" t="str">
        <f>raw_order_lines!F463</f>
        <v>公斤</v>
      </c>
      <c r="G463" s="4">
        <f>raw_order_lines!G463</f>
        <v>4.9000000000000004</v>
      </c>
      <c r="H463" s="4">
        <f>raw_order_lines!H463</f>
        <v>4.9000000000000004</v>
      </c>
      <c r="I463" s="4">
        <f>raw_order_lines!I463</f>
        <v>0</v>
      </c>
      <c r="J463" s="5">
        <f>raw_order_lines!J463</f>
        <v>5.2</v>
      </c>
      <c r="K463" s="2" t="str">
        <f>raw_order_lines!K463</f>
        <v>正常交付</v>
      </c>
      <c r="L463" s="2" t="str">
        <f>raw_order_lines!L463</f>
        <v>true</v>
      </c>
      <c r="M463" s="2" t="str">
        <f>INDEX(dim_products!$B$2:$B$21,MATCH($E463,dim_products!$A$2:$A$21,0))</f>
        <v>小白菜</v>
      </c>
      <c r="N463" s="2" t="str">
        <f>INDEX(dim_products!$C$2:$C$21,MATCH($E463,dim_products!$A$2:$A$21,0))</f>
        <v>散装鲜菜</v>
      </c>
      <c r="O463" s="2" t="str">
        <f>INDEX(dim_customers!$B$2:$B$7,MATCH($C463,dim_customers!$A$2:$A$7,0))</f>
        <v>模拟_兴街快餐店</v>
      </c>
      <c r="P463" s="6">
        <f>INT((ROUND(raw_order_lines!H463*10,0)*ROUND(raw_order_lines!J463*100,0)+5)/10)/100</f>
        <v>25.48</v>
      </c>
      <c r="Q463" s="6">
        <f>INT((ROUND(raw_order_lines!I463*10,0)*ROUND(raw_order_lines!J463*100,0)+5)/10)/100</f>
        <v>0</v>
      </c>
      <c r="R463" s="6">
        <f t="shared" si="21"/>
        <v>25.48</v>
      </c>
      <c r="S463" s="2" t="str">
        <f>IF(OR(ROUND(raw_order_lines!I463*10,0)&gt;ROUND(raw_order_lines!H463*10,0),ROUND(raw_order_lines!H463*10,0)&gt;ROUND(raw_order_lines!G463*10,0),ROUND(raw_order_lines!G463*10,0)&lt;=0),"数量关系异常","")</f>
        <v/>
      </c>
      <c r="T463" s="2" t="str">
        <f>IF($F463&lt;&gt;INDEX(dim_products!$D$2:$D$21,MATCH($E463,dim_products!$A$2:$A$21,0)),"单位不一致","")</f>
        <v/>
      </c>
      <c r="U463" s="2" t="str">
        <f>IF(OR(ROUND(raw_order_lines!J463*100,0)&lt;ROUND(INDEX(dim_products!$F$2:$F$21,MATCH($E463,dim_products!$A$2:$A$21,0))*100,0),ROUND(raw_order_lines!J463*100,0)&gt;ROUND(INDEX(dim_products!$G$2:$G$21,MATCH($E463,dim_products!$A$2:$A$21,0))*100,0)),"单价越界","")</f>
        <v/>
      </c>
      <c r="V463" s="2" t="str">
        <f t="shared" si="22"/>
        <v/>
      </c>
      <c r="W463" s="2" t="str">
        <f t="shared" si="23"/>
        <v>通过</v>
      </c>
    </row>
    <row r="464" spans="1:23" ht="15">
      <c r="A464" s="2" t="str">
        <f>raw_order_lines!A464</f>
        <v>SIM-20260915-C003</v>
      </c>
      <c r="B464" s="2">
        <f>raw_order_lines!B464</f>
        <v>2</v>
      </c>
      <c r="C464" s="2" t="str">
        <f>raw_order_lines!C464</f>
        <v>C003</v>
      </c>
      <c r="D464" s="3">
        <f>raw_order_lines!D464</f>
        <v>46280</v>
      </c>
      <c r="E464" s="2" t="str">
        <f>raw_order_lines!E464</f>
        <v>P001</v>
      </c>
      <c r="F464" s="2" t="str">
        <f>raw_order_lines!F464</f>
        <v>公斤</v>
      </c>
      <c r="G464" s="4">
        <f>raw_order_lines!G464</f>
        <v>6.7</v>
      </c>
      <c r="H464" s="4">
        <f>raw_order_lines!H464</f>
        <v>6.7</v>
      </c>
      <c r="I464" s="4">
        <f>raw_order_lines!I464</f>
        <v>0</v>
      </c>
      <c r="J464" s="5">
        <f>raw_order_lines!J464</f>
        <v>3.4</v>
      </c>
      <c r="K464" s="2" t="str">
        <f>raw_order_lines!K464</f>
        <v>正常交付</v>
      </c>
      <c r="L464" s="2" t="str">
        <f>raw_order_lines!L464</f>
        <v>true</v>
      </c>
      <c r="M464" s="2" t="str">
        <f>INDEX(dim_products!$B$2:$B$21,MATCH($E464,dim_products!$A$2:$A$21,0))</f>
        <v>土豆</v>
      </c>
      <c r="N464" s="2" t="str">
        <f>INDEX(dim_products!$C$2:$C$21,MATCH($E464,dim_products!$A$2:$A$21,0))</f>
        <v>散装鲜菜</v>
      </c>
      <c r="O464" s="2" t="str">
        <f>INDEX(dim_customers!$B$2:$B$7,MATCH($C464,dim_customers!$A$2:$A$7,0))</f>
        <v>模拟_兴街快餐店</v>
      </c>
      <c r="P464" s="6">
        <f>INT((ROUND(raw_order_lines!H464*10,0)*ROUND(raw_order_lines!J464*100,0)+5)/10)/100</f>
        <v>22.78</v>
      </c>
      <c r="Q464" s="6">
        <f>INT((ROUND(raw_order_lines!I464*10,0)*ROUND(raw_order_lines!J464*100,0)+5)/10)/100</f>
        <v>0</v>
      </c>
      <c r="R464" s="6">
        <f t="shared" si="21"/>
        <v>22.78</v>
      </c>
      <c r="S464" s="2" t="str">
        <f>IF(OR(ROUND(raw_order_lines!I464*10,0)&gt;ROUND(raw_order_lines!H464*10,0),ROUND(raw_order_lines!H464*10,0)&gt;ROUND(raw_order_lines!G464*10,0),ROUND(raw_order_lines!G464*10,0)&lt;=0),"数量关系异常","")</f>
        <v/>
      </c>
      <c r="T464" s="2" t="str">
        <f>IF($F464&lt;&gt;INDEX(dim_products!$D$2:$D$21,MATCH($E464,dim_products!$A$2:$A$21,0)),"单位不一致","")</f>
        <v/>
      </c>
      <c r="U464" s="2" t="str">
        <f>IF(OR(ROUND(raw_order_lines!J464*100,0)&lt;ROUND(INDEX(dim_products!$F$2:$F$21,MATCH($E464,dim_products!$A$2:$A$21,0))*100,0),ROUND(raw_order_lines!J464*100,0)&gt;ROUND(INDEX(dim_products!$G$2:$G$21,MATCH($E464,dim_products!$A$2:$A$21,0))*100,0)),"单价越界","")</f>
        <v/>
      </c>
      <c r="V464" s="2" t="str">
        <f t="shared" si="22"/>
        <v/>
      </c>
      <c r="W464" s="2" t="str">
        <f t="shared" si="23"/>
        <v>通过</v>
      </c>
    </row>
    <row r="465" spans="1:23" ht="15">
      <c r="A465" s="2" t="str">
        <f>raw_order_lines!A465</f>
        <v>SIM-20260915-C003</v>
      </c>
      <c r="B465" s="2">
        <f>raw_order_lines!B465</f>
        <v>3</v>
      </c>
      <c r="C465" s="2" t="str">
        <f>raw_order_lines!C465</f>
        <v>C003</v>
      </c>
      <c r="D465" s="3">
        <f>raw_order_lines!D465</f>
        <v>46280</v>
      </c>
      <c r="E465" s="2" t="str">
        <f>raw_order_lines!E465</f>
        <v>P013</v>
      </c>
      <c r="F465" s="2" t="str">
        <f>raw_order_lines!F465</f>
        <v>公斤</v>
      </c>
      <c r="G465" s="4">
        <f>raw_order_lines!G465</f>
        <v>7.3</v>
      </c>
      <c r="H465" s="4">
        <f>raw_order_lines!H465</f>
        <v>7.3</v>
      </c>
      <c r="I465" s="4">
        <f>raw_order_lines!I465</f>
        <v>0</v>
      </c>
      <c r="J465" s="5">
        <f>raw_order_lines!J465</f>
        <v>6</v>
      </c>
      <c r="K465" s="2" t="str">
        <f>raw_order_lines!K465</f>
        <v>正常交付</v>
      </c>
      <c r="L465" s="2" t="str">
        <f>raw_order_lines!L465</f>
        <v>true</v>
      </c>
      <c r="M465" s="2" t="str">
        <f>INDEX(dim_products!$B$2:$B$21,MATCH($E465,dim_products!$A$2:$A$21,0))</f>
        <v>豇豆</v>
      </c>
      <c r="N465" s="2" t="str">
        <f>INDEX(dim_products!$C$2:$C$21,MATCH($E465,dim_products!$A$2:$A$21,0))</f>
        <v>散装鲜菜</v>
      </c>
      <c r="O465" s="2" t="str">
        <f>INDEX(dim_customers!$B$2:$B$7,MATCH($C465,dim_customers!$A$2:$A$7,0))</f>
        <v>模拟_兴街快餐店</v>
      </c>
      <c r="P465" s="6">
        <f>INT((ROUND(raw_order_lines!H465*10,0)*ROUND(raw_order_lines!J465*100,0)+5)/10)/100</f>
        <v>43.8</v>
      </c>
      <c r="Q465" s="6">
        <f>INT((ROUND(raw_order_lines!I465*10,0)*ROUND(raw_order_lines!J465*100,0)+5)/10)/100</f>
        <v>0</v>
      </c>
      <c r="R465" s="6">
        <f t="shared" si="21"/>
        <v>43.8</v>
      </c>
      <c r="S465" s="2" t="str">
        <f>IF(OR(ROUND(raw_order_lines!I465*10,0)&gt;ROUND(raw_order_lines!H465*10,0),ROUND(raw_order_lines!H465*10,0)&gt;ROUND(raw_order_lines!G465*10,0),ROUND(raw_order_lines!G465*10,0)&lt;=0),"数量关系异常","")</f>
        <v/>
      </c>
      <c r="T465" s="2" t="str">
        <f>IF($F465&lt;&gt;INDEX(dim_products!$D$2:$D$21,MATCH($E465,dim_products!$A$2:$A$21,0)),"单位不一致","")</f>
        <v/>
      </c>
      <c r="U465" s="2" t="str">
        <f>IF(OR(ROUND(raw_order_lines!J465*100,0)&lt;ROUND(INDEX(dim_products!$F$2:$F$21,MATCH($E465,dim_products!$A$2:$A$21,0))*100,0),ROUND(raw_order_lines!J465*100,0)&gt;ROUND(INDEX(dim_products!$G$2:$G$21,MATCH($E465,dim_products!$A$2:$A$21,0))*100,0)),"单价越界","")</f>
        <v/>
      </c>
      <c r="V465" s="2" t="str">
        <f t="shared" si="22"/>
        <v/>
      </c>
      <c r="W465" s="2" t="str">
        <f t="shared" si="23"/>
        <v>通过</v>
      </c>
    </row>
    <row r="466" spans="1:23" ht="15">
      <c r="A466" s="2" t="str">
        <f>raw_order_lines!A466</f>
        <v>SIM-20260915-C003</v>
      </c>
      <c r="B466" s="2">
        <f>raw_order_lines!B466</f>
        <v>4</v>
      </c>
      <c r="C466" s="2" t="str">
        <f>raw_order_lines!C466</f>
        <v>C003</v>
      </c>
      <c r="D466" s="3">
        <f>raw_order_lines!D466</f>
        <v>46280</v>
      </c>
      <c r="E466" s="2" t="str">
        <f>raw_order_lines!E466</f>
        <v>P008</v>
      </c>
      <c r="F466" s="2" t="str">
        <f>raw_order_lines!F466</f>
        <v>公斤</v>
      </c>
      <c r="G466" s="4">
        <f>raw_order_lines!G466</f>
        <v>7.3</v>
      </c>
      <c r="H466" s="4">
        <f>raw_order_lines!H466</f>
        <v>7.3</v>
      </c>
      <c r="I466" s="4">
        <f>raw_order_lines!I466</f>
        <v>0</v>
      </c>
      <c r="J466" s="5">
        <f>raw_order_lines!J466</f>
        <v>4.4000000000000004</v>
      </c>
      <c r="K466" s="2" t="str">
        <f>raw_order_lines!K466</f>
        <v>正常交付</v>
      </c>
      <c r="L466" s="2" t="str">
        <f>raw_order_lines!L466</f>
        <v>true</v>
      </c>
      <c r="M466" s="2" t="str">
        <f>INDEX(dim_products!$B$2:$B$21,MATCH($E466,dim_products!$A$2:$A$21,0))</f>
        <v>黄瓜</v>
      </c>
      <c r="N466" s="2" t="str">
        <f>INDEX(dim_products!$C$2:$C$21,MATCH($E466,dim_products!$A$2:$A$21,0))</f>
        <v>散装鲜菜</v>
      </c>
      <c r="O466" s="2" t="str">
        <f>INDEX(dim_customers!$B$2:$B$7,MATCH($C466,dim_customers!$A$2:$A$7,0))</f>
        <v>模拟_兴街快餐店</v>
      </c>
      <c r="P466" s="6">
        <f>INT((ROUND(raw_order_lines!H466*10,0)*ROUND(raw_order_lines!J466*100,0)+5)/10)/100</f>
        <v>32.119999999999997</v>
      </c>
      <c r="Q466" s="6">
        <f>INT((ROUND(raw_order_lines!I466*10,0)*ROUND(raw_order_lines!J466*100,0)+5)/10)/100</f>
        <v>0</v>
      </c>
      <c r="R466" s="6">
        <f t="shared" si="21"/>
        <v>32.119999999999997</v>
      </c>
      <c r="S466" s="2" t="str">
        <f>IF(OR(ROUND(raw_order_lines!I466*10,0)&gt;ROUND(raw_order_lines!H466*10,0),ROUND(raw_order_lines!H466*10,0)&gt;ROUND(raw_order_lines!G466*10,0),ROUND(raw_order_lines!G466*10,0)&lt;=0),"数量关系异常","")</f>
        <v/>
      </c>
      <c r="T466" s="2" t="str">
        <f>IF($F466&lt;&gt;INDEX(dim_products!$D$2:$D$21,MATCH($E466,dim_products!$A$2:$A$21,0)),"单位不一致","")</f>
        <v/>
      </c>
      <c r="U466" s="2" t="str">
        <f>IF(OR(ROUND(raw_order_lines!J466*100,0)&lt;ROUND(INDEX(dim_products!$F$2:$F$21,MATCH($E466,dim_products!$A$2:$A$21,0))*100,0),ROUND(raw_order_lines!J466*100,0)&gt;ROUND(INDEX(dim_products!$G$2:$G$21,MATCH($E466,dim_products!$A$2:$A$21,0))*100,0)),"单价越界","")</f>
        <v/>
      </c>
      <c r="V466" s="2" t="str">
        <f t="shared" si="22"/>
        <v/>
      </c>
      <c r="W466" s="2" t="str">
        <f t="shared" si="23"/>
        <v>通过</v>
      </c>
    </row>
    <row r="467" spans="1:23" ht="15">
      <c r="A467" s="2" t="str">
        <f>raw_order_lines!A467</f>
        <v>SIM-20260915-C003</v>
      </c>
      <c r="B467" s="2">
        <f>raw_order_lines!B467</f>
        <v>5</v>
      </c>
      <c r="C467" s="2" t="str">
        <f>raw_order_lines!C467</f>
        <v>C003</v>
      </c>
      <c r="D467" s="3">
        <f>raw_order_lines!D467</f>
        <v>46280</v>
      </c>
      <c r="E467" s="2" t="str">
        <f>raw_order_lines!E467</f>
        <v>P004</v>
      </c>
      <c r="F467" s="2" t="str">
        <f>raw_order_lines!F467</f>
        <v>公斤</v>
      </c>
      <c r="G467" s="4">
        <f>raw_order_lines!G467</f>
        <v>9.6999999999999993</v>
      </c>
      <c r="H467" s="4">
        <f>raw_order_lines!H467</f>
        <v>9.6999999999999993</v>
      </c>
      <c r="I467" s="4">
        <f>raw_order_lines!I467</f>
        <v>0</v>
      </c>
      <c r="J467" s="5">
        <f>raw_order_lines!J467</f>
        <v>2.6</v>
      </c>
      <c r="K467" s="2" t="str">
        <f>raw_order_lines!K467</f>
        <v>正常交付</v>
      </c>
      <c r="L467" s="2" t="str">
        <f>raw_order_lines!L467</f>
        <v>true</v>
      </c>
      <c r="M467" s="2" t="str">
        <f>INDEX(dim_products!$B$2:$B$21,MATCH($E467,dim_products!$A$2:$A$21,0))</f>
        <v>冬瓜</v>
      </c>
      <c r="N467" s="2" t="str">
        <f>INDEX(dim_products!$C$2:$C$21,MATCH($E467,dim_products!$A$2:$A$21,0))</f>
        <v>散装鲜菜</v>
      </c>
      <c r="O467" s="2" t="str">
        <f>INDEX(dim_customers!$B$2:$B$7,MATCH($C467,dim_customers!$A$2:$A$7,0))</f>
        <v>模拟_兴街快餐店</v>
      </c>
      <c r="P467" s="6">
        <f>INT((ROUND(raw_order_lines!H467*10,0)*ROUND(raw_order_lines!J467*100,0)+5)/10)/100</f>
        <v>25.22</v>
      </c>
      <c r="Q467" s="6">
        <f>INT((ROUND(raw_order_lines!I467*10,0)*ROUND(raw_order_lines!J467*100,0)+5)/10)/100</f>
        <v>0</v>
      </c>
      <c r="R467" s="6">
        <f t="shared" si="21"/>
        <v>25.22</v>
      </c>
      <c r="S467" s="2" t="str">
        <f>IF(OR(ROUND(raw_order_lines!I467*10,0)&gt;ROUND(raw_order_lines!H467*10,0),ROUND(raw_order_lines!H467*10,0)&gt;ROUND(raw_order_lines!G467*10,0),ROUND(raw_order_lines!G467*10,0)&lt;=0),"数量关系异常","")</f>
        <v/>
      </c>
      <c r="T467" s="2" t="str">
        <f>IF($F467&lt;&gt;INDEX(dim_products!$D$2:$D$21,MATCH($E467,dim_products!$A$2:$A$21,0)),"单位不一致","")</f>
        <v/>
      </c>
      <c r="U467" s="2" t="str">
        <f>IF(OR(ROUND(raw_order_lines!J467*100,0)&lt;ROUND(INDEX(dim_products!$F$2:$F$21,MATCH($E467,dim_products!$A$2:$A$21,0))*100,0),ROUND(raw_order_lines!J467*100,0)&gt;ROUND(INDEX(dim_products!$G$2:$G$21,MATCH($E467,dim_products!$A$2:$A$21,0))*100,0)),"单价越界","")</f>
        <v/>
      </c>
      <c r="V467" s="2" t="str">
        <f t="shared" si="22"/>
        <v/>
      </c>
      <c r="W467" s="2" t="str">
        <f t="shared" si="23"/>
        <v>通过</v>
      </c>
    </row>
    <row r="468" spans="1:23" ht="15">
      <c r="A468" s="2" t="str">
        <f>raw_order_lines!A468</f>
        <v>SIM-20260915-C003</v>
      </c>
      <c r="B468" s="2">
        <f>raw_order_lines!B468</f>
        <v>6</v>
      </c>
      <c r="C468" s="2" t="str">
        <f>raw_order_lines!C468</f>
        <v>C003</v>
      </c>
      <c r="D468" s="3">
        <f>raw_order_lines!D468</f>
        <v>46280</v>
      </c>
      <c r="E468" s="2" t="str">
        <f>raw_order_lines!E468</f>
        <v>P003</v>
      </c>
      <c r="F468" s="2" t="str">
        <f>raw_order_lines!F468</f>
        <v>公斤</v>
      </c>
      <c r="G468" s="4">
        <f>raw_order_lines!G468</f>
        <v>7.3</v>
      </c>
      <c r="H468" s="4">
        <f>raw_order_lines!H468</f>
        <v>7.3</v>
      </c>
      <c r="I468" s="4">
        <f>raw_order_lines!I468</f>
        <v>0</v>
      </c>
      <c r="J468" s="5">
        <f>raw_order_lines!J468</f>
        <v>3.5</v>
      </c>
      <c r="K468" s="2" t="str">
        <f>raw_order_lines!K468</f>
        <v>正常交付</v>
      </c>
      <c r="L468" s="2" t="str">
        <f>raw_order_lines!L468</f>
        <v>true</v>
      </c>
      <c r="M468" s="2" t="str">
        <f>INDEX(dim_products!$B$2:$B$21,MATCH($E468,dim_products!$A$2:$A$21,0))</f>
        <v>包菜</v>
      </c>
      <c r="N468" s="2" t="str">
        <f>INDEX(dim_products!$C$2:$C$21,MATCH($E468,dim_products!$A$2:$A$21,0))</f>
        <v>散装鲜菜</v>
      </c>
      <c r="O468" s="2" t="str">
        <f>INDEX(dim_customers!$B$2:$B$7,MATCH($C468,dim_customers!$A$2:$A$7,0))</f>
        <v>模拟_兴街快餐店</v>
      </c>
      <c r="P468" s="6">
        <f>INT((ROUND(raw_order_lines!H468*10,0)*ROUND(raw_order_lines!J468*100,0)+5)/10)/100</f>
        <v>25.55</v>
      </c>
      <c r="Q468" s="6">
        <f>INT((ROUND(raw_order_lines!I468*10,0)*ROUND(raw_order_lines!J468*100,0)+5)/10)/100</f>
        <v>0</v>
      </c>
      <c r="R468" s="6">
        <f t="shared" si="21"/>
        <v>25.55</v>
      </c>
      <c r="S468" s="2" t="str">
        <f>IF(OR(ROUND(raw_order_lines!I468*10,0)&gt;ROUND(raw_order_lines!H468*10,0),ROUND(raw_order_lines!H468*10,0)&gt;ROUND(raw_order_lines!G468*10,0),ROUND(raw_order_lines!G468*10,0)&lt;=0),"数量关系异常","")</f>
        <v/>
      </c>
      <c r="T468" s="2" t="str">
        <f>IF($F468&lt;&gt;INDEX(dim_products!$D$2:$D$21,MATCH($E468,dim_products!$A$2:$A$21,0)),"单位不一致","")</f>
        <v/>
      </c>
      <c r="U468" s="2" t="str">
        <f>IF(OR(ROUND(raw_order_lines!J468*100,0)&lt;ROUND(INDEX(dim_products!$F$2:$F$21,MATCH($E468,dim_products!$A$2:$A$21,0))*100,0),ROUND(raw_order_lines!J468*100,0)&gt;ROUND(INDEX(dim_products!$G$2:$G$21,MATCH($E468,dim_products!$A$2:$A$21,0))*100,0)),"单价越界","")</f>
        <v/>
      </c>
      <c r="V468" s="2" t="str">
        <f t="shared" si="22"/>
        <v/>
      </c>
      <c r="W468" s="2" t="str">
        <f t="shared" si="23"/>
        <v>通过</v>
      </c>
    </row>
    <row r="469" spans="1:23" ht="15">
      <c r="A469" s="2" t="str">
        <f>raw_order_lines!A469</f>
        <v>SIM-20260915-C003</v>
      </c>
      <c r="B469" s="2">
        <f>raw_order_lines!B469</f>
        <v>7</v>
      </c>
      <c r="C469" s="2" t="str">
        <f>raw_order_lines!C469</f>
        <v>C003</v>
      </c>
      <c r="D469" s="3">
        <f>raw_order_lines!D469</f>
        <v>46280</v>
      </c>
      <c r="E469" s="2" t="str">
        <f>raw_order_lines!E469</f>
        <v>P016</v>
      </c>
      <c r="F469" s="2" t="str">
        <f>raw_order_lines!F469</f>
        <v>公斤</v>
      </c>
      <c r="G469" s="4">
        <f>raw_order_lines!G469</f>
        <v>6</v>
      </c>
      <c r="H469" s="4">
        <f>raw_order_lines!H469</f>
        <v>6</v>
      </c>
      <c r="I469" s="4">
        <f>raw_order_lines!I469</f>
        <v>0</v>
      </c>
      <c r="J469" s="5">
        <f>raw_order_lines!J469</f>
        <v>10.199999999999999</v>
      </c>
      <c r="K469" s="2" t="str">
        <f>raw_order_lines!K469</f>
        <v>正常交付</v>
      </c>
      <c r="L469" s="2" t="str">
        <f>raw_order_lines!L469</f>
        <v>true</v>
      </c>
      <c r="M469" s="2" t="str">
        <f>INDEX(dim_products!$B$2:$B$21,MATCH($E469,dim_products!$A$2:$A$21,0))</f>
        <v>鸡蛋</v>
      </c>
      <c r="N469" s="2" t="str">
        <f>INDEX(dim_products!$C$2:$C$21,MATCH($E469,dim_products!$A$2:$A$21,0))</f>
        <v>普通鲜鸡蛋按净重</v>
      </c>
      <c r="O469" s="2" t="str">
        <f>INDEX(dim_customers!$B$2:$B$7,MATCH($C469,dim_customers!$A$2:$A$7,0))</f>
        <v>模拟_兴街快餐店</v>
      </c>
      <c r="P469" s="6">
        <f>INT((ROUND(raw_order_lines!H469*10,0)*ROUND(raw_order_lines!J469*100,0)+5)/10)/100</f>
        <v>61.2</v>
      </c>
      <c r="Q469" s="6">
        <f>INT((ROUND(raw_order_lines!I469*10,0)*ROUND(raw_order_lines!J469*100,0)+5)/10)/100</f>
        <v>0</v>
      </c>
      <c r="R469" s="6">
        <f t="shared" si="21"/>
        <v>61.2</v>
      </c>
      <c r="S469" s="2" t="str">
        <f>IF(OR(ROUND(raw_order_lines!I469*10,0)&gt;ROUND(raw_order_lines!H469*10,0),ROUND(raw_order_lines!H469*10,0)&gt;ROUND(raw_order_lines!G469*10,0),ROUND(raw_order_lines!G469*10,0)&lt;=0),"数量关系异常","")</f>
        <v/>
      </c>
      <c r="T469" s="2" t="str">
        <f>IF($F469&lt;&gt;INDEX(dim_products!$D$2:$D$21,MATCH($E469,dim_products!$A$2:$A$21,0)),"单位不一致","")</f>
        <v/>
      </c>
      <c r="U469" s="2" t="str">
        <f>IF(OR(ROUND(raw_order_lines!J469*100,0)&lt;ROUND(INDEX(dim_products!$F$2:$F$21,MATCH($E469,dim_products!$A$2:$A$21,0))*100,0),ROUND(raw_order_lines!J469*100,0)&gt;ROUND(INDEX(dim_products!$G$2:$G$21,MATCH($E469,dim_products!$A$2:$A$21,0))*100,0)),"单价越界","")</f>
        <v/>
      </c>
      <c r="V469" s="2" t="str">
        <f t="shared" si="22"/>
        <v/>
      </c>
      <c r="W469" s="2" t="str">
        <f t="shared" si="23"/>
        <v>通过</v>
      </c>
    </row>
    <row r="470" spans="1:23" ht="15">
      <c r="A470" s="2" t="str">
        <f>raw_order_lines!A470</f>
        <v>SIM-20260915-C003</v>
      </c>
      <c r="B470" s="2">
        <f>raw_order_lines!B470</f>
        <v>8</v>
      </c>
      <c r="C470" s="2" t="str">
        <f>raw_order_lines!C470</f>
        <v>C003</v>
      </c>
      <c r="D470" s="3">
        <f>raw_order_lines!D470</f>
        <v>46280</v>
      </c>
      <c r="E470" s="2" t="str">
        <f>raw_order_lines!E470</f>
        <v>P015</v>
      </c>
      <c r="F470" s="2" t="str">
        <f>raw_order_lines!F470</f>
        <v>公斤</v>
      </c>
      <c r="G470" s="4">
        <f>raw_order_lines!G470</f>
        <v>1</v>
      </c>
      <c r="H470" s="4">
        <f>raw_order_lines!H470</f>
        <v>1</v>
      </c>
      <c r="I470" s="4">
        <f>raw_order_lines!I470</f>
        <v>0</v>
      </c>
      <c r="J470" s="5">
        <f>raw_order_lines!J470</f>
        <v>7.3</v>
      </c>
      <c r="K470" s="2" t="str">
        <f>raw_order_lines!K470</f>
        <v>正常交付</v>
      </c>
      <c r="L470" s="2" t="str">
        <f>raw_order_lines!L470</f>
        <v>true</v>
      </c>
      <c r="M470" s="2" t="str">
        <f>INDEX(dim_products!$B$2:$B$21,MATCH($E470,dim_products!$A$2:$A$21,0))</f>
        <v>小葱</v>
      </c>
      <c r="N470" s="2" t="str">
        <f>INDEX(dim_products!$C$2:$C$21,MATCH($E470,dim_products!$A$2:$A$21,0))</f>
        <v>散装鲜菜</v>
      </c>
      <c r="O470" s="2" t="str">
        <f>INDEX(dim_customers!$B$2:$B$7,MATCH($C470,dim_customers!$A$2:$A$7,0))</f>
        <v>模拟_兴街快餐店</v>
      </c>
      <c r="P470" s="6">
        <f>INT((ROUND(raw_order_lines!H470*10,0)*ROUND(raw_order_lines!J470*100,0)+5)/10)/100</f>
        <v>7.3</v>
      </c>
      <c r="Q470" s="6">
        <f>INT((ROUND(raw_order_lines!I470*10,0)*ROUND(raw_order_lines!J470*100,0)+5)/10)/100</f>
        <v>0</v>
      </c>
      <c r="R470" s="6">
        <f t="shared" si="21"/>
        <v>7.3</v>
      </c>
      <c r="S470" s="2" t="str">
        <f>IF(OR(ROUND(raw_order_lines!I470*10,0)&gt;ROUND(raw_order_lines!H470*10,0),ROUND(raw_order_lines!H470*10,0)&gt;ROUND(raw_order_lines!G470*10,0),ROUND(raw_order_lines!G470*10,0)&lt;=0),"数量关系异常","")</f>
        <v/>
      </c>
      <c r="T470" s="2" t="str">
        <f>IF($F470&lt;&gt;INDEX(dim_products!$D$2:$D$21,MATCH($E470,dim_products!$A$2:$A$21,0)),"单位不一致","")</f>
        <v/>
      </c>
      <c r="U470" s="2" t="str">
        <f>IF(OR(ROUND(raw_order_lines!J470*100,0)&lt;ROUND(INDEX(dim_products!$F$2:$F$21,MATCH($E470,dim_products!$A$2:$A$21,0))*100,0),ROUND(raw_order_lines!J470*100,0)&gt;ROUND(INDEX(dim_products!$G$2:$G$21,MATCH($E470,dim_products!$A$2:$A$21,0))*100,0)),"单价越界","")</f>
        <v/>
      </c>
      <c r="V470" s="2" t="str">
        <f t="shared" si="22"/>
        <v/>
      </c>
      <c r="W470" s="2" t="str">
        <f t="shared" si="23"/>
        <v>通过</v>
      </c>
    </row>
    <row r="471" spans="1:23" ht="15">
      <c r="A471" s="2" t="str">
        <f>raw_order_lines!A471</f>
        <v>SIM-20260915-C004</v>
      </c>
      <c r="B471" s="2">
        <f>raw_order_lines!B471</f>
        <v>1</v>
      </c>
      <c r="C471" s="2" t="str">
        <f>raw_order_lines!C471</f>
        <v>C004</v>
      </c>
      <c r="D471" s="3">
        <f>raw_order_lines!D471</f>
        <v>46280</v>
      </c>
      <c r="E471" s="2" t="str">
        <f>raw_order_lines!E471</f>
        <v>P011</v>
      </c>
      <c r="F471" s="2" t="str">
        <f>raw_order_lines!F471</f>
        <v>公斤</v>
      </c>
      <c r="G471" s="4">
        <f>raw_order_lines!G471</f>
        <v>4.5</v>
      </c>
      <c r="H471" s="4">
        <f>raw_order_lines!H471</f>
        <v>4.5</v>
      </c>
      <c r="I471" s="4">
        <f>raw_order_lines!I471</f>
        <v>0</v>
      </c>
      <c r="J471" s="5">
        <f>raw_order_lines!J471</f>
        <v>4.3</v>
      </c>
      <c r="K471" s="2" t="str">
        <f>raw_order_lines!K471</f>
        <v>正常交付</v>
      </c>
      <c r="L471" s="2" t="str">
        <f>raw_order_lines!L471</f>
        <v>true</v>
      </c>
      <c r="M471" s="2" t="str">
        <f>INDEX(dim_products!$B$2:$B$21,MATCH($E471,dim_products!$A$2:$A$21,0))</f>
        <v>红薯叶</v>
      </c>
      <c r="N471" s="2" t="str">
        <f>INDEX(dim_products!$C$2:$C$21,MATCH($E471,dim_products!$A$2:$A$21,0))</f>
        <v>散装鲜菜</v>
      </c>
      <c r="O471" s="2" t="str">
        <f>INDEX(dim_customers!$B$2:$B$7,MATCH($C471,dim_customers!$A$2:$A$7,0))</f>
        <v>模拟_田畔饭店</v>
      </c>
      <c r="P471" s="6">
        <f>INT((ROUND(raw_order_lines!H471*10,0)*ROUND(raw_order_lines!J471*100,0)+5)/10)/100</f>
        <v>19.350000000000001</v>
      </c>
      <c r="Q471" s="6">
        <f>INT((ROUND(raw_order_lines!I471*10,0)*ROUND(raw_order_lines!J471*100,0)+5)/10)/100</f>
        <v>0</v>
      </c>
      <c r="R471" s="6">
        <f t="shared" si="21"/>
        <v>19.350000000000001</v>
      </c>
      <c r="S471" s="2" t="str">
        <f>IF(OR(ROUND(raw_order_lines!I471*10,0)&gt;ROUND(raw_order_lines!H471*10,0),ROUND(raw_order_lines!H471*10,0)&gt;ROUND(raw_order_lines!G471*10,0),ROUND(raw_order_lines!G471*10,0)&lt;=0),"数量关系异常","")</f>
        <v/>
      </c>
      <c r="T471" s="2" t="str">
        <f>IF($F471&lt;&gt;INDEX(dim_products!$D$2:$D$21,MATCH($E471,dim_products!$A$2:$A$21,0)),"单位不一致","")</f>
        <v/>
      </c>
      <c r="U471" s="2" t="str">
        <f>IF(OR(ROUND(raw_order_lines!J471*100,0)&lt;ROUND(INDEX(dim_products!$F$2:$F$21,MATCH($E471,dim_products!$A$2:$A$21,0))*100,0),ROUND(raw_order_lines!J471*100,0)&gt;ROUND(INDEX(dim_products!$G$2:$G$21,MATCH($E471,dim_products!$A$2:$A$21,0))*100,0)),"单价越界","")</f>
        <v/>
      </c>
      <c r="V471" s="2" t="str">
        <f t="shared" si="22"/>
        <v/>
      </c>
      <c r="W471" s="2" t="str">
        <f t="shared" si="23"/>
        <v>通过</v>
      </c>
    </row>
    <row r="472" spans="1:23" ht="15">
      <c r="A472" s="2" t="str">
        <f>raw_order_lines!A472</f>
        <v>SIM-20260915-C004</v>
      </c>
      <c r="B472" s="2">
        <f>raw_order_lines!B472</f>
        <v>2</v>
      </c>
      <c r="C472" s="2" t="str">
        <f>raw_order_lines!C472</f>
        <v>C004</v>
      </c>
      <c r="D472" s="3">
        <f>raw_order_lines!D472</f>
        <v>46280</v>
      </c>
      <c r="E472" s="2" t="str">
        <f>raw_order_lines!E472</f>
        <v>P007</v>
      </c>
      <c r="F472" s="2" t="str">
        <f>raw_order_lines!F472</f>
        <v>公斤</v>
      </c>
      <c r="G472" s="4">
        <f>raw_order_lines!G472</f>
        <v>7.8</v>
      </c>
      <c r="H472" s="4">
        <f>raw_order_lines!H472</f>
        <v>7.8</v>
      </c>
      <c r="I472" s="4">
        <f>raw_order_lines!I472</f>
        <v>0</v>
      </c>
      <c r="J472" s="5">
        <f>raw_order_lines!J472</f>
        <v>5.25</v>
      </c>
      <c r="K472" s="2" t="str">
        <f>raw_order_lines!K472</f>
        <v>正常交付</v>
      </c>
      <c r="L472" s="2" t="str">
        <f>raw_order_lines!L472</f>
        <v>true</v>
      </c>
      <c r="M472" s="2" t="str">
        <f>INDEX(dim_products!$B$2:$B$21,MATCH($E472,dim_products!$A$2:$A$21,0))</f>
        <v>青椒</v>
      </c>
      <c r="N472" s="2" t="str">
        <f>INDEX(dim_products!$C$2:$C$21,MATCH($E472,dim_products!$A$2:$A$21,0))</f>
        <v>散装鲜菜</v>
      </c>
      <c r="O472" s="2" t="str">
        <f>INDEX(dim_customers!$B$2:$B$7,MATCH($C472,dim_customers!$A$2:$A$7,0))</f>
        <v>模拟_田畔饭店</v>
      </c>
      <c r="P472" s="6">
        <f>INT((ROUND(raw_order_lines!H472*10,0)*ROUND(raw_order_lines!J472*100,0)+5)/10)/100</f>
        <v>40.950000000000003</v>
      </c>
      <c r="Q472" s="6">
        <f>INT((ROUND(raw_order_lines!I472*10,0)*ROUND(raw_order_lines!J472*100,0)+5)/10)/100</f>
        <v>0</v>
      </c>
      <c r="R472" s="6">
        <f t="shared" si="21"/>
        <v>40.950000000000003</v>
      </c>
      <c r="S472" s="2" t="str">
        <f>IF(OR(ROUND(raw_order_lines!I472*10,0)&gt;ROUND(raw_order_lines!H472*10,0),ROUND(raw_order_lines!H472*10,0)&gt;ROUND(raw_order_lines!G472*10,0),ROUND(raw_order_lines!G472*10,0)&lt;=0),"数量关系异常","")</f>
        <v/>
      </c>
      <c r="T472" s="2" t="str">
        <f>IF($F472&lt;&gt;INDEX(dim_products!$D$2:$D$21,MATCH($E472,dim_products!$A$2:$A$21,0)),"单位不一致","")</f>
        <v/>
      </c>
      <c r="U472" s="2" t="str">
        <f>IF(OR(ROUND(raw_order_lines!J472*100,0)&lt;ROUND(INDEX(dim_products!$F$2:$F$21,MATCH($E472,dim_products!$A$2:$A$21,0))*100,0),ROUND(raw_order_lines!J472*100,0)&gt;ROUND(INDEX(dim_products!$G$2:$G$21,MATCH($E472,dim_products!$A$2:$A$21,0))*100,0)),"单价越界","")</f>
        <v/>
      </c>
      <c r="V472" s="2" t="str">
        <f t="shared" si="22"/>
        <v/>
      </c>
      <c r="W472" s="2" t="str">
        <f t="shared" si="23"/>
        <v>通过</v>
      </c>
    </row>
    <row r="473" spans="1:23" ht="15">
      <c r="A473" s="2" t="str">
        <f>raw_order_lines!A473</f>
        <v>SIM-20260915-C004</v>
      </c>
      <c r="B473" s="2">
        <f>raw_order_lines!B473</f>
        <v>3</v>
      </c>
      <c r="C473" s="2" t="str">
        <f>raw_order_lines!C473</f>
        <v>C004</v>
      </c>
      <c r="D473" s="3">
        <f>raw_order_lines!D473</f>
        <v>46280</v>
      </c>
      <c r="E473" s="2" t="str">
        <f>raw_order_lines!E473</f>
        <v>P001</v>
      </c>
      <c r="F473" s="2" t="str">
        <f>raw_order_lines!F473</f>
        <v>公斤</v>
      </c>
      <c r="G473" s="4">
        <f>raw_order_lines!G473</f>
        <v>9</v>
      </c>
      <c r="H473" s="4">
        <f>raw_order_lines!H473</f>
        <v>9</v>
      </c>
      <c r="I473" s="4">
        <f>raw_order_lines!I473</f>
        <v>0</v>
      </c>
      <c r="J473" s="5">
        <f>raw_order_lines!J473</f>
        <v>3.4</v>
      </c>
      <c r="K473" s="2" t="str">
        <f>raw_order_lines!K473</f>
        <v>正常交付</v>
      </c>
      <c r="L473" s="2" t="str">
        <f>raw_order_lines!L473</f>
        <v>true</v>
      </c>
      <c r="M473" s="2" t="str">
        <f>INDEX(dim_products!$B$2:$B$21,MATCH($E473,dim_products!$A$2:$A$21,0))</f>
        <v>土豆</v>
      </c>
      <c r="N473" s="2" t="str">
        <f>INDEX(dim_products!$C$2:$C$21,MATCH($E473,dim_products!$A$2:$A$21,0))</f>
        <v>散装鲜菜</v>
      </c>
      <c r="O473" s="2" t="str">
        <f>INDEX(dim_customers!$B$2:$B$7,MATCH($C473,dim_customers!$A$2:$A$7,0))</f>
        <v>模拟_田畔饭店</v>
      </c>
      <c r="P473" s="6">
        <f>INT((ROUND(raw_order_lines!H473*10,0)*ROUND(raw_order_lines!J473*100,0)+5)/10)/100</f>
        <v>30.6</v>
      </c>
      <c r="Q473" s="6">
        <f>INT((ROUND(raw_order_lines!I473*10,0)*ROUND(raw_order_lines!J473*100,0)+5)/10)/100</f>
        <v>0</v>
      </c>
      <c r="R473" s="6">
        <f t="shared" si="21"/>
        <v>30.6</v>
      </c>
      <c r="S473" s="2" t="str">
        <f>IF(OR(ROUND(raw_order_lines!I473*10,0)&gt;ROUND(raw_order_lines!H473*10,0),ROUND(raw_order_lines!H473*10,0)&gt;ROUND(raw_order_lines!G473*10,0),ROUND(raw_order_lines!G473*10,0)&lt;=0),"数量关系异常","")</f>
        <v/>
      </c>
      <c r="T473" s="2" t="str">
        <f>IF($F473&lt;&gt;INDEX(dim_products!$D$2:$D$21,MATCH($E473,dim_products!$A$2:$A$21,0)),"单位不一致","")</f>
        <v/>
      </c>
      <c r="U473" s="2" t="str">
        <f>IF(OR(ROUND(raw_order_lines!J473*100,0)&lt;ROUND(INDEX(dim_products!$F$2:$F$21,MATCH($E473,dim_products!$A$2:$A$21,0))*100,0),ROUND(raw_order_lines!J473*100,0)&gt;ROUND(INDEX(dim_products!$G$2:$G$21,MATCH($E473,dim_products!$A$2:$A$21,0))*100,0)),"单价越界","")</f>
        <v/>
      </c>
      <c r="V473" s="2" t="str">
        <f t="shared" si="22"/>
        <v/>
      </c>
      <c r="W473" s="2" t="str">
        <f t="shared" si="23"/>
        <v>通过</v>
      </c>
    </row>
    <row r="474" spans="1:23" ht="15">
      <c r="A474" s="2" t="str">
        <f>raw_order_lines!A474</f>
        <v>SIM-20260915-C004</v>
      </c>
      <c r="B474" s="2">
        <f>raw_order_lines!B474</f>
        <v>4</v>
      </c>
      <c r="C474" s="2" t="str">
        <f>raw_order_lines!C474</f>
        <v>C004</v>
      </c>
      <c r="D474" s="3">
        <f>raw_order_lines!D474</f>
        <v>46280</v>
      </c>
      <c r="E474" s="2" t="str">
        <f>raw_order_lines!E474</f>
        <v>P014</v>
      </c>
      <c r="F474" s="2" t="str">
        <f>raw_order_lines!F474</f>
        <v>公斤</v>
      </c>
      <c r="G474" s="4">
        <f>raw_order_lines!G474</f>
        <v>5.6</v>
      </c>
      <c r="H474" s="4">
        <f>raw_order_lines!H474</f>
        <v>5.6</v>
      </c>
      <c r="I474" s="4">
        <f>raw_order_lines!I474</f>
        <v>0</v>
      </c>
      <c r="J474" s="5">
        <f>raw_order_lines!J474</f>
        <v>5</v>
      </c>
      <c r="K474" s="2" t="str">
        <f>raw_order_lines!K474</f>
        <v>正常交付</v>
      </c>
      <c r="L474" s="2" t="str">
        <f>raw_order_lines!L474</f>
        <v>true</v>
      </c>
      <c r="M474" s="2" t="str">
        <f>INDEX(dim_products!$B$2:$B$21,MATCH($E474,dim_products!$A$2:$A$21,0))</f>
        <v>丝瓜</v>
      </c>
      <c r="N474" s="2" t="str">
        <f>INDEX(dim_products!$C$2:$C$21,MATCH($E474,dim_products!$A$2:$A$21,0))</f>
        <v>散装鲜菜</v>
      </c>
      <c r="O474" s="2" t="str">
        <f>INDEX(dim_customers!$B$2:$B$7,MATCH($C474,dim_customers!$A$2:$A$7,0))</f>
        <v>模拟_田畔饭店</v>
      </c>
      <c r="P474" s="6">
        <f>INT((ROUND(raw_order_lines!H474*10,0)*ROUND(raw_order_lines!J474*100,0)+5)/10)/100</f>
        <v>28</v>
      </c>
      <c r="Q474" s="6">
        <f>INT((ROUND(raw_order_lines!I474*10,0)*ROUND(raw_order_lines!J474*100,0)+5)/10)/100</f>
        <v>0</v>
      </c>
      <c r="R474" s="6">
        <f t="shared" si="21"/>
        <v>28</v>
      </c>
      <c r="S474" s="2" t="str">
        <f>IF(OR(ROUND(raw_order_lines!I474*10,0)&gt;ROUND(raw_order_lines!H474*10,0),ROUND(raw_order_lines!H474*10,0)&gt;ROUND(raw_order_lines!G474*10,0),ROUND(raw_order_lines!G474*10,0)&lt;=0),"数量关系异常","")</f>
        <v/>
      </c>
      <c r="T474" s="2" t="str">
        <f>IF($F474&lt;&gt;INDEX(dim_products!$D$2:$D$21,MATCH($E474,dim_products!$A$2:$A$21,0)),"单位不一致","")</f>
        <v/>
      </c>
      <c r="U474" s="2" t="str">
        <f>IF(OR(ROUND(raw_order_lines!J474*100,0)&lt;ROUND(INDEX(dim_products!$F$2:$F$21,MATCH($E474,dim_products!$A$2:$A$21,0))*100,0),ROUND(raw_order_lines!J474*100,0)&gt;ROUND(INDEX(dim_products!$G$2:$G$21,MATCH($E474,dim_products!$A$2:$A$21,0))*100,0)),"单价越界","")</f>
        <v/>
      </c>
      <c r="V474" s="2" t="str">
        <f t="shared" si="22"/>
        <v/>
      </c>
      <c r="W474" s="2" t="str">
        <f t="shared" si="23"/>
        <v>通过</v>
      </c>
    </row>
    <row r="475" spans="1:23" ht="15">
      <c r="A475" s="2" t="str">
        <f>raw_order_lines!A475</f>
        <v>SIM-20260915-C004</v>
      </c>
      <c r="B475" s="2">
        <f>raw_order_lines!B475</f>
        <v>5</v>
      </c>
      <c r="C475" s="2" t="str">
        <f>raw_order_lines!C475</f>
        <v>C004</v>
      </c>
      <c r="D475" s="3">
        <f>raw_order_lines!D475</f>
        <v>46280</v>
      </c>
      <c r="E475" s="2" t="str">
        <f>raw_order_lines!E475</f>
        <v>P006</v>
      </c>
      <c r="F475" s="2" t="str">
        <f>raw_order_lines!F475</f>
        <v>公斤</v>
      </c>
      <c r="G475" s="4">
        <f>raw_order_lines!G475</f>
        <v>7.3</v>
      </c>
      <c r="H475" s="4">
        <f>raw_order_lines!H475</f>
        <v>7.3</v>
      </c>
      <c r="I475" s="4">
        <f>raw_order_lines!I475</f>
        <v>0</v>
      </c>
      <c r="J475" s="5">
        <f>raw_order_lines!J475</f>
        <v>4.8</v>
      </c>
      <c r="K475" s="2" t="str">
        <f>raw_order_lines!K475</f>
        <v>正常交付</v>
      </c>
      <c r="L475" s="2" t="str">
        <f>raw_order_lines!L475</f>
        <v>true</v>
      </c>
      <c r="M475" s="2" t="str">
        <f>INDEX(dim_products!$B$2:$B$21,MATCH($E475,dim_products!$A$2:$A$21,0))</f>
        <v>茄子</v>
      </c>
      <c r="N475" s="2" t="str">
        <f>INDEX(dim_products!$C$2:$C$21,MATCH($E475,dim_products!$A$2:$A$21,0))</f>
        <v>散装鲜菜</v>
      </c>
      <c r="O475" s="2" t="str">
        <f>INDEX(dim_customers!$B$2:$B$7,MATCH($C475,dim_customers!$A$2:$A$7,0))</f>
        <v>模拟_田畔饭店</v>
      </c>
      <c r="P475" s="6">
        <f>INT((ROUND(raw_order_lines!H475*10,0)*ROUND(raw_order_lines!J475*100,0)+5)/10)/100</f>
        <v>35.04</v>
      </c>
      <c r="Q475" s="6">
        <f>INT((ROUND(raw_order_lines!I475*10,0)*ROUND(raw_order_lines!J475*100,0)+5)/10)/100</f>
        <v>0</v>
      </c>
      <c r="R475" s="6">
        <f t="shared" si="21"/>
        <v>35.04</v>
      </c>
      <c r="S475" s="2" t="str">
        <f>IF(OR(ROUND(raw_order_lines!I475*10,0)&gt;ROUND(raw_order_lines!H475*10,0),ROUND(raw_order_lines!H475*10,0)&gt;ROUND(raw_order_lines!G475*10,0),ROUND(raw_order_lines!G475*10,0)&lt;=0),"数量关系异常","")</f>
        <v/>
      </c>
      <c r="T475" s="2" t="str">
        <f>IF($F475&lt;&gt;INDEX(dim_products!$D$2:$D$21,MATCH($E475,dim_products!$A$2:$A$21,0)),"单位不一致","")</f>
        <v/>
      </c>
      <c r="U475" s="2" t="str">
        <f>IF(OR(ROUND(raw_order_lines!J475*100,0)&lt;ROUND(INDEX(dim_products!$F$2:$F$21,MATCH($E475,dim_products!$A$2:$A$21,0))*100,0),ROUND(raw_order_lines!J475*100,0)&gt;ROUND(INDEX(dim_products!$G$2:$G$21,MATCH($E475,dim_products!$A$2:$A$21,0))*100,0)),"单价越界","")</f>
        <v/>
      </c>
      <c r="V475" s="2" t="str">
        <f t="shared" si="22"/>
        <v/>
      </c>
      <c r="W475" s="2" t="str">
        <f t="shared" si="23"/>
        <v>通过</v>
      </c>
    </row>
    <row r="476" spans="1:23" ht="15">
      <c r="A476" s="2" t="str">
        <f>raw_order_lines!A476</f>
        <v>SIM-20260915-C004</v>
      </c>
      <c r="B476" s="2">
        <f>raw_order_lines!B476</f>
        <v>6</v>
      </c>
      <c r="C476" s="2" t="str">
        <f>raw_order_lines!C476</f>
        <v>C004</v>
      </c>
      <c r="D476" s="3">
        <f>raw_order_lines!D476</f>
        <v>46280</v>
      </c>
      <c r="E476" s="2" t="str">
        <f>raw_order_lines!E476</f>
        <v>P003</v>
      </c>
      <c r="F476" s="2" t="str">
        <f>raw_order_lines!F476</f>
        <v>公斤</v>
      </c>
      <c r="G476" s="4">
        <f>raw_order_lines!G476</f>
        <v>8.4</v>
      </c>
      <c r="H476" s="4">
        <f>raw_order_lines!H476</f>
        <v>8.4</v>
      </c>
      <c r="I476" s="4">
        <f>raw_order_lines!I476</f>
        <v>0</v>
      </c>
      <c r="J476" s="5">
        <f>raw_order_lines!J476</f>
        <v>3.5</v>
      </c>
      <c r="K476" s="2" t="str">
        <f>raw_order_lines!K476</f>
        <v>正常交付</v>
      </c>
      <c r="L476" s="2" t="str">
        <f>raw_order_lines!L476</f>
        <v>true</v>
      </c>
      <c r="M476" s="2" t="str">
        <f>INDEX(dim_products!$B$2:$B$21,MATCH($E476,dim_products!$A$2:$A$21,0))</f>
        <v>包菜</v>
      </c>
      <c r="N476" s="2" t="str">
        <f>INDEX(dim_products!$C$2:$C$21,MATCH($E476,dim_products!$A$2:$A$21,0))</f>
        <v>散装鲜菜</v>
      </c>
      <c r="O476" s="2" t="str">
        <f>INDEX(dim_customers!$B$2:$B$7,MATCH($C476,dim_customers!$A$2:$A$7,0))</f>
        <v>模拟_田畔饭店</v>
      </c>
      <c r="P476" s="6">
        <f>INT((ROUND(raw_order_lines!H476*10,0)*ROUND(raw_order_lines!J476*100,0)+5)/10)/100</f>
        <v>29.4</v>
      </c>
      <c r="Q476" s="6">
        <f>INT((ROUND(raw_order_lines!I476*10,0)*ROUND(raw_order_lines!J476*100,0)+5)/10)/100</f>
        <v>0</v>
      </c>
      <c r="R476" s="6">
        <f t="shared" si="21"/>
        <v>29.4</v>
      </c>
      <c r="S476" s="2" t="str">
        <f>IF(OR(ROUND(raw_order_lines!I476*10,0)&gt;ROUND(raw_order_lines!H476*10,0),ROUND(raw_order_lines!H476*10,0)&gt;ROUND(raw_order_lines!G476*10,0),ROUND(raw_order_lines!G476*10,0)&lt;=0),"数量关系异常","")</f>
        <v/>
      </c>
      <c r="T476" s="2" t="str">
        <f>IF($F476&lt;&gt;INDEX(dim_products!$D$2:$D$21,MATCH($E476,dim_products!$A$2:$A$21,0)),"单位不一致","")</f>
        <v/>
      </c>
      <c r="U476" s="2" t="str">
        <f>IF(OR(ROUND(raw_order_lines!J476*100,0)&lt;ROUND(INDEX(dim_products!$F$2:$F$21,MATCH($E476,dim_products!$A$2:$A$21,0))*100,0),ROUND(raw_order_lines!J476*100,0)&gt;ROUND(INDEX(dim_products!$G$2:$G$21,MATCH($E476,dim_products!$A$2:$A$21,0))*100,0)),"单价越界","")</f>
        <v/>
      </c>
      <c r="V476" s="2" t="str">
        <f t="shared" si="22"/>
        <v/>
      </c>
      <c r="W476" s="2" t="str">
        <f t="shared" si="23"/>
        <v>通过</v>
      </c>
    </row>
    <row r="477" spans="1:23" ht="15">
      <c r="A477" s="2" t="str">
        <f>raw_order_lines!A477</f>
        <v>SIM-20260915-C004</v>
      </c>
      <c r="B477" s="2">
        <f>raw_order_lines!B477</f>
        <v>7</v>
      </c>
      <c r="C477" s="2" t="str">
        <f>raw_order_lines!C477</f>
        <v>C004</v>
      </c>
      <c r="D477" s="3">
        <f>raw_order_lines!D477</f>
        <v>46280</v>
      </c>
      <c r="E477" s="2" t="str">
        <f>raw_order_lines!E477</f>
        <v>P016</v>
      </c>
      <c r="F477" s="2" t="str">
        <f>raw_order_lines!F477</f>
        <v>公斤</v>
      </c>
      <c r="G477" s="4">
        <f>raw_order_lines!G477</f>
        <v>5</v>
      </c>
      <c r="H477" s="4">
        <f>raw_order_lines!H477</f>
        <v>5</v>
      </c>
      <c r="I477" s="4">
        <f>raw_order_lines!I477</f>
        <v>0</v>
      </c>
      <c r="J477" s="5">
        <f>raw_order_lines!J477</f>
        <v>10.199999999999999</v>
      </c>
      <c r="K477" s="2" t="str">
        <f>raw_order_lines!K477</f>
        <v>正常交付</v>
      </c>
      <c r="L477" s="2" t="str">
        <f>raw_order_lines!L477</f>
        <v>true</v>
      </c>
      <c r="M477" s="2" t="str">
        <f>INDEX(dim_products!$B$2:$B$21,MATCH($E477,dim_products!$A$2:$A$21,0))</f>
        <v>鸡蛋</v>
      </c>
      <c r="N477" s="2" t="str">
        <f>INDEX(dim_products!$C$2:$C$21,MATCH($E477,dim_products!$A$2:$A$21,0))</f>
        <v>普通鲜鸡蛋按净重</v>
      </c>
      <c r="O477" s="2" t="str">
        <f>INDEX(dim_customers!$B$2:$B$7,MATCH($C477,dim_customers!$A$2:$A$7,0))</f>
        <v>模拟_田畔饭店</v>
      </c>
      <c r="P477" s="6">
        <f>INT((ROUND(raw_order_lines!H477*10,0)*ROUND(raw_order_lines!J477*100,0)+5)/10)/100</f>
        <v>51</v>
      </c>
      <c r="Q477" s="6">
        <f>INT((ROUND(raw_order_lines!I477*10,0)*ROUND(raw_order_lines!J477*100,0)+5)/10)/100</f>
        <v>0</v>
      </c>
      <c r="R477" s="6">
        <f t="shared" si="21"/>
        <v>51</v>
      </c>
      <c r="S477" s="2" t="str">
        <f>IF(OR(ROUND(raw_order_lines!I477*10,0)&gt;ROUND(raw_order_lines!H477*10,0),ROUND(raw_order_lines!H477*10,0)&gt;ROUND(raw_order_lines!G477*10,0),ROUND(raw_order_lines!G477*10,0)&lt;=0),"数量关系异常","")</f>
        <v/>
      </c>
      <c r="T477" s="2" t="str">
        <f>IF($F477&lt;&gt;INDEX(dim_products!$D$2:$D$21,MATCH($E477,dim_products!$A$2:$A$21,0)),"单位不一致","")</f>
        <v/>
      </c>
      <c r="U477" s="2" t="str">
        <f>IF(OR(ROUND(raw_order_lines!J477*100,0)&lt;ROUND(INDEX(dim_products!$F$2:$F$21,MATCH($E477,dim_products!$A$2:$A$21,0))*100,0),ROUND(raw_order_lines!J477*100,0)&gt;ROUND(INDEX(dim_products!$G$2:$G$21,MATCH($E477,dim_products!$A$2:$A$21,0))*100,0)),"单价越界","")</f>
        <v/>
      </c>
      <c r="V477" s="2" t="str">
        <f t="shared" si="22"/>
        <v/>
      </c>
      <c r="W477" s="2" t="str">
        <f t="shared" si="23"/>
        <v>通过</v>
      </c>
    </row>
    <row r="478" spans="1:23" ht="15">
      <c r="A478" s="2" t="str">
        <f>raw_order_lines!A478</f>
        <v>SIM-20260915-C004</v>
      </c>
      <c r="B478" s="2">
        <f>raw_order_lines!B478</f>
        <v>8</v>
      </c>
      <c r="C478" s="2" t="str">
        <f>raw_order_lines!C478</f>
        <v>C004</v>
      </c>
      <c r="D478" s="3">
        <f>raw_order_lines!D478</f>
        <v>46280</v>
      </c>
      <c r="E478" s="2" t="str">
        <f>raw_order_lines!E478</f>
        <v>P015</v>
      </c>
      <c r="F478" s="2" t="str">
        <f>raw_order_lines!F478</f>
        <v>公斤</v>
      </c>
      <c r="G478" s="4">
        <f>raw_order_lines!G478</f>
        <v>1</v>
      </c>
      <c r="H478" s="4">
        <f>raw_order_lines!H478</f>
        <v>1</v>
      </c>
      <c r="I478" s="4">
        <f>raw_order_lines!I478</f>
        <v>0</v>
      </c>
      <c r="J478" s="5">
        <f>raw_order_lines!J478</f>
        <v>7.3</v>
      </c>
      <c r="K478" s="2" t="str">
        <f>raw_order_lines!K478</f>
        <v>正常交付</v>
      </c>
      <c r="L478" s="2" t="str">
        <f>raw_order_lines!L478</f>
        <v>true</v>
      </c>
      <c r="M478" s="2" t="str">
        <f>INDEX(dim_products!$B$2:$B$21,MATCH($E478,dim_products!$A$2:$A$21,0))</f>
        <v>小葱</v>
      </c>
      <c r="N478" s="2" t="str">
        <f>INDEX(dim_products!$C$2:$C$21,MATCH($E478,dim_products!$A$2:$A$21,0))</f>
        <v>散装鲜菜</v>
      </c>
      <c r="O478" s="2" t="str">
        <f>INDEX(dim_customers!$B$2:$B$7,MATCH($C478,dim_customers!$A$2:$A$7,0))</f>
        <v>模拟_田畔饭店</v>
      </c>
      <c r="P478" s="6">
        <f>INT((ROUND(raw_order_lines!H478*10,0)*ROUND(raw_order_lines!J478*100,0)+5)/10)/100</f>
        <v>7.3</v>
      </c>
      <c r="Q478" s="6">
        <f>INT((ROUND(raw_order_lines!I478*10,0)*ROUND(raw_order_lines!J478*100,0)+5)/10)/100</f>
        <v>0</v>
      </c>
      <c r="R478" s="6">
        <f t="shared" si="21"/>
        <v>7.3</v>
      </c>
      <c r="S478" s="2" t="str">
        <f>IF(OR(ROUND(raw_order_lines!I478*10,0)&gt;ROUND(raw_order_lines!H478*10,0),ROUND(raw_order_lines!H478*10,0)&gt;ROUND(raw_order_lines!G478*10,0),ROUND(raw_order_lines!G478*10,0)&lt;=0),"数量关系异常","")</f>
        <v/>
      </c>
      <c r="T478" s="2" t="str">
        <f>IF($F478&lt;&gt;INDEX(dim_products!$D$2:$D$21,MATCH($E478,dim_products!$A$2:$A$21,0)),"单位不一致","")</f>
        <v/>
      </c>
      <c r="U478" s="2" t="str">
        <f>IF(OR(ROUND(raw_order_lines!J478*100,0)&lt;ROUND(INDEX(dim_products!$F$2:$F$21,MATCH($E478,dim_products!$A$2:$A$21,0))*100,0),ROUND(raw_order_lines!J478*100,0)&gt;ROUND(INDEX(dim_products!$G$2:$G$21,MATCH($E478,dim_products!$A$2:$A$21,0))*100,0)),"单价越界","")</f>
        <v/>
      </c>
      <c r="V478" s="2" t="str">
        <f t="shared" si="22"/>
        <v/>
      </c>
      <c r="W478" s="2" t="str">
        <f t="shared" si="23"/>
        <v>通过</v>
      </c>
    </row>
    <row r="479" spans="1:23" ht="15">
      <c r="A479" s="2" t="str">
        <f>raw_order_lines!A479</f>
        <v>SIM-20260915-C005</v>
      </c>
      <c r="B479" s="2">
        <f>raw_order_lines!B479</f>
        <v>1</v>
      </c>
      <c r="C479" s="2" t="str">
        <f>raw_order_lines!C479</f>
        <v>C005</v>
      </c>
      <c r="D479" s="3">
        <f>raw_order_lines!D479</f>
        <v>46280</v>
      </c>
      <c r="E479" s="2" t="str">
        <f>raw_order_lines!E479</f>
        <v>P012</v>
      </c>
      <c r="F479" s="2" t="str">
        <f>raw_order_lines!F479</f>
        <v>公斤</v>
      </c>
      <c r="G479" s="4">
        <f>raw_order_lines!G479</f>
        <v>8.4</v>
      </c>
      <c r="H479" s="4">
        <f>raw_order_lines!H479</f>
        <v>8.4</v>
      </c>
      <c r="I479" s="4">
        <f>raw_order_lines!I479</f>
        <v>0</v>
      </c>
      <c r="J479" s="5">
        <f>raw_order_lines!J479</f>
        <v>5.2</v>
      </c>
      <c r="K479" s="2" t="str">
        <f>raw_order_lines!K479</f>
        <v>正常交付</v>
      </c>
      <c r="L479" s="2" t="str">
        <f>raw_order_lines!L479</f>
        <v>true</v>
      </c>
      <c r="M479" s="2" t="str">
        <f>INDEX(dim_products!$B$2:$B$21,MATCH($E479,dim_products!$A$2:$A$21,0))</f>
        <v>小白菜</v>
      </c>
      <c r="N479" s="2" t="str">
        <f>INDEX(dim_products!$C$2:$C$21,MATCH($E479,dim_products!$A$2:$A$21,0))</f>
        <v>散装鲜菜</v>
      </c>
      <c r="O479" s="2" t="str">
        <f>INDEX(dim_customers!$B$2:$B$7,MATCH($C479,dim_customers!$A$2:$A$7,0))</f>
        <v>模拟_青禾小学食堂</v>
      </c>
      <c r="P479" s="6">
        <f>INT((ROUND(raw_order_lines!H479*10,0)*ROUND(raw_order_lines!J479*100,0)+5)/10)/100</f>
        <v>43.68</v>
      </c>
      <c r="Q479" s="6">
        <f>INT((ROUND(raw_order_lines!I479*10,0)*ROUND(raw_order_lines!J479*100,0)+5)/10)/100</f>
        <v>0</v>
      </c>
      <c r="R479" s="6">
        <f t="shared" si="21"/>
        <v>43.68</v>
      </c>
      <c r="S479" s="2" t="str">
        <f>IF(OR(ROUND(raw_order_lines!I479*10,0)&gt;ROUND(raw_order_lines!H479*10,0),ROUND(raw_order_lines!H479*10,0)&gt;ROUND(raw_order_lines!G479*10,0),ROUND(raw_order_lines!G479*10,0)&lt;=0),"数量关系异常","")</f>
        <v/>
      </c>
      <c r="T479" s="2" t="str">
        <f>IF($F479&lt;&gt;INDEX(dim_products!$D$2:$D$21,MATCH($E479,dim_products!$A$2:$A$21,0)),"单位不一致","")</f>
        <v/>
      </c>
      <c r="U479" s="2" t="str">
        <f>IF(OR(ROUND(raw_order_lines!J479*100,0)&lt;ROUND(INDEX(dim_products!$F$2:$F$21,MATCH($E479,dim_products!$A$2:$A$21,0))*100,0),ROUND(raw_order_lines!J479*100,0)&gt;ROUND(INDEX(dim_products!$G$2:$G$21,MATCH($E479,dim_products!$A$2:$A$21,0))*100,0)),"单价越界","")</f>
        <v/>
      </c>
      <c r="V479" s="2" t="str">
        <f t="shared" si="22"/>
        <v/>
      </c>
      <c r="W479" s="2" t="str">
        <f t="shared" si="23"/>
        <v>通过</v>
      </c>
    </row>
    <row r="480" spans="1:23" ht="15">
      <c r="A480" s="2" t="str">
        <f>raw_order_lines!A480</f>
        <v>SIM-20260915-C005</v>
      </c>
      <c r="B480" s="2">
        <f>raw_order_lines!B480</f>
        <v>2</v>
      </c>
      <c r="C480" s="2" t="str">
        <f>raw_order_lines!C480</f>
        <v>C005</v>
      </c>
      <c r="D480" s="3">
        <f>raw_order_lines!D480</f>
        <v>46280</v>
      </c>
      <c r="E480" s="2" t="str">
        <f>raw_order_lines!E480</f>
        <v>P014</v>
      </c>
      <c r="F480" s="2" t="str">
        <f>raw_order_lines!F480</f>
        <v>公斤</v>
      </c>
      <c r="G480" s="4">
        <f>raw_order_lines!G480</f>
        <v>8.4</v>
      </c>
      <c r="H480" s="4">
        <f>raw_order_lines!H480</f>
        <v>8.4</v>
      </c>
      <c r="I480" s="4">
        <f>raw_order_lines!I480</f>
        <v>0</v>
      </c>
      <c r="J480" s="5">
        <f>raw_order_lines!J480</f>
        <v>5</v>
      </c>
      <c r="K480" s="2" t="str">
        <f>raw_order_lines!K480</f>
        <v>正常交付</v>
      </c>
      <c r="L480" s="2" t="str">
        <f>raw_order_lines!L480</f>
        <v>true</v>
      </c>
      <c r="M480" s="2" t="str">
        <f>INDEX(dim_products!$B$2:$B$21,MATCH($E480,dim_products!$A$2:$A$21,0))</f>
        <v>丝瓜</v>
      </c>
      <c r="N480" s="2" t="str">
        <f>INDEX(dim_products!$C$2:$C$21,MATCH($E480,dim_products!$A$2:$A$21,0))</f>
        <v>散装鲜菜</v>
      </c>
      <c r="O480" s="2" t="str">
        <f>INDEX(dim_customers!$B$2:$B$7,MATCH($C480,dim_customers!$A$2:$A$7,0))</f>
        <v>模拟_青禾小学食堂</v>
      </c>
      <c r="P480" s="6">
        <f>INT((ROUND(raw_order_lines!H480*10,0)*ROUND(raw_order_lines!J480*100,0)+5)/10)/100</f>
        <v>42</v>
      </c>
      <c r="Q480" s="6">
        <f>INT((ROUND(raw_order_lines!I480*10,0)*ROUND(raw_order_lines!J480*100,0)+5)/10)/100</f>
        <v>0</v>
      </c>
      <c r="R480" s="6">
        <f t="shared" si="21"/>
        <v>42</v>
      </c>
      <c r="S480" s="2" t="str">
        <f>IF(OR(ROUND(raw_order_lines!I480*10,0)&gt;ROUND(raw_order_lines!H480*10,0),ROUND(raw_order_lines!H480*10,0)&gt;ROUND(raw_order_lines!G480*10,0),ROUND(raw_order_lines!G480*10,0)&lt;=0),"数量关系异常","")</f>
        <v/>
      </c>
      <c r="T480" s="2" t="str">
        <f>IF($F480&lt;&gt;INDEX(dim_products!$D$2:$D$21,MATCH($E480,dim_products!$A$2:$A$21,0)),"单位不一致","")</f>
        <v/>
      </c>
      <c r="U480" s="2" t="str">
        <f>IF(OR(ROUND(raw_order_lines!J480*100,0)&lt;ROUND(INDEX(dim_products!$F$2:$F$21,MATCH($E480,dim_products!$A$2:$A$21,0))*100,0),ROUND(raw_order_lines!J480*100,0)&gt;ROUND(INDEX(dim_products!$G$2:$G$21,MATCH($E480,dim_products!$A$2:$A$21,0))*100,0)),"单价越界","")</f>
        <v/>
      </c>
      <c r="V480" s="2" t="str">
        <f t="shared" si="22"/>
        <v/>
      </c>
      <c r="W480" s="2" t="str">
        <f t="shared" si="23"/>
        <v>通过</v>
      </c>
    </row>
    <row r="481" spans="1:23" ht="15">
      <c r="A481" s="2" t="str">
        <f>raw_order_lines!A481</f>
        <v>SIM-20260915-C005</v>
      </c>
      <c r="B481" s="2">
        <f>raw_order_lines!B481</f>
        <v>3</v>
      </c>
      <c r="C481" s="2" t="str">
        <f>raw_order_lines!C481</f>
        <v>C005</v>
      </c>
      <c r="D481" s="3">
        <f>raw_order_lines!D481</f>
        <v>46280</v>
      </c>
      <c r="E481" s="2" t="str">
        <f>raw_order_lines!E481</f>
        <v>P006</v>
      </c>
      <c r="F481" s="2" t="str">
        <f>raw_order_lines!F481</f>
        <v>公斤</v>
      </c>
      <c r="G481" s="4">
        <f>raw_order_lines!G481</f>
        <v>15.8</v>
      </c>
      <c r="H481" s="4">
        <f>raw_order_lines!H481</f>
        <v>15.8</v>
      </c>
      <c r="I481" s="4">
        <f>raw_order_lines!I481</f>
        <v>0</v>
      </c>
      <c r="J481" s="5">
        <f>raw_order_lines!J481</f>
        <v>4.8</v>
      </c>
      <c r="K481" s="2" t="str">
        <f>raw_order_lines!K481</f>
        <v>正常交付</v>
      </c>
      <c r="L481" s="2" t="str">
        <f>raw_order_lines!L481</f>
        <v>true</v>
      </c>
      <c r="M481" s="2" t="str">
        <f>INDEX(dim_products!$B$2:$B$21,MATCH($E481,dim_products!$A$2:$A$21,0))</f>
        <v>茄子</v>
      </c>
      <c r="N481" s="2" t="str">
        <f>INDEX(dim_products!$C$2:$C$21,MATCH($E481,dim_products!$A$2:$A$21,0))</f>
        <v>散装鲜菜</v>
      </c>
      <c r="O481" s="2" t="str">
        <f>INDEX(dim_customers!$B$2:$B$7,MATCH($C481,dim_customers!$A$2:$A$7,0))</f>
        <v>模拟_青禾小学食堂</v>
      </c>
      <c r="P481" s="6">
        <f>INT((ROUND(raw_order_lines!H481*10,0)*ROUND(raw_order_lines!J481*100,0)+5)/10)/100</f>
        <v>75.84</v>
      </c>
      <c r="Q481" s="6">
        <f>INT((ROUND(raw_order_lines!I481*10,0)*ROUND(raw_order_lines!J481*100,0)+5)/10)/100</f>
        <v>0</v>
      </c>
      <c r="R481" s="6">
        <f t="shared" si="21"/>
        <v>75.84</v>
      </c>
      <c r="S481" s="2" t="str">
        <f>IF(OR(ROUND(raw_order_lines!I481*10,0)&gt;ROUND(raw_order_lines!H481*10,0),ROUND(raw_order_lines!H481*10,0)&gt;ROUND(raw_order_lines!G481*10,0),ROUND(raw_order_lines!G481*10,0)&lt;=0),"数量关系异常","")</f>
        <v/>
      </c>
      <c r="T481" s="2" t="str">
        <f>IF($F481&lt;&gt;INDEX(dim_products!$D$2:$D$21,MATCH($E481,dim_products!$A$2:$A$21,0)),"单位不一致","")</f>
        <v/>
      </c>
      <c r="U481" s="2" t="str">
        <f>IF(OR(ROUND(raw_order_lines!J481*100,0)&lt;ROUND(INDEX(dim_products!$F$2:$F$21,MATCH($E481,dim_products!$A$2:$A$21,0))*100,0),ROUND(raw_order_lines!J481*100,0)&gt;ROUND(INDEX(dim_products!$G$2:$G$21,MATCH($E481,dim_products!$A$2:$A$21,0))*100,0)),"单价越界","")</f>
        <v/>
      </c>
      <c r="V481" s="2" t="str">
        <f t="shared" si="22"/>
        <v/>
      </c>
      <c r="W481" s="2" t="str">
        <f t="shared" si="23"/>
        <v>通过</v>
      </c>
    </row>
    <row r="482" spans="1:23" ht="15">
      <c r="A482" s="2" t="str">
        <f>raw_order_lines!A482</f>
        <v>SIM-20260915-C005</v>
      </c>
      <c r="B482" s="2">
        <f>raw_order_lines!B482</f>
        <v>4</v>
      </c>
      <c r="C482" s="2" t="str">
        <f>raw_order_lines!C482</f>
        <v>C005</v>
      </c>
      <c r="D482" s="3">
        <f>raw_order_lines!D482</f>
        <v>46280</v>
      </c>
      <c r="E482" s="2" t="str">
        <f>raw_order_lines!E482</f>
        <v>P001</v>
      </c>
      <c r="F482" s="2" t="str">
        <f>raw_order_lines!F482</f>
        <v>公斤</v>
      </c>
      <c r="G482" s="4">
        <f>raw_order_lines!G482</f>
        <v>7.4</v>
      </c>
      <c r="H482" s="4">
        <f>raw_order_lines!H482</f>
        <v>7.4</v>
      </c>
      <c r="I482" s="4">
        <f>raw_order_lines!I482</f>
        <v>0</v>
      </c>
      <c r="J482" s="5">
        <f>raw_order_lines!J482</f>
        <v>3.4</v>
      </c>
      <c r="K482" s="2" t="str">
        <f>raw_order_lines!K482</f>
        <v>正常交付</v>
      </c>
      <c r="L482" s="2" t="str">
        <f>raw_order_lines!L482</f>
        <v>true</v>
      </c>
      <c r="M482" s="2" t="str">
        <f>INDEX(dim_products!$B$2:$B$21,MATCH($E482,dim_products!$A$2:$A$21,0))</f>
        <v>土豆</v>
      </c>
      <c r="N482" s="2" t="str">
        <f>INDEX(dim_products!$C$2:$C$21,MATCH($E482,dim_products!$A$2:$A$21,0))</f>
        <v>散装鲜菜</v>
      </c>
      <c r="O482" s="2" t="str">
        <f>INDEX(dim_customers!$B$2:$B$7,MATCH($C482,dim_customers!$A$2:$A$7,0))</f>
        <v>模拟_青禾小学食堂</v>
      </c>
      <c r="P482" s="6">
        <f>INT((ROUND(raw_order_lines!H482*10,0)*ROUND(raw_order_lines!J482*100,0)+5)/10)/100</f>
        <v>25.16</v>
      </c>
      <c r="Q482" s="6">
        <f>INT((ROUND(raw_order_lines!I482*10,0)*ROUND(raw_order_lines!J482*100,0)+5)/10)/100</f>
        <v>0</v>
      </c>
      <c r="R482" s="6">
        <f t="shared" si="21"/>
        <v>25.16</v>
      </c>
      <c r="S482" s="2" t="str">
        <f>IF(OR(ROUND(raw_order_lines!I482*10,0)&gt;ROUND(raw_order_lines!H482*10,0),ROUND(raw_order_lines!H482*10,0)&gt;ROUND(raw_order_lines!G482*10,0),ROUND(raw_order_lines!G482*10,0)&lt;=0),"数量关系异常","")</f>
        <v/>
      </c>
      <c r="T482" s="2" t="str">
        <f>IF($F482&lt;&gt;INDEX(dim_products!$D$2:$D$21,MATCH($E482,dim_products!$A$2:$A$21,0)),"单位不一致","")</f>
        <v/>
      </c>
      <c r="U482" s="2" t="str">
        <f>IF(OR(ROUND(raw_order_lines!J482*100,0)&lt;ROUND(INDEX(dim_products!$F$2:$F$21,MATCH($E482,dim_products!$A$2:$A$21,0))*100,0),ROUND(raw_order_lines!J482*100,0)&gt;ROUND(INDEX(dim_products!$G$2:$G$21,MATCH($E482,dim_products!$A$2:$A$21,0))*100,0)),"单价越界","")</f>
        <v/>
      </c>
      <c r="V482" s="2" t="str">
        <f t="shared" si="22"/>
        <v/>
      </c>
      <c r="W482" s="2" t="str">
        <f t="shared" si="23"/>
        <v>通过</v>
      </c>
    </row>
    <row r="483" spans="1:23" ht="15">
      <c r="A483" s="2" t="str">
        <f>raw_order_lines!A483</f>
        <v>SIM-20260915-C005</v>
      </c>
      <c r="B483" s="2">
        <f>raw_order_lines!B483</f>
        <v>5</v>
      </c>
      <c r="C483" s="2" t="str">
        <f>raw_order_lines!C483</f>
        <v>C005</v>
      </c>
      <c r="D483" s="3">
        <f>raw_order_lines!D483</f>
        <v>46280</v>
      </c>
      <c r="E483" s="2" t="str">
        <f>raw_order_lines!E483</f>
        <v>P004</v>
      </c>
      <c r="F483" s="2" t="str">
        <f>raw_order_lines!F483</f>
        <v>公斤</v>
      </c>
      <c r="G483" s="4">
        <f>raw_order_lines!G483</f>
        <v>11.6</v>
      </c>
      <c r="H483" s="4">
        <f>raw_order_lines!H483</f>
        <v>11.6</v>
      </c>
      <c r="I483" s="4">
        <f>raw_order_lines!I483</f>
        <v>0</v>
      </c>
      <c r="J483" s="5">
        <f>raw_order_lines!J483</f>
        <v>2.6</v>
      </c>
      <c r="K483" s="2" t="str">
        <f>raw_order_lines!K483</f>
        <v>正常交付</v>
      </c>
      <c r="L483" s="2" t="str">
        <f>raw_order_lines!L483</f>
        <v>true</v>
      </c>
      <c r="M483" s="2" t="str">
        <f>INDEX(dim_products!$B$2:$B$21,MATCH($E483,dim_products!$A$2:$A$21,0))</f>
        <v>冬瓜</v>
      </c>
      <c r="N483" s="2" t="str">
        <f>INDEX(dim_products!$C$2:$C$21,MATCH($E483,dim_products!$A$2:$A$21,0))</f>
        <v>散装鲜菜</v>
      </c>
      <c r="O483" s="2" t="str">
        <f>INDEX(dim_customers!$B$2:$B$7,MATCH($C483,dim_customers!$A$2:$A$7,0))</f>
        <v>模拟_青禾小学食堂</v>
      </c>
      <c r="P483" s="6">
        <f>INT((ROUND(raw_order_lines!H483*10,0)*ROUND(raw_order_lines!J483*100,0)+5)/10)/100</f>
        <v>30.16</v>
      </c>
      <c r="Q483" s="6">
        <f>INT((ROUND(raw_order_lines!I483*10,0)*ROUND(raw_order_lines!J483*100,0)+5)/10)/100</f>
        <v>0</v>
      </c>
      <c r="R483" s="6">
        <f t="shared" si="21"/>
        <v>30.16</v>
      </c>
      <c r="S483" s="2" t="str">
        <f>IF(OR(ROUND(raw_order_lines!I483*10,0)&gt;ROUND(raw_order_lines!H483*10,0),ROUND(raw_order_lines!H483*10,0)&gt;ROUND(raw_order_lines!G483*10,0),ROUND(raw_order_lines!G483*10,0)&lt;=0),"数量关系异常","")</f>
        <v/>
      </c>
      <c r="T483" s="2" t="str">
        <f>IF($F483&lt;&gt;INDEX(dim_products!$D$2:$D$21,MATCH($E483,dim_products!$A$2:$A$21,0)),"单位不一致","")</f>
        <v/>
      </c>
      <c r="U483" s="2" t="str">
        <f>IF(OR(ROUND(raw_order_lines!J483*100,0)&lt;ROUND(INDEX(dim_products!$F$2:$F$21,MATCH($E483,dim_products!$A$2:$A$21,0))*100,0),ROUND(raw_order_lines!J483*100,0)&gt;ROUND(INDEX(dim_products!$G$2:$G$21,MATCH($E483,dim_products!$A$2:$A$21,0))*100,0)),"单价越界","")</f>
        <v/>
      </c>
      <c r="V483" s="2" t="str">
        <f t="shared" si="22"/>
        <v/>
      </c>
      <c r="W483" s="2" t="str">
        <f t="shared" si="23"/>
        <v>通过</v>
      </c>
    </row>
    <row r="484" spans="1:23" ht="15">
      <c r="A484" s="2" t="str">
        <f>raw_order_lines!A484</f>
        <v>SIM-20260915-C005</v>
      </c>
      <c r="B484" s="2">
        <f>raw_order_lines!B484</f>
        <v>6</v>
      </c>
      <c r="C484" s="2" t="str">
        <f>raw_order_lines!C484</f>
        <v>C005</v>
      </c>
      <c r="D484" s="3">
        <f>raw_order_lines!D484</f>
        <v>46280</v>
      </c>
      <c r="E484" s="2" t="str">
        <f>raw_order_lines!E484</f>
        <v>P002</v>
      </c>
      <c r="F484" s="2" t="str">
        <f>raw_order_lines!F484</f>
        <v>公斤</v>
      </c>
      <c r="G484" s="4">
        <f>raw_order_lines!G484</f>
        <v>13.7</v>
      </c>
      <c r="H484" s="4">
        <f>raw_order_lines!H484</f>
        <v>13.7</v>
      </c>
      <c r="I484" s="4">
        <f>raw_order_lines!I484</f>
        <v>0</v>
      </c>
      <c r="J484" s="5">
        <f>raw_order_lines!J484</f>
        <v>2.7</v>
      </c>
      <c r="K484" s="2" t="str">
        <f>raw_order_lines!K484</f>
        <v>正常交付</v>
      </c>
      <c r="L484" s="2" t="str">
        <f>raw_order_lines!L484</f>
        <v>true</v>
      </c>
      <c r="M484" s="2" t="str">
        <f>INDEX(dim_products!$B$2:$B$21,MATCH($E484,dim_products!$A$2:$A$21,0))</f>
        <v>白萝卜</v>
      </c>
      <c r="N484" s="2" t="str">
        <f>INDEX(dim_products!$C$2:$C$21,MATCH($E484,dim_products!$A$2:$A$21,0))</f>
        <v>散装鲜菜</v>
      </c>
      <c r="O484" s="2" t="str">
        <f>INDEX(dim_customers!$B$2:$B$7,MATCH($C484,dim_customers!$A$2:$A$7,0))</f>
        <v>模拟_青禾小学食堂</v>
      </c>
      <c r="P484" s="6">
        <f>INT((ROUND(raw_order_lines!H484*10,0)*ROUND(raw_order_lines!J484*100,0)+5)/10)/100</f>
        <v>36.99</v>
      </c>
      <c r="Q484" s="6">
        <f>INT((ROUND(raw_order_lines!I484*10,0)*ROUND(raw_order_lines!J484*100,0)+5)/10)/100</f>
        <v>0</v>
      </c>
      <c r="R484" s="6">
        <f t="shared" si="21"/>
        <v>36.99</v>
      </c>
      <c r="S484" s="2" t="str">
        <f>IF(OR(ROUND(raw_order_lines!I484*10,0)&gt;ROUND(raw_order_lines!H484*10,0),ROUND(raw_order_lines!H484*10,0)&gt;ROUND(raw_order_lines!G484*10,0),ROUND(raw_order_lines!G484*10,0)&lt;=0),"数量关系异常","")</f>
        <v/>
      </c>
      <c r="T484" s="2" t="str">
        <f>IF($F484&lt;&gt;INDEX(dim_products!$D$2:$D$21,MATCH($E484,dim_products!$A$2:$A$21,0)),"单位不一致","")</f>
        <v/>
      </c>
      <c r="U484" s="2" t="str">
        <f>IF(OR(ROUND(raw_order_lines!J484*100,0)&lt;ROUND(INDEX(dim_products!$F$2:$F$21,MATCH($E484,dim_products!$A$2:$A$21,0))*100,0),ROUND(raw_order_lines!J484*100,0)&gt;ROUND(INDEX(dim_products!$G$2:$G$21,MATCH($E484,dim_products!$A$2:$A$21,0))*100,0)),"单价越界","")</f>
        <v/>
      </c>
      <c r="V484" s="2" t="str">
        <f t="shared" si="22"/>
        <v/>
      </c>
      <c r="W484" s="2" t="str">
        <f t="shared" si="23"/>
        <v>通过</v>
      </c>
    </row>
    <row r="485" spans="1:23" ht="15">
      <c r="A485" s="2" t="str">
        <f>raw_order_lines!A485</f>
        <v>SIM-20260915-C005</v>
      </c>
      <c r="B485" s="2">
        <f>raw_order_lines!B485</f>
        <v>7</v>
      </c>
      <c r="C485" s="2" t="str">
        <f>raw_order_lines!C485</f>
        <v>C005</v>
      </c>
      <c r="D485" s="3">
        <f>raw_order_lines!D485</f>
        <v>46280</v>
      </c>
      <c r="E485" s="2" t="str">
        <f>raw_order_lines!E485</f>
        <v>P016</v>
      </c>
      <c r="F485" s="2" t="str">
        <f>raw_order_lines!F485</f>
        <v>公斤</v>
      </c>
      <c r="G485" s="4">
        <f>raw_order_lines!G485</f>
        <v>12</v>
      </c>
      <c r="H485" s="4">
        <f>raw_order_lines!H485</f>
        <v>12</v>
      </c>
      <c r="I485" s="4">
        <f>raw_order_lines!I485</f>
        <v>0</v>
      </c>
      <c r="J485" s="5">
        <f>raw_order_lines!J485</f>
        <v>10.199999999999999</v>
      </c>
      <c r="K485" s="2" t="str">
        <f>raw_order_lines!K485</f>
        <v>正常交付</v>
      </c>
      <c r="L485" s="2" t="str">
        <f>raw_order_lines!L485</f>
        <v>true</v>
      </c>
      <c r="M485" s="2" t="str">
        <f>INDEX(dim_products!$B$2:$B$21,MATCH($E485,dim_products!$A$2:$A$21,0))</f>
        <v>鸡蛋</v>
      </c>
      <c r="N485" s="2" t="str">
        <f>INDEX(dim_products!$C$2:$C$21,MATCH($E485,dim_products!$A$2:$A$21,0))</f>
        <v>普通鲜鸡蛋按净重</v>
      </c>
      <c r="O485" s="2" t="str">
        <f>INDEX(dim_customers!$B$2:$B$7,MATCH($C485,dim_customers!$A$2:$A$7,0))</f>
        <v>模拟_青禾小学食堂</v>
      </c>
      <c r="P485" s="6">
        <f>INT((ROUND(raw_order_lines!H485*10,0)*ROUND(raw_order_lines!J485*100,0)+5)/10)/100</f>
        <v>122.4</v>
      </c>
      <c r="Q485" s="6">
        <f>INT((ROUND(raw_order_lines!I485*10,0)*ROUND(raw_order_lines!J485*100,0)+5)/10)/100</f>
        <v>0</v>
      </c>
      <c r="R485" s="6">
        <f t="shared" si="21"/>
        <v>122.4</v>
      </c>
      <c r="S485" s="2" t="str">
        <f>IF(OR(ROUND(raw_order_lines!I485*10,0)&gt;ROUND(raw_order_lines!H485*10,0),ROUND(raw_order_lines!H485*10,0)&gt;ROUND(raw_order_lines!G485*10,0),ROUND(raw_order_lines!G485*10,0)&lt;=0),"数量关系异常","")</f>
        <v/>
      </c>
      <c r="T485" s="2" t="str">
        <f>IF($F485&lt;&gt;INDEX(dim_products!$D$2:$D$21,MATCH($E485,dim_products!$A$2:$A$21,0)),"单位不一致","")</f>
        <v/>
      </c>
      <c r="U485" s="2" t="str">
        <f>IF(OR(ROUND(raw_order_lines!J485*100,0)&lt;ROUND(INDEX(dim_products!$F$2:$F$21,MATCH($E485,dim_products!$A$2:$A$21,0))*100,0),ROUND(raw_order_lines!J485*100,0)&gt;ROUND(INDEX(dim_products!$G$2:$G$21,MATCH($E485,dim_products!$A$2:$A$21,0))*100,0)),"单价越界","")</f>
        <v/>
      </c>
      <c r="V485" s="2" t="str">
        <f t="shared" si="22"/>
        <v/>
      </c>
      <c r="W485" s="2" t="str">
        <f t="shared" si="23"/>
        <v>通过</v>
      </c>
    </row>
    <row r="486" spans="1:23" ht="15">
      <c r="A486" s="2" t="str">
        <f>raw_order_lines!A486</f>
        <v>SIM-20260915-C005</v>
      </c>
      <c r="B486" s="2">
        <f>raw_order_lines!B486</f>
        <v>8</v>
      </c>
      <c r="C486" s="2" t="str">
        <f>raw_order_lines!C486</f>
        <v>C005</v>
      </c>
      <c r="D486" s="3">
        <f>raw_order_lines!D486</f>
        <v>46280</v>
      </c>
      <c r="E486" s="2" t="str">
        <f>raw_order_lines!E486</f>
        <v>P017</v>
      </c>
      <c r="F486" s="2" t="str">
        <f>raw_order_lines!F486</f>
        <v>袋</v>
      </c>
      <c r="G486" s="4">
        <f>raw_order_lines!G486</f>
        <v>6</v>
      </c>
      <c r="H486" s="4">
        <f>raw_order_lines!H486</f>
        <v>6</v>
      </c>
      <c r="I486" s="4">
        <f>raw_order_lines!I486</f>
        <v>0</v>
      </c>
      <c r="J486" s="5">
        <f>raw_order_lines!J486</f>
        <v>119</v>
      </c>
      <c r="K486" s="2" t="str">
        <f>raw_order_lines!K486</f>
        <v>正常交付</v>
      </c>
      <c r="L486" s="2" t="str">
        <f>raw_order_lines!L486</f>
        <v>true</v>
      </c>
      <c r="M486" s="2" t="str">
        <f>INDEX(dim_products!$B$2:$B$21,MATCH($E486,dim_products!$A$2:$A$21,0))</f>
        <v>籼米</v>
      </c>
      <c r="N486" s="2" t="str">
        <f>INDEX(dim_products!$C$2:$C$21,MATCH($E486,dim_products!$A$2:$A$21,0))</f>
        <v>25公斤/袋普通籼米</v>
      </c>
      <c r="O486" s="2" t="str">
        <f>INDEX(dim_customers!$B$2:$B$7,MATCH($C486,dim_customers!$A$2:$A$7,0))</f>
        <v>模拟_青禾小学食堂</v>
      </c>
      <c r="P486" s="6">
        <f>INT((ROUND(raw_order_lines!H486*10,0)*ROUND(raw_order_lines!J486*100,0)+5)/10)/100</f>
        <v>714</v>
      </c>
      <c r="Q486" s="6">
        <f>INT((ROUND(raw_order_lines!I486*10,0)*ROUND(raw_order_lines!J486*100,0)+5)/10)/100</f>
        <v>0</v>
      </c>
      <c r="R486" s="6">
        <f t="shared" si="21"/>
        <v>714</v>
      </c>
      <c r="S486" s="2" t="str">
        <f>IF(OR(ROUND(raw_order_lines!I486*10,0)&gt;ROUND(raw_order_lines!H486*10,0),ROUND(raw_order_lines!H486*10,0)&gt;ROUND(raw_order_lines!G486*10,0),ROUND(raw_order_lines!G486*10,0)&lt;=0),"数量关系异常","")</f>
        <v/>
      </c>
      <c r="T486" s="2" t="str">
        <f>IF($F486&lt;&gt;INDEX(dim_products!$D$2:$D$21,MATCH($E486,dim_products!$A$2:$A$21,0)),"单位不一致","")</f>
        <v/>
      </c>
      <c r="U486" s="2" t="str">
        <f>IF(OR(ROUND(raw_order_lines!J486*100,0)&lt;ROUND(INDEX(dim_products!$F$2:$F$21,MATCH($E486,dim_products!$A$2:$A$21,0))*100,0),ROUND(raw_order_lines!J486*100,0)&gt;ROUND(INDEX(dim_products!$G$2:$G$21,MATCH($E486,dim_products!$A$2:$A$21,0))*100,0)),"单价越界","")</f>
        <v/>
      </c>
      <c r="V486" s="2" t="str">
        <f t="shared" si="22"/>
        <v/>
      </c>
      <c r="W486" s="2" t="str">
        <f t="shared" si="23"/>
        <v>通过</v>
      </c>
    </row>
    <row r="487" spans="1:23" ht="15">
      <c r="A487" s="2" t="str">
        <f>raw_order_lines!A487</f>
        <v>SIM-20260915-C005</v>
      </c>
      <c r="B487" s="2">
        <f>raw_order_lines!B487</f>
        <v>9</v>
      </c>
      <c r="C487" s="2" t="str">
        <f>raw_order_lines!C487</f>
        <v>C005</v>
      </c>
      <c r="D487" s="3">
        <f>raw_order_lines!D487</f>
        <v>46280</v>
      </c>
      <c r="E487" s="2" t="str">
        <f>raw_order_lines!E487</f>
        <v>P020</v>
      </c>
      <c r="F487" s="2" t="str">
        <f>raw_order_lines!F487</f>
        <v>桶</v>
      </c>
      <c r="G487" s="4">
        <f>raw_order_lines!G487</f>
        <v>2</v>
      </c>
      <c r="H487" s="4">
        <f>raw_order_lines!H487</f>
        <v>2</v>
      </c>
      <c r="I487" s="4">
        <f>raw_order_lines!I487</f>
        <v>0</v>
      </c>
      <c r="J487" s="5">
        <f>raw_order_lines!J487</f>
        <v>55</v>
      </c>
      <c r="K487" s="2" t="str">
        <f>raw_order_lines!K487</f>
        <v>正常交付</v>
      </c>
      <c r="L487" s="2" t="str">
        <f>raw_order_lines!L487</f>
        <v>true</v>
      </c>
      <c r="M487" s="2" t="str">
        <f>INDEX(dim_products!$B$2:$B$21,MATCH($E487,dim_products!$A$2:$A$21,0))</f>
        <v>大豆油</v>
      </c>
      <c r="N487" s="2" t="str">
        <f>INDEX(dim_products!$C$2:$C$21,MATCH($E487,dim_products!$A$2:$A$21,0))</f>
        <v>5升/桶普通大豆油</v>
      </c>
      <c r="O487" s="2" t="str">
        <f>INDEX(dim_customers!$B$2:$B$7,MATCH($C487,dim_customers!$A$2:$A$7,0))</f>
        <v>模拟_青禾小学食堂</v>
      </c>
      <c r="P487" s="6">
        <f>INT((ROUND(raw_order_lines!H487*10,0)*ROUND(raw_order_lines!J487*100,0)+5)/10)/100</f>
        <v>110</v>
      </c>
      <c r="Q487" s="6">
        <f>INT((ROUND(raw_order_lines!I487*10,0)*ROUND(raw_order_lines!J487*100,0)+5)/10)/100</f>
        <v>0</v>
      </c>
      <c r="R487" s="6">
        <f t="shared" si="21"/>
        <v>110</v>
      </c>
      <c r="S487" s="2" t="str">
        <f>IF(OR(ROUND(raw_order_lines!I487*10,0)&gt;ROUND(raw_order_lines!H487*10,0),ROUND(raw_order_lines!H487*10,0)&gt;ROUND(raw_order_lines!G487*10,0),ROUND(raw_order_lines!G487*10,0)&lt;=0),"数量关系异常","")</f>
        <v/>
      </c>
      <c r="T487" s="2" t="str">
        <f>IF($F487&lt;&gt;INDEX(dim_products!$D$2:$D$21,MATCH($E487,dim_products!$A$2:$A$21,0)),"单位不一致","")</f>
        <v/>
      </c>
      <c r="U487" s="2" t="str">
        <f>IF(OR(ROUND(raw_order_lines!J487*100,0)&lt;ROUND(INDEX(dim_products!$F$2:$F$21,MATCH($E487,dim_products!$A$2:$A$21,0))*100,0),ROUND(raw_order_lines!J487*100,0)&gt;ROUND(INDEX(dim_products!$G$2:$G$21,MATCH($E487,dim_products!$A$2:$A$21,0))*100,0)),"单价越界","")</f>
        <v/>
      </c>
      <c r="V487" s="2" t="str">
        <f t="shared" si="22"/>
        <v/>
      </c>
      <c r="W487" s="2" t="str">
        <f t="shared" si="23"/>
        <v>通过</v>
      </c>
    </row>
    <row r="488" spans="1:23" ht="15">
      <c r="A488" s="2" t="str">
        <f>raw_order_lines!A488</f>
        <v>SIM-20260915-C006</v>
      </c>
      <c r="B488" s="2">
        <f>raw_order_lines!B488</f>
        <v>1</v>
      </c>
      <c r="C488" s="2" t="str">
        <f>raw_order_lines!C488</f>
        <v>C006</v>
      </c>
      <c r="D488" s="3">
        <f>raw_order_lines!D488</f>
        <v>46280</v>
      </c>
      <c r="E488" s="2" t="str">
        <f>raw_order_lines!E488</f>
        <v>P011</v>
      </c>
      <c r="F488" s="2" t="str">
        <f>raw_order_lines!F488</f>
        <v>公斤</v>
      </c>
      <c r="G488" s="4">
        <f>raw_order_lines!G488</f>
        <v>9.5</v>
      </c>
      <c r="H488" s="4">
        <f>raw_order_lines!H488</f>
        <v>9.5</v>
      </c>
      <c r="I488" s="4">
        <f>raw_order_lines!I488</f>
        <v>0</v>
      </c>
      <c r="J488" s="5">
        <f>raw_order_lines!J488</f>
        <v>4.3</v>
      </c>
      <c r="K488" s="2" t="str">
        <f>raw_order_lines!K488</f>
        <v>正常交付</v>
      </c>
      <c r="L488" s="2" t="str">
        <f>raw_order_lines!L488</f>
        <v>true</v>
      </c>
      <c r="M488" s="2" t="str">
        <f>INDEX(dim_products!$B$2:$B$21,MATCH($E488,dim_products!$A$2:$A$21,0))</f>
        <v>红薯叶</v>
      </c>
      <c r="N488" s="2" t="str">
        <f>INDEX(dim_products!$C$2:$C$21,MATCH($E488,dim_products!$A$2:$A$21,0))</f>
        <v>散装鲜菜</v>
      </c>
      <c r="O488" s="2" t="str">
        <f>INDEX(dim_customers!$B$2:$B$7,MATCH($C488,dim_customers!$A$2:$A$7,0))</f>
        <v>模拟_溪桥医院食堂</v>
      </c>
      <c r="P488" s="6">
        <f>INT((ROUND(raw_order_lines!H488*10,0)*ROUND(raw_order_lines!J488*100,0)+5)/10)/100</f>
        <v>40.85</v>
      </c>
      <c r="Q488" s="6">
        <f>INT((ROUND(raw_order_lines!I488*10,0)*ROUND(raw_order_lines!J488*100,0)+5)/10)/100</f>
        <v>0</v>
      </c>
      <c r="R488" s="6">
        <f t="shared" si="21"/>
        <v>40.85</v>
      </c>
      <c r="S488" s="2" t="str">
        <f>IF(OR(ROUND(raw_order_lines!I488*10,0)&gt;ROUND(raw_order_lines!H488*10,0),ROUND(raw_order_lines!H488*10,0)&gt;ROUND(raw_order_lines!G488*10,0),ROUND(raw_order_lines!G488*10,0)&lt;=0),"数量关系异常","")</f>
        <v/>
      </c>
      <c r="T488" s="2" t="str">
        <f>IF($F488&lt;&gt;INDEX(dim_products!$D$2:$D$21,MATCH($E488,dim_products!$A$2:$A$21,0)),"单位不一致","")</f>
        <v/>
      </c>
      <c r="U488" s="2" t="str">
        <f>IF(OR(ROUND(raw_order_lines!J488*100,0)&lt;ROUND(INDEX(dim_products!$F$2:$F$21,MATCH($E488,dim_products!$A$2:$A$21,0))*100,0),ROUND(raw_order_lines!J488*100,0)&gt;ROUND(INDEX(dim_products!$G$2:$G$21,MATCH($E488,dim_products!$A$2:$A$21,0))*100,0)),"单价越界","")</f>
        <v/>
      </c>
      <c r="V488" s="2" t="str">
        <f t="shared" si="22"/>
        <v/>
      </c>
      <c r="W488" s="2" t="str">
        <f t="shared" si="23"/>
        <v>通过</v>
      </c>
    </row>
    <row r="489" spans="1:23" ht="15">
      <c r="A489" s="2" t="str">
        <f>raw_order_lines!A489</f>
        <v>SIM-20260915-C006</v>
      </c>
      <c r="B489" s="2">
        <f>raw_order_lines!B489</f>
        <v>2</v>
      </c>
      <c r="C489" s="2" t="str">
        <f>raw_order_lines!C489</f>
        <v>C006</v>
      </c>
      <c r="D489" s="3">
        <f>raw_order_lines!D489</f>
        <v>46280</v>
      </c>
      <c r="E489" s="2" t="str">
        <f>raw_order_lines!E489</f>
        <v>P005</v>
      </c>
      <c r="F489" s="2" t="str">
        <f>raw_order_lines!F489</f>
        <v>公斤</v>
      </c>
      <c r="G489" s="4">
        <f>raw_order_lines!G489</f>
        <v>5.8</v>
      </c>
      <c r="H489" s="4">
        <f>raw_order_lines!H489</f>
        <v>5.8</v>
      </c>
      <c r="I489" s="4">
        <f>raw_order_lines!I489</f>
        <v>0</v>
      </c>
      <c r="J489" s="5">
        <f>raw_order_lines!J489</f>
        <v>3.2</v>
      </c>
      <c r="K489" s="2" t="str">
        <f>raw_order_lines!K489</f>
        <v>正常交付</v>
      </c>
      <c r="L489" s="2" t="str">
        <f>raw_order_lines!L489</f>
        <v>true</v>
      </c>
      <c r="M489" s="2" t="str">
        <f>INDEX(dim_products!$B$2:$B$21,MATCH($E489,dim_products!$A$2:$A$21,0))</f>
        <v>南瓜</v>
      </c>
      <c r="N489" s="2" t="str">
        <f>INDEX(dim_products!$C$2:$C$21,MATCH($E489,dim_products!$A$2:$A$21,0))</f>
        <v>散装鲜菜</v>
      </c>
      <c r="O489" s="2" t="str">
        <f>INDEX(dim_customers!$B$2:$B$7,MATCH($C489,dim_customers!$A$2:$A$7,0))</f>
        <v>模拟_溪桥医院食堂</v>
      </c>
      <c r="P489" s="6">
        <f>INT((ROUND(raw_order_lines!H489*10,0)*ROUND(raw_order_lines!J489*100,0)+5)/10)/100</f>
        <v>18.559999999999999</v>
      </c>
      <c r="Q489" s="6">
        <f>INT((ROUND(raw_order_lines!I489*10,0)*ROUND(raw_order_lines!J489*100,0)+5)/10)/100</f>
        <v>0</v>
      </c>
      <c r="R489" s="6">
        <f t="shared" si="21"/>
        <v>18.559999999999999</v>
      </c>
      <c r="S489" s="2" t="str">
        <f>IF(OR(ROUND(raw_order_lines!I489*10,0)&gt;ROUND(raw_order_lines!H489*10,0),ROUND(raw_order_lines!H489*10,0)&gt;ROUND(raw_order_lines!G489*10,0),ROUND(raw_order_lines!G489*10,0)&lt;=0),"数量关系异常","")</f>
        <v/>
      </c>
      <c r="T489" s="2" t="str">
        <f>IF($F489&lt;&gt;INDEX(dim_products!$D$2:$D$21,MATCH($E489,dim_products!$A$2:$A$21,0)),"单位不一致","")</f>
        <v/>
      </c>
      <c r="U489" s="2" t="str">
        <f>IF(OR(ROUND(raw_order_lines!J489*100,0)&lt;ROUND(INDEX(dim_products!$F$2:$F$21,MATCH($E489,dim_products!$A$2:$A$21,0))*100,0),ROUND(raw_order_lines!J489*100,0)&gt;ROUND(INDEX(dim_products!$G$2:$G$21,MATCH($E489,dim_products!$A$2:$A$21,0))*100,0)),"单价越界","")</f>
        <v/>
      </c>
      <c r="V489" s="2" t="str">
        <f t="shared" si="22"/>
        <v/>
      </c>
      <c r="W489" s="2" t="str">
        <f t="shared" si="23"/>
        <v>通过</v>
      </c>
    </row>
    <row r="490" spans="1:23" ht="15">
      <c r="A490" s="2" t="str">
        <f>raw_order_lines!A490</f>
        <v>SIM-20260915-C006</v>
      </c>
      <c r="B490" s="2">
        <f>raw_order_lines!B490</f>
        <v>3</v>
      </c>
      <c r="C490" s="2" t="str">
        <f>raw_order_lines!C490</f>
        <v>C006</v>
      </c>
      <c r="D490" s="3">
        <f>raw_order_lines!D490</f>
        <v>46280</v>
      </c>
      <c r="E490" s="2" t="str">
        <f>raw_order_lines!E490</f>
        <v>P014</v>
      </c>
      <c r="F490" s="2" t="str">
        <f>raw_order_lines!F490</f>
        <v>公斤</v>
      </c>
      <c r="G490" s="4">
        <f>raw_order_lines!G490</f>
        <v>8.8000000000000007</v>
      </c>
      <c r="H490" s="4">
        <f>raw_order_lines!H490</f>
        <v>8.8000000000000007</v>
      </c>
      <c r="I490" s="4">
        <f>raw_order_lines!I490</f>
        <v>0</v>
      </c>
      <c r="J490" s="5">
        <f>raw_order_lines!J490</f>
        <v>5</v>
      </c>
      <c r="K490" s="2" t="str">
        <f>raw_order_lines!K490</f>
        <v>正常交付</v>
      </c>
      <c r="L490" s="2" t="str">
        <f>raw_order_lines!L490</f>
        <v>true</v>
      </c>
      <c r="M490" s="2" t="str">
        <f>INDEX(dim_products!$B$2:$B$21,MATCH($E490,dim_products!$A$2:$A$21,0))</f>
        <v>丝瓜</v>
      </c>
      <c r="N490" s="2" t="str">
        <f>INDEX(dim_products!$C$2:$C$21,MATCH($E490,dim_products!$A$2:$A$21,0))</f>
        <v>散装鲜菜</v>
      </c>
      <c r="O490" s="2" t="str">
        <f>INDEX(dim_customers!$B$2:$B$7,MATCH($C490,dim_customers!$A$2:$A$7,0))</f>
        <v>模拟_溪桥医院食堂</v>
      </c>
      <c r="P490" s="6">
        <f>INT((ROUND(raw_order_lines!H490*10,0)*ROUND(raw_order_lines!J490*100,0)+5)/10)/100</f>
        <v>44</v>
      </c>
      <c r="Q490" s="6">
        <f>INT((ROUND(raw_order_lines!I490*10,0)*ROUND(raw_order_lines!J490*100,0)+5)/10)/100</f>
        <v>0</v>
      </c>
      <c r="R490" s="6">
        <f t="shared" si="21"/>
        <v>44</v>
      </c>
      <c r="S490" s="2" t="str">
        <f>IF(OR(ROUND(raw_order_lines!I490*10,0)&gt;ROUND(raw_order_lines!H490*10,0),ROUND(raw_order_lines!H490*10,0)&gt;ROUND(raw_order_lines!G490*10,0),ROUND(raw_order_lines!G490*10,0)&lt;=0),"数量关系异常","")</f>
        <v/>
      </c>
      <c r="T490" s="2" t="str">
        <f>IF($F490&lt;&gt;INDEX(dim_products!$D$2:$D$21,MATCH($E490,dim_products!$A$2:$A$21,0)),"单位不一致","")</f>
        <v/>
      </c>
      <c r="U490" s="2" t="str">
        <f>IF(OR(ROUND(raw_order_lines!J490*100,0)&lt;ROUND(INDEX(dim_products!$F$2:$F$21,MATCH($E490,dim_products!$A$2:$A$21,0))*100,0),ROUND(raw_order_lines!J490*100,0)&gt;ROUND(INDEX(dim_products!$G$2:$G$21,MATCH($E490,dim_products!$A$2:$A$21,0))*100,0)),"单价越界","")</f>
        <v/>
      </c>
      <c r="V490" s="2" t="str">
        <f t="shared" si="22"/>
        <v/>
      </c>
      <c r="W490" s="2" t="str">
        <f t="shared" si="23"/>
        <v>通过</v>
      </c>
    </row>
    <row r="491" spans="1:23" ht="15">
      <c r="A491" s="2" t="str">
        <f>raw_order_lines!A491</f>
        <v>SIM-20260915-C006</v>
      </c>
      <c r="B491" s="2">
        <f>raw_order_lines!B491</f>
        <v>4</v>
      </c>
      <c r="C491" s="2" t="str">
        <f>raw_order_lines!C491</f>
        <v>C006</v>
      </c>
      <c r="D491" s="3">
        <f>raw_order_lines!D491</f>
        <v>46280</v>
      </c>
      <c r="E491" s="2" t="str">
        <f>raw_order_lines!E491</f>
        <v>P013</v>
      </c>
      <c r="F491" s="2" t="str">
        <f>raw_order_lines!F491</f>
        <v>公斤</v>
      </c>
      <c r="G491" s="4">
        <f>raw_order_lines!G491</f>
        <v>5.8</v>
      </c>
      <c r="H491" s="4">
        <f>raw_order_lines!H491</f>
        <v>5.8</v>
      </c>
      <c r="I491" s="4">
        <f>raw_order_lines!I491</f>
        <v>0</v>
      </c>
      <c r="J491" s="5">
        <f>raw_order_lines!J491</f>
        <v>6</v>
      </c>
      <c r="K491" s="2" t="str">
        <f>raw_order_lines!K491</f>
        <v>正常交付</v>
      </c>
      <c r="L491" s="2" t="str">
        <f>raw_order_lines!L491</f>
        <v>true</v>
      </c>
      <c r="M491" s="2" t="str">
        <f>INDEX(dim_products!$B$2:$B$21,MATCH($E491,dim_products!$A$2:$A$21,0))</f>
        <v>豇豆</v>
      </c>
      <c r="N491" s="2" t="str">
        <f>INDEX(dim_products!$C$2:$C$21,MATCH($E491,dim_products!$A$2:$A$21,0))</f>
        <v>散装鲜菜</v>
      </c>
      <c r="O491" s="2" t="str">
        <f>INDEX(dim_customers!$B$2:$B$7,MATCH($C491,dim_customers!$A$2:$A$7,0))</f>
        <v>模拟_溪桥医院食堂</v>
      </c>
      <c r="P491" s="6">
        <f>INT((ROUND(raw_order_lines!H491*10,0)*ROUND(raw_order_lines!J491*100,0)+5)/10)/100</f>
        <v>34.799999999999997</v>
      </c>
      <c r="Q491" s="6">
        <f>INT((ROUND(raw_order_lines!I491*10,0)*ROUND(raw_order_lines!J491*100,0)+5)/10)/100</f>
        <v>0</v>
      </c>
      <c r="R491" s="6">
        <f t="shared" si="21"/>
        <v>34.799999999999997</v>
      </c>
      <c r="S491" s="2" t="str">
        <f>IF(OR(ROUND(raw_order_lines!I491*10,0)&gt;ROUND(raw_order_lines!H491*10,0),ROUND(raw_order_lines!H491*10,0)&gt;ROUND(raw_order_lines!G491*10,0),ROUND(raw_order_lines!G491*10,0)&lt;=0),"数量关系异常","")</f>
        <v/>
      </c>
      <c r="T491" s="2" t="str">
        <f>IF($F491&lt;&gt;INDEX(dim_products!$D$2:$D$21,MATCH($E491,dim_products!$A$2:$A$21,0)),"单位不一致","")</f>
        <v/>
      </c>
      <c r="U491" s="2" t="str">
        <f>IF(OR(ROUND(raw_order_lines!J491*100,0)&lt;ROUND(INDEX(dim_products!$F$2:$F$21,MATCH($E491,dim_products!$A$2:$A$21,0))*100,0),ROUND(raw_order_lines!J491*100,0)&gt;ROUND(INDEX(dim_products!$G$2:$G$21,MATCH($E491,dim_products!$A$2:$A$21,0))*100,0)),"单价越界","")</f>
        <v/>
      </c>
      <c r="V491" s="2" t="str">
        <f t="shared" si="22"/>
        <v/>
      </c>
      <c r="W491" s="2" t="str">
        <f t="shared" si="23"/>
        <v>通过</v>
      </c>
    </row>
    <row r="492" spans="1:23" ht="15">
      <c r="A492" s="2" t="str">
        <f>raw_order_lines!A492</f>
        <v>SIM-20260915-C006</v>
      </c>
      <c r="B492" s="2">
        <f>raw_order_lines!B492</f>
        <v>5</v>
      </c>
      <c r="C492" s="2" t="str">
        <f>raw_order_lines!C492</f>
        <v>C006</v>
      </c>
      <c r="D492" s="3">
        <f>raw_order_lines!D492</f>
        <v>46280</v>
      </c>
      <c r="E492" s="2" t="str">
        <f>raw_order_lines!E492</f>
        <v>P001</v>
      </c>
      <c r="F492" s="2" t="str">
        <f>raw_order_lines!F492</f>
        <v>公斤</v>
      </c>
      <c r="G492" s="4">
        <f>raw_order_lines!G492</f>
        <v>11.7</v>
      </c>
      <c r="H492" s="4">
        <f>raw_order_lines!H492</f>
        <v>11.7</v>
      </c>
      <c r="I492" s="4">
        <f>raw_order_lines!I492</f>
        <v>0</v>
      </c>
      <c r="J492" s="5">
        <f>raw_order_lines!J492</f>
        <v>3.4</v>
      </c>
      <c r="K492" s="2" t="str">
        <f>raw_order_lines!K492</f>
        <v>正常交付</v>
      </c>
      <c r="L492" s="2" t="str">
        <f>raw_order_lines!L492</f>
        <v>true</v>
      </c>
      <c r="M492" s="2" t="str">
        <f>INDEX(dim_products!$B$2:$B$21,MATCH($E492,dim_products!$A$2:$A$21,0))</f>
        <v>土豆</v>
      </c>
      <c r="N492" s="2" t="str">
        <f>INDEX(dim_products!$C$2:$C$21,MATCH($E492,dim_products!$A$2:$A$21,0))</f>
        <v>散装鲜菜</v>
      </c>
      <c r="O492" s="2" t="str">
        <f>INDEX(dim_customers!$B$2:$B$7,MATCH($C492,dim_customers!$A$2:$A$7,0))</f>
        <v>模拟_溪桥医院食堂</v>
      </c>
      <c r="P492" s="6">
        <f>INT((ROUND(raw_order_lines!H492*10,0)*ROUND(raw_order_lines!J492*100,0)+5)/10)/100</f>
        <v>39.78</v>
      </c>
      <c r="Q492" s="6">
        <f>INT((ROUND(raw_order_lines!I492*10,0)*ROUND(raw_order_lines!J492*100,0)+5)/10)/100</f>
        <v>0</v>
      </c>
      <c r="R492" s="6">
        <f t="shared" si="21"/>
        <v>39.78</v>
      </c>
      <c r="S492" s="2" t="str">
        <f>IF(OR(ROUND(raw_order_lines!I492*10,0)&gt;ROUND(raw_order_lines!H492*10,0),ROUND(raw_order_lines!H492*10,0)&gt;ROUND(raw_order_lines!G492*10,0),ROUND(raw_order_lines!G492*10,0)&lt;=0),"数量关系异常","")</f>
        <v/>
      </c>
      <c r="T492" s="2" t="str">
        <f>IF($F492&lt;&gt;INDEX(dim_products!$D$2:$D$21,MATCH($E492,dim_products!$A$2:$A$21,0)),"单位不一致","")</f>
        <v/>
      </c>
      <c r="U492" s="2" t="str">
        <f>IF(OR(ROUND(raw_order_lines!J492*100,0)&lt;ROUND(INDEX(dim_products!$F$2:$F$21,MATCH($E492,dim_products!$A$2:$A$21,0))*100,0),ROUND(raw_order_lines!J492*100,0)&gt;ROUND(INDEX(dim_products!$G$2:$G$21,MATCH($E492,dim_products!$A$2:$A$21,0))*100,0)),"单价越界","")</f>
        <v/>
      </c>
      <c r="V492" s="2" t="str">
        <f t="shared" si="22"/>
        <v/>
      </c>
      <c r="W492" s="2" t="str">
        <f t="shared" si="23"/>
        <v>通过</v>
      </c>
    </row>
    <row r="493" spans="1:23" ht="15">
      <c r="A493" s="2" t="str">
        <f>raw_order_lines!A493</f>
        <v>SIM-20260915-C006</v>
      </c>
      <c r="B493" s="2">
        <f>raw_order_lines!B493</f>
        <v>6</v>
      </c>
      <c r="C493" s="2" t="str">
        <f>raw_order_lines!C493</f>
        <v>C006</v>
      </c>
      <c r="D493" s="3">
        <f>raw_order_lines!D493</f>
        <v>46280</v>
      </c>
      <c r="E493" s="2" t="str">
        <f>raw_order_lines!E493</f>
        <v>P004</v>
      </c>
      <c r="F493" s="2" t="str">
        <f>raw_order_lines!F493</f>
        <v>公斤</v>
      </c>
      <c r="G493" s="4">
        <f>raw_order_lines!G493</f>
        <v>7.3</v>
      </c>
      <c r="H493" s="4">
        <f>raw_order_lines!H493</f>
        <v>7.3</v>
      </c>
      <c r="I493" s="4">
        <f>raw_order_lines!I493</f>
        <v>0</v>
      </c>
      <c r="J493" s="5">
        <f>raw_order_lines!J493</f>
        <v>2.6</v>
      </c>
      <c r="K493" s="2" t="str">
        <f>raw_order_lines!K493</f>
        <v>正常交付</v>
      </c>
      <c r="L493" s="2" t="str">
        <f>raw_order_lines!L493</f>
        <v>true</v>
      </c>
      <c r="M493" s="2" t="str">
        <f>INDEX(dim_products!$B$2:$B$21,MATCH($E493,dim_products!$A$2:$A$21,0))</f>
        <v>冬瓜</v>
      </c>
      <c r="N493" s="2" t="str">
        <f>INDEX(dim_products!$C$2:$C$21,MATCH($E493,dim_products!$A$2:$A$21,0))</f>
        <v>散装鲜菜</v>
      </c>
      <c r="O493" s="2" t="str">
        <f>INDEX(dim_customers!$B$2:$B$7,MATCH($C493,dim_customers!$A$2:$A$7,0))</f>
        <v>模拟_溪桥医院食堂</v>
      </c>
      <c r="P493" s="6">
        <f>INT((ROUND(raw_order_lines!H493*10,0)*ROUND(raw_order_lines!J493*100,0)+5)/10)/100</f>
        <v>18.98</v>
      </c>
      <c r="Q493" s="6">
        <f>INT((ROUND(raw_order_lines!I493*10,0)*ROUND(raw_order_lines!J493*100,0)+5)/10)/100</f>
        <v>0</v>
      </c>
      <c r="R493" s="6">
        <f t="shared" si="21"/>
        <v>18.98</v>
      </c>
      <c r="S493" s="2" t="str">
        <f>IF(OR(ROUND(raw_order_lines!I493*10,0)&gt;ROUND(raw_order_lines!H493*10,0),ROUND(raw_order_lines!H493*10,0)&gt;ROUND(raw_order_lines!G493*10,0),ROUND(raw_order_lines!G493*10,0)&lt;=0),"数量关系异常","")</f>
        <v/>
      </c>
      <c r="T493" s="2" t="str">
        <f>IF($F493&lt;&gt;INDEX(dim_products!$D$2:$D$21,MATCH($E493,dim_products!$A$2:$A$21,0)),"单位不一致","")</f>
        <v/>
      </c>
      <c r="U493" s="2" t="str">
        <f>IF(OR(ROUND(raw_order_lines!J493*100,0)&lt;ROUND(INDEX(dim_products!$F$2:$F$21,MATCH($E493,dim_products!$A$2:$A$21,0))*100,0),ROUND(raw_order_lines!J493*100,0)&gt;ROUND(INDEX(dim_products!$G$2:$G$21,MATCH($E493,dim_products!$A$2:$A$21,0))*100,0)),"单价越界","")</f>
        <v/>
      </c>
      <c r="V493" s="2" t="str">
        <f t="shared" si="22"/>
        <v/>
      </c>
      <c r="W493" s="2" t="str">
        <f t="shared" si="23"/>
        <v>通过</v>
      </c>
    </row>
    <row r="494" spans="1:23" ht="15">
      <c r="A494" s="2" t="str">
        <f>raw_order_lines!A494</f>
        <v>SIM-20260915-C006</v>
      </c>
      <c r="B494" s="2">
        <f>raw_order_lines!B494</f>
        <v>7</v>
      </c>
      <c r="C494" s="2" t="str">
        <f>raw_order_lines!C494</f>
        <v>C006</v>
      </c>
      <c r="D494" s="3">
        <f>raw_order_lines!D494</f>
        <v>46280</v>
      </c>
      <c r="E494" s="2" t="str">
        <f>raw_order_lines!E494</f>
        <v>P016</v>
      </c>
      <c r="F494" s="2" t="str">
        <f>raw_order_lines!F494</f>
        <v>公斤</v>
      </c>
      <c r="G494" s="4">
        <f>raw_order_lines!G494</f>
        <v>9</v>
      </c>
      <c r="H494" s="4">
        <f>raw_order_lines!H494</f>
        <v>9</v>
      </c>
      <c r="I494" s="4">
        <f>raw_order_lines!I494</f>
        <v>0</v>
      </c>
      <c r="J494" s="5">
        <f>raw_order_lines!J494</f>
        <v>10.199999999999999</v>
      </c>
      <c r="K494" s="2" t="str">
        <f>raw_order_lines!K494</f>
        <v>正常交付</v>
      </c>
      <c r="L494" s="2" t="str">
        <f>raw_order_lines!L494</f>
        <v>true</v>
      </c>
      <c r="M494" s="2" t="str">
        <f>INDEX(dim_products!$B$2:$B$21,MATCH($E494,dim_products!$A$2:$A$21,0))</f>
        <v>鸡蛋</v>
      </c>
      <c r="N494" s="2" t="str">
        <f>INDEX(dim_products!$C$2:$C$21,MATCH($E494,dim_products!$A$2:$A$21,0))</f>
        <v>普通鲜鸡蛋按净重</v>
      </c>
      <c r="O494" s="2" t="str">
        <f>INDEX(dim_customers!$B$2:$B$7,MATCH($C494,dim_customers!$A$2:$A$7,0))</f>
        <v>模拟_溪桥医院食堂</v>
      </c>
      <c r="P494" s="6">
        <f>INT((ROUND(raw_order_lines!H494*10,0)*ROUND(raw_order_lines!J494*100,0)+5)/10)/100</f>
        <v>91.8</v>
      </c>
      <c r="Q494" s="6">
        <f>INT((ROUND(raw_order_lines!I494*10,0)*ROUND(raw_order_lines!J494*100,0)+5)/10)/100</f>
        <v>0</v>
      </c>
      <c r="R494" s="6">
        <f t="shared" si="21"/>
        <v>91.8</v>
      </c>
      <c r="S494" s="2" t="str">
        <f>IF(OR(ROUND(raw_order_lines!I494*10,0)&gt;ROUND(raw_order_lines!H494*10,0),ROUND(raw_order_lines!H494*10,0)&gt;ROUND(raw_order_lines!G494*10,0),ROUND(raw_order_lines!G494*10,0)&lt;=0),"数量关系异常","")</f>
        <v/>
      </c>
      <c r="T494" s="2" t="str">
        <f>IF($F494&lt;&gt;INDEX(dim_products!$D$2:$D$21,MATCH($E494,dim_products!$A$2:$A$21,0)),"单位不一致","")</f>
        <v/>
      </c>
      <c r="U494" s="2" t="str">
        <f>IF(OR(ROUND(raw_order_lines!J494*100,0)&lt;ROUND(INDEX(dim_products!$F$2:$F$21,MATCH($E494,dim_products!$A$2:$A$21,0))*100,0),ROUND(raw_order_lines!J494*100,0)&gt;ROUND(INDEX(dim_products!$G$2:$G$21,MATCH($E494,dim_products!$A$2:$A$21,0))*100,0)),"单价越界","")</f>
        <v/>
      </c>
      <c r="V494" s="2" t="str">
        <f t="shared" si="22"/>
        <v/>
      </c>
      <c r="W494" s="2" t="str">
        <f t="shared" si="23"/>
        <v>通过</v>
      </c>
    </row>
    <row r="495" spans="1:23" ht="15">
      <c r="A495" s="2" t="str">
        <f>raw_order_lines!A495</f>
        <v>SIM-20260916-C001</v>
      </c>
      <c r="B495" s="2">
        <f>raw_order_lines!B495</f>
        <v>1</v>
      </c>
      <c r="C495" s="2" t="str">
        <f>raw_order_lines!C495</f>
        <v>C001</v>
      </c>
      <c r="D495" s="3">
        <f>raw_order_lines!D495</f>
        <v>46281</v>
      </c>
      <c r="E495" s="2" t="str">
        <f>raw_order_lines!E495</f>
        <v>P012</v>
      </c>
      <c r="F495" s="2" t="str">
        <f>raw_order_lines!F495</f>
        <v>公斤</v>
      </c>
      <c r="G495" s="4">
        <f>raw_order_lines!G495</f>
        <v>2.2999999999999998</v>
      </c>
      <c r="H495" s="4">
        <f>raw_order_lines!H495</f>
        <v>2.2999999999999998</v>
      </c>
      <c r="I495" s="4">
        <f>raw_order_lines!I495</f>
        <v>0</v>
      </c>
      <c r="J495" s="5">
        <f>raw_order_lines!J495</f>
        <v>5.2</v>
      </c>
      <c r="K495" s="2" t="str">
        <f>raw_order_lines!K495</f>
        <v>正常交付</v>
      </c>
      <c r="L495" s="2" t="str">
        <f>raw_order_lines!L495</f>
        <v>true</v>
      </c>
      <c r="M495" s="2" t="str">
        <f>INDEX(dim_products!$B$2:$B$21,MATCH($E495,dim_products!$A$2:$A$21,0))</f>
        <v>小白菜</v>
      </c>
      <c r="N495" s="2" t="str">
        <f>INDEX(dim_products!$C$2:$C$21,MATCH($E495,dim_products!$A$2:$A$21,0))</f>
        <v>散装鲜菜</v>
      </c>
      <c r="O495" s="2" t="str">
        <f>INDEX(dim_customers!$B$2:$B$7,MATCH($C495,dim_customers!$A$2:$A$7,0))</f>
        <v>模拟_榕树下粉面店</v>
      </c>
      <c r="P495" s="6">
        <f>INT((ROUND(raw_order_lines!H495*10,0)*ROUND(raw_order_lines!J495*100,0)+5)/10)/100</f>
        <v>11.96</v>
      </c>
      <c r="Q495" s="6">
        <f>INT((ROUND(raw_order_lines!I495*10,0)*ROUND(raw_order_lines!J495*100,0)+5)/10)/100</f>
        <v>0</v>
      </c>
      <c r="R495" s="6">
        <f t="shared" si="21"/>
        <v>11.96</v>
      </c>
      <c r="S495" s="2" t="str">
        <f>IF(OR(ROUND(raw_order_lines!I495*10,0)&gt;ROUND(raw_order_lines!H495*10,0),ROUND(raw_order_lines!H495*10,0)&gt;ROUND(raw_order_lines!G495*10,0),ROUND(raw_order_lines!G495*10,0)&lt;=0),"数量关系异常","")</f>
        <v/>
      </c>
      <c r="T495" s="2" t="str">
        <f>IF($F495&lt;&gt;INDEX(dim_products!$D$2:$D$21,MATCH($E495,dim_products!$A$2:$A$21,0)),"单位不一致","")</f>
        <v/>
      </c>
      <c r="U495" s="2" t="str">
        <f>IF(OR(ROUND(raw_order_lines!J495*100,0)&lt;ROUND(INDEX(dim_products!$F$2:$F$21,MATCH($E495,dim_products!$A$2:$A$21,0))*100,0),ROUND(raw_order_lines!J495*100,0)&gt;ROUND(INDEX(dim_products!$G$2:$G$21,MATCH($E495,dim_products!$A$2:$A$21,0))*100,0)),"单价越界","")</f>
        <v/>
      </c>
      <c r="V495" s="2" t="str">
        <f t="shared" si="22"/>
        <v/>
      </c>
      <c r="W495" s="2" t="str">
        <f t="shared" si="23"/>
        <v>通过</v>
      </c>
    </row>
    <row r="496" spans="1:23" ht="15">
      <c r="A496" s="2" t="str">
        <f>raw_order_lines!A496</f>
        <v>SIM-20260916-C001</v>
      </c>
      <c r="B496" s="2">
        <f>raw_order_lines!B496</f>
        <v>2</v>
      </c>
      <c r="C496" s="2" t="str">
        <f>raw_order_lines!C496</f>
        <v>C001</v>
      </c>
      <c r="D496" s="3">
        <f>raw_order_lines!D496</f>
        <v>46281</v>
      </c>
      <c r="E496" s="2" t="str">
        <f>raw_order_lines!E496</f>
        <v>P002</v>
      </c>
      <c r="F496" s="2" t="str">
        <f>raw_order_lines!F496</f>
        <v>公斤</v>
      </c>
      <c r="G496" s="4">
        <f>raw_order_lines!G496</f>
        <v>3.9</v>
      </c>
      <c r="H496" s="4">
        <f>raw_order_lines!H496</f>
        <v>3.9</v>
      </c>
      <c r="I496" s="4">
        <f>raw_order_lines!I496</f>
        <v>0</v>
      </c>
      <c r="J496" s="5">
        <f>raw_order_lines!J496</f>
        <v>2.7</v>
      </c>
      <c r="K496" s="2" t="str">
        <f>raw_order_lines!K496</f>
        <v>正常交付</v>
      </c>
      <c r="L496" s="2" t="str">
        <f>raw_order_lines!L496</f>
        <v>true</v>
      </c>
      <c r="M496" s="2" t="str">
        <f>INDEX(dim_products!$B$2:$B$21,MATCH($E496,dim_products!$A$2:$A$21,0))</f>
        <v>白萝卜</v>
      </c>
      <c r="N496" s="2" t="str">
        <f>INDEX(dim_products!$C$2:$C$21,MATCH($E496,dim_products!$A$2:$A$21,0))</f>
        <v>散装鲜菜</v>
      </c>
      <c r="O496" s="2" t="str">
        <f>INDEX(dim_customers!$B$2:$B$7,MATCH($C496,dim_customers!$A$2:$A$7,0))</f>
        <v>模拟_榕树下粉面店</v>
      </c>
      <c r="P496" s="6">
        <f>INT((ROUND(raw_order_lines!H496*10,0)*ROUND(raw_order_lines!J496*100,0)+5)/10)/100</f>
        <v>10.53</v>
      </c>
      <c r="Q496" s="6">
        <f>INT((ROUND(raw_order_lines!I496*10,0)*ROUND(raw_order_lines!J496*100,0)+5)/10)/100</f>
        <v>0</v>
      </c>
      <c r="R496" s="6">
        <f t="shared" si="21"/>
        <v>10.53</v>
      </c>
      <c r="S496" s="2" t="str">
        <f>IF(OR(ROUND(raw_order_lines!I496*10,0)&gt;ROUND(raw_order_lines!H496*10,0),ROUND(raw_order_lines!H496*10,0)&gt;ROUND(raw_order_lines!G496*10,0),ROUND(raw_order_lines!G496*10,0)&lt;=0),"数量关系异常","")</f>
        <v/>
      </c>
      <c r="T496" s="2" t="str">
        <f>IF($F496&lt;&gt;INDEX(dim_products!$D$2:$D$21,MATCH($E496,dim_products!$A$2:$A$21,0)),"单位不一致","")</f>
        <v/>
      </c>
      <c r="U496" s="2" t="str">
        <f>IF(OR(ROUND(raw_order_lines!J496*100,0)&lt;ROUND(INDEX(dim_products!$F$2:$F$21,MATCH($E496,dim_products!$A$2:$A$21,0))*100,0),ROUND(raw_order_lines!J496*100,0)&gt;ROUND(INDEX(dim_products!$G$2:$G$21,MATCH($E496,dim_products!$A$2:$A$21,0))*100,0)),"单价越界","")</f>
        <v/>
      </c>
      <c r="V496" s="2" t="str">
        <f t="shared" si="22"/>
        <v/>
      </c>
      <c r="W496" s="2" t="str">
        <f t="shared" si="23"/>
        <v>通过</v>
      </c>
    </row>
    <row r="497" spans="1:23" ht="15">
      <c r="A497" s="2" t="str">
        <f>raw_order_lines!A497</f>
        <v>SIM-20260916-C001</v>
      </c>
      <c r="B497" s="2">
        <f>raw_order_lines!B497</f>
        <v>3</v>
      </c>
      <c r="C497" s="2" t="str">
        <f>raw_order_lines!C497</f>
        <v>C001</v>
      </c>
      <c r="D497" s="3">
        <f>raw_order_lines!D497</f>
        <v>46281</v>
      </c>
      <c r="E497" s="2" t="str">
        <f>raw_order_lines!E497</f>
        <v>P003</v>
      </c>
      <c r="F497" s="2" t="str">
        <f>raw_order_lines!F497</f>
        <v>公斤</v>
      </c>
      <c r="G497" s="4">
        <f>raw_order_lines!G497</f>
        <v>4.2</v>
      </c>
      <c r="H497" s="4">
        <f>raw_order_lines!H497</f>
        <v>4.2</v>
      </c>
      <c r="I497" s="4">
        <f>raw_order_lines!I497</f>
        <v>0</v>
      </c>
      <c r="J497" s="5">
        <f>raw_order_lines!J497</f>
        <v>3.5</v>
      </c>
      <c r="K497" s="2" t="str">
        <f>raw_order_lines!K497</f>
        <v>正常交付</v>
      </c>
      <c r="L497" s="2" t="str">
        <f>raw_order_lines!L497</f>
        <v>true</v>
      </c>
      <c r="M497" s="2" t="str">
        <f>INDEX(dim_products!$B$2:$B$21,MATCH($E497,dim_products!$A$2:$A$21,0))</f>
        <v>包菜</v>
      </c>
      <c r="N497" s="2" t="str">
        <f>INDEX(dim_products!$C$2:$C$21,MATCH($E497,dim_products!$A$2:$A$21,0))</f>
        <v>散装鲜菜</v>
      </c>
      <c r="O497" s="2" t="str">
        <f>INDEX(dim_customers!$B$2:$B$7,MATCH($C497,dim_customers!$A$2:$A$7,0))</f>
        <v>模拟_榕树下粉面店</v>
      </c>
      <c r="P497" s="6">
        <f>INT((ROUND(raw_order_lines!H497*10,0)*ROUND(raw_order_lines!J497*100,0)+5)/10)/100</f>
        <v>14.7</v>
      </c>
      <c r="Q497" s="6">
        <f>INT((ROUND(raw_order_lines!I497*10,0)*ROUND(raw_order_lines!J497*100,0)+5)/10)/100</f>
        <v>0</v>
      </c>
      <c r="R497" s="6">
        <f t="shared" si="21"/>
        <v>14.7</v>
      </c>
      <c r="S497" s="2" t="str">
        <f>IF(OR(ROUND(raw_order_lines!I497*10,0)&gt;ROUND(raw_order_lines!H497*10,0),ROUND(raw_order_lines!H497*10,0)&gt;ROUND(raw_order_lines!G497*10,0),ROUND(raw_order_lines!G497*10,0)&lt;=0),"数量关系异常","")</f>
        <v/>
      </c>
      <c r="T497" s="2" t="str">
        <f>IF($F497&lt;&gt;INDEX(dim_products!$D$2:$D$21,MATCH($E497,dim_products!$A$2:$A$21,0)),"单位不一致","")</f>
        <v/>
      </c>
      <c r="U497" s="2" t="str">
        <f>IF(OR(ROUND(raw_order_lines!J497*100,0)&lt;ROUND(INDEX(dim_products!$F$2:$F$21,MATCH($E497,dim_products!$A$2:$A$21,0))*100,0),ROUND(raw_order_lines!J497*100,0)&gt;ROUND(INDEX(dim_products!$G$2:$G$21,MATCH($E497,dim_products!$A$2:$A$21,0))*100,0)),"单价越界","")</f>
        <v/>
      </c>
      <c r="V497" s="2" t="str">
        <f t="shared" si="22"/>
        <v/>
      </c>
      <c r="W497" s="2" t="str">
        <f t="shared" si="23"/>
        <v>通过</v>
      </c>
    </row>
    <row r="498" spans="1:23" ht="15">
      <c r="A498" s="2" t="str">
        <f>raw_order_lines!A498</f>
        <v>SIM-20260916-C001</v>
      </c>
      <c r="B498" s="2">
        <f>raw_order_lines!B498</f>
        <v>4</v>
      </c>
      <c r="C498" s="2" t="str">
        <f>raw_order_lines!C498</f>
        <v>C001</v>
      </c>
      <c r="D498" s="3">
        <f>raw_order_lines!D498</f>
        <v>46281</v>
      </c>
      <c r="E498" s="2" t="str">
        <f>raw_order_lines!E498</f>
        <v>P006</v>
      </c>
      <c r="F498" s="2" t="str">
        <f>raw_order_lines!F498</f>
        <v>公斤</v>
      </c>
      <c r="G498" s="4">
        <f>raw_order_lines!G498</f>
        <v>2.9</v>
      </c>
      <c r="H498" s="4">
        <f>raw_order_lines!H498</f>
        <v>2.9</v>
      </c>
      <c r="I498" s="4">
        <f>raw_order_lines!I498</f>
        <v>0</v>
      </c>
      <c r="J498" s="5">
        <f>raw_order_lines!J498</f>
        <v>4.8</v>
      </c>
      <c r="K498" s="2" t="str">
        <f>raw_order_lines!K498</f>
        <v>正常交付</v>
      </c>
      <c r="L498" s="2" t="str">
        <f>raw_order_lines!L498</f>
        <v>true</v>
      </c>
      <c r="M498" s="2" t="str">
        <f>INDEX(dim_products!$B$2:$B$21,MATCH($E498,dim_products!$A$2:$A$21,0))</f>
        <v>茄子</v>
      </c>
      <c r="N498" s="2" t="str">
        <f>INDEX(dim_products!$C$2:$C$21,MATCH($E498,dim_products!$A$2:$A$21,0))</f>
        <v>散装鲜菜</v>
      </c>
      <c r="O498" s="2" t="str">
        <f>INDEX(dim_customers!$B$2:$B$7,MATCH($C498,dim_customers!$A$2:$A$7,0))</f>
        <v>模拟_榕树下粉面店</v>
      </c>
      <c r="P498" s="6">
        <f>INT((ROUND(raw_order_lines!H498*10,0)*ROUND(raw_order_lines!J498*100,0)+5)/10)/100</f>
        <v>13.92</v>
      </c>
      <c r="Q498" s="6">
        <f>INT((ROUND(raw_order_lines!I498*10,0)*ROUND(raw_order_lines!J498*100,0)+5)/10)/100</f>
        <v>0</v>
      </c>
      <c r="R498" s="6">
        <f t="shared" si="21"/>
        <v>13.92</v>
      </c>
      <c r="S498" s="2" t="str">
        <f>IF(OR(ROUND(raw_order_lines!I498*10,0)&gt;ROUND(raw_order_lines!H498*10,0),ROUND(raw_order_lines!H498*10,0)&gt;ROUND(raw_order_lines!G498*10,0),ROUND(raw_order_lines!G498*10,0)&lt;=0),"数量关系异常","")</f>
        <v/>
      </c>
      <c r="T498" s="2" t="str">
        <f>IF($F498&lt;&gt;INDEX(dim_products!$D$2:$D$21,MATCH($E498,dim_products!$A$2:$A$21,0)),"单位不一致","")</f>
        <v/>
      </c>
      <c r="U498" s="2" t="str">
        <f>IF(OR(ROUND(raw_order_lines!J498*100,0)&lt;ROUND(INDEX(dim_products!$F$2:$F$21,MATCH($E498,dim_products!$A$2:$A$21,0))*100,0),ROUND(raw_order_lines!J498*100,0)&gt;ROUND(INDEX(dim_products!$G$2:$G$21,MATCH($E498,dim_products!$A$2:$A$21,0))*100,0)),"单价越界","")</f>
        <v/>
      </c>
      <c r="V498" s="2" t="str">
        <f t="shared" si="22"/>
        <v/>
      </c>
      <c r="W498" s="2" t="str">
        <f t="shared" si="23"/>
        <v>通过</v>
      </c>
    </row>
    <row r="499" spans="1:23" ht="15">
      <c r="A499" s="2" t="str">
        <f>raw_order_lines!A499</f>
        <v>SIM-20260916-C002</v>
      </c>
      <c r="B499" s="2">
        <f>raw_order_lines!B499</f>
        <v>1</v>
      </c>
      <c r="C499" s="2" t="str">
        <f>raw_order_lines!C499</f>
        <v>C002</v>
      </c>
      <c r="D499" s="3">
        <f>raw_order_lines!D499</f>
        <v>46281</v>
      </c>
      <c r="E499" s="2" t="str">
        <f>raw_order_lines!E499</f>
        <v>P011</v>
      </c>
      <c r="F499" s="2" t="str">
        <f>raw_order_lines!F499</f>
        <v>公斤</v>
      </c>
      <c r="G499" s="4">
        <f>raw_order_lines!G499</f>
        <v>7.9</v>
      </c>
      <c r="H499" s="4">
        <f>raw_order_lines!H499</f>
        <v>7.9</v>
      </c>
      <c r="I499" s="4">
        <f>raw_order_lines!I499</f>
        <v>0</v>
      </c>
      <c r="J499" s="5">
        <f>raw_order_lines!J499</f>
        <v>4.3</v>
      </c>
      <c r="K499" s="2" t="str">
        <f>raw_order_lines!K499</f>
        <v>正常交付</v>
      </c>
      <c r="L499" s="2" t="str">
        <f>raw_order_lines!L499</f>
        <v>true</v>
      </c>
      <c r="M499" s="2" t="str">
        <f>INDEX(dim_products!$B$2:$B$21,MATCH($E499,dim_products!$A$2:$A$21,0))</f>
        <v>红薯叶</v>
      </c>
      <c r="N499" s="2" t="str">
        <f>INDEX(dim_products!$C$2:$C$21,MATCH($E499,dim_products!$A$2:$A$21,0))</f>
        <v>散装鲜菜</v>
      </c>
      <c r="O499" s="2" t="str">
        <f>INDEX(dim_customers!$B$2:$B$7,MATCH($C499,dim_customers!$A$2:$A$7,0))</f>
        <v>模拟_桥头家常菜馆</v>
      </c>
      <c r="P499" s="6">
        <f>INT((ROUND(raw_order_lines!H499*10,0)*ROUND(raw_order_lines!J499*100,0)+5)/10)/100</f>
        <v>33.97</v>
      </c>
      <c r="Q499" s="6">
        <f>INT((ROUND(raw_order_lines!I499*10,0)*ROUND(raw_order_lines!J499*100,0)+5)/10)/100</f>
        <v>0</v>
      </c>
      <c r="R499" s="6">
        <f t="shared" si="21"/>
        <v>33.97</v>
      </c>
      <c r="S499" s="2" t="str">
        <f>IF(OR(ROUND(raw_order_lines!I499*10,0)&gt;ROUND(raw_order_lines!H499*10,0),ROUND(raw_order_lines!H499*10,0)&gt;ROUND(raw_order_lines!G499*10,0),ROUND(raw_order_lines!G499*10,0)&lt;=0),"数量关系异常","")</f>
        <v/>
      </c>
      <c r="T499" s="2" t="str">
        <f>IF($F499&lt;&gt;INDEX(dim_products!$D$2:$D$21,MATCH($E499,dim_products!$A$2:$A$21,0)),"单位不一致","")</f>
        <v/>
      </c>
      <c r="U499" s="2" t="str">
        <f>IF(OR(ROUND(raw_order_lines!J499*100,0)&lt;ROUND(INDEX(dim_products!$F$2:$F$21,MATCH($E499,dim_products!$A$2:$A$21,0))*100,0),ROUND(raw_order_lines!J499*100,0)&gt;ROUND(INDEX(dim_products!$G$2:$G$21,MATCH($E499,dim_products!$A$2:$A$21,0))*100,0)),"单价越界","")</f>
        <v/>
      </c>
      <c r="V499" s="2" t="str">
        <f t="shared" si="22"/>
        <v/>
      </c>
      <c r="W499" s="2" t="str">
        <f t="shared" si="23"/>
        <v>通过</v>
      </c>
    </row>
    <row r="500" spans="1:23" ht="15">
      <c r="A500" s="2" t="str">
        <f>raw_order_lines!A500</f>
        <v>SIM-20260916-C002</v>
      </c>
      <c r="B500" s="2">
        <f>raw_order_lines!B500</f>
        <v>2</v>
      </c>
      <c r="C500" s="2" t="str">
        <f>raw_order_lines!C500</f>
        <v>C002</v>
      </c>
      <c r="D500" s="3">
        <f>raw_order_lines!D500</f>
        <v>46281</v>
      </c>
      <c r="E500" s="2" t="str">
        <f>raw_order_lines!E500</f>
        <v>P005</v>
      </c>
      <c r="F500" s="2" t="str">
        <f>raw_order_lines!F500</f>
        <v>公斤</v>
      </c>
      <c r="G500" s="4">
        <f>raw_order_lines!G500</f>
        <v>5.5</v>
      </c>
      <c r="H500" s="4">
        <f>raw_order_lines!H500</f>
        <v>5.5</v>
      </c>
      <c r="I500" s="4">
        <f>raw_order_lines!I500</f>
        <v>0</v>
      </c>
      <c r="J500" s="5">
        <f>raw_order_lines!J500</f>
        <v>3.2</v>
      </c>
      <c r="K500" s="2" t="str">
        <f>raw_order_lines!K500</f>
        <v>正常交付</v>
      </c>
      <c r="L500" s="2" t="str">
        <f>raw_order_lines!L500</f>
        <v>true</v>
      </c>
      <c r="M500" s="2" t="str">
        <f>INDEX(dim_products!$B$2:$B$21,MATCH($E500,dim_products!$A$2:$A$21,0))</f>
        <v>南瓜</v>
      </c>
      <c r="N500" s="2" t="str">
        <f>INDEX(dim_products!$C$2:$C$21,MATCH($E500,dim_products!$A$2:$A$21,0))</f>
        <v>散装鲜菜</v>
      </c>
      <c r="O500" s="2" t="str">
        <f>INDEX(dim_customers!$B$2:$B$7,MATCH($C500,dim_customers!$A$2:$A$7,0))</f>
        <v>模拟_桥头家常菜馆</v>
      </c>
      <c r="P500" s="6">
        <f>INT((ROUND(raw_order_lines!H500*10,0)*ROUND(raw_order_lines!J500*100,0)+5)/10)/100</f>
        <v>17.600000000000001</v>
      </c>
      <c r="Q500" s="6">
        <f>INT((ROUND(raw_order_lines!I500*10,0)*ROUND(raw_order_lines!J500*100,0)+5)/10)/100</f>
        <v>0</v>
      </c>
      <c r="R500" s="6">
        <f t="shared" si="21"/>
        <v>17.600000000000001</v>
      </c>
      <c r="S500" s="2" t="str">
        <f>IF(OR(ROUND(raw_order_lines!I500*10,0)&gt;ROUND(raw_order_lines!H500*10,0),ROUND(raw_order_lines!H500*10,0)&gt;ROUND(raw_order_lines!G500*10,0),ROUND(raw_order_lines!G500*10,0)&lt;=0),"数量关系异常","")</f>
        <v/>
      </c>
      <c r="T500" s="2" t="str">
        <f>IF($F500&lt;&gt;INDEX(dim_products!$D$2:$D$21,MATCH($E500,dim_products!$A$2:$A$21,0)),"单位不一致","")</f>
        <v/>
      </c>
      <c r="U500" s="2" t="str">
        <f>IF(OR(ROUND(raw_order_lines!J500*100,0)&lt;ROUND(INDEX(dim_products!$F$2:$F$21,MATCH($E500,dim_products!$A$2:$A$21,0))*100,0),ROUND(raw_order_lines!J500*100,0)&gt;ROUND(INDEX(dim_products!$G$2:$G$21,MATCH($E500,dim_products!$A$2:$A$21,0))*100,0)),"单价越界","")</f>
        <v/>
      </c>
      <c r="V500" s="2" t="str">
        <f t="shared" si="22"/>
        <v/>
      </c>
      <c r="W500" s="2" t="str">
        <f t="shared" si="23"/>
        <v>通过</v>
      </c>
    </row>
    <row r="501" spans="1:23" ht="15">
      <c r="A501" s="2" t="str">
        <f>raw_order_lines!A501</f>
        <v>SIM-20260916-C002</v>
      </c>
      <c r="B501" s="2">
        <f>raw_order_lines!B501</f>
        <v>3</v>
      </c>
      <c r="C501" s="2" t="str">
        <f>raw_order_lines!C501</f>
        <v>C002</v>
      </c>
      <c r="D501" s="3">
        <f>raw_order_lines!D501</f>
        <v>46281</v>
      </c>
      <c r="E501" s="2" t="str">
        <f>raw_order_lines!E501</f>
        <v>P002</v>
      </c>
      <c r="F501" s="2" t="str">
        <f>raw_order_lines!F501</f>
        <v>公斤</v>
      </c>
      <c r="G501" s="4">
        <f>raw_order_lines!G501</f>
        <v>6.9</v>
      </c>
      <c r="H501" s="4">
        <f>raw_order_lines!H501</f>
        <v>6.9</v>
      </c>
      <c r="I501" s="4">
        <f>raw_order_lines!I501</f>
        <v>0</v>
      </c>
      <c r="J501" s="5">
        <f>raw_order_lines!J501</f>
        <v>2.7</v>
      </c>
      <c r="K501" s="2" t="str">
        <f>raw_order_lines!K501</f>
        <v>正常交付</v>
      </c>
      <c r="L501" s="2" t="str">
        <f>raw_order_lines!L501</f>
        <v>true</v>
      </c>
      <c r="M501" s="2" t="str">
        <f>INDEX(dim_products!$B$2:$B$21,MATCH($E501,dim_products!$A$2:$A$21,0))</f>
        <v>白萝卜</v>
      </c>
      <c r="N501" s="2" t="str">
        <f>INDEX(dim_products!$C$2:$C$21,MATCH($E501,dim_products!$A$2:$A$21,0))</f>
        <v>散装鲜菜</v>
      </c>
      <c r="O501" s="2" t="str">
        <f>INDEX(dim_customers!$B$2:$B$7,MATCH($C501,dim_customers!$A$2:$A$7,0))</f>
        <v>模拟_桥头家常菜馆</v>
      </c>
      <c r="P501" s="6">
        <f>INT((ROUND(raw_order_lines!H501*10,0)*ROUND(raw_order_lines!J501*100,0)+5)/10)/100</f>
        <v>18.63</v>
      </c>
      <c r="Q501" s="6">
        <f>INT((ROUND(raw_order_lines!I501*10,0)*ROUND(raw_order_lines!J501*100,0)+5)/10)/100</f>
        <v>0</v>
      </c>
      <c r="R501" s="6">
        <f t="shared" si="21"/>
        <v>18.63</v>
      </c>
      <c r="S501" s="2" t="str">
        <f>IF(OR(ROUND(raw_order_lines!I501*10,0)&gt;ROUND(raw_order_lines!H501*10,0),ROUND(raw_order_lines!H501*10,0)&gt;ROUND(raw_order_lines!G501*10,0),ROUND(raw_order_lines!G501*10,0)&lt;=0),"数量关系异常","")</f>
        <v/>
      </c>
      <c r="T501" s="2" t="str">
        <f>IF($F501&lt;&gt;INDEX(dim_products!$D$2:$D$21,MATCH($E501,dim_products!$A$2:$A$21,0)),"单位不一致","")</f>
        <v/>
      </c>
      <c r="U501" s="2" t="str">
        <f>IF(OR(ROUND(raw_order_lines!J501*100,0)&lt;ROUND(INDEX(dim_products!$F$2:$F$21,MATCH($E501,dim_products!$A$2:$A$21,0))*100,0),ROUND(raw_order_lines!J501*100,0)&gt;ROUND(INDEX(dim_products!$G$2:$G$21,MATCH($E501,dim_products!$A$2:$A$21,0))*100,0)),"单价越界","")</f>
        <v/>
      </c>
      <c r="V501" s="2" t="str">
        <f t="shared" si="22"/>
        <v/>
      </c>
      <c r="W501" s="2" t="str">
        <f t="shared" si="23"/>
        <v>通过</v>
      </c>
    </row>
    <row r="502" spans="1:23" ht="15">
      <c r="A502" s="2" t="str">
        <f>raw_order_lines!A502</f>
        <v>SIM-20260916-C002</v>
      </c>
      <c r="B502" s="2">
        <f>raw_order_lines!B502</f>
        <v>4</v>
      </c>
      <c r="C502" s="2" t="str">
        <f>raw_order_lines!C502</f>
        <v>C002</v>
      </c>
      <c r="D502" s="3">
        <f>raw_order_lines!D502</f>
        <v>46281</v>
      </c>
      <c r="E502" s="2" t="str">
        <f>raw_order_lines!E502</f>
        <v>P004</v>
      </c>
      <c r="F502" s="2" t="str">
        <f>raw_order_lines!F502</f>
        <v>公斤</v>
      </c>
      <c r="G502" s="4">
        <f>raw_order_lines!G502</f>
        <v>5.5</v>
      </c>
      <c r="H502" s="4">
        <f>raw_order_lines!H502</f>
        <v>5.5</v>
      </c>
      <c r="I502" s="4">
        <f>raw_order_lines!I502</f>
        <v>0</v>
      </c>
      <c r="J502" s="5">
        <f>raw_order_lines!J502</f>
        <v>2.6</v>
      </c>
      <c r="K502" s="2" t="str">
        <f>raw_order_lines!K502</f>
        <v>正常交付</v>
      </c>
      <c r="L502" s="2" t="str">
        <f>raw_order_lines!L502</f>
        <v>true</v>
      </c>
      <c r="M502" s="2" t="str">
        <f>INDEX(dim_products!$B$2:$B$21,MATCH($E502,dim_products!$A$2:$A$21,0))</f>
        <v>冬瓜</v>
      </c>
      <c r="N502" s="2" t="str">
        <f>INDEX(dim_products!$C$2:$C$21,MATCH($E502,dim_products!$A$2:$A$21,0))</f>
        <v>散装鲜菜</v>
      </c>
      <c r="O502" s="2" t="str">
        <f>INDEX(dim_customers!$B$2:$B$7,MATCH($C502,dim_customers!$A$2:$A$7,0))</f>
        <v>模拟_桥头家常菜馆</v>
      </c>
      <c r="P502" s="6">
        <f>INT((ROUND(raw_order_lines!H502*10,0)*ROUND(raw_order_lines!J502*100,0)+5)/10)/100</f>
        <v>14.3</v>
      </c>
      <c r="Q502" s="6">
        <f>INT((ROUND(raw_order_lines!I502*10,0)*ROUND(raw_order_lines!J502*100,0)+5)/10)/100</f>
        <v>0</v>
      </c>
      <c r="R502" s="6">
        <f t="shared" si="21"/>
        <v>14.3</v>
      </c>
      <c r="S502" s="2" t="str">
        <f>IF(OR(ROUND(raw_order_lines!I502*10,0)&gt;ROUND(raw_order_lines!H502*10,0),ROUND(raw_order_lines!H502*10,0)&gt;ROUND(raw_order_lines!G502*10,0),ROUND(raw_order_lines!G502*10,0)&lt;=0),"数量关系异常","")</f>
        <v/>
      </c>
      <c r="T502" s="2" t="str">
        <f>IF($F502&lt;&gt;INDEX(dim_products!$D$2:$D$21,MATCH($E502,dim_products!$A$2:$A$21,0)),"单位不一致","")</f>
        <v/>
      </c>
      <c r="U502" s="2" t="str">
        <f>IF(OR(ROUND(raw_order_lines!J502*100,0)&lt;ROUND(INDEX(dim_products!$F$2:$F$21,MATCH($E502,dim_products!$A$2:$A$21,0))*100,0),ROUND(raw_order_lines!J502*100,0)&gt;ROUND(INDEX(dim_products!$G$2:$G$21,MATCH($E502,dim_products!$A$2:$A$21,0))*100,0)),"单价越界","")</f>
        <v/>
      </c>
      <c r="V502" s="2" t="str">
        <f t="shared" si="22"/>
        <v/>
      </c>
      <c r="W502" s="2" t="str">
        <f t="shared" si="23"/>
        <v>通过</v>
      </c>
    </row>
    <row r="503" spans="1:23" ht="15">
      <c r="A503" s="2" t="str">
        <f>raw_order_lines!A503</f>
        <v>SIM-20260916-C002</v>
      </c>
      <c r="B503" s="2">
        <f>raw_order_lines!B503</f>
        <v>5</v>
      </c>
      <c r="C503" s="2" t="str">
        <f>raw_order_lines!C503</f>
        <v>C002</v>
      </c>
      <c r="D503" s="3">
        <f>raw_order_lines!D503</f>
        <v>46281</v>
      </c>
      <c r="E503" s="2" t="str">
        <f>raw_order_lines!E503</f>
        <v>P013</v>
      </c>
      <c r="F503" s="2" t="str">
        <f>raw_order_lines!F503</f>
        <v>公斤</v>
      </c>
      <c r="G503" s="4">
        <f>raw_order_lines!G503</f>
        <v>4.5</v>
      </c>
      <c r="H503" s="4">
        <f>raw_order_lines!H503</f>
        <v>4.5</v>
      </c>
      <c r="I503" s="4">
        <f>raw_order_lines!I503</f>
        <v>0</v>
      </c>
      <c r="J503" s="5">
        <f>raw_order_lines!J503</f>
        <v>6</v>
      </c>
      <c r="K503" s="2" t="str">
        <f>raw_order_lines!K503</f>
        <v>正常交付</v>
      </c>
      <c r="L503" s="2" t="str">
        <f>raw_order_lines!L503</f>
        <v>true</v>
      </c>
      <c r="M503" s="2" t="str">
        <f>INDEX(dim_products!$B$2:$B$21,MATCH($E503,dim_products!$A$2:$A$21,0))</f>
        <v>豇豆</v>
      </c>
      <c r="N503" s="2" t="str">
        <f>INDEX(dim_products!$C$2:$C$21,MATCH($E503,dim_products!$A$2:$A$21,0))</f>
        <v>散装鲜菜</v>
      </c>
      <c r="O503" s="2" t="str">
        <f>INDEX(dim_customers!$B$2:$B$7,MATCH($C503,dim_customers!$A$2:$A$7,0))</f>
        <v>模拟_桥头家常菜馆</v>
      </c>
      <c r="P503" s="6">
        <f>INT((ROUND(raw_order_lines!H503*10,0)*ROUND(raw_order_lines!J503*100,0)+5)/10)/100</f>
        <v>27</v>
      </c>
      <c r="Q503" s="6">
        <f>INT((ROUND(raw_order_lines!I503*10,0)*ROUND(raw_order_lines!J503*100,0)+5)/10)/100</f>
        <v>0</v>
      </c>
      <c r="R503" s="6">
        <f t="shared" si="21"/>
        <v>27</v>
      </c>
      <c r="S503" s="2" t="str">
        <f>IF(OR(ROUND(raw_order_lines!I503*10,0)&gt;ROUND(raw_order_lines!H503*10,0),ROUND(raw_order_lines!H503*10,0)&gt;ROUND(raw_order_lines!G503*10,0),ROUND(raw_order_lines!G503*10,0)&lt;=0),"数量关系异常","")</f>
        <v/>
      </c>
      <c r="T503" s="2" t="str">
        <f>IF($F503&lt;&gt;INDEX(dim_products!$D$2:$D$21,MATCH($E503,dim_products!$A$2:$A$21,0)),"单位不一致","")</f>
        <v/>
      </c>
      <c r="U503" s="2" t="str">
        <f>IF(OR(ROUND(raw_order_lines!J503*100,0)&lt;ROUND(INDEX(dim_products!$F$2:$F$21,MATCH($E503,dim_products!$A$2:$A$21,0))*100,0),ROUND(raw_order_lines!J503*100,0)&gt;ROUND(INDEX(dim_products!$G$2:$G$21,MATCH($E503,dim_products!$A$2:$A$21,0))*100,0)),"单价越界","")</f>
        <v/>
      </c>
      <c r="V503" s="2" t="str">
        <f t="shared" si="22"/>
        <v/>
      </c>
      <c r="W503" s="2" t="str">
        <f t="shared" si="23"/>
        <v>通过</v>
      </c>
    </row>
    <row r="504" spans="1:23" ht="15">
      <c r="A504" s="2" t="str">
        <f>raw_order_lines!A504</f>
        <v>SIM-20260916-C003</v>
      </c>
      <c r="B504" s="2">
        <f>raw_order_lines!B504</f>
        <v>1</v>
      </c>
      <c r="C504" s="2" t="str">
        <f>raw_order_lines!C504</f>
        <v>C003</v>
      </c>
      <c r="D504" s="3">
        <f>raw_order_lines!D504</f>
        <v>46281</v>
      </c>
      <c r="E504" s="2" t="str">
        <f>raw_order_lines!E504</f>
        <v>P010</v>
      </c>
      <c r="F504" s="2" t="str">
        <f>raw_order_lines!F504</f>
        <v>公斤</v>
      </c>
      <c r="G504" s="4">
        <f>raw_order_lines!G504</f>
        <v>4.9000000000000004</v>
      </c>
      <c r="H504" s="4">
        <f>raw_order_lines!H504</f>
        <v>4.9000000000000004</v>
      </c>
      <c r="I504" s="4">
        <f>raw_order_lines!I504</f>
        <v>0</v>
      </c>
      <c r="J504" s="5">
        <f>raw_order_lines!J504</f>
        <v>4.5</v>
      </c>
      <c r="K504" s="2" t="str">
        <f>raw_order_lines!K504</f>
        <v>正常交付</v>
      </c>
      <c r="L504" s="2" t="str">
        <f>raw_order_lines!L504</f>
        <v>true</v>
      </c>
      <c r="M504" s="2" t="str">
        <f>INDEX(dim_products!$B$2:$B$21,MATCH($E504,dim_products!$A$2:$A$21,0))</f>
        <v>空心菜</v>
      </c>
      <c r="N504" s="2" t="str">
        <f>INDEX(dim_products!$C$2:$C$21,MATCH($E504,dim_products!$A$2:$A$21,0))</f>
        <v>散装鲜菜</v>
      </c>
      <c r="O504" s="2" t="str">
        <f>INDEX(dim_customers!$B$2:$B$7,MATCH($C504,dim_customers!$A$2:$A$7,0))</f>
        <v>模拟_兴街快餐店</v>
      </c>
      <c r="P504" s="6">
        <f>INT((ROUND(raw_order_lines!H504*10,0)*ROUND(raw_order_lines!J504*100,0)+5)/10)/100</f>
        <v>22.05</v>
      </c>
      <c r="Q504" s="6">
        <f>INT((ROUND(raw_order_lines!I504*10,0)*ROUND(raw_order_lines!J504*100,0)+5)/10)/100</f>
        <v>0</v>
      </c>
      <c r="R504" s="6">
        <f t="shared" si="21"/>
        <v>22.05</v>
      </c>
      <c r="S504" s="2" t="str">
        <f>IF(OR(ROUND(raw_order_lines!I504*10,0)&gt;ROUND(raw_order_lines!H504*10,0),ROUND(raw_order_lines!H504*10,0)&gt;ROUND(raw_order_lines!G504*10,0),ROUND(raw_order_lines!G504*10,0)&lt;=0),"数量关系异常","")</f>
        <v/>
      </c>
      <c r="T504" s="2" t="str">
        <f>IF($F504&lt;&gt;INDEX(dim_products!$D$2:$D$21,MATCH($E504,dim_products!$A$2:$A$21,0)),"单位不一致","")</f>
        <v/>
      </c>
      <c r="U504" s="2" t="str">
        <f>IF(OR(ROUND(raw_order_lines!J504*100,0)&lt;ROUND(INDEX(dim_products!$F$2:$F$21,MATCH($E504,dim_products!$A$2:$A$21,0))*100,0),ROUND(raw_order_lines!J504*100,0)&gt;ROUND(INDEX(dim_products!$G$2:$G$21,MATCH($E504,dim_products!$A$2:$A$21,0))*100,0)),"单价越界","")</f>
        <v/>
      </c>
      <c r="V504" s="2" t="str">
        <f t="shared" si="22"/>
        <v/>
      </c>
      <c r="W504" s="2" t="str">
        <f t="shared" si="23"/>
        <v>通过</v>
      </c>
    </row>
    <row r="505" spans="1:23" ht="15">
      <c r="A505" s="2" t="str">
        <f>raw_order_lines!A505</f>
        <v>SIM-20260916-C003</v>
      </c>
      <c r="B505" s="2">
        <f>raw_order_lines!B505</f>
        <v>2</v>
      </c>
      <c r="C505" s="2" t="str">
        <f>raw_order_lines!C505</f>
        <v>C003</v>
      </c>
      <c r="D505" s="3">
        <f>raw_order_lines!D505</f>
        <v>46281</v>
      </c>
      <c r="E505" s="2" t="str">
        <f>raw_order_lines!E505</f>
        <v>P008</v>
      </c>
      <c r="F505" s="2" t="str">
        <f>raw_order_lines!F505</f>
        <v>公斤</v>
      </c>
      <c r="G505" s="4">
        <f>raw_order_lines!G505</f>
        <v>5.8</v>
      </c>
      <c r="H505" s="4">
        <f>raw_order_lines!H505</f>
        <v>5.8</v>
      </c>
      <c r="I505" s="4">
        <f>raw_order_lines!I505</f>
        <v>0</v>
      </c>
      <c r="J505" s="5">
        <f>raw_order_lines!J505</f>
        <v>4.4000000000000004</v>
      </c>
      <c r="K505" s="2" t="str">
        <f>raw_order_lines!K505</f>
        <v>正常交付</v>
      </c>
      <c r="L505" s="2" t="str">
        <f>raw_order_lines!L505</f>
        <v>true</v>
      </c>
      <c r="M505" s="2" t="str">
        <f>INDEX(dim_products!$B$2:$B$21,MATCH($E505,dim_products!$A$2:$A$21,0))</f>
        <v>黄瓜</v>
      </c>
      <c r="N505" s="2" t="str">
        <f>INDEX(dim_products!$C$2:$C$21,MATCH($E505,dim_products!$A$2:$A$21,0))</f>
        <v>散装鲜菜</v>
      </c>
      <c r="O505" s="2" t="str">
        <f>INDEX(dim_customers!$B$2:$B$7,MATCH($C505,dim_customers!$A$2:$A$7,0))</f>
        <v>模拟_兴街快餐店</v>
      </c>
      <c r="P505" s="6">
        <f>INT((ROUND(raw_order_lines!H505*10,0)*ROUND(raw_order_lines!J505*100,0)+5)/10)/100</f>
        <v>25.52</v>
      </c>
      <c r="Q505" s="6">
        <f>INT((ROUND(raw_order_lines!I505*10,0)*ROUND(raw_order_lines!J505*100,0)+5)/10)/100</f>
        <v>0</v>
      </c>
      <c r="R505" s="6">
        <f t="shared" si="21"/>
        <v>25.52</v>
      </c>
      <c r="S505" s="2" t="str">
        <f>IF(OR(ROUND(raw_order_lines!I505*10,0)&gt;ROUND(raw_order_lines!H505*10,0),ROUND(raw_order_lines!H505*10,0)&gt;ROUND(raw_order_lines!G505*10,0),ROUND(raw_order_lines!G505*10,0)&lt;=0),"数量关系异常","")</f>
        <v/>
      </c>
      <c r="T505" s="2" t="str">
        <f>IF($F505&lt;&gt;INDEX(dim_products!$D$2:$D$21,MATCH($E505,dim_products!$A$2:$A$21,0)),"单位不一致","")</f>
        <v/>
      </c>
      <c r="U505" s="2" t="str">
        <f>IF(OR(ROUND(raw_order_lines!J505*100,0)&lt;ROUND(INDEX(dim_products!$F$2:$F$21,MATCH($E505,dim_products!$A$2:$A$21,0))*100,0),ROUND(raw_order_lines!J505*100,0)&gt;ROUND(INDEX(dim_products!$G$2:$G$21,MATCH($E505,dim_products!$A$2:$A$21,0))*100,0)),"单价越界","")</f>
        <v/>
      </c>
      <c r="V505" s="2" t="str">
        <f t="shared" si="22"/>
        <v/>
      </c>
      <c r="W505" s="2" t="str">
        <f t="shared" si="23"/>
        <v>通过</v>
      </c>
    </row>
    <row r="506" spans="1:23" ht="15">
      <c r="A506" s="2" t="str">
        <f>raw_order_lines!A506</f>
        <v>SIM-20260916-C003</v>
      </c>
      <c r="B506" s="2">
        <f>raw_order_lines!B506</f>
        <v>3</v>
      </c>
      <c r="C506" s="2" t="str">
        <f>raw_order_lines!C506</f>
        <v>C003</v>
      </c>
      <c r="D506" s="3">
        <f>raw_order_lines!D506</f>
        <v>46281</v>
      </c>
      <c r="E506" s="2" t="str">
        <f>raw_order_lines!E506</f>
        <v>P001</v>
      </c>
      <c r="F506" s="2" t="str">
        <f>raw_order_lines!F506</f>
        <v>公斤</v>
      </c>
      <c r="G506" s="4">
        <f>raw_order_lines!G506</f>
        <v>7.3</v>
      </c>
      <c r="H506" s="4">
        <f>raw_order_lines!H506</f>
        <v>7.3</v>
      </c>
      <c r="I506" s="4">
        <f>raw_order_lines!I506</f>
        <v>0</v>
      </c>
      <c r="J506" s="5">
        <f>raw_order_lines!J506</f>
        <v>3.4</v>
      </c>
      <c r="K506" s="2" t="str">
        <f>raw_order_lines!K506</f>
        <v>正常交付</v>
      </c>
      <c r="L506" s="2" t="str">
        <f>raw_order_lines!L506</f>
        <v>true</v>
      </c>
      <c r="M506" s="2" t="str">
        <f>INDEX(dim_products!$B$2:$B$21,MATCH($E506,dim_products!$A$2:$A$21,0))</f>
        <v>土豆</v>
      </c>
      <c r="N506" s="2" t="str">
        <f>INDEX(dim_products!$C$2:$C$21,MATCH($E506,dim_products!$A$2:$A$21,0))</f>
        <v>散装鲜菜</v>
      </c>
      <c r="O506" s="2" t="str">
        <f>INDEX(dim_customers!$B$2:$B$7,MATCH($C506,dim_customers!$A$2:$A$7,0))</f>
        <v>模拟_兴街快餐店</v>
      </c>
      <c r="P506" s="6">
        <f>INT((ROUND(raw_order_lines!H506*10,0)*ROUND(raw_order_lines!J506*100,0)+5)/10)/100</f>
        <v>24.82</v>
      </c>
      <c r="Q506" s="6">
        <f>INT((ROUND(raw_order_lines!I506*10,0)*ROUND(raw_order_lines!J506*100,0)+5)/10)/100</f>
        <v>0</v>
      </c>
      <c r="R506" s="6">
        <f t="shared" si="21"/>
        <v>24.82</v>
      </c>
      <c r="S506" s="2" t="str">
        <f>IF(OR(ROUND(raw_order_lines!I506*10,0)&gt;ROUND(raw_order_lines!H506*10,0),ROUND(raw_order_lines!H506*10,0)&gt;ROUND(raw_order_lines!G506*10,0),ROUND(raw_order_lines!G506*10,0)&lt;=0),"数量关系异常","")</f>
        <v/>
      </c>
      <c r="T506" s="2" t="str">
        <f>IF($F506&lt;&gt;INDEX(dim_products!$D$2:$D$21,MATCH($E506,dim_products!$A$2:$A$21,0)),"单位不一致","")</f>
        <v/>
      </c>
      <c r="U506" s="2" t="str">
        <f>IF(OR(ROUND(raw_order_lines!J506*100,0)&lt;ROUND(INDEX(dim_products!$F$2:$F$21,MATCH($E506,dim_products!$A$2:$A$21,0))*100,0),ROUND(raw_order_lines!J506*100,0)&gt;ROUND(INDEX(dim_products!$G$2:$G$21,MATCH($E506,dim_products!$A$2:$A$21,0))*100,0)),"单价越界","")</f>
        <v/>
      </c>
      <c r="V506" s="2" t="str">
        <f t="shared" si="22"/>
        <v/>
      </c>
      <c r="W506" s="2" t="str">
        <f t="shared" si="23"/>
        <v>通过</v>
      </c>
    </row>
    <row r="507" spans="1:23" ht="15">
      <c r="A507" s="2" t="str">
        <f>raw_order_lines!A507</f>
        <v>SIM-20260916-C003</v>
      </c>
      <c r="B507" s="2">
        <f>raw_order_lines!B507</f>
        <v>4</v>
      </c>
      <c r="C507" s="2" t="str">
        <f>raw_order_lines!C507</f>
        <v>C003</v>
      </c>
      <c r="D507" s="3">
        <f>raw_order_lines!D507</f>
        <v>46281</v>
      </c>
      <c r="E507" s="2" t="str">
        <f>raw_order_lines!E507</f>
        <v>P009</v>
      </c>
      <c r="F507" s="2" t="str">
        <f>raw_order_lines!F507</f>
        <v>公斤</v>
      </c>
      <c r="G507" s="4">
        <f>raw_order_lines!G507</f>
        <v>6.8</v>
      </c>
      <c r="H507" s="4">
        <f>raw_order_lines!H507</f>
        <v>6.8</v>
      </c>
      <c r="I507" s="4">
        <f>raw_order_lines!I507</f>
        <v>0</v>
      </c>
      <c r="J507" s="5">
        <f>raw_order_lines!J507</f>
        <v>4.8</v>
      </c>
      <c r="K507" s="2" t="str">
        <f>raw_order_lines!K507</f>
        <v>正常交付</v>
      </c>
      <c r="L507" s="2" t="str">
        <f>raw_order_lines!L507</f>
        <v>true</v>
      </c>
      <c r="M507" s="2" t="str">
        <f>INDEX(dim_products!$B$2:$B$21,MATCH($E507,dim_products!$A$2:$A$21,0))</f>
        <v>西红柿</v>
      </c>
      <c r="N507" s="2" t="str">
        <f>INDEX(dim_products!$C$2:$C$21,MATCH($E507,dim_products!$A$2:$A$21,0))</f>
        <v>散装鲜菜</v>
      </c>
      <c r="O507" s="2" t="str">
        <f>INDEX(dim_customers!$B$2:$B$7,MATCH($C507,dim_customers!$A$2:$A$7,0))</f>
        <v>模拟_兴街快餐店</v>
      </c>
      <c r="P507" s="6">
        <f>INT((ROUND(raw_order_lines!H507*10,0)*ROUND(raw_order_lines!J507*100,0)+5)/10)/100</f>
        <v>32.64</v>
      </c>
      <c r="Q507" s="6">
        <f>INT((ROUND(raw_order_lines!I507*10,0)*ROUND(raw_order_lines!J507*100,0)+5)/10)/100</f>
        <v>0</v>
      </c>
      <c r="R507" s="6">
        <f t="shared" si="21"/>
        <v>32.64</v>
      </c>
      <c r="S507" s="2" t="str">
        <f>IF(OR(ROUND(raw_order_lines!I507*10,0)&gt;ROUND(raw_order_lines!H507*10,0),ROUND(raw_order_lines!H507*10,0)&gt;ROUND(raw_order_lines!G507*10,0),ROUND(raw_order_lines!G507*10,0)&lt;=0),"数量关系异常","")</f>
        <v/>
      </c>
      <c r="T507" s="2" t="str">
        <f>IF($F507&lt;&gt;INDEX(dim_products!$D$2:$D$21,MATCH($E507,dim_products!$A$2:$A$21,0)),"单位不一致","")</f>
        <v/>
      </c>
      <c r="U507" s="2" t="str">
        <f>IF(OR(ROUND(raw_order_lines!J507*100,0)&lt;ROUND(INDEX(dim_products!$F$2:$F$21,MATCH($E507,dim_products!$A$2:$A$21,0))*100,0),ROUND(raw_order_lines!J507*100,0)&gt;ROUND(INDEX(dim_products!$G$2:$G$21,MATCH($E507,dim_products!$A$2:$A$21,0))*100,0)),"单价越界","")</f>
        <v/>
      </c>
      <c r="V507" s="2" t="str">
        <f t="shared" si="22"/>
        <v/>
      </c>
      <c r="W507" s="2" t="str">
        <f t="shared" si="23"/>
        <v>通过</v>
      </c>
    </row>
    <row r="508" spans="1:23" ht="15">
      <c r="A508" s="2" t="str">
        <f>raw_order_lines!A508</f>
        <v>SIM-20260916-C003</v>
      </c>
      <c r="B508" s="2">
        <f>raw_order_lines!B508</f>
        <v>5</v>
      </c>
      <c r="C508" s="2" t="str">
        <f>raw_order_lines!C508</f>
        <v>C003</v>
      </c>
      <c r="D508" s="3">
        <f>raw_order_lines!D508</f>
        <v>46281</v>
      </c>
      <c r="E508" s="2" t="str">
        <f>raw_order_lines!E508</f>
        <v>P006</v>
      </c>
      <c r="F508" s="2" t="str">
        <f>raw_order_lines!F508</f>
        <v>公斤</v>
      </c>
      <c r="G508" s="4">
        <f>raw_order_lines!G508</f>
        <v>6.3</v>
      </c>
      <c r="H508" s="4">
        <f>raw_order_lines!H508</f>
        <v>6.3</v>
      </c>
      <c r="I508" s="4">
        <f>raw_order_lines!I508</f>
        <v>0</v>
      </c>
      <c r="J508" s="5">
        <f>raw_order_lines!J508</f>
        <v>4.8</v>
      </c>
      <c r="K508" s="2" t="str">
        <f>raw_order_lines!K508</f>
        <v>正常交付</v>
      </c>
      <c r="L508" s="2" t="str">
        <f>raw_order_lines!L508</f>
        <v>true</v>
      </c>
      <c r="M508" s="2" t="str">
        <f>INDEX(dim_products!$B$2:$B$21,MATCH($E508,dim_products!$A$2:$A$21,0))</f>
        <v>茄子</v>
      </c>
      <c r="N508" s="2" t="str">
        <f>INDEX(dim_products!$C$2:$C$21,MATCH($E508,dim_products!$A$2:$A$21,0))</f>
        <v>散装鲜菜</v>
      </c>
      <c r="O508" s="2" t="str">
        <f>INDEX(dim_customers!$B$2:$B$7,MATCH($C508,dim_customers!$A$2:$A$7,0))</f>
        <v>模拟_兴街快餐店</v>
      </c>
      <c r="P508" s="6">
        <f>INT((ROUND(raw_order_lines!H508*10,0)*ROUND(raw_order_lines!J508*100,0)+5)/10)/100</f>
        <v>30.24</v>
      </c>
      <c r="Q508" s="6">
        <f>INT((ROUND(raw_order_lines!I508*10,0)*ROUND(raw_order_lines!J508*100,0)+5)/10)/100</f>
        <v>0</v>
      </c>
      <c r="R508" s="6">
        <f t="shared" si="21"/>
        <v>30.24</v>
      </c>
      <c r="S508" s="2" t="str">
        <f>IF(OR(ROUND(raw_order_lines!I508*10,0)&gt;ROUND(raw_order_lines!H508*10,0),ROUND(raw_order_lines!H508*10,0)&gt;ROUND(raw_order_lines!G508*10,0),ROUND(raw_order_lines!G508*10,0)&lt;=0),"数量关系异常","")</f>
        <v/>
      </c>
      <c r="T508" s="2" t="str">
        <f>IF($F508&lt;&gt;INDEX(dim_products!$D$2:$D$21,MATCH($E508,dim_products!$A$2:$A$21,0)),"单位不一致","")</f>
        <v/>
      </c>
      <c r="U508" s="2" t="str">
        <f>IF(OR(ROUND(raw_order_lines!J508*100,0)&lt;ROUND(INDEX(dim_products!$F$2:$F$21,MATCH($E508,dim_products!$A$2:$A$21,0))*100,0),ROUND(raw_order_lines!J508*100,0)&gt;ROUND(INDEX(dim_products!$G$2:$G$21,MATCH($E508,dim_products!$A$2:$A$21,0))*100,0)),"单价越界","")</f>
        <v/>
      </c>
      <c r="V508" s="2" t="str">
        <f t="shared" si="22"/>
        <v/>
      </c>
      <c r="W508" s="2" t="str">
        <f t="shared" si="23"/>
        <v>通过</v>
      </c>
    </row>
    <row r="509" spans="1:23" ht="15">
      <c r="A509" s="2" t="str">
        <f>raw_order_lines!A509</f>
        <v>SIM-20260916-C003</v>
      </c>
      <c r="B509" s="2">
        <f>raw_order_lines!B509</f>
        <v>6</v>
      </c>
      <c r="C509" s="2" t="str">
        <f>raw_order_lines!C509</f>
        <v>C003</v>
      </c>
      <c r="D509" s="3">
        <f>raw_order_lines!D509</f>
        <v>46281</v>
      </c>
      <c r="E509" s="2" t="str">
        <f>raw_order_lines!E509</f>
        <v>P004</v>
      </c>
      <c r="F509" s="2" t="str">
        <f>raw_order_lines!F509</f>
        <v>公斤</v>
      </c>
      <c r="G509" s="4">
        <f>raw_order_lines!G509</f>
        <v>6.3</v>
      </c>
      <c r="H509" s="4">
        <f>raw_order_lines!H509</f>
        <v>6.3</v>
      </c>
      <c r="I509" s="4">
        <f>raw_order_lines!I509</f>
        <v>0</v>
      </c>
      <c r="J509" s="5">
        <f>raw_order_lines!J509</f>
        <v>2.6</v>
      </c>
      <c r="K509" s="2" t="str">
        <f>raw_order_lines!K509</f>
        <v>正常交付</v>
      </c>
      <c r="L509" s="2" t="str">
        <f>raw_order_lines!L509</f>
        <v>true</v>
      </c>
      <c r="M509" s="2" t="str">
        <f>INDEX(dim_products!$B$2:$B$21,MATCH($E509,dim_products!$A$2:$A$21,0))</f>
        <v>冬瓜</v>
      </c>
      <c r="N509" s="2" t="str">
        <f>INDEX(dim_products!$C$2:$C$21,MATCH($E509,dim_products!$A$2:$A$21,0))</f>
        <v>散装鲜菜</v>
      </c>
      <c r="O509" s="2" t="str">
        <f>INDEX(dim_customers!$B$2:$B$7,MATCH($C509,dim_customers!$A$2:$A$7,0))</f>
        <v>模拟_兴街快餐店</v>
      </c>
      <c r="P509" s="6">
        <f>INT((ROUND(raw_order_lines!H509*10,0)*ROUND(raw_order_lines!J509*100,0)+5)/10)/100</f>
        <v>16.38</v>
      </c>
      <c r="Q509" s="6">
        <f>INT((ROUND(raw_order_lines!I509*10,0)*ROUND(raw_order_lines!J509*100,0)+5)/10)/100</f>
        <v>0</v>
      </c>
      <c r="R509" s="6">
        <f t="shared" si="21"/>
        <v>16.38</v>
      </c>
      <c r="S509" s="2" t="str">
        <f>IF(OR(ROUND(raw_order_lines!I509*10,0)&gt;ROUND(raw_order_lines!H509*10,0),ROUND(raw_order_lines!H509*10,0)&gt;ROUND(raw_order_lines!G509*10,0),ROUND(raw_order_lines!G509*10,0)&lt;=0),"数量关系异常","")</f>
        <v/>
      </c>
      <c r="T509" s="2" t="str">
        <f>IF($F509&lt;&gt;INDEX(dim_products!$D$2:$D$21,MATCH($E509,dim_products!$A$2:$A$21,0)),"单位不一致","")</f>
        <v/>
      </c>
      <c r="U509" s="2" t="str">
        <f>IF(OR(ROUND(raw_order_lines!J509*100,0)&lt;ROUND(INDEX(dim_products!$F$2:$F$21,MATCH($E509,dim_products!$A$2:$A$21,0))*100,0),ROUND(raw_order_lines!J509*100,0)&gt;ROUND(INDEX(dim_products!$G$2:$G$21,MATCH($E509,dim_products!$A$2:$A$21,0))*100,0)),"单价越界","")</f>
        <v/>
      </c>
      <c r="V509" s="2" t="str">
        <f t="shared" si="22"/>
        <v/>
      </c>
      <c r="W509" s="2" t="str">
        <f t="shared" si="23"/>
        <v>通过</v>
      </c>
    </row>
    <row r="510" spans="1:23" ht="15">
      <c r="A510" s="2" t="str">
        <f>raw_order_lines!A510</f>
        <v>SIM-20260916-C005</v>
      </c>
      <c r="B510" s="2">
        <f>raw_order_lines!B510</f>
        <v>1</v>
      </c>
      <c r="C510" s="2" t="str">
        <f>raw_order_lines!C510</f>
        <v>C005</v>
      </c>
      <c r="D510" s="3">
        <f>raw_order_lines!D510</f>
        <v>46281</v>
      </c>
      <c r="E510" s="2" t="str">
        <f>raw_order_lines!E510</f>
        <v>P011</v>
      </c>
      <c r="F510" s="2" t="str">
        <f>raw_order_lines!F510</f>
        <v>公斤</v>
      </c>
      <c r="G510" s="4">
        <f>raw_order_lines!G510</f>
        <v>9.1</v>
      </c>
      <c r="H510" s="4">
        <f>raw_order_lines!H510</f>
        <v>9.1</v>
      </c>
      <c r="I510" s="4">
        <f>raw_order_lines!I510</f>
        <v>0</v>
      </c>
      <c r="J510" s="5">
        <f>raw_order_lines!J510</f>
        <v>4.3</v>
      </c>
      <c r="K510" s="2" t="str">
        <f>raw_order_lines!K510</f>
        <v>正常交付</v>
      </c>
      <c r="L510" s="2" t="str">
        <f>raw_order_lines!L510</f>
        <v>true</v>
      </c>
      <c r="M510" s="2" t="str">
        <f>INDEX(dim_products!$B$2:$B$21,MATCH($E510,dim_products!$A$2:$A$21,0))</f>
        <v>红薯叶</v>
      </c>
      <c r="N510" s="2" t="str">
        <f>INDEX(dim_products!$C$2:$C$21,MATCH($E510,dim_products!$A$2:$A$21,0))</f>
        <v>散装鲜菜</v>
      </c>
      <c r="O510" s="2" t="str">
        <f>INDEX(dim_customers!$B$2:$B$7,MATCH($C510,dim_customers!$A$2:$A$7,0))</f>
        <v>模拟_青禾小学食堂</v>
      </c>
      <c r="P510" s="6">
        <f>INT((ROUND(raw_order_lines!H510*10,0)*ROUND(raw_order_lines!J510*100,0)+5)/10)/100</f>
        <v>39.130000000000003</v>
      </c>
      <c r="Q510" s="6">
        <f>INT((ROUND(raw_order_lines!I510*10,0)*ROUND(raw_order_lines!J510*100,0)+5)/10)/100</f>
        <v>0</v>
      </c>
      <c r="R510" s="6">
        <f t="shared" si="21"/>
        <v>39.130000000000003</v>
      </c>
      <c r="S510" s="2" t="str">
        <f>IF(OR(ROUND(raw_order_lines!I510*10,0)&gt;ROUND(raw_order_lines!H510*10,0),ROUND(raw_order_lines!H510*10,0)&gt;ROUND(raw_order_lines!G510*10,0),ROUND(raw_order_lines!G510*10,0)&lt;=0),"数量关系异常","")</f>
        <v/>
      </c>
      <c r="T510" s="2" t="str">
        <f>IF($F510&lt;&gt;INDEX(dim_products!$D$2:$D$21,MATCH($E510,dim_products!$A$2:$A$21,0)),"单位不一致","")</f>
        <v/>
      </c>
      <c r="U510" s="2" t="str">
        <f>IF(OR(ROUND(raw_order_lines!J510*100,0)&lt;ROUND(INDEX(dim_products!$F$2:$F$21,MATCH($E510,dim_products!$A$2:$A$21,0))*100,0),ROUND(raw_order_lines!J510*100,0)&gt;ROUND(INDEX(dim_products!$G$2:$G$21,MATCH($E510,dim_products!$A$2:$A$21,0))*100,0)),"单价越界","")</f>
        <v/>
      </c>
      <c r="V510" s="2" t="str">
        <f t="shared" si="22"/>
        <v/>
      </c>
      <c r="W510" s="2" t="str">
        <f t="shared" si="23"/>
        <v>通过</v>
      </c>
    </row>
    <row r="511" spans="1:23" ht="15">
      <c r="A511" s="2" t="str">
        <f>raw_order_lines!A511</f>
        <v>SIM-20260916-C005</v>
      </c>
      <c r="B511" s="2">
        <f>raw_order_lines!B511</f>
        <v>2</v>
      </c>
      <c r="C511" s="2" t="str">
        <f>raw_order_lines!C511</f>
        <v>C005</v>
      </c>
      <c r="D511" s="3">
        <f>raw_order_lines!D511</f>
        <v>46281</v>
      </c>
      <c r="E511" s="2" t="str">
        <f>raw_order_lines!E511</f>
        <v>P008</v>
      </c>
      <c r="F511" s="2" t="str">
        <f>raw_order_lines!F511</f>
        <v>公斤</v>
      </c>
      <c r="G511" s="4">
        <f>raw_order_lines!G511</f>
        <v>9.1</v>
      </c>
      <c r="H511" s="4">
        <f>raw_order_lines!H511</f>
        <v>9.1</v>
      </c>
      <c r="I511" s="4">
        <f>raw_order_lines!I511</f>
        <v>0</v>
      </c>
      <c r="J511" s="5">
        <f>raw_order_lines!J511</f>
        <v>4.4000000000000004</v>
      </c>
      <c r="K511" s="2" t="str">
        <f>raw_order_lines!K511</f>
        <v>正常交付</v>
      </c>
      <c r="L511" s="2" t="str">
        <f>raw_order_lines!L511</f>
        <v>true</v>
      </c>
      <c r="M511" s="2" t="str">
        <f>INDEX(dim_products!$B$2:$B$21,MATCH($E511,dim_products!$A$2:$A$21,0))</f>
        <v>黄瓜</v>
      </c>
      <c r="N511" s="2" t="str">
        <f>INDEX(dim_products!$C$2:$C$21,MATCH($E511,dim_products!$A$2:$A$21,0))</f>
        <v>散装鲜菜</v>
      </c>
      <c r="O511" s="2" t="str">
        <f>INDEX(dim_customers!$B$2:$B$7,MATCH($C511,dim_customers!$A$2:$A$7,0))</f>
        <v>模拟_青禾小学食堂</v>
      </c>
      <c r="P511" s="6">
        <f>INT((ROUND(raw_order_lines!H511*10,0)*ROUND(raw_order_lines!J511*100,0)+5)/10)/100</f>
        <v>40.04</v>
      </c>
      <c r="Q511" s="6">
        <f>INT((ROUND(raw_order_lines!I511*10,0)*ROUND(raw_order_lines!J511*100,0)+5)/10)/100</f>
        <v>0</v>
      </c>
      <c r="R511" s="6">
        <f t="shared" si="21"/>
        <v>40.04</v>
      </c>
      <c r="S511" s="2" t="str">
        <f>IF(OR(ROUND(raw_order_lines!I511*10,0)&gt;ROUND(raw_order_lines!H511*10,0),ROUND(raw_order_lines!H511*10,0)&gt;ROUND(raw_order_lines!G511*10,0),ROUND(raw_order_lines!G511*10,0)&lt;=0),"数量关系异常","")</f>
        <v/>
      </c>
      <c r="T511" s="2" t="str">
        <f>IF($F511&lt;&gt;INDEX(dim_products!$D$2:$D$21,MATCH($E511,dim_products!$A$2:$A$21,0)),"单位不一致","")</f>
        <v/>
      </c>
      <c r="U511" s="2" t="str">
        <f>IF(OR(ROUND(raw_order_lines!J511*100,0)&lt;ROUND(INDEX(dim_products!$F$2:$F$21,MATCH($E511,dim_products!$A$2:$A$21,0))*100,0),ROUND(raw_order_lines!J511*100,0)&gt;ROUND(INDEX(dim_products!$G$2:$G$21,MATCH($E511,dim_products!$A$2:$A$21,0))*100,0)),"单价越界","")</f>
        <v/>
      </c>
      <c r="V511" s="2" t="str">
        <f t="shared" si="22"/>
        <v/>
      </c>
      <c r="W511" s="2" t="str">
        <f t="shared" si="23"/>
        <v>通过</v>
      </c>
    </row>
    <row r="512" spans="1:23" ht="15">
      <c r="A512" s="2" t="str">
        <f>raw_order_lines!A512</f>
        <v>SIM-20260916-C005</v>
      </c>
      <c r="B512" s="2">
        <f>raw_order_lines!B512</f>
        <v>3</v>
      </c>
      <c r="C512" s="2" t="str">
        <f>raw_order_lines!C512</f>
        <v>C005</v>
      </c>
      <c r="D512" s="3">
        <f>raw_order_lines!D512</f>
        <v>46281</v>
      </c>
      <c r="E512" s="2" t="str">
        <f>raw_order_lines!E512</f>
        <v>P001</v>
      </c>
      <c r="F512" s="2" t="str">
        <f>raw_order_lines!F512</f>
        <v>公斤</v>
      </c>
      <c r="G512" s="4">
        <f>raw_order_lines!G512</f>
        <v>11.1</v>
      </c>
      <c r="H512" s="4">
        <f>raw_order_lines!H512</f>
        <v>11.1</v>
      </c>
      <c r="I512" s="4">
        <f>raw_order_lines!I512</f>
        <v>0</v>
      </c>
      <c r="J512" s="5">
        <f>raw_order_lines!J512</f>
        <v>3.4</v>
      </c>
      <c r="K512" s="2" t="str">
        <f>raw_order_lines!K512</f>
        <v>正常交付</v>
      </c>
      <c r="L512" s="2" t="str">
        <f>raw_order_lines!L512</f>
        <v>true</v>
      </c>
      <c r="M512" s="2" t="str">
        <f>INDEX(dim_products!$B$2:$B$21,MATCH($E512,dim_products!$A$2:$A$21,0))</f>
        <v>土豆</v>
      </c>
      <c r="N512" s="2" t="str">
        <f>INDEX(dim_products!$C$2:$C$21,MATCH($E512,dim_products!$A$2:$A$21,0))</f>
        <v>散装鲜菜</v>
      </c>
      <c r="O512" s="2" t="str">
        <f>INDEX(dim_customers!$B$2:$B$7,MATCH($C512,dim_customers!$A$2:$A$7,0))</f>
        <v>模拟_青禾小学食堂</v>
      </c>
      <c r="P512" s="6">
        <f>INT((ROUND(raw_order_lines!H512*10,0)*ROUND(raw_order_lines!J512*100,0)+5)/10)/100</f>
        <v>37.74</v>
      </c>
      <c r="Q512" s="6">
        <f>INT((ROUND(raw_order_lines!I512*10,0)*ROUND(raw_order_lines!J512*100,0)+5)/10)/100</f>
        <v>0</v>
      </c>
      <c r="R512" s="6">
        <f t="shared" si="21"/>
        <v>37.74</v>
      </c>
      <c r="S512" s="2" t="str">
        <f>IF(OR(ROUND(raw_order_lines!I512*10,0)&gt;ROUND(raw_order_lines!H512*10,0),ROUND(raw_order_lines!H512*10,0)&gt;ROUND(raw_order_lines!G512*10,0),ROUND(raw_order_lines!G512*10,0)&lt;=0),"数量关系异常","")</f>
        <v/>
      </c>
      <c r="T512" s="2" t="str">
        <f>IF($F512&lt;&gt;INDEX(dim_products!$D$2:$D$21,MATCH($E512,dim_products!$A$2:$A$21,0)),"单位不一致","")</f>
        <v/>
      </c>
      <c r="U512" s="2" t="str">
        <f>IF(OR(ROUND(raw_order_lines!J512*100,0)&lt;ROUND(INDEX(dim_products!$F$2:$F$21,MATCH($E512,dim_products!$A$2:$A$21,0))*100,0),ROUND(raw_order_lines!J512*100,0)&gt;ROUND(INDEX(dim_products!$G$2:$G$21,MATCH($E512,dim_products!$A$2:$A$21,0))*100,0)),"单价越界","")</f>
        <v/>
      </c>
      <c r="V512" s="2" t="str">
        <f t="shared" si="22"/>
        <v/>
      </c>
      <c r="W512" s="2" t="str">
        <f t="shared" si="23"/>
        <v>通过</v>
      </c>
    </row>
    <row r="513" spans="1:23" ht="15">
      <c r="A513" s="2" t="str">
        <f>raw_order_lines!A513</f>
        <v>SIM-20260916-C005</v>
      </c>
      <c r="B513" s="2">
        <f>raw_order_lines!B513</f>
        <v>4</v>
      </c>
      <c r="C513" s="2" t="str">
        <f>raw_order_lines!C513</f>
        <v>C005</v>
      </c>
      <c r="D513" s="3">
        <f>raw_order_lines!D513</f>
        <v>46281</v>
      </c>
      <c r="E513" s="2" t="str">
        <f>raw_order_lines!E513</f>
        <v>P003</v>
      </c>
      <c r="F513" s="2" t="str">
        <f>raw_order_lines!F513</f>
        <v>公斤</v>
      </c>
      <c r="G513" s="4">
        <f>raw_order_lines!G513</f>
        <v>9.1</v>
      </c>
      <c r="H513" s="4">
        <f>raw_order_lines!H513</f>
        <v>9.1</v>
      </c>
      <c r="I513" s="4">
        <f>raw_order_lines!I513</f>
        <v>0</v>
      </c>
      <c r="J513" s="5">
        <f>raw_order_lines!J513</f>
        <v>3.5</v>
      </c>
      <c r="K513" s="2" t="str">
        <f>raw_order_lines!K513</f>
        <v>正常交付</v>
      </c>
      <c r="L513" s="2" t="str">
        <f>raw_order_lines!L513</f>
        <v>true</v>
      </c>
      <c r="M513" s="2" t="str">
        <f>INDEX(dim_products!$B$2:$B$21,MATCH($E513,dim_products!$A$2:$A$21,0))</f>
        <v>包菜</v>
      </c>
      <c r="N513" s="2" t="str">
        <f>INDEX(dim_products!$C$2:$C$21,MATCH($E513,dim_products!$A$2:$A$21,0))</f>
        <v>散装鲜菜</v>
      </c>
      <c r="O513" s="2" t="str">
        <f>INDEX(dim_customers!$B$2:$B$7,MATCH($C513,dim_customers!$A$2:$A$7,0))</f>
        <v>模拟_青禾小学食堂</v>
      </c>
      <c r="P513" s="6">
        <f>INT((ROUND(raw_order_lines!H513*10,0)*ROUND(raw_order_lines!J513*100,0)+5)/10)/100</f>
        <v>31.85</v>
      </c>
      <c r="Q513" s="6">
        <f>INT((ROUND(raw_order_lines!I513*10,0)*ROUND(raw_order_lines!J513*100,0)+5)/10)/100</f>
        <v>0</v>
      </c>
      <c r="R513" s="6">
        <f t="shared" si="21"/>
        <v>31.85</v>
      </c>
      <c r="S513" s="2" t="str">
        <f>IF(OR(ROUND(raw_order_lines!I513*10,0)&gt;ROUND(raw_order_lines!H513*10,0),ROUND(raw_order_lines!H513*10,0)&gt;ROUND(raw_order_lines!G513*10,0),ROUND(raw_order_lines!G513*10,0)&lt;=0),"数量关系异常","")</f>
        <v/>
      </c>
      <c r="T513" s="2" t="str">
        <f>IF($F513&lt;&gt;INDEX(dim_products!$D$2:$D$21,MATCH($E513,dim_products!$A$2:$A$21,0)),"单位不一致","")</f>
        <v/>
      </c>
      <c r="U513" s="2" t="str">
        <f>IF(OR(ROUND(raw_order_lines!J513*100,0)&lt;ROUND(INDEX(dim_products!$F$2:$F$21,MATCH($E513,dim_products!$A$2:$A$21,0))*100,0),ROUND(raw_order_lines!J513*100,0)&gt;ROUND(INDEX(dim_products!$G$2:$G$21,MATCH($E513,dim_products!$A$2:$A$21,0))*100,0)),"单价越界","")</f>
        <v/>
      </c>
      <c r="V513" s="2" t="str">
        <f t="shared" si="22"/>
        <v/>
      </c>
      <c r="W513" s="2" t="str">
        <f t="shared" si="23"/>
        <v>通过</v>
      </c>
    </row>
    <row r="514" spans="1:23" ht="15">
      <c r="A514" s="2" t="str">
        <f>raw_order_lines!A514</f>
        <v>SIM-20260916-C005</v>
      </c>
      <c r="B514" s="2">
        <f>raw_order_lines!B514</f>
        <v>5</v>
      </c>
      <c r="C514" s="2" t="str">
        <f>raw_order_lines!C514</f>
        <v>C005</v>
      </c>
      <c r="D514" s="3">
        <f>raw_order_lines!D514</f>
        <v>46281</v>
      </c>
      <c r="E514" s="2" t="str">
        <f>raw_order_lines!E514</f>
        <v>P009</v>
      </c>
      <c r="F514" s="2" t="str">
        <f>raw_order_lines!F514</f>
        <v>公斤</v>
      </c>
      <c r="G514" s="4">
        <f>raw_order_lines!G514</f>
        <v>9.1</v>
      </c>
      <c r="H514" s="4">
        <f>raw_order_lines!H514</f>
        <v>9.1</v>
      </c>
      <c r="I514" s="4">
        <f>raw_order_lines!I514</f>
        <v>0</v>
      </c>
      <c r="J514" s="5">
        <f>raw_order_lines!J514</f>
        <v>4.8</v>
      </c>
      <c r="K514" s="2" t="str">
        <f>raw_order_lines!K514</f>
        <v>正常交付</v>
      </c>
      <c r="L514" s="2" t="str">
        <f>raw_order_lines!L514</f>
        <v>true</v>
      </c>
      <c r="M514" s="2" t="str">
        <f>INDEX(dim_products!$B$2:$B$21,MATCH($E514,dim_products!$A$2:$A$21,0))</f>
        <v>西红柿</v>
      </c>
      <c r="N514" s="2" t="str">
        <f>INDEX(dim_products!$C$2:$C$21,MATCH($E514,dim_products!$A$2:$A$21,0))</f>
        <v>散装鲜菜</v>
      </c>
      <c r="O514" s="2" t="str">
        <f>INDEX(dim_customers!$B$2:$B$7,MATCH($C514,dim_customers!$A$2:$A$7,0))</f>
        <v>模拟_青禾小学食堂</v>
      </c>
      <c r="P514" s="6">
        <f>INT((ROUND(raw_order_lines!H514*10,0)*ROUND(raw_order_lines!J514*100,0)+5)/10)/100</f>
        <v>43.68</v>
      </c>
      <c r="Q514" s="6">
        <f>INT((ROUND(raw_order_lines!I514*10,0)*ROUND(raw_order_lines!J514*100,0)+5)/10)/100</f>
        <v>0</v>
      </c>
      <c r="R514" s="6">
        <f t="shared" ref="R514:R577" si="24">$P514-$Q514</f>
        <v>43.68</v>
      </c>
      <c r="S514" s="2" t="str">
        <f>IF(OR(ROUND(raw_order_lines!I514*10,0)&gt;ROUND(raw_order_lines!H514*10,0),ROUND(raw_order_lines!H514*10,0)&gt;ROUND(raw_order_lines!G514*10,0),ROUND(raw_order_lines!G514*10,0)&lt;=0),"数量关系异常","")</f>
        <v/>
      </c>
      <c r="T514" s="2" t="str">
        <f>IF($F514&lt;&gt;INDEX(dim_products!$D$2:$D$21,MATCH($E514,dim_products!$A$2:$A$21,0)),"单位不一致","")</f>
        <v/>
      </c>
      <c r="U514" s="2" t="str">
        <f>IF(OR(ROUND(raw_order_lines!J514*100,0)&lt;ROUND(INDEX(dim_products!$F$2:$F$21,MATCH($E514,dim_products!$A$2:$A$21,0))*100,0),ROUND(raw_order_lines!J514*100,0)&gt;ROUND(INDEX(dim_products!$G$2:$G$21,MATCH($E514,dim_products!$A$2:$A$21,0))*100,0)),"单价越界","")</f>
        <v/>
      </c>
      <c r="V514" s="2" t="str">
        <f t="shared" ref="V514:V577" si="25">IF(COUNTIFS($A$2:$A$967,$A514,$B$2:$B$967,$B514)&gt;1,"主键重复","")</f>
        <v/>
      </c>
      <c r="W514" s="2" t="str">
        <f t="shared" ref="W514:W577" si="26">IF(COUNTIF($S514:$T514,"?*")+COUNTIF($V514:$V514,"?*")&gt;0,"阻断",IF(COUNTIF($U514:$U514,"?*")&gt;0,"提示","通过"))</f>
        <v>通过</v>
      </c>
    </row>
    <row r="515" spans="1:23" ht="15">
      <c r="A515" s="2" t="str">
        <f>raw_order_lines!A515</f>
        <v>SIM-20260916-C005</v>
      </c>
      <c r="B515" s="2">
        <f>raw_order_lines!B515</f>
        <v>6</v>
      </c>
      <c r="C515" s="2" t="str">
        <f>raw_order_lines!C515</f>
        <v>C005</v>
      </c>
      <c r="D515" s="3">
        <f>raw_order_lines!D515</f>
        <v>46281</v>
      </c>
      <c r="E515" s="2" t="str">
        <f>raw_order_lines!E515</f>
        <v>P004</v>
      </c>
      <c r="F515" s="2" t="str">
        <f>raw_order_lines!F515</f>
        <v>公斤</v>
      </c>
      <c r="G515" s="4">
        <f>raw_order_lines!G515</f>
        <v>7.1</v>
      </c>
      <c r="H515" s="4">
        <f>raw_order_lines!H515</f>
        <v>7.1</v>
      </c>
      <c r="I515" s="4">
        <f>raw_order_lines!I515</f>
        <v>0</v>
      </c>
      <c r="J515" s="5">
        <f>raw_order_lines!J515</f>
        <v>2.6</v>
      </c>
      <c r="K515" s="2" t="str">
        <f>raw_order_lines!K515</f>
        <v>正常交付</v>
      </c>
      <c r="L515" s="2" t="str">
        <f>raw_order_lines!L515</f>
        <v>true</v>
      </c>
      <c r="M515" s="2" t="str">
        <f>INDEX(dim_products!$B$2:$B$21,MATCH($E515,dim_products!$A$2:$A$21,0))</f>
        <v>冬瓜</v>
      </c>
      <c r="N515" s="2" t="str">
        <f>INDEX(dim_products!$C$2:$C$21,MATCH($E515,dim_products!$A$2:$A$21,0))</f>
        <v>散装鲜菜</v>
      </c>
      <c r="O515" s="2" t="str">
        <f>INDEX(dim_customers!$B$2:$B$7,MATCH($C515,dim_customers!$A$2:$A$7,0))</f>
        <v>模拟_青禾小学食堂</v>
      </c>
      <c r="P515" s="6">
        <f>INT((ROUND(raw_order_lines!H515*10,0)*ROUND(raw_order_lines!J515*100,0)+5)/10)/100</f>
        <v>18.46</v>
      </c>
      <c r="Q515" s="6">
        <f>INT((ROUND(raw_order_lines!I515*10,0)*ROUND(raw_order_lines!J515*100,0)+5)/10)/100</f>
        <v>0</v>
      </c>
      <c r="R515" s="6">
        <f t="shared" si="24"/>
        <v>18.46</v>
      </c>
      <c r="S515" s="2" t="str">
        <f>IF(OR(ROUND(raw_order_lines!I515*10,0)&gt;ROUND(raw_order_lines!H515*10,0),ROUND(raw_order_lines!H515*10,0)&gt;ROUND(raw_order_lines!G515*10,0),ROUND(raw_order_lines!G515*10,0)&lt;=0),"数量关系异常","")</f>
        <v/>
      </c>
      <c r="T515" s="2" t="str">
        <f>IF($F515&lt;&gt;INDEX(dim_products!$D$2:$D$21,MATCH($E515,dim_products!$A$2:$A$21,0)),"单位不一致","")</f>
        <v/>
      </c>
      <c r="U515" s="2" t="str">
        <f>IF(OR(ROUND(raw_order_lines!J515*100,0)&lt;ROUND(INDEX(dim_products!$F$2:$F$21,MATCH($E515,dim_products!$A$2:$A$21,0))*100,0),ROUND(raw_order_lines!J515*100,0)&gt;ROUND(INDEX(dim_products!$G$2:$G$21,MATCH($E515,dim_products!$A$2:$A$21,0))*100,0)),"单价越界","")</f>
        <v/>
      </c>
      <c r="V515" s="2" t="str">
        <f t="shared" si="25"/>
        <v/>
      </c>
      <c r="W515" s="2" t="str">
        <f t="shared" si="26"/>
        <v>通过</v>
      </c>
    </row>
    <row r="516" spans="1:23" ht="15">
      <c r="A516" s="2" t="str">
        <f>raw_order_lines!A516</f>
        <v>SIM-20260916-C006</v>
      </c>
      <c r="B516" s="2">
        <f>raw_order_lines!B516</f>
        <v>1</v>
      </c>
      <c r="C516" s="2" t="str">
        <f>raw_order_lines!C516</f>
        <v>C006</v>
      </c>
      <c r="D516" s="3">
        <f>raw_order_lines!D516</f>
        <v>46281</v>
      </c>
      <c r="E516" s="2" t="str">
        <f>raw_order_lines!E516</f>
        <v>P011</v>
      </c>
      <c r="F516" s="2" t="str">
        <f>raw_order_lines!F516</f>
        <v>公斤</v>
      </c>
      <c r="G516" s="4">
        <f>raw_order_lines!G516</f>
        <v>9.9</v>
      </c>
      <c r="H516" s="4">
        <f>raw_order_lines!H516</f>
        <v>9.9</v>
      </c>
      <c r="I516" s="4">
        <f>raw_order_lines!I516</f>
        <v>0</v>
      </c>
      <c r="J516" s="5">
        <f>raw_order_lines!J516</f>
        <v>4.3</v>
      </c>
      <c r="K516" s="2" t="str">
        <f>raw_order_lines!K516</f>
        <v>正常交付</v>
      </c>
      <c r="L516" s="2" t="str">
        <f>raw_order_lines!L516</f>
        <v>true</v>
      </c>
      <c r="M516" s="2" t="str">
        <f>INDEX(dim_products!$B$2:$B$21,MATCH($E516,dim_products!$A$2:$A$21,0))</f>
        <v>红薯叶</v>
      </c>
      <c r="N516" s="2" t="str">
        <f>INDEX(dim_products!$C$2:$C$21,MATCH($E516,dim_products!$A$2:$A$21,0))</f>
        <v>散装鲜菜</v>
      </c>
      <c r="O516" s="2" t="str">
        <f>INDEX(dim_customers!$B$2:$B$7,MATCH($C516,dim_customers!$A$2:$A$7,0))</f>
        <v>模拟_溪桥医院食堂</v>
      </c>
      <c r="P516" s="6">
        <f>INT((ROUND(raw_order_lines!H516*10,0)*ROUND(raw_order_lines!J516*100,0)+5)/10)/100</f>
        <v>42.57</v>
      </c>
      <c r="Q516" s="6">
        <f>INT((ROUND(raw_order_lines!I516*10,0)*ROUND(raw_order_lines!J516*100,0)+5)/10)/100</f>
        <v>0</v>
      </c>
      <c r="R516" s="6">
        <f t="shared" si="24"/>
        <v>42.57</v>
      </c>
      <c r="S516" s="2" t="str">
        <f>IF(OR(ROUND(raw_order_lines!I516*10,0)&gt;ROUND(raw_order_lines!H516*10,0),ROUND(raw_order_lines!H516*10,0)&gt;ROUND(raw_order_lines!G516*10,0),ROUND(raw_order_lines!G516*10,0)&lt;=0),"数量关系异常","")</f>
        <v/>
      </c>
      <c r="T516" s="2" t="str">
        <f>IF($F516&lt;&gt;INDEX(dim_products!$D$2:$D$21,MATCH($E516,dim_products!$A$2:$A$21,0)),"单位不一致","")</f>
        <v/>
      </c>
      <c r="U516" s="2" t="str">
        <f>IF(OR(ROUND(raw_order_lines!J516*100,0)&lt;ROUND(INDEX(dim_products!$F$2:$F$21,MATCH($E516,dim_products!$A$2:$A$21,0))*100,0),ROUND(raw_order_lines!J516*100,0)&gt;ROUND(INDEX(dim_products!$G$2:$G$21,MATCH($E516,dim_products!$A$2:$A$21,0))*100,0)),"单价越界","")</f>
        <v/>
      </c>
      <c r="V516" s="2" t="str">
        <f t="shared" si="25"/>
        <v/>
      </c>
      <c r="W516" s="2" t="str">
        <f t="shared" si="26"/>
        <v>通过</v>
      </c>
    </row>
    <row r="517" spans="1:23" ht="15">
      <c r="A517" s="2" t="str">
        <f>raw_order_lines!A517</f>
        <v>SIM-20260916-C006</v>
      </c>
      <c r="B517" s="2">
        <f>raw_order_lines!B517</f>
        <v>2</v>
      </c>
      <c r="C517" s="2" t="str">
        <f>raw_order_lines!C517</f>
        <v>C006</v>
      </c>
      <c r="D517" s="3">
        <f>raw_order_lines!D517</f>
        <v>46281</v>
      </c>
      <c r="E517" s="2" t="str">
        <f>raw_order_lines!E517</f>
        <v>P008</v>
      </c>
      <c r="F517" s="2" t="str">
        <f>raw_order_lines!F517</f>
        <v>公斤</v>
      </c>
      <c r="G517" s="4">
        <f>raw_order_lines!G517</f>
        <v>8.1</v>
      </c>
      <c r="H517" s="4">
        <f>raw_order_lines!H517</f>
        <v>8.1</v>
      </c>
      <c r="I517" s="4">
        <f>raw_order_lines!I517</f>
        <v>0</v>
      </c>
      <c r="J517" s="5">
        <f>raw_order_lines!J517</f>
        <v>4.4000000000000004</v>
      </c>
      <c r="K517" s="2" t="str">
        <f>raw_order_lines!K517</f>
        <v>正常交付</v>
      </c>
      <c r="L517" s="2" t="str">
        <f>raw_order_lines!L517</f>
        <v>true</v>
      </c>
      <c r="M517" s="2" t="str">
        <f>INDEX(dim_products!$B$2:$B$21,MATCH($E517,dim_products!$A$2:$A$21,0))</f>
        <v>黄瓜</v>
      </c>
      <c r="N517" s="2" t="str">
        <f>INDEX(dim_products!$C$2:$C$21,MATCH($E517,dim_products!$A$2:$A$21,0))</f>
        <v>散装鲜菜</v>
      </c>
      <c r="O517" s="2" t="str">
        <f>INDEX(dim_customers!$B$2:$B$7,MATCH($C517,dim_customers!$A$2:$A$7,0))</f>
        <v>模拟_溪桥医院食堂</v>
      </c>
      <c r="P517" s="6">
        <f>INT((ROUND(raw_order_lines!H517*10,0)*ROUND(raw_order_lines!J517*100,0)+5)/10)/100</f>
        <v>35.64</v>
      </c>
      <c r="Q517" s="6">
        <f>INT((ROUND(raw_order_lines!I517*10,0)*ROUND(raw_order_lines!J517*100,0)+5)/10)/100</f>
        <v>0</v>
      </c>
      <c r="R517" s="6">
        <f t="shared" si="24"/>
        <v>35.64</v>
      </c>
      <c r="S517" s="2" t="str">
        <f>IF(OR(ROUND(raw_order_lines!I517*10,0)&gt;ROUND(raw_order_lines!H517*10,0),ROUND(raw_order_lines!H517*10,0)&gt;ROUND(raw_order_lines!G517*10,0),ROUND(raw_order_lines!G517*10,0)&lt;=0),"数量关系异常","")</f>
        <v/>
      </c>
      <c r="T517" s="2" t="str">
        <f>IF($F517&lt;&gt;INDEX(dim_products!$D$2:$D$21,MATCH($E517,dim_products!$A$2:$A$21,0)),"单位不一致","")</f>
        <v/>
      </c>
      <c r="U517" s="2" t="str">
        <f>IF(OR(ROUND(raw_order_lines!J517*100,0)&lt;ROUND(INDEX(dim_products!$F$2:$F$21,MATCH($E517,dim_products!$A$2:$A$21,0))*100,0),ROUND(raw_order_lines!J517*100,0)&gt;ROUND(INDEX(dim_products!$G$2:$G$21,MATCH($E517,dim_products!$A$2:$A$21,0))*100,0)),"单价越界","")</f>
        <v/>
      </c>
      <c r="V517" s="2" t="str">
        <f t="shared" si="25"/>
        <v/>
      </c>
      <c r="W517" s="2" t="str">
        <f t="shared" si="26"/>
        <v>通过</v>
      </c>
    </row>
    <row r="518" spans="1:23" ht="15">
      <c r="A518" s="2" t="str">
        <f>raw_order_lines!A518</f>
        <v>SIM-20260916-C006</v>
      </c>
      <c r="B518" s="2">
        <f>raw_order_lines!B518</f>
        <v>3</v>
      </c>
      <c r="C518" s="2" t="str">
        <f>raw_order_lines!C518</f>
        <v>C006</v>
      </c>
      <c r="D518" s="3">
        <f>raw_order_lines!D518</f>
        <v>46281</v>
      </c>
      <c r="E518" s="2" t="str">
        <f>raw_order_lines!E518</f>
        <v>P009</v>
      </c>
      <c r="F518" s="2" t="str">
        <f>raw_order_lines!F518</f>
        <v>公斤</v>
      </c>
      <c r="G518" s="4">
        <f>raw_order_lines!G518</f>
        <v>9.9</v>
      </c>
      <c r="H518" s="4">
        <f>raw_order_lines!H518</f>
        <v>9.9</v>
      </c>
      <c r="I518" s="4">
        <f>raw_order_lines!I518</f>
        <v>0</v>
      </c>
      <c r="J518" s="5">
        <f>raw_order_lines!J518</f>
        <v>4.8</v>
      </c>
      <c r="K518" s="2" t="str">
        <f>raw_order_lines!K518</f>
        <v>正常交付</v>
      </c>
      <c r="L518" s="2" t="str">
        <f>raw_order_lines!L518</f>
        <v>true</v>
      </c>
      <c r="M518" s="2" t="str">
        <f>INDEX(dim_products!$B$2:$B$21,MATCH($E518,dim_products!$A$2:$A$21,0))</f>
        <v>西红柿</v>
      </c>
      <c r="N518" s="2" t="str">
        <f>INDEX(dim_products!$C$2:$C$21,MATCH($E518,dim_products!$A$2:$A$21,0))</f>
        <v>散装鲜菜</v>
      </c>
      <c r="O518" s="2" t="str">
        <f>INDEX(dim_customers!$B$2:$B$7,MATCH($C518,dim_customers!$A$2:$A$7,0))</f>
        <v>模拟_溪桥医院食堂</v>
      </c>
      <c r="P518" s="6">
        <f>INT((ROUND(raw_order_lines!H518*10,0)*ROUND(raw_order_lines!J518*100,0)+5)/10)/100</f>
        <v>47.52</v>
      </c>
      <c r="Q518" s="6">
        <f>INT((ROUND(raw_order_lines!I518*10,0)*ROUND(raw_order_lines!J518*100,0)+5)/10)/100</f>
        <v>0</v>
      </c>
      <c r="R518" s="6">
        <f t="shared" si="24"/>
        <v>47.52</v>
      </c>
      <c r="S518" s="2" t="str">
        <f>IF(OR(ROUND(raw_order_lines!I518*10,0)&gt;ROUND(raw_order_lines!H518*10,0),ROUND(raw_order_lines!H518*10,0)&gt;ROUND(raw_order_lines!G518*10,0),ROUND(raw_order_lines!G518*10,0)&lt;=0),"数量关系异常","")</f>
        <v/>
      </c>
      <c r="T518" s="2" t="str">
        <f>IF($F518&lt;&gt;INDEX(dim_products!$D$2:$D$21,MATCH($E518,dim_products!$A$2:$A$21,0)),"单位不一致","")</f>
        <v/>
      </c>
      <c r="U518" s="2" t="str">
        <f>IF(OR(ROUND(raw_order_lines!J518*100,0)&lt;ROUND(INDEX(dim_products!$F$2:$F$21,MATCH($E518,dim_products!$A$2:$A$21,0))*100,0),ROUND(raw_order_lines!J518*100,0)&gt;ROUND(INDEX(dim_products!$G$2:$G$21,MATCH($E518,dim_products!$A$2:$A$21,0))*100,0)),"单价越界","")</f>
        <v/>
      </c>
      <c r="V518" s="2" t="str">
        <f t="shared" si="25"/>
        <v/>
      </c>
      <c r="W518" s="2" t="str">
        <f t="shared" si="26"/>
        <v>通过</v>
      </c>
    </row>
    <row r="519" spans="1:23" ht="15">
      <c r="A519" s="2" t="str">
        <f>raw_order_lines!A519</f>
        <v>SIM-20260916-C006</v>
      </c>
      <c r="B519" s="2">
        <f>raw_order_lines!B519</f>
        <v>4</v>
      </c>
      <c r="C519" s="2" t="str">
        <f>raw_order_lines!C519</f>
        <v>C006</v>
      </c>
      <c r="D519" s="3">
        <f>raw_order_lines!D519</f>
        <v>46281</v>
      </c>
      <c r="E519" s="2" t="str">
        <f>raw_order_lines!E519</f>
        <v>P005</v>
      </c>
      <c r="F519" s="2" t="str">
        <f>raw_order_lines!F519</f>
        <v>公斤</v>
      </c>
      <c r="G519" s="4">
        <f>raw_order_lines!G519</f>
        <v>8.6999999999999993</v>
      </c>
      <c r="H519" s="4">
        <f>raw_order_lines!H519</f>
        <v>8.6999999999999993</v>
      </c>
      <c r="I519" s="4">
        <f>raw_order_lines!I519</f>
        <v>0</v>
      </c>
      <c r="J519" s="5">
        <f>raw_order_lines!J519</f>
        <v>3.2</v>
      </c>
      <c r="K519" s="2" t="str">
        <f>raw_order_lines!K519</f>
        <v>正常交付</v>
      </c>
      <c r="L519" s="2" t="str">
        <f>raw_order_lines!L519</f>
        <v>true</v>
      </c>
      <c r="M519" s="2" t="str">
        <f>INDEX(dim_products!$B$2:$B$21,MATCH($E519,dim_products!$A$2:$A$21,0))</f>
        <v>南瓜</v>
      </c>
      <c r="N519" s="2" t="str">
        <f>INDEX(dim_products!$C$2:$C$21,MATCH($E519,dim_products!$A$2:$A$21,0))</f>
        <v>散装鲜菜</v>
      </c>
      <c r="O519" s="2" t="str">
        <f>INDEX(dim_customers!$B$2:$B$7,MATCH($C519,dim_customers!$A$2:$A$7,0))</f>
        <v>模拟_溪桥医院食堂</v>
      </c>
      <c r="P519" s="6">
        <f>INT((ROUND(raw_order_lines!H519*10,0)*ROUND(raw_order_lines!J519*100,0)+5)/10)/100</f>
        <v>27.84</v>
      </c>
      <c r="Q519" s="6">
        <f>INT((ROUND(raw_order_lines!I519*10,0)*ROUND(raw_order_lines!J519*100,0)+5)/10)/100</f>
        <v>0</v>
      </c>
      <c r="R519" s="6">
        <f t="shared" si="24"/>
        <v>27.84</v>
      </c>
      <c r="S519" s="2" t="str">
        <f>IF(OR(ROUND(raw_order_lines!I519*10,0)&gt;ROUND(raw_order_lines!H519*10,0),ROUND(raw_order_lines!H519*10,0)&gt;ROUND(raw_order_lines!G519*10,0),ROUND(raw_order_lines!G519*10,0)&lt;=0),"数量关系异常","")</f>
        <v/>
      </c>
      <c r="T519" s="2" t="str">
        <f>IF($F519&lt;&gt;INDEX(dim_products!$D$2:$D$21,MATCH($E519,dim_products!$A$2:$A$21,0)),"单位不一致","")</f>
        <v/>
      </c>
      <c r="U519" s="2" t="str">
        <f>IF(OR(ROUND(raw_order_lines!J519*100,0)&lt;ROUND(INDEX(dim_products!$F$2:$F$21,MATCH($E519,dim_products!$A$2:$A$21,0))*100,0),ROUND(raw_order_lines!J519*100,0)&gt;ROUND(INDEX(dim_products!$G$2:$G$21,MATCH($E519,dim_products!$A$2:$A$21,0))*100,0)),"单价越界","")</f>
        <v/>
      </c>
      <c r="V519" s="2" t="str">
        <f t="shared" si="25"/>
        <v/>
      </c>
      <c r="W519" s="2" t="str">
        <f t="shared" si="26"/>
        <v>通过</v>
      </c>
    </row>
    <row r="520" spans="1:23" ht="15">
      <c r="A520" s="2" t="str">
        <f>raw_order_lines!A520</f>
        <v>SIM-20260916-C006</v>
      </c>
      <c r="B520" s="2">
        <f>raw_order_lines!B520</f>
        <v>5</v>
      </c>
      <c r="C520" s="2" t="str">
        <f>raw_order_lines!C520</f>
        <v>C006</v>
      </c>
      <c r="D520" s="3">
        <f>raw_order_lines!D520</f>
        <v>46281</v>
      </c>
      <c r="E520" s="2" t="str">
        <f>raw_order_lines!E520</f>
        <v>P004</v>
      </c>
      <c r="F520" s="2" t="str">
        <f>raw_order_lines!F520</f>
        <v>公斤</v>
      </c>
      <c r="G520" s="4">
        <f>raw_order_lines!G520</f>
        <v>9.9</v>
      </c>
      <c r="H520" s="4">
        <f>raw_order_lines!H520</f>
        <v>9.9</v>
      </c>
      <c r="I520" s="4">
        <f>raw_order_lines!I520</f>
        <v>0</v>
      </c>
      <c r="J520" s="5">
        <f>raw_order_lines!J520</f>
        <v>2.6</v>
      </c>
      <c r="K520" s="2" t="str">
        <f>raw_order_lines!K520</f>
        <v>正常交付</v>
      </c>
      <c r="L520" s="2" t="str">
        <f>raw_order_lines!L520</f>
        <v>true</v>
      </c>
      <c r="M520" s="2" t="str">
        <f>INDEX(dim_products!$B$2:$B$21,MATCH($E520,dim_products!$A$2:$A$21,0))</f>
        <v>冬瓜</v>
      </c>
      <c r="N520" s="2" t="str">
        <f>INDEX(dim_products!$C$2:$C$21,MATCH($E520,dim_products!$A$2:$A$21,0))</f>
        <v>散装鲜菜</v>
      </c>
      <c r="O520" s="2" t="str">
        <f>INDEX(dim_customers!$B$2:$B$7,MATCH($C520,dim_customers!$A$2:$A$7,0))</f>
        <v>模拟_溪桥医院食堂</v>
      </c>
      <c r="P520" s="6">
        <f>INT((ROUND(raw_order_lines!H520*10,0)*ROUND(raw_order_lines!J520*100,0)+5)/10)/100</f>
        <v>25.74</v>
      </c>
      <c r="Q520" s="6">
        <f>INT((ROUND(raw_order_lines!I520*10,0)*ROUND(raw_order_lines!J520*100,0)+5)/10)/100</f>
        <v>0</v>
      </c>
      <c r="R520" s="6">
        <f t="shared" si="24"/>
        <v>25.74</v>
      </c>
      <c r="S520" s="2" t="str">
        <f>IF(OR(ROUND(raw_order_lines!I520*10,0)&gt;ROUND(raw_order_lines!H520*10,0),ROUND(raw_order_lines!H520*10,0)&gt;ROUND(raw_order_lines!G520*10,0),ROUND(raw_order_lines!G520*10,0)&lt;=0),"数量关系异常","")</f>
        <v/>
      </c>
      <c r="T520" s="2" t="str">
        <f>IF($F520&lt;&gt;INDEX(dim_products!$D$2:$D$21,MATCH($E520,dim_products!$A$2:$A$21,0)),"单位不一致","")</f>
        <v/>
      </c>
      <c r="U520" s="2" t="str">
        <f>IF(OR(ROUND(raw_order_lines!J520*100,0)&lt;ROUND(INDEX(dim_products!$F$2:$F$21,MATCH($E520,dim_products!$A$2:$A$21,0))*100,0),ROUND(raw_order_lines!J520*100,0)&gt;ROUND(INDEX(dim_products!$G$2:$G$21,MATCH($E520,dim_products!$A$2:$A$21,0))*100,0)),"单价越界","")</f>
        <v/>
      </c>
      <c r="V520" s="2" t="str">
        <f t="shared" si="25"/>
        <v/>
      </c>
      <c r="W520" s="2" t="str">
        <f t="shared" si="26"/>
        <v>通过</v>
      </c>
    </row>
    <row r="521" spans="1:23" ht="15">
      <c r="A521" s="2" t="str">
        <f>raw_order_lines!A521</f>
        <v>SIM-20260916-C006</v>
      </c>
      <c r="B521" s="2">
        <f>raw_order_lines!B521</f>
        <v>6</v>
      </c>
      <c r="C521" s="2" t="str">
        <f>raw_order_lines!C521</f>
        <v>C006</v>
      </c>
      <c r="D521" s="3">
        <f>raw_order_lines!D521</f>
        <v>46281</v>
      </c>
      <c r="E521" s="2" t="str">
        <f>raw_order_lines!E521</f>
        <v>P001</v>
      </c>
      <c r="F521" s="2" t="str">
        <f>raw_order_lines!F521</f>
        <v>公斤</v>
      </c>
      <c r="G521" s="4">
        <f>raw_order_lines!G521</f>
        <v>6.2</v>
      </c>
      <c r="H521" s="4">
        <f>raw_order_lines!H521</f>
        <v>6.2</v>
      </c>
      <c r="I521" s="4">
        <f>raw_order_lines!I521</f>
        <v>0</v>
      </c>
      <c r="J521" s="5">
        <f>raw_order_lines!J521</f>
        <v>3.4</v>
      </c>
      <c r="K521" s="2" t="str">
        <f>raw_order_lines!K521</f>
        <v>正常交付</v>
      </c>
      <c r="L521" s="2" t="str">
        <f>raw_order_lines!L521</f>
        <v>true</v>
      </c>
      <c r="M521" s="2" t="str">
        <f>INDEX(dim_products!$B$2:$B$21,MATCH($E521,dim_products!$A$2:$A$21,0))</f>
        <v>土豆</v>
      </c>
      <c r="N521" s="2" t="str">
        <f>INDEX(dim_products!$C$2:$C$21,MATCH($E521,dim_products!$A$2:$A$21,0))</f>
        <v>散装鲜菜</v>
      </c>
      <c r="O521" s="2" t="str">
        <f>INDEX(dim_customers!$B$2:$B$7,MATCH($C521,dim_customers!$A$2:$A$7,0))</f>
        <v>模拟_溪桥医院食堂</v>
      </c>
      <c r="P521" s="6">
        <f>INT((ROUND(raw_order_lines!H521*10,0)*ROUND(raw_order_lines!J521*100,0)+5)/10)/100</f>
        <v>21.08</v>
      </c>
      <c r="Q521" s="6">
        <f>INT((ROUND(raw_order_lines!I521*10,0)*ROUND(raw_order_lines!J521*100,0)+5)/10)/100</f>
        <v>0</v>
      </c>
      <c r="R521" s="6">
        <f t="shared" si="24"/>
        <v>21.08</v>
      </c>
      <c r="S521" s="2" t="str">
        <f>IF(OR(ROUND(raw_order_lines!I521*10,0)&gt;ROUND(raw_order_lines!H521*10,0),ROUND(raw_order_lines!H521*10,0)&gt;ROUND(raw_order_lines!G521*10,0),ROUND(raw_order_lines!G521*10,0)&lt;=0),"数量关系异常","")</f>
        <v/>
      </c>
      <c r="T521" s="2" t="str">
        <f>IF($F521&lt;&gt;INDEX(dim_products!$D$2:$D$21,MATCH($E521,dim_products!$A$2:$A$21,0)),"单位不一致","")</f>
        <v/>
      </c>
      <c r="U521" s="2" t="str">
        <f>IF(OR(ROUND(raw_order_lines!J521*100,0)&lt;ROUND(INDEX(dim_products!$F$2:$F$21,MATCH($E521,dim_products!$A$2:$A$21,0))*100,0),ROUND(raw_order_lines!J521*100,0)&gt;ROUND(INDEX(dim_products!$G$2:$G$21,MATCH($E521,dim_products!$A$2:$A$21,0))*100,0)),"单价越界","")</f>
        <v/>
      </c>
      <c r="V521" s="2" t="str">
        <f t="shared" si="25"/>
        <v/>
      </c>
      <c r="W521" s="2" t="str">
        <f t="shared" si="26"/>
        <v>通过</v>
      </c>
    </row>
    <row r="522" spans="1:23" ht="15">
      <c r="A522" s="2" t="str">
        <f>raw_order_lines!A522</f>
        <v>SIM-20260916-C006</v>
      </c>
      <c r="B522" s="2">
        <f>raw_order_lines!B522</f>
        <v>7</v>
      </c>
      <c r="C522" s="2" t="str">
        <f>raw_order_lines!C522</f>
        <v>C006</v>
      </c>
      <c r="D522" s="3">
        <f>raw_order_lines!D522</f>
        <v>46281</v>
      </c>
      <c r="E522" s="2" t="str">
        <f>raw_order_lines!E522</f>
        <v>P015</v>
      </c>
      <c r="F522" s="2" t="str">
        <f>raw_order_lines!F522</f>
        <v>公斤</v>
      </c>
      <c r="G522" s="4">
        <f>raw_order_lines!G522</f>
        <v>1</v>
      </c>
      <c r="H522" s="4">
        <f>raw_order_lines!H522</f>
        <v>1</v>
      </c>
      <c r="I522" s="4">
        <f>raw_order_lines!I522</f>
        <v>0</v>
      </c>
      <c r="J522" s="5">
        <f>raw_order_lines!J522</f>
        <v>7.3</v>
      </c>
      <c r="K522" s="2" t="str">
        <f>raw_order_lines!K522</f>
        <v>正常交付</v>
      </c>
      <c r="L522" s="2" t="str">
        <f>raw_order_lines!L522</f>
        <v>true</v>
      </c>
      <c r="M522" s="2" t="str">
        <f>INDEX(dim_products!$B$2:$B$21,MATCH($E522,dim_products!$A$2:$A$21,0))</f>
        <v>小葱</v>
      </c>
      <c r="N522" s="2" t="str">
        <f>INDEX(dim_products!$C$2:$C$21,MATCH($E522,dim_products!$A$2:$A$21,0))</f>
        <v>散装鲜菜</v>
      </c>
      <c r="O522" s="2" t="str">
        <f>INDEX(dim_customers!$B$2:$B$7,MATCH($C522,dim_customers!$A$2:$A$7,0))</f>
        <v>模拟_溪桥医院食堂</v>
      </c>
      <c r="P522" s="6">
        <f>INT((ROUND(raw_order_lines!H522*10,0)*ROUND(raw_order_lines!J522*100,0)+5)/10)/100</f>
        <v>7.3</v>
      </c>
      <c r="Q522" s="6">
        <f>INT((ROUND(raw_order_lines!I522*10,0)*ROUND(raw_order_lines!J522*100,0)+5)/10)/100</f>
        <v>0</v>
      </c>
      <c r="R522" s="6">
        <f t="shared" si="24"/>
        <v>7.3</v>
      </c>
      <c r="S522" s="2" t="str">
        <f>IF(OR(ROUND(raw_order_lines!I522*10,0)&gt;ROUND(raw_order_lines!H522*10,0),ROUND(raw_order_lines!H522*10,0)&gt;ROUND(raw_order_lines!G522*10,0),ROUND(raw_order_lines!G522*10,0)&lt;=0),"数量关系异常","")</f>
        <v/>
      </c>
      <c r="T522" s="2" t="str">
        <f>IF($F522&lt;&gt;INDEX(dim_products!$D$2:$D$21,MATCH($E522,dim_products!$A$2:$A$21,0)),"单位不一致","")</f>
        <v/>
      </c>
      <c r="U522" s="2" t="str">
        <f>IF(OR(ROUND(raw_order_lines!J522*100,0)&lt;ROUND(INDEX(dim_products!$F$2:$F$21,MATCH($E522,dim_products!$A$2:$A$21,0))*100,0),ROUND(raw_order_lines!J522*100,0)&gt;ROUND(INDEX(dim_products!$G$2:$G$21,MATCH($E522,dim_products!$A$2:$A$21,0))*100,0)),"单价越界","")</f>
        <v/>
      </c>
      <c r="V522" s="2" t="str">
        <f t="shared" si="25"/>
        <v/>
      </c>
      <c r="W522" s="2" t="str">
        <f t="shared" si="26"/>
        <v>通过</v>
      </c>
    </row>
    <row r="523" spans="1:23" ht="15">
      <c r="A523" s="2" t="str">
        <f>raw_order_lines!A523</f>
        <v>SIM-20260916-C006</v>
      </c>
      <c r="B523" s="2">
        <f>raw_order_lines!B523</f>
        <v>8</v>
      </c>
      <c r="C523" s="2" t="str">
        <f>raw_order_lines!C523</f>
        <v>C006</v>
      </c>
      <c r="D523" s="3">
        <f>raw_order_lines!D523</f>
        <v>46281</v>
      </c>
      <c r="E523" s="2" t="str">
        <f>raw_order_lines!E523</f>
        <v>P017</v>
      </c>
      <c r="F523" s="2" t="str">
        <f>raw_order_lines!F523</f>
        <v>袋</v>
      </c>
      <c r="G523" s="4">
        <f>raw_order_lines!G523</f>
        <v>4</v>
      </c>
      <c r="H523" s="4">
        <f>raw_order_lines!H523</f>
        <v>4</v>
      </c>
      <c r="I523" s="4">
        <f>raw_order_lines!I523</f>
        <v>0</v>
      </c>
      <c r="J523" s="5">
        <f>raw_order_lines!J523</f>
        <v>119</v>
      </c>
      <c r="K523" s="2" t="str">
        <f>raw_order_lines!K523</f>
        <v>正常交付</v>
      </c>
      <c r="L523" s="2" t="str">
        <f>raw_order_lines!L523</f>
        <v>true</v>
      </c>
      <c r="M523" s="2" t="str">
        <f>INDEX(dim_products!$B$2:$B$21,MATCH($E523,dim_products!$A$2:$A$21,0))</f>
        <v>籼米</v>
      </c>
      <c r="N523" s="2" t="str">
        <f>INDEX(dim_products!$C$2:$C$21,MATCH($E523,dim_products!$A$2:$A$21,0))</f>
        <v>25公斤/袋普通籼米</v>
      </c>
      <c r="O523" s="2" t="str">
        <f>INDEX(dim_customers!$B$2:$B$7,MATCH($C523,dim_customers!$A$2:$A$7,0))</f>
        <v>模拟_溪桥医院食堂</v>
      </c>
      <c r="P523" s="6">
        <f>INT((ROUND(raw_order_lines!H523*10,0)*ROUND(raw_order_lines!J523*100,0)+5)/10)/100</f>
        <v>476</v>
      </c>
      <c r="Q523" s="6">
        <f>INT((ROUND(raw_order_lines!I523*10,0)*ROUND(raw_order_lines!J523*100,0)+5)/10)/100</f>
        <v>0</v>
      </c>
      <c r="R523" s="6">
        <f t="shared" si="24"/>
        <v>476</v>
      </c>
      <c r="S523" s="2" t="str">
        <f>IF(OR(ROUND(raw_order_lines!I523*10,0)&gt;ROUND(raw_order_lines!H523*10,0),ROUND(raw_order_lines!H523*10,0)&gt;ROUND(raw_order_lines!G523*10,0),ROUND(raw_order_lines!G523*10,0)&lt;=0),"数量关系异常","")</f>
        <v/>
      </c>
      <c r="T523" s="2" t="str">
        <f>IF($F523&lt;&gt;INDEX(dim_products!$D$2:$D$21,MATCH($E523,dim_products!$A$2:$A$21,0)),"单位不一致","")</f>
        <v/>
      </c>
      <c r="U523" s="2" t="str">
        <f>IF(OR(ROUND(raw_order_lines!J523*100,0)&lt;ROUND(INDEX(dim_products!$F$2:$F$21,MATCH($E523,dim_products!$A$2:$A$21,0))*100,0),ROUND(raw_order_lines!J523*100,0)&gt;ROUND(INDEX(dim_products!$G$2:$G$21,MATCH($E523,dim_products!$A$2:$A$21,0))*100,0)),"单价越界","")</f>
        <v/>
      </c>
      <c r="V523" s="2" t="str">
        <f t="shared" si="25"/>
        <v/>
      </c>
      <c r="W523" s="2" t="str">
        <f t="shared" si="26"/>
        <v>通过</v>
      </c>
    </row>
    <row r="524" spans="1:23" ht="15">
      <c r="A524" s="2" t="str">
        <f>raw_order_lines!A524</f>
        <v>SIM-20260916-C006</v>
      </c>
      <c r="B524" s="2">
        <f>raw_order_lines!B524</f>
        <v>9</v>
      </c>
      <c r="C524" s="2" t="str">
        <f>raw_order_lines!C524</f>
        <v>C006</v>
      </c>
      <c r="D524" s="3">
        <f>raw_order_lines!D524</f>
        <v>46281</v>
      </c>
      <c r="E524" s="2" t="str">
        <f>raw_order_lines!E524</f>
        <v>P020</v>
      </c>
      <c r="F524" s="2" t="str">
        <f>raw_order_lines!F524</f>
        <v>桶</v>
      </c>
      <c r="G524" s="4">
        <f>raw_order_lines!G524</f>
        <v>2</v>
      </c>
      <c r="H524" s="4">
        <f>raw_order_lines!H524</f>
        <v>2</v>
      </c>
      <c r="I524" s="4">
        <f>raw_order_lines!I524</f>
        <v>0</v>
      </c>
      <c r="J524" s="5">
        <f>raw_order_lines!J524</f>
        <v>55</v>
      </c>
      <c r="K524" s="2" t="str">
        <f>raw_order_lines!K524</f>
        <v>正常交付</v>
      </c>
      <c r="L524" s="2" t="str">
        <f>raw_order_lines!L524</f>
        <v>true</v>
      </c>
      <c r="M524" s="2" t="str">
        <f>INDEX(dim_products!$B$2:$B$21,MATCH($E524,dim_products!$A$2:$A$21,0))</f>
        <v>大豆油</v>
      </c>
      <c r="N524" s="2" t="str">
        <f>INDEX(dim_products!$C$2:$C$21,MATCH($E524,dim_products!$A$2:$A$21,0))</f>
        <v>5升/桶普通大豆油</v>
      </c>
      <c r="O524" s="2" t="str">
        <f>INDEX(dim_customers!$B$2:$B$7,MATCH($C524,dim_customers!$A$2:$A$7,0))</f>
        <v>模拟_溪桥医院食堂</v>
      </c>
      <c r="P524" s="6">
        <f>INT((ROUND(raw_order_lines!H524*10,0)*ROUND(raw_order_lines!J524*100,0)+5)/10)/100</f>
        <v>110</v>
      </c>
      <c r="Q524" s="6">
        <f>INT((ROUND(raw_order_lines!I524*10,0)*ROUND(raw_order_lines!J524*100,0)+5)/10)/100</f>
        <v>0</v>
      </c>
      <c r="R524" s="6">
        <f t="shared" si="24"/>
        <v>110</v>
      </c>
      <c r="S524" s="2" t="str">
        <f>IF(OR(ROUND(raw_order_lines!I524*10,0)&gt;ROUND(raw_order_lines!H524*10,0),ROUND(raw_order_lines!H524*10,0)&gt;ROUND(raw_order_lines!G524*10,0),ROUND(raw_order_lines!G524*10,0)&lt;=0),"数量关系异常","")</f>
        <v/>
      </c>
      <c r="T524" s="2" t="str">
        <f>IF($F524&lt;&gt;INDEX(dim_products!$D$2:$D$21,MATCH($E524,dim_products!$A$2:$A$21,0)),"单位不一致","")</f>
        <v/>
      </c>
      <c r="U524" s="2" t="str">
        <f>IF(OR(ROUND(raw_order_lines!J524*100,0)&lt;ROUND(INDEX(dim_products!$F$2:$F$21,MATCH($E524,dim_products!$A$2:$A$21,0))*100,0),ROUND(raw_order_lines!J524*100,0)&gt;ROUND(INDEX(dim_products!$G$2:$G$21,MATCH($E524,dim_products!$A$2:$A$21,0))*100,0)),"单价越界","")</f>
        <v/>
      </c>
      <c r="V524" s="2" t="str">
        <f t="shared" si="25"/>
        <v/>
      </c>
      <c r="W524" s="2" t="str">
        <f t="shared" si="26"/>
        <v>通过</v>
      </c>
    </row>
    <row r="525" spans="1:23" ht="15">
      <c r="A525" s="2" t="str">
        <f>raw_order_lines!A525</f>
        <v>SIM-20260917-C001</v>
      </c>
      <c r="B525" s="2">
        <f>raw_order_lines!B525</f>
        <v>1</v>
      </c>
      <c r="C525" s="2" t="str">
        <f>raw_order_lines!C525</f>
        <v>C001</v>
      </c>
      <c r="D525" s="3">
        <f>raw_order_lines!D525</f>
        <v>46282</v>
      </c>
      <c r="E525" s="2" t="str">
        <f>raw_order_lines!E525</f>
        <v>P011</v>
      </c>
      <c r="F525" s="2" t="str">
        <f>raw_order_lines!F525</f>
        <v>公斤</v>
      </c>
      <c r="G525" s="4">
        <f>raw_order_lines!G525</f>
        <v>2</v>
      </c>
      <c r="H525" s="4">
        <f>raw_order_lines!H525</f>
        <v>2</v>
      </c>
      <c r="I525" s="4">
        <f>raw_order_lines!I525</f>
        <v>0</v>
      </c>
      <c r="J525" s="5">
        <f>raw_order_lines!J525</f>
        <v>4.3</v>
      </c>
      <c r="K525" s="2" t="str">
        <f>raw_order_lines!K525</f>
        <v>正常交付</v>
      </c>
      <c r="L525" s="2" t="str">
        <f>raw_order_lines!L525</f>
        <v>true</v>
      </c>
      <c r="M525" s="2" t="str">
        <f>INDEX(dim_products!$B$2:$B$21,MATCH($E525,dim_products!$A$2:$A$21,0))</f>
        <v>红薯叶</v>
      </c>
      <c r="N525" s="2" t="str">
        <f>INDEX(dim_products!$C$2:$C$21,MATCH($E525,dim_products!$A$2:$A$21,0))</f>
        <v>散装鲜菜</v>
      </c>
      <c r="O525" s="2" t="str">
        <f>INDEX(dim_customers!$B$2:$B$7,MATCH($C525,dim_customers!$A$2:$A$7,0))</f>
        <v>模拟_榕树下粉面店</v>
      </c>
      <c r="P525" s="6">
        <f>INT((ROUND(raw_order_lines!H525*10,0)*ROUND(raw_order_lines!J525*100,0)+5)/10)/100</f>
        <v>8.6</v>
      </c>
      <c r="Q525" s="6">
        <f>INT((ROUND(raw_order_lines!I525*10,0)*ROUND(raw_order_lines!J525*100,0)+5)/10)/100</f>
        <v>0</v>
      </c>
      <c r="R525" s="6">
        <f t="shared" si="24"/>
        <v>8.6</v>
      </c>
      <c r="S525" s="2" t="str">
        <f>IF(OR(ROUND(raw_order_lines!I525*10,0)&gt;ROUND(raw_order_lines!H525*10,0),ROUND(raw_order_lines!H525*10,0)&gt;ROUND(raw_order_lines!G525*10,0),ROUND(raw_order_lines!G525*10,0)&lt;=0),"数量关系异常","")</f>
        <v/>
      </c>
      <c r="T525" s="2" t="str">
        <f>IF($F525&lt;&gt;INDEX(dim_products!$D$2:$D$21,MATCH($E525,dim_products!$A$2:$A$21,0)),"单位不一致","")</f>
        <v/>
      </c>
      <c r="U525" s="2" t="str">
        <f>IF(OR(ROUND(raw_order_lines!J525*100,0)&lt;ROUND(INDEX(dim_products!$F$2:$F$21,MATCH($E525,dim_products!$A$2:$A$21,0))*100,0),ROUND(raw_order_lines!J525*100,0)&gt;ROUND(INDEX(dim_products!$G$2:$G$21,MATCH($E525,dim_products!$A$2:$A$21,0))*100,0)),"单价越界","")</f>
        <v/>
      </c>
      <c r="V525" s="2" t="str">
        <f t="shared" si="25"/>
        <v/>
      </c>
      <c r="W525" s="2" t="str">
        <f t="shared" si="26"/>
        <v>通过</v>
      </c>
    </row>
    <row r="526" spans="1:23" ht="15">
      <c r="A526" s="2" t="str">
        <f>raw_order_lines!A526</f>
        <v>SIM-20260917-C001</v>
      </c>
      <c r="B526" s="2">
        <f>raw_order_lines!B526</f>
        <v>2</v>
      </c>
      <c r="C526" s="2" t="str">
        <f>raw_order_lines!C526</f>
        <v>C001</v>
      </c>
      <c r="D526" s="3">
        <f>raw_order_lines!D526</f>
        <v>46282</v>
      </c>
      <c r="E526" s="2" t="str">
        <f>raw_order_lines!E526</f>
        <v>P005</v>
      </c>
      <c r="F526" s="2" t="str">
        <f>raw_order_lines!F526</f>
        <v>公斤</v>
      </c>
      <c r="G526" s="4">
        <f>raw_order_lines!G526</f>
        <v>4.5</v>
      </c>
      <c r="H526" s="4">
        <f>raw_order_lines!H526</f>
        <v>4.5</v>
      </c>
      <c r="I526" s="4">
        <f>raw_order_lines!I526</f>
        <v>0</v>
      </c>
      <c r="J526" s="5">
        <f>raw_order_lines!J526</f>
        <v>3.2</v>
      </c>
      <c r="K526" s="2" t="str">
        <f>raw_order_lines!K526</f>
        <v>正常交付</v>
      </c>
      <c r="L526" s="2" t="str">
        <f>raw_order_lines!L526</f>
        <v>true</v>
      </c>
      <c r="M526" s="2" t="str">
        <f>INDEX(dim_products!$B$2:$B$21,MATCH($E526,dim_products!$A$2:$A$21,0))</f>
        <v>南瓜</v>
      </c>
      <c r="N526" s="2" t="str">
        <f>INDEX(dim_products!$C$2:$C$21,MATCH($E526,dim_products!$A$2:$A$21,0))</f>
        <v>散装鲜菜</v>
      </c>
      <c r="O526" s="2" t="str">
        <f>INDEX(dim_customers!$B$2:$B$7,MATCH($C526,dim_customers!$A$2:$A$7,0))</f>
        <v>模拟_榕树下粉面店</v>
      </c>
      <c r="P526" s="6">
        <f>INT((ROUND(raw_order_lines!H526*10,0)*ROUND(raw_order_lines!J526*100,0)+5)/10)/100</f>
        <v>14.4</v>
      </c>
      <c r="Q526" s="6">
        <f>INT((ROUND(raw_order_lines!I526*10,0)*ROUND(raw_order_lines!J526*100,0)+5)/10)/100</f>
        <v>0</v>
      </c>
      <c r="R526" s="6">
        <f t="shared" si="24"/>
        <v>14.4</v>
      </c>
      <c r="S526" s="2" t="str">
        <f>IF(OR(ROUND(raw_order_lines!I526*10,0)&gt;ROUND(raw_order_lines!H526*10,0),ROUND(raw_order_lines!H526*10,0)&gt;ROUND(raw_order_lines!G526*10,0),ROUND(raw_order_lines!G526*10,0)&lt;=0),"数量关系异常","")</f>
        <v/>
      </c>
      <c r="T526" s="2" t="str">
        <f>IF($F526&lt;&gt;INDEX(dim_products!$D$2:$D$21,MATCH($E526,dim_products!$A$2:$A$21,0)),"单位不一致","")</f>
        <v/>
      </c>
      <c r="U526" s="2" t="str">
        <f>IF(OR(ROUND(raw_order_lines!J526*100,0)&lt;ROUND(INDEX(dim_products!$F$2:$F$21,MATCH($E526,dim_products!$A$2:$A$21,0))*100,0),ROUND(raw_order_lines!J526*100,0)&gt;ROUND(INDEX(dim_products!$G$2:$G$21,MATCH($E526,dim_products!$A$2:$A$21,0))*100,0)),"单价越界","")</f>
        <v/>
      </c>
      <c r="V526" s="2" t="str">
        <f t="shared" si="25"/>
        <v/>
      </c>
      <c r="W526" s="2" t="str">
        <f t="shared" si="26"/>
        <v>通过</v>
      </c>
    </row>
    <row r="527" spans="1:23" ht="15">
      <c r="A527" s="2" t="str">
        <f>raw_order_lines!A527</f>
        <v>SIM-20260917-C001</v>
      </c>
      <c r="B527" s="2">
        <f>raw_order_lines!B527</f>
        <v>3</v>
      </c>
      <c r="C527" s="2" t="str">
        <f>raw_order_lines!C527</f>
        <v>C001</v>
      </c>
      <c r="D527" s="3">
        <f>raw_order_lines!D527</f>
        <v>46282</v>
      </c>
      <c r="E527" s="2" t="str">
        <f>raw_order_lines!E527</f>
        <v>P006</v>
      </c>
      <c r="F527" s="2" t="str">
        <f>raw_order_lines!F527</f>
        <v>公斤</v>
      </c>
      <c r="G527" s="4">
        <f>raw_order_lines!G527</f>
        <v>3.9</v>
      </c>
      <c r="H527" s="4">
        <f>raw_order_lines!H527</f>
        <v>3.6</v>
      </c>
      <c r="I527" s="4">
        <f>raw_order_lines!I527</f>
        <v>0</v>
      </c>
      <c r="J527" s="5">
        <f>raw_order_lines!J527</f>
        <v>4.8</v>
      </c>
      <c r="K527" s="2" t="str">
        <f>raw_order_lines!K527</f>
        <v>到货不足；按实际交付计费</v>
      </c>
      <c r="L527" s="2" t="str">
        <f>raw_order_lines!L527</f>
        <v>true</v>
      </c>
      <c r="M527" s="2" t="str">
        <f>INDEX(dim_products!$B$2:$B$21,MATCH($E527,dim_products!$A$2:$A$21,0))</f>
        <v>茄子</v>
      </c>
      <c r="N527" s="2" t="str">
        <f>INDEX(dim_products!$C$2:$C$21,MATCH($E527,dim_products!$A$2:$A$21,0))</f>
        <v>散装鲜菜</v>
      </c>
      <c r="O527" s="2" t="str">
        <f>INDEX(dim_customers!$B$2:$B$7,MATCH($C527,dim_customers!$A$2:$A$7,0))</f>
        <v>模拟_榕树下粉面店</v>
      </c>
      <c r="P527" s="6">
        <f>INT((ROUND(raw_order_lines!H527*10,0)*ROUND(raw_order_lines!J527*100,0)+5)/10)/100</f>
        <v>17.28</v>
      </c>
      <c r="Q527" s="6">
        <f>INT((ROUND(raw_order_lines!I527*10,0)*ROUND(raw_order_lines!J527*100,0)+5)/10)/100</f>
        <v>0</v>
      </c>
      <c r="R527" s="6">
        <f t="shared" si="24"/>
        <v>17.28</v>
      </c>
      <c r="S527" s="2" t="str">
        <f>IF(OR(ROUND(raw_order_lines!I527*10,0)&gt;ROUND(raw_order_lines!H527*10,0),ROUND(raw_order_lines!H527*10,0)&gt;ROUND(raw_order_lines!G527*10,0),ROUND(raw_order_lines!G527*10,0)&lt;=0),"数量关系异常","")</f>
        <v/>
      </c>
      <c r="T527" s="2" t="str">
        <f>IF($F527&lt;&gt;INDEX(dim_products!$D$2:$D$21,MATCH($E527,dim_products!$A$2:$A$21,0)),"单位不一致","")</f>
        <v/>
      </c>
      <c r="U527" s="2" t="str">
        <f>IF(OR(ROUND(raw_order_lines!J527*100,0)&lt;ROUND(INDEX(dim_products!$F$2:$F$21,MATCH($E527,dim_products!$A$2:$A$21,0))*100,0),ROUND(raw_order_lines!J527*100,0)&gt;ROUND(INDEX(dim_products!$G$2:$G$21,MATCH($E527,dim_products!$A$2:$A$21,0))*100,0)),"单价越界","")</f>
        <v/>
      </c>
      <c r="V527" s="2" t="str">
        <f t="shared" si="25"/>
        <v/>
      </c>
      <c r="W527" s="2" t="str">
        <f t="shared" si="26"/>
        <v>通过</v>
      </c>
    </row>
    <row r="528" spans="1:23" ht="15">
      <c r="A528" s="2" t="str">
        <f>raw_order_lines!A528</f>
        <v>SIM-20260917-C001</v>
      </c>
      <c r="B528" s="2">
        <f>raw_order_lines!B528</f>
        <v>4</v>
      </c>
      <c r="C528" s="2" t="str">
        <f>raw_order_lines!C528</f>
        <v>C001</v>
      </c>
      <c r="D528" s="3">
        <f>raw_order_lines!D528</f>
        <v>46282</v>
      </c>
      <c r="E528" s="2" t="str">
        <f>raw_order_lines!E528</f>
        <v>P014</v>
      </c>
      <c r="F528" s="2" t="str">
        <f>raw_order_lines!F528</f>
        <v>公斤</v>
      </c>
      <c r="G528" s="4">
        <f>raw_order_lines!G528</f>
        <v>2.8</v>
      </c>
      <c r="H528" s="4">
        <f>raw_order_lines!H528</f>
        <v>2.8</v>
      </c>
      <c r="I528" s="4">
        <f>raw_order_lines!I528</f>
        <v>0</v>
      </c>
      <c r="J528" s="5">
        <f>raw_order_lines!J528</f>
        <v>5</v>
      </c>
      <c r="K528" s="2" t="str">
        <f>raw_order_lines!K528</f>
        <v>正常交付</v>
      </c>
      <c r="L528" s="2" t="str">
        <f>raw_order_lines!L528</f>
        <v>true</v>
      </c>
      <c r="M528" s="2" t="str">
        <f>INDEX(dim_products!$B$2:$B$21,MATCH($E528,dim_products!$A$2:$A$21,0))</f>
        <v>丝瓜</v>
      </c>
      <c r="N528" s="2" t="str">
        <f>INDEX(dim_products!$C$2:$C$21,MATCH($E528,dim_products!$A$2:$A$21,0))</f>
        <v>散装鲜菜</v>
      </c>
      <c r="O528" s="2" t="str">
        <f>INDEX(dim_customers!$B$2:$B$7,MATCH($C528,dim_customers!$A$2:$A$7,0))</f>
        <v>模拟_榕树下粉面店</v>
      </c>
      <c r="P528" s="6">
        <f>INT((ROUND(raw_order_lines!H528*10,0)*ROUND(raw_order_lines!J528*100,0)+5)/10)/100</f>
        <v>14</v>
      </c>
      <c r="Q528" s="6">
        <f>INT((ROUND(raw_order_lines!I528*10,0)*ROUND(raw_order_lines!J528*100,0)+5)/10)/100</f>
        <v>0</v>
      </c>
      <c r="R528" s="6">
        <f t="shared" si="24"/>
        <v>14</v>
      </c>
      <c r="S528" s="2" t="str">
        <f>IF(OR(ROUND(raw_order_lines!I528*10,0)&gt;ROUND(raw_order_lines!H528*10,0),ROUND(raw_order_lines!H528*10,0)&gt;ROUND(raw_order_lines!G528*10,0),ROUND(raw_order_lines!G528*10,0)&lt;=0),"数量关系异常","")</f>
        <v/>
      </c>
      <c r="T528" s="2" t="str">
        <f>IF($F528&lt;&gt;INDEX(dim_products!$D$2:$D$21,MATCH($E528,dim_products!$A$2:$A$21,0)),"单位不一致","")</f>
        <v/>
      </c>
      <c r="U528" s="2" t="str">
        <f>IF(OR(ROUND(raw_order_lines!J528*100,0)&lt;ROUND(INDEX(dim_products!$F$2:$F$21,MATCH($E528,dim_products!$A$2:$A$21,0))*100,0),ROUND(raw_order_lines!J528*100,0)&gt;ROUND(INDEX(dim_products!$G$2:$G$21,MATCH($E528,dim_products!$A$2:$A$21,0))*100,0)),"单价越界","")</f>
        <v/>
      </c>
      <c r="V528" s="2" t="str">
        <f t="shared" si="25"/>
        <v/>
      </c>
      <c r="W528" s="2" t="str">
        <f t="shared" si="26"/>
        <v>通过</v>
      </c>
    </row>
    <row r="529" spans="1:23" ht="15">
      <c r="A529" s="2" t="str">
        <f>raw_order_lines!A529</f>
        <v>SIM-20260917-C001</v>
      </c>
      <c r="B529" s="2">
        <f>raw_order_lines!B529</f>
        <v>5</v>
      </c>
      <c r="C529" s="2" t="str">
        <f>raw_order_lines!C529</f>
        <v>C001</v>
      </c>
      <c r="D529" s="3">
        <f>raw_order_lines!D529</f>
        <v>46282</v>
      </c>
      <c r="E529" s="2" t="str">
        <f>raw_order_lines!E529</f>
        <v>P016</v>
      </c>
      <c r="F529" s="2" t="str">
        <f>raw_order_lines!F529</f>
        <v>公斤</v>
      </c>
      <c r="G529" s="4">
        <f>raw_order_lines!G529</f>
        <v>3</v>
      </c>
      <c r="H529" s="4">
        <f>raw_order_lines!H529</f>
        <v>3</v>
      </c>
      <c r="I529" s="4">
        <f>raw_order_lines!I529</f>
        <v>0</v>
      </c>
      <c r="J529" s="5">
        <f>raw_order_lines!J529</f>
        <v>10.199999999999999</v>
      </c>
      <c r="K529" s="2" t="str">
        <f>raw_order_lines!K529</f>
        <v>正常交付</v>
      </c>
      <c r="L529" s="2" t="str">
        <f>raw_order_lines!L529</f>
        <v>true</v>
      </c>
      <c r="M529" s="2" t="str">
        <f>INDEX(dim_products!$B$2:$B$21,MATCH($E529,dim_products!$A$2:$A$21,0))</f>
        <v>鸡蛋</v>
      </c>
      <c r="N529" s="2" t="str">
        <f>INDEX(dim_products!$C$2:$C$21,MATCH($E529,dim_products!$A$2:$A$21,0))</f>
        <v>普通鲜鸡蛋按净重</v>
      </c>
      <c r="O529" s="2" t="str">
        <f>INDEX(dim_customers!$B$2:$B$7,MATCH($C529,dim_customers!$A$2:$A$7,0))</f>
        <v>模拟_榕树下粉面店</v>
      </c>
      <c r="P529" s="6">
        <f>INT((ROUND(raw_order_lines!H529*10,0)*ROUND(raw_order_lines!J529*100,0)+5)/10)/100</f>
        <v>30.6</v>
      </c>
      <c r="Q529" s="6">
        <f>INT((ROUND(raw_order_lines!I529*10,0)*ROUND(raw_order_lines!J529*100,0)+5)/10)/100</f>
        <v>0</v>
      </c>
      <c r="R529" s="6">
        <f t="shared" si="24"/>
        <v>30.6</v>
      </c>
      <c r="S529" s="2" t="str">
        <f>IF(OR(ROUND(raw_order_lines!I529*10,0)&gt;ROUND(raw_order_lines!H529*10,0),ROUND(raw_order_lines!H529*10,0)&gt;ROUND(raw_order_lines!G529*10,0),ROUND(raw_order_lines!G529*10,0)&lt;=0),"数量关系异常","")</f>
        <v/>
      </c>
      <c r="T529" s="2" t="str">
        <f>IF($F529&lt;&gt;INDEX(dim_products!$D$2:$D$21,MATCH($E529,dim_products!$A$2:$A$21,0)),"单位不一致","")</f>
        <v/>
      </c>
      <c r="U529" s="2" t="str">
        <f>IF(OR(ROUND(raw_order_lines!J529*100,0)&lt;ROUND(INDEX(dim_products!$F$2:$F$21,MATCH($E529,dim_products!$A$2:$A$21,0))*100,0),ROUND(raw_order_lines!J529*100,0)&gt;ROUND(INDEX(dim_products!$G$2:$G$21,MATCH($E529,dim_products!$A$2:$A$21,0))*100,0)),"单价越界","")</f>
        <v/>
      </c>
      <c r="V529" s="2" t="str">
        <f t="shared" si="25"/>
        <v/>
      </c>
      <c r="W529" s="2" t="str">
        <f t="shared" si="26"/>
        <v>通过</v>
      </c>
    </row>
    <row r="530" spans="1:23" ht="15">
      <c r="A530" s="2" t="str">
        <f>raw_order_lines!A530</f>
        <v>SIM-20260917-C002</v>
      </c>
      <c r="B530" s="2">
        <f>raw_order_lines!B530</f>
        <v>1</v>
      </c>
      <c r="C530" s="2" t="str">
        <f>raw_order_lines!C530</f>
        <v>C002</v>
      </c>
      <c r="D530" s="3">
        <f>raw_order_lines!D530</f>
        <v>46282</v>
      </c>
      <c r="E530" s="2" t="str">
        <f>raw_order_lines!E530</f>
        <v>P012</v>
      </c>
      <c r="F530" s="2" t="str">
        <f>raw_order_lines!F530</f>
        <v>公斤</v>
      </c>
      <c r="G530" s="4">
        <f>raw_order_lines!G530</f>
        <v>4.5</v>
      </c>
      <c r="H530" s="4">
        <f>raw_order_lines!H530</f>
        <v>4.2</v>
      </c>
      <c r="I530" s="4">
        <f>raw_order_lines!I530</f>
        <v>0</v>
      </c>
      <c r="J530" s="5">
        <f>raw_order_lines!J530</f>
        <v>5.2</v>
      </c>
      <c r="K530" s="2" t="str">
        <f>raw_order_lines!K530</f>
        <v>到货不足；按实际交付计费</v>
      </c>
      <c r="L530" s="2" t="str">
        <f>raw_order_lines!L530</f>
        <v>true</v>
      </c>
      <c r="M530" s="2" t="str">
        <f>INDEX(dim_products!$B$2:$B$21,MATCH($E530,dim_products!$A$2:$A$21,0))</f>
        <v>小白菜</v>
      </c>
      <c r="N530" s="2" t="str">
        <f>INDEX(dim_products!$C$2:$C$21,MATCH($E530,dim_products!$A$2:$A$21,0))</f>
        <v>散装鲜菜</v>
      </c>
      <c r="O530" s="2" t="str">
        <f>INDEX(dim_customers!$B$2:$B$7,MATCH($C530,dim_customers!$A$2:$A$7,0))</f>
        <v>模拟_桥头家常菜馆</v>
      </c>
      <c r="P530" s="6">
        <f>INT((ROUND(raw_order_lines!H530*10,0)*ROUND(raw_order_lines!J530*100,0)+5)/10)/100</f>
        <v>21.84</v>
      </c>
      <c r="Q530" s="6">
        <f>INT((ROUND(raw_order_lines!I530*10,0)*ROUND(raw_order_lines!J530*100,0)+5)/10)/100</f>
        <v>0</v>
      </c>
      <c r="R530" s="6">
        <f t="shared" si="24"/>
        <v>21.84</v>
      </c>
      <c r="S530" s="2" t="str">
        <f>IF(OR(ROUND(raw_order_lines!I530*10,0)&gt;ROUND(raw_order_lines!H530*10,0),ROUND(raw_order_lines!H530*10,0)&gt;ROUND(raw_order_lines!G530*10,0),ROUND(raw_order_lines!G530*10,0)&lt;=0),"数量关系异常","")</f>
        <v/>
      </c>
      <c r="T530" s="2" t="str">
        <f>IF($F530&lt;&gt;INDEX(dim_products!$D$2:$D$21,MATCH($E530,dim_products!$A$2:$A$21,0)),"单位不一致","")</f>
        <v/>
      </c>
      <c r="U530" s="2" t="str">
        <f>IF(OR(ROUND(raw_order_lines!J530*100,0)&lt;ROUND(INDEX(dim_products!$F$2:$F$21,MATCH($E530,dim_products!$A$2:$A$21,0))*100,0),ROUND(raw_order_lines!J530*100,0)&gt;ROUND(INDEX(dim_products!$G$2:$G$21,MATCH($E530,dim_products!$A$2:$A$21,0))*100,0)),"单价越界","")</f>
        <v/>
      </c>
      <c r="V530" s="2" t="str">
        <f t="shared" si="25"/>
        <v/>
      </c>
      <c r="W530" s="2" t="str">
        <f t="shared" si="26"/>
        <v>通过</v>
      </c>
    </row>
    <row r="531" spans="1:23" ht="15">
      <c r="A531" s="2" t="str">
        <f>raw_order_lines!A531</f>
        <v>SIM-20260917-C002</v>
      </c>
      <c r="B531" s="2">
        <f>raw_order_lines!B531</f>
        <v>2</v>
      </c>
      <c r="C531" s="2" t="str">
        <f>raw_order_lines!C531</f>
        <v>C002</v>
      </c>
      <c r="D531" s="3">
        <f>raw_order_lines!D531</f>
        <v>46282</v>
      </c>
      <c r="E531" s="2" t="str">
        <f>raw_order_lines!E531</f>
        <v>P003</v>
      </c>
      <c r="F531" s="2" t="str">
        <f>raw_order_lines!F531</f>
        <v>公斤</v>
      </c>
      <c r="G531" s="4">
        <f>raw_order_lines!G531</f>
        <v>6</v>
      </c>
      <c r="H531" s="4">
        <f>raw_order_lines!H531</f>
        <v>6</v>
      </c>
      <c r="I531" s="4">
        <f>raw_order_lines!I531</f>
        <v>0</v>
      </c>
      <c r="J531" s="5">
        <f>raw_order_lines!J531</f>
        <v>3.5</v>
      </c>
      <c r="K531" s="2" t="str">
        <f>raw_order_lines!K531</f>
        <v>正常交付</v>
      </c>
      <c r="L531" s="2" t="str">
        <f>raw_order_lines!L531</f>
        <v>true</v>
      </c>
      <c r="M531" s="2" t="str">
        <f>INDEX(dim_products!$B$2:$B$21,MATCH($E531,dim_products!$A$2:$A$21,0))</f>
        <v>包菜</v>
      </c>
      <c r="N531" s="2" t="str">
        <f>INDEX(dim_products!$C$2:$C$21,MATCH($E531,dim_products!$A$2:$A$21,0))</f>
        <v>散装鲜菜</v>
      </c>
      <c r="O531" s="2" t="str">
        <f>INDEX(dim_customers!$B$2:$B$7,MATCH($C531,dim_customers!$A$2:$A$7,0))</f>
        <v>模拟_桥头家常菜馆</v>
      </c>
      <c r="P531" s="6">
        <f>INT((ROUND(raw_order_lines!H531*10,0)*ROUND(raw_order_lines!J531*100,0)+5)/10)/100</f>
        <v>21</v>
      </c>
      <c r="Q531" s="6">
        <f>INT((ROUND(raw_order_lines!I531*10,0)*ROUND(raw_order_lines!J531*100,0)+5)/10)/100</f>
        <v>0</v>
      </c>
      <c r="R531" s="6">
        <f t="shared" si="24"/>
        <v>21</v>
      </c>
      <c r="S531" s="2" t="str">
        <f>IF(OR(ROUND(raw_order_lines!I531*10,0)&gt;ROUND(raw_order_lines!H531*10,0),ROUND(raw_order_lines!H531*10,0)&gt;ROUND(raw_order_lines!G531*10,0),ROUND(raw_order_lines!G531*10,0)&lt;=0),"数量关系异常","")</f>
        <v/>
      </c>
      <c r="T531" s="2" t="str">
        <f>IF($F531&lt;&gt;INDEX(dim_products!$D$2:$D$21,MATCH($E531,dim_products!$A$2:$A$21,0)),"单位不一致","")</f>
        <v/>
      </c>
      <c r="U531" s="2" t="str">
        <f>IF(OR(ROUND(raw_order_lines!J531*100,0)&lt;ROUND(INDEX(dim_products!$F$2:$F$21,MATCH($E531,dim_products!$A$2:$A$21,0))*100,0),ROUND(raw_order_lines!J531*100,0)&gt;ROUND(INDEX(dim_products!$G$2:$G$21,MATCH($E531,dim_products!$A$2:$A$21,0))*100,0)),"单价越界","")</f>
        <v/>
      </c>
      <c r="V531" s="2" t="str">
        <f t="shared" si="25"/>
        <v/>
      </c>
      <c r="W531" s="2" t="str">
        <f t="shared" si="26"/>
        <v>通过</v>
      </c>
    </row>
    <row r="532" spans="1:23" ht="15">
      <c r="A532" s="2" t="str">
        <f>raw_order_lines!A532</f>
        <v>SIM-20260917-C002</v>
      </c>
      <c r="B532" s="2">
        <f>raw_order_lines!B532</f>
        <v>3</v>
      </c>
      <c r="C532" s="2" t="str">
        <f>raw_order_lines!C532</f>
        <v>C002</v>
      </c>
      <c r="D532" s="3">
        <f>raw_order_lines!D532</f>
        <v>46282</v>
      </c>
      <c r="E532" s="2" t="str">
        <f>raw_order_lines!E532</f>
        <v>P004</v>
      </c>
      <c r="F532" s="2" t="str">
        <f>raw_order_lines!F532</f>
        <v>公斤</v>
      </c>
      <c r="G532" s="4">
        <f>raw_order_lines!G532</f>
        <v>5.5</v>
      </c>
      <c r="H532" s="4">
        <f>raw_order_lines!H532</f>
        <v>5.5</v>
      </c>
      <c r="I532" s="4">
        <f>raw_order_lines!I532</f>
        <v>0</v>
      </c>
      <c r="J532" s="5">
        <f>raw_order_lines!J532</f>
        <v>2.6</v>
      </c>
      <c r="K532" s="2" t="str">
        <f>raw_order_lines!K532</f>
        <v>正常交付</v>
      </c>
      <c r="L532" s="2" t="str">
        <f>raw_order_lines!L532</f>
        <v>true</v>
      </c>
      <c r="M532" s="2" t="str">
        <f>INDEX(dim_products!$B$2:$B$21,MATCH($E532,dim_products!$A$2:$A$21,0))</f>
        <v>冬瓜</v>
      </c>
      <c r="N532" s="2" t="str">
        <f>INDEX(dim_products!$C$2:$C$21,MATCH($E532,dim_products!$A$2:$A$21,0))</f>
        <v>散装鲜菜</v>
      </c>
      <c r="O532" s="2" t="str">
        <f>INDEX(dim_customers!$B$2:$B$7,MATCH($C532,dim_customers!$A$2:$A$7,0))</f>
        <v>模拟_桥头家常菜馆</v>
      </c>
      <c r="P532" s="6">
        <f>INT((ROUND(raw_order_lines!H532*10,0)*ROUND(raw_order_lines!J532*100,0)+5)/10)/100</f>
        <v>14.3</v>
      </c>
      <c r="Q532" s="6">
        <f>INT((ROUND(raw_order_lines!I532*10,0)*ROUND(raw_order_lines!J532*100,0)+5)/10)/100</f>
        <v>0</v>
      </c>
      <c r="R532" s="6">
        <f t="shared" si="24"/>
        <v>14.3</v>
      </c>
      <c r="S532" s="2" t="str">
        <f>IF(OR(ROUND(raw_order_lines!I532*10,0)&gt;ROUND(raw_order_lines!H532*10,0),ROUND(raw_order_lines!H532*10,0)&gt;ROUND(raw_order_lines!G532*10,0),ROUND(raw_order_lines!G532*10,0)&lt;=0),"数量关系异常","")</f>
        <v/>
      </c>
      <c r="T532" s="2" t="str">
        <f>IF($F532&lt;&gt;INDEX(dim_products!$D$2:$D$21,MATCH($E532,dim_products!$A$2:$A$21,0)),"单位不一致","")</f>
        <v/>
      </c>
      <c r="U532" s="2" t="str">
        <f>IF(OR(ROUND(raw_order_lines!J532*100,0)&lt;ROUND(INDEX(dim_products!$F$2:$F$21,MATCH($E532,dim_products!$A$2:$A$21,0))*100,0),ROUND(raw_order_lines!J532*100,0)&gt;ROUND(INDEX(dim_products!$G$2:$G$21,MATCH($E532,dim_products!$A$2:$A$21,0))*100,0)),"单价越界","")</f>
        <v/>
      </c>
      <c r="V532" s="2" t="str">
        <f t="shared" si="25"/>
        <v/>
      </c>
      <c r="W532" s="2" t="str">
        <f t="shared" si="26"/>
        <v>通过</v>
      </c>
    </row>
    <row r="533" spans="1:23" ht="15">
      <c r="A533" s="2" t="str">
        <f>raw_order_lines!A533</f>
        <v>SIM-20260917-C002</v>
      </c>
      <c r="B533" s="2">
        <f>raw_order_lines!B533</f>
        <v>4</v>
      </c>
      <c r="C533" s="2" t="str">
        <f>raw_order_lines!C533</f>
        <v>C002</v>
      </c>
      <c r="D533" s="3">
        <f>raw_order_lines!D533</f>
        <v>46282</v>
      </c>
      <c r="E533" s="2" t="str">
        <f>raw_order_lines!E533</f>
        <v>P009</v>
      </c>
      <c r="F533" s="2" t="str">
        <f>raw_order_lines!F533</f>
        <v>公斤</v>
      </c>
      <c r="G533" s="4">
        <f>raw_order_lines!G533</f>
        <v>7</v>
      </c>
      <c r="H533" s="4">
        <f>raw_order_lines!H533</f>
        <v>7</v>
      </c>
      <c r="I533" s="4">
        <f>raw_order_lines!I533</f>
        <v>0</v>
      </c>
      <c r="J533" s="5">
        <f>raw_order_lines!J533</f>
        <v>4.8</v>
      </c>
      <c r="K533" s="2" t="str">
        <f>raw_order_lines!K533</f>
        <v>正常交付</v>
      </c>
      <c r="L533" s="2" t="str">
        <f>raw_order_lines!L533</f>
        <v>true</v>
      </c>
      <c r="M533" s="2" t="str">
        <f>INDEX(dim_products!$B$2:$B$21,MATCH($E533,dim_products!$A$2:$A$21,0))</f>
        <v>西红柿</v>
      </c>
      <c r="N533" s="2" t="str">
        <f>INDEX(dim_products!$C$2:$C$21,MATCH($E533,dim_products!$A$2:$A$21,0))</f>
        <v>散装鲜菜</v>
      </c>
      <c r="O533" s="2" t="str">
        <f>INDEX(dim_customers!$B$2:$B$7,MATCH($C533,dim_customers!$A$2:$A$7,0))</f>
        <v>模拟_桥头家常菜馆</v>
      </c>
      <c r="P533" s="6">
        <f>INT((ROUND(raw_order_lines!H533*10,0)*ROUND(raw_order_lines!J533*100,0)+5)/10)/100</f>
        <v>33.6</v>
      </c>
      <c r="Q533" s="6">
        <f>INT((ROUND(raw_order_lines!I533*10,0)*ROUND(raw_order_lines!J533*100,0)+5)/10)/100</f>
        <v>0</v>
      </c>
      <c r="R533" s="6">
        <f t="shared" si="24"/>
        <v>33.6</v>
      </c>
      <c r="S533" s="2" t="str">
        <f>IF(OR(ROUND(raw_order_lines!I533*10,0)&gt;ROUND(raw_order_lines!H533*10,0),ROUND(raw_order_lines!H533*10,0)&gt;ROUND(raw_order_lines!G533*10,0),ROUND(raw_order_lines!G533*10,0)&lt;=0),"数量关系异常","")</f>
        <v/>
      </c>
      <c r="T533" s="2" t="str">
        <f>IF($F533&lt;&gt;INDEX(dim_products!$D$2:$D$21,MATCH($E533,dim_products!$A$2:$A$21,0)),"单位不一致","")</f>
        <v/>
      </c>
      <c r="U533" s="2" t="str">
        <f>IF(OR(ROUND(raw_order_lines!J533*100,0)&lt;ROUND(INDEX(dim_products!$F$2:$F$21,MATCH($E533,dim_products!$A$2:$A$21,0))*100,0),ROUND(raw_order_lines!J533*100,0)&gt;ROUND(INDEX(dim_products!$G$2:$G$21,MATCH($E533,dim_products!$A$2:$A$21,0))*100,0)),"单价越界","")</f>
        <v/>
      </c>
      <c r="V533" s="2" t="str">
        <f t="shared" si="25"/>
        <v/>
      </c>
      <c r="W533" s="2" t="str">
        <f t="shared" si="26"/>
        <v>通过</v>
      </c>
    </row>
    <row r="534" spans="1:23" ht="15">
      <c r="A534" s="2" t="str">
        <f>raw_order_lines!A534</f>
        <v>SIM-20260917-C002</v>
      </c>
      <c r="B534" s="2">
        <f>raw_order_lines!B534</f>
        <v>5</v>
      </c>
      <c r="C534" s="2" t="str">
        <f>raw_order_lines!C534</f>
        <v>C002</v>
      </c>
      <c r="D534" s="3">
        <f>raw_order_lines!D534</f>
        <v>46282</v>
      </c>
      <c r="E534" s="2" t="str">
        <f>raw_order_lines!E534</f>
        <v>P008</v>
      </c>
      <c r="F534" s="2" t="str">
        <f>raw_order_lines!F534</f>
        <v>公斤</v>
      </c>
      <c r="G534" s="4">
        <f>raw_order_lines!G534</f>
        <v>6</v>
      </c>
      <c r="H534" s="4">
        <f>raw_order_lines!H534</f>
        <v>6</v>
      </c>
      <c r="I534" s="4">
        <f>raw_order_lines!I534</f>
        <v>0</v>
      </c>
      <c r="J534" s="5">
        <f>raw_order_lines!J534</f>
        <v>4.4000000000000004</v>
      </c>
      <c r="K534" s="2" t="str">
        <f>raw_order_lines!K534</f>
        <v>正常交付</v>
      </c>
      <c r="L534" s="2" t="str">
        <f>raw_order_lines!L534</f>
        <v>true</v>
      </c>
      <c r="M534" s="2" t="str">
        <f>INDEX(dim_products!$B$2:$B$21,MATCH($E534,dim_products!$A$2:$A$21,0))</f>
        <v>黄瓜</v>
      </c>
      <c r="N534" s="2" t="str">
        <f>INDEX(dim_products!$C$2:$C$21,MATCH($E534,dim_products!$A$2:$A$21,0))</f>
        <v>散装鲜菜</v>
      </c>
      <c r="O534" s="2" t="str">
        <f>INDEX(dim_customers!$B$2:$B$7,MATCH($C534,dim_customers!$A$2:$A$7,0))</f>
        <v>模拟_桥头家常菜馆</v>
      </c>
      <c r="P534" s="6">
        <f>INT((ROUND(raw_order_lines!H534*10,0)*ROUND(raw_order_lines!J534*100,0)+5)/10)/100</f>
        <v>26.4</v>
      </c>
      <c r="Q534" s="6">
        <f>INT((ROUND(raw_order_lines!I534*10,0)*ROUND(raw_order_lines!J534*100,0)+5)/10)/100</f>
        <v>0</v>
      </c>
      <c r="R534" s="6">
        <f t="shared" si="24"/>
        <v>26.4</v>
      </c>
      <c r="S534" s="2" t="str">
        <f>IF(OR(ROUND(raw_order_lines!I534*10,0)&gt;ROUND(raw_order_lines!H534*10,0),ROUND(raw_order_lines!H534*10,0)&gt;ROUND(raw_order_lines!G534*10,0),ROUND(raw_order_lines!G534*10,0)&lt;=0),"数量关系异常","")</f>
        <v/>
      </c>
      <c r="T534" s="2" t="str">
        <f>IF($F534&lt;&gt;INDEX(dim_products!$D$2:$D$21,MATCH($E534,dim_products!$A$2:$A$21,0)),"单位不一致","")</f>
        <v/>
      </c>
      <c r="U534" s="2" t="str">
        <f>IF(OR(ROUND(raw_order_lines!J534*100,0)&lt;ROUND(INDEX(dim_products!$F$2:$F$21,MATCH($E534,dim_products!$A$2:$A$21,0))*100,0),ROUND(raw_order_lines!J534*100,0)&gt;ROUND(INDEX(dim_products!$G$2:$G$21,MATCH($E534,dim_products!$A$2:$A$21,0))*100,0)),"单价越界","")</f>
        <v/>
      </c>
      <c r="V534" s="2" t="str">
        <f t="shared" si="25"/>
        <v/>
      </c>
      <c r="W534" s="2" t="str">
        <f t="shared" si="26"/>
        <v>通过</v>
      </c>
    </row>
    <row r="535" spans="1:23" ht="15">
      <c r="A535" s="2" t="str">
        <f>raw_order_lines!A535</f>
        <v>SIM-20260917-C002</v>
      </c>
      <c r="B535" s="2">
        <f>raw_order_lines!B535</f>
        <v>6</v>
      </c>
      <c r="C535" s="2" t="str">
        <f>raw_order_lines!C535</f>
        <v>C002</v>
      </c>
      <c r="D535" s="3">
        <f>raw_order_lines!D535</f>
        <v>46282</v>
      </c>
      <c r="E535" s="2" t="str">
        <f>raw_order_lines!E535</f>
        <v>P016</v>
      </c>
      <c r="F535" s="2" t="str">
        <f>raw_order_lines!F535</f>
        <v>公斤</v>
      </c>
      <c r="G535" s="4">
        <f>raw_order_lines!G535</f>
        <v>4</v>
      </c>
      <c r="H535" s="4">
        <f>raw_order_lines!H535</f>
        <v>4</v>
      </c>
      <c r="I535" s="4">
        <f>raw_order_lines!I535</f>
        <v>0</v>
      </c>
      <c r="J535" s="5">
        <f>raw_order_lines!J535</f>
        <v>10.199999999999999</v>
      </c>
      <c r="K535" s="2" t="str">
        <f>raw_order_lines!K535</f>
        <v>正常交付</v>
      </c>
      <c r="L535" s="2" t="str">
        <f>raw_order_lines!L535</f>
        <v>true</v>
      </c>
      <c r="M535" s="2" t="str">
        <f>INDEX(dim_products!$B$2:$B$21,MATCH($E535,dim_products!$A$2:$A$21,0))</f>
        <v>鸡蛋</v>
      </c>
      <c r="N535" s="2" t="str">
        <f>INDEX(dim_products!$C$2:$C$21,MATCH($E535,dim_products!$A$2:$A$21,0))</f>
        <v>普通鲜鸡蛋按净重</v>
      </c>
      <c r="O535" s="2" t="str">
        <f>INDEX(dim_customers!$B$2:$B$7,MATCH($C535,dim_customers!$A$2:$A$7,0))</f>
        <v>模拟_桥头家常菜馆</v>
      </c>
      <c r="P535" s="6">
        <f>INT((ROUND(raw_order_lines!H535*10,0)*ROUND(raw_order_lines!J535*100,0)+5)/10)/100</f>
        <v>40.799999999999997</v>
      </c>
      <c r="Q535" s="6">
        <f>INT((ROUND(raw_order_lines!I535*10,0)*ROUND(raw_order_lines!J535*100,0)+5)/10)/100</f>
        <v>0</v>
      </c>
      <c r="R535" s="6">
        <f t="shared" si="24"/>
        <v>40.799999999999997</v>
      </c>
      <c r="S535" s="2" t="str">
        <f>IF(OR(ROUND(raw_order_lines!I535*10,0)&gt;ROUND(raw_order_lines!H535*10,0),ROUND(raw_order_lines!H535*10,0)&gt;ROUND(raw_order_lines!G535*10,0),ROUND(raw_order_lines!G535*10,0)&lt;=0),"数量关系异常","")</f>
        <v/>
      </c>
      <c r="T535" s="2" t="str">
        <f>IF($F535&lt;&gt;INDEX(dim_products!$D$2:$D$21,MATCH($E535,dim_products!$A$2:$A$21,0)),"单位不一致","")</f>
        <v/>
      </c>
      <c r="U535" s="2" t="str">
        <f>IF(OR(ROUND(raw_order_lines!J535*100,0)&lt;ROUND(INDEX(dim_products!$F$2:$F$21,MATCH($E535,dim_products!$A$2:$A$21,0))*100,0),ROUND(raw_order_lines!J535*100,0)&gt;ROUND(INDEX(dim_products!$G$2:$G$21,MATCH($E535,dim_products!$A$2:$A$21,0))*100,0)),"单价越界","")</f>
        <v/>
      </c>
      <c r="V535" s="2" t="str">
        <f t="shared" si="25"/>
        <v/>
      </c>
      <c r="W535" s="2" t="str">
        <f t="shared" si="26"/>
        <v>通过</v>
      </c>
    </row>
    <row r="536" spans="1:23" ht="15">
      <c r="A536" s="2" t="str">
        <f>raw_order_lines!A536</f>
        <v>SIM-20260917-C003</v>
      </c>
      <c r="B536" s="2">
        <f>raw_order_lines!B536</f>
        <v>1</v>
      </c>
      <c r="C536" s="2" t="str">
        <f>raw_order_lines!C536</f>
        <v>C003</v>
      </c>
      <c r="D536" s="3">
        <f>raw_order_lines!D536</f>
        <v>46282</v>
      </c>
      <c r="E536" s="2" t="str">
        <f>raw_order_lines!E536</f>
        <v>P012</v>
      </c>
      <c r="F536" s="2" t="str">
        <f>raw_order_lines!F536</f>
        <v>公斤</v>
      </c>
      <c r="G536" s="4">
        <f>raw_order_lines!G536</f>
        <v>4.7</v>
      </c>
      <c r="H536" s="4">
        <f>raw_order_lines!H536</f>
        <v>4.7</v>
      </c>
      <c r="I536" s="4">
        <f>raw_order_lines!I536</f>
        <v>0.2</v>
      </c>
      <c r="J536" s="5">
        <f>raw_order_lines!J536</f>
        <v>5.2</v>
      </c>
      <c r="K536" s="2" t="str">
        <f>raw_order_lines!K536</f>
        <v>正常交付；签收时挑出黄叶退回</v>
      </c>
      <c r="L536" s="2" t="str">
        <f>raw_order_lines!L536</f>
        <v>true</v>
      </c>
      <c r="M536" s="2" t="str">
        <f>INDEX(dim_products!$B$2:$B$21,MATCH($E536,dim_products!$A$2:$A$21,0))</f>
        <v>小白菜</v>
      </c>
      <c r="N536" s="2" t="str">
        <f>INDEX(dim_products!$C$2:$C$21,MATCH($E536,dim_products!$A$2:$A$21,0))</f>
        <v>散装鲜菜</v>
      </c>
      <c r="O536" s="2" t="str">
        <f>INDEX(dim_customers!$B$2:$B$7,MATCH($C536,dim_customers!$A$2:$A$7,0))</f>
        <v>模拟_兴街快餐店</v>
      </c>
      <c r="P536" s="6">
        <f>INT((ROUND(raw_order_lines!H536*10,0)*ROUND(raw_order_lines!J536*100,0)+5)/10)/100</f>
        <v>24.44</v>
      </c>
      <c r="Q536" s="6">
        <f>INT((ROUND(raw_order_lines!I536*10,0)*ROUND(raw_order_lines!J536*100,0)+5)/10)/100</f>
        <v>1.04</v>
      </c>
      <c r="R536" s="6">
        <f t="shared" si="24"/>
        <v>23.400000000000002</v>
      </c>
      <c r="S536" s="2" t="str">
        <f>IF(OR(ROUND(raw_order_lines!I536*10,0)&gt;ROUND(raw_order_lines!H536*10,0),ROUND(raw_order_lines!H536*10,0)&gt;ROUND(raw_order_lines!G536*10,0),ROUND(raw_order_lines!G536*10,0)&lt;=0),"数量关系异常","")</f>
        <v/>
      </c>
      <c r="T536" s="2" t="str">
        <f>IF($F536&lt;&gt;INDEX(dim_products!$D$2:$D$21,MATCH($E536,dim_products!$A$2:$A$21,0)),"单位不一致","")</f>
        <v/>
      </c>
      <c r="U536" s="2" t="str">
        <f>IF(OR(ROUND(raw_order_lines!J536*100,0)&lt;ROUND(INDEX(dim_products!$F$2:$F$21,MATCH($E536,dim_products!$A$2:$A$21,0))*100,0),ROUND(raw_order_lines!J536*100,0)&gt;ROUND(INDEX(dim_products!$G$2:$G$21,MATCH($E536,dim_products!$A$2:$A$21,0))*100,0)),"单价越界","")</f>
        <v/>
      </c>
      <c r="V536" s="2" t="str">
        <f t="shared" si="25"/>
        <v/>
      </c>
      <c r="W536" s="2" t="str">
        <f t="shared" si="26"/>
        <v>通过</v>
      </c>
    </row>
    <row r="537" spans="1:23" ht="15">
      <c r="A537" s="2" t="str">
        <f>raw_order_lines!A537</f>
        <v>SIM-20260917-C003</v>
      </c>
      <c r="B537" s="2">
        <f>raw_order_lines!B537</f>
        <v>2</v>
      </c>
      <c r="C537" s="2" t="str">
        <f>raw_order_lines!C537</f>
        <v>C003</v>
      </c>
      <c r="D537" s="3">
        <f>raw_order_lines!D537</f>
        <v>46282</v>
      </c>
      <c r="E537" s="2" t="str">
        <f>raw_order_lines!E537</f>
        <v>P001</v>
      </c>
      <c r="F537" s="2" t="str">
        <f>raw_order_lines!F537</f>
        <v>公斤</v>
      </c>
      <c r="G537" s="4">
        <f>raw_order_lines!G537</f>
        <v>10.1</v>
      </c>
      <c r="H537" s="4">
        <f>raw_order_lines!H537</f>
        <v>9.6</v>
      </c>
      <c r="I537" s="4">
        <f>raw_order_lines!I537</f>
        <v>0</v>
      </c>
      <c r="J537" s="5">
        <f>raw_order_lines!J537</f>
        <v>3.4</v>
      </c>
      <c r="K537" s="2" t="str">
        <f>raw_order_lines!K537</f>
        <v>到货不足；按实际交付计费</v>
      </c>
      <c r="L537" s="2" t="str">
        <f>raw_order_lines!L537</f>
        <v>true</v>
      </c>
      <c r="M537" s="2" t="str">
        <f>INDEX(dim_products!$B$2:$B$21,MATCH($E537,dim_products!$A$2:$A$21,0))</f>
        <v>土豆</v>
      </c>
      <c r="N537" s="2" t="str">
        <f>INDEX(dim_products!$C$2:$C$21,MATCH($E537,dim_products!$A$2:$A$21,0))</f>
        <v>散装鲜菜</v>
      </c>
      <c r="O537" s="2" t="str">
        <f>INDEX(dim_customers!$B$2:$B$7,MATCH($C537,dim_customers!$A$2:$A$7,0))</f>
        <v>模拟_兴街快餐店</v>
      </c>
      <c r="P537" s="6">
        <f>INT((ROUND(raw_order_lines!H537*10,0)*ROUND(raw_order_lines!J537*100,0)+5)/10)/100</f>
        <v>32.64</v>
      </c>
      <c r="Q537" s="6">
        <f>INT((ROUND(raw_order_lines!I537*10,0)*ROUND(raw_order_lines!J537*100,0)+5)/10)/100</f>
        <v>0</v>
      </c>
      <c r="R537" s="6">
        <f t="shared" si="24"/>
        <v>32.64</v>
      </c>
      <c r="S537" s="2" t="str">
        <f>IF(OR(ROUND(raw_order_lines!I537*10,0)&gt;ROUND(raw_order_lines!H537*10,0),ROUND(raw_order_lines!H537*10,0)&gt;ROUND(raw_order_lines!G537*10,0),ROUND(raw_order_lines!G537*10,0)&lt;=0),"数量关系异常","")</f>
        <v/>
      </c>
      <c r="T537" s="2" t="str">
        <f>IF($F537&lt;&gt;INDEX(dim_products!$D$2:$D$21,MATCH($E537,dim_products!$A$2:$A$21,0)),"单位不一致","")</f>
        <v/>
      </c>
      <c r="U537" s="2" t="str">
        <f>IF(OR(ROUND(raw_order_lines!J537*100,0)&lt;ROUND(INDEX(dim_products!$F$2:$F$21,MATCH($E537,dim_products!$A$2:$A$21,0))*100,0),ROUND(raw_order_lines!J537*100,0)&gt;ROUND(INDEX(dim_products!$G$2:$G$21,MATCH($E537,dim_products!$A$2:$A$21,0))*100,0)),"单价越界","")</f>
        <v/>
      </c>
      <c r="V537" s="2" t="str">
        <f t="shared" si="25"/>
        <v/>
      </c>
      <c r="W537" s="2" t="str">
        <f t="shared" si="26"/>
        <v>通过</v>
      </c>
    </row>
    <row r="538" spans="1:23" ht="15">
      <c r="A538" s="2" t="str">
        <f>raw_order_lines!A538</f>
        <v>SIM-20260917-C003</v>
      </c>
      <c r="B538" s="2">
        <f>raw_order_lines!B538</f>
        <v>3</v>
      </c>
      <c r="C538" s="2" t="str">
        <f>raw_order_lines!C538</f>
        <v>C003</v>
      </c>
      <c r="D538" s="3">
        <f>raw_order_lines!D538</f>
        <v>46282</v>
      </c>
      <c r="E538" s="2" t="str">
        <f>raw_order_lines!E538</f>
        <v>P005</v>
      </c>
      <c r="F538" s="2" t="str">
        <f>raw_order_lines!F538</f>
        <v>公斤</v>
      </c>
      <c r="G538" s="4">
        <f>raw_order_lines!G538</f>
        <v>10.1</v>
      </c>
      <c r="H538" s="4">
        <f>raw_order_lines!H538</f>
        <v>10.1</v>
      </c>
      <c r="I538" s="4">
        <f>raw_order_lines!I538</f>
        <v>0</v>
      </c>
      <c r="J538" s="5">
        <f>raw_order_lines!J538</f>
        <v>3.2</v>
      </c>
      <c r="K538" s="2" t="str">
        <f>raw_order_lines!K538</f>
        <v>正常交付</v>
      </c>
      <c r="L538" s="2" t="str">
        <f>raw_order_lines!L538</f>
        <v>true</v>
      </c>
      <c r="M538" s="2" t="str">
        <f>INDEX(dim_products!$B$2:$B$21,MATCH($E538,dim_products!$A$2:$A$21,0))</f>
        <v>南瓜</v>
      </c>
      <c r="N538" s="2" t="str">
        <f>INDEX(dim_products!$C$2:$C$21,MATCH($E538,dim_products!$A$2:$A$21,0))</f>
        <v>散装鲜菜</v>
      </c>
      <c r="O538" s="2" t="str">
        <f>INDEX(dim_customers!$B$2:$B$7,MATCH($C538,dim_customers!$A$2:$A$7,0))</f>
        <v>模拟_兴街快餐店</v>
      </c>
      <c r="P538" s="6">
        <f>INT((ROUND(raw_order_lines!H538*10,0)*ROUND(raw_order_lines!J538*100,0)+5)/10)/100</f>
        <v>32.32</v>
      </c>
      <c r="Q538" s="6">
        <f>INT((ROUND(raw_order_lines!I538*10,0)*ROUND(raw_order_lines!J538*100,0)+5)/10)/100</f>
        <v>0</v>
      </c>
      <c r="R538" s="6">
        <f t="shared" si="24"/>
        <v>32.32</v>
      </c>
      <c r="S538" s="2" t="str">
        <f>IF(OR(ROUND(raw_order_lines!I538*10,0)&gt;ROUND(raw_order_lines!H538*10,0),ROUND(raw_order_lines!H538*10,0)&gt;ROUND(raw_order_lines!G538*10,0),ROUND(raw_order_lines!G538*10,0)&lt;=0),"数量关系异常","")</f>
        <v/>
      </c>
      <c r="T538" s="2" t="str">
        <f>IF($F538&lt;&gt;INDEX(dim_products!$D$2:$D$21,MATCH($E538,dim_products!$A$2:$A$21,0)),"单位不一致","")</f>
        <v/>
      </c>
      <c r="U538" s="2" t="str">
        <f>IF(OR(ROUND(raw_order_lines!J538*100,0)&lt;ROUND(INDEX(dim_products!$F$2:$F$21,MATCH($E538,dim_products!$A$2:$A$21,0))*100,0),ROUND(raw_order_lines!J538*100,0)&gt;ROUND(INDEX(dim_products!$G$2:$G$21,MATCH($E538,dim_products!$A$2:$A$21,0))*100,0)),"单价越界","")</f>
        <v/>
      </c>
      <c r="V538" s="2" t="str">
        <f t="shared" si="25"/>
        <v/>
      </c>
      <c r="W538" s="2" t="str">
        <f t="shared" si="26"/>
        <v>通过</v>
      </c>
    </row>
    <row r="539" spans="1:23" ht="15">
      <c r="A539" s="2" t="str">
        <f>raw_order_lines!A539</f>
        <v>SIM-20260917-C003</v>
      </c>
      <c r="B539" s="2">
        <f>raw_order_lines!B539</f>
        <v>4</v>
      </c>
      <c r="C539" s="2" t="str">
        <f>raw_order_lines!C539</f>
        <v>C003</v>
      </c>
      <c r="D539" s="3">
        <f>raw_order_lines!D539</f>
        <v>46282</v>
      </c>
      <c r="E539" s="2" t="str">
        <f>raw_order_lines!E539</f>
        <v>P007</v>
      </c>
      <c r="F539" s="2" t="str">
        <f>raw_order_lines!F539</f>
        <v>公斤</v>
      </c>
      <c r="G539" s="4">
        <f>raw_order_lines!G539</f>
        <v>6</v>
      </c>
      <c r="H539" s="4">
        <f>raw_order_lines!H539</f>
        <v>6</v>
      </c>
      <c r="I539" s="4">
        <f>raw_order_lines!I539</f>
        <v>0</v>
      </c>
      <c r="J539" s="5">
        <f>raw_order_lines!J539</f>
        <v>5.25</v>
      </c>
      <c r="K539" s="2" t="str">
        <f>raw_order_lines!K539</f>
        <v>正常交付</v>
      </c>
      <c r="L539" s="2" t="str">
        <f>raw_order_lines!L539</f>
        <v>true</v>
      </c>
      <c r="M539" s="2" t="str">
        <f>INDEX(dim_products!$B$2:$B$21,MATCH($E539,dim_products!$A$2:$A$21,0))</f>
        <v>青椒</v>
      </c>
      <c r="N539" s="2" t="str">
        <f>INDEX(dim_products!$C$2:$C$21,MATCH($E539,dim_products!$A$2:$A$21,0))</f>
        <v>散装鲜菜</v>
      </c>
      <c r="O539" s="2" t="str">
        <f>INDEX(dim_customers!$B$2:$B$7,MATCH($C539,dim_customers!$A$2:$A$7,0))</f>
        <v>模拟_兴街快餐店</v>
      </c>
      <c r="P539" s="6">
        <f>INT((ROUND(raw_order_lines!H539*10,0)*ROUND(raw_order_lines!J539*100,0)+5)/10)/100</f>
        <v>31.5</v>
      </c>
      <c r="Q539" s="6">
        <f>INT((ROUND(raw_order_lines!I539*10,0)*ROUND(raw_order_lines!J539*100,0)+5)/10)/100</f>
        <v>0</v>
      </c>
      <c r="R539" s="6">
        <f t="shared" si="24"/>
        <v>31.5</v>
      </c>
      <c r="S539" s="2" t="str">
        <f>IF(OR(ROUND(raw_order_lines!I539*10,0)&gt;ROUND(raw_order_lines!H539*10,0),ROUND(raw_order_lines!H539*10,0)&gt;ROUND(raw_order_lines!G539*10,0),ROUND(raw_order_lines!G539*10,0)&lt;=0),"数量关系异常","")</f>
        <v/>
      </c>
      <c r="T539" s="2" t="str">
        <f>IF($F539&lt;&gt;INDEX(dim_products!$D$2:$D$21,MATCH($E539,dim_products!$A$2:$A$21,0)),"单位不一致","")</f>
        <v/>
      </c>
      <c r="U539" s="2" t="str">
        <f>IF(OR(ROUND(raw_order_lines!J539*100,0)&lt;ROUND(INDEX(dim_products!$F$2:$F$21,MATCH($E539,dim_products!$A$2:$A$21,0))*100,0),ROUND(raw_order_lines!J539*100,0)&gt;ROUND(INDEX(dim_products!$G$2:$G$21,MATCH($E539,dim_products!$A$2:$A$21,0))*100,0)),"单价越界","")</f>
        <v/>
      </c>
      <c r="V539" s="2" t="str">
        <f t="shared" si="25"/>
        <v/>
      </c>
      <c r="W539" s="2" t="str">
        <f t="shared" si="26"/>
        <v>通过</v>
      </c>
    </row>
    <row r="540" spans="1:23" ht="15">
      <c r="A540" s="2" t="str">
        <f>raw_order_lines!A540</f>
        <v>SIM-20260917-C003</v>
      </c>
      <c r="B540" s="2">
        <f>raw_order_lines!B540</f>
        <v>5</v>
      </c>
      <c r="C540" s="2" t="str">
        <f>raw_order_lines!C540</f>
        <v>C003</v>
      </c>
      <c r="D540" s="3">
        <f>raw_order_lines!D540</f>
        <v>46282</v>
      </c>
      <c r="E540" s="2" t="str">
        <f>raw_order_lines!E540</f>
        <v>P009</v>
      </c>
      <c r="F540" s="2" t="str">
        <f>raw_order_lines!F540</f>
        <v>公斤</v>
      </c>
      <c r="G540" s="4">
        <f>raw_order_lines!G540</f>
        <v>4.7</v>
      </c>
      <c r="H540" s="4">
        <f>raw_order_lines!H540</f>
        <v>4.7</v>
      </c>
      <c r="I540" s="4">
        <f>raw_order_lines!I540</f>
        <v>0</v>
      </c>
      <c r="J540" s="5">
        <f>raw_order_lines!J540</f>
        <v>4.8</v>
      </c>
      <c r="K540" s="2" t="str">
        <f>raw_order_lines!K540</f>
        <v>正常交付</v>
      </c>
      <c r="L540" s="2" t="str">
        <f>raw_order_lines!L540</f>
        <v>true</v>
      </c>
      <c r="M540" s="2" t="str">
        <f>INDEX(dim_products!$B$2:$B$21,MATCH($E540,dim_products!$A$2:$A$21,0))</f>
        <v>西红柿</v>
      </c>
      <c r="N540" s="2" t="str">
        <f>INDEX(dim_products!$C$2:$C$21,MATCH($E540,dim_products!$A$2:$A$21,0))</f>
        <v>散装鲜菜</v>
      </c>
      <c r="O540" s="2" t="str">
        <f>INDEX(dim_customers!$B$2:$B$7,MATCH($C540,dim_customers!$A$2:$A$7,0))</f>
        <v>模拟_兴街快餐店</v>
      </c>
      <c r="P540" s="6">
        <f>INT((ROUND(raw_order_lines!H540*10,0)*ROUND(raw_order_lines!J540*100,0)+5)/10)/100</f>
        <v>22.56</v>
      </c>
      <c r="Q540" s="6">
        <f>INT((ROUND(raw_order_lines!I540*10,0)*ROUND(raw_order_lines!J540*100,0)+5)/10)/100</f>
        <v>0</v>
      </c>
      <c r="R540" s="6">
        <f t="shared" si="24"/>
        <v>22.56</v>
      </c>
      <c r="S540" s="2" t="str">
        <f>IF(OR(ROUND(raw_order_lines!I540*10,0)&gt;ROUND(raw_order_lines!H540*10,0),ROUND(raw_order_lines!H540*10,0)&gt;ROUND(raw_order_lines!G540*10,0),ROUND(raw_order_lines!G540*10,0)&lt;=0),"数量关系异常","")</f>
        <v/>
      </c>
      <c r="T540" s="2" t="str">
        <f>IF($F540&lt;&gt;INDEX(dim_products!$D$2:$D$21,MATCH($E540,dim_products!$A$2:$A$21,0)),"单位不一致","")</f>
        <v/>
      </c>
      <c r="U540" s="2" t="str">
        <f>IF(OR(ROUND(raw_order_lines!J540*100,0)&lt;ROUND(INDEX(dim_products!$F$2:$F$21,MATCH($E540,dim_products!$A$2:$A$21,0))*100,0),ROUND(raw_order_lines!J540*100,0)&gt;ROUND(INDEX(dim_products!$G$2:$G$21,MATCH($E540,dim_products!$A$2:$A$21,0))*100,0)),"单价越界","")</f>
        <v/>
      </c>
      <c r="V540" s="2" t="str">
        <f t="shared" si="25"/>
        <v/>
      </c>
      <c r="W540" s="2" t="str">
        <f t="shared" si="26"/>
        <v>通过</v>
      </c>
    </row>
    <row r="541" spans="1:23" ht="15">
      <c r="A541" s="2" t="str">
        <f>raw_order_lines!A541</f>
        <v>SIM-20260917-C003</v>
      </c>
      <c r="B541" s="2">
        <f>raw_order_lines!B541</f>
        <v>6</v>
      </c>
      <c r="C541" s="2" t="str">
        <f>raw_order_lines!C541</f>
        <v>C003</v>
      </c>
      <c r="D541" s="3">
        <f>raw_order_lines!D541</f>
        <v>46282</v>
      </c>
      <c r="E541" s="2" t="str">
        <f>raw_order_lines!E541</f>
        <v>P013</v>
      </c>
      <c r="F541" s="2" t="str">
        <f>raw_order_lines!F541</f>
        <v>公斤</v>
      </c>
      <c r="G541" s="4">
        <f>raw_order_lines!G541</f>
        <v>8.1</v>
      </c>
      <c r="H541" s="4">
        <f>raw_order_lines!H541</f>
        <v>8.1</v>
      </c>
      <c r="I541" s="4">
        <f>raw_order_lines!I541</f>
        <v>0</v>
      </c>
      <c r="J541" s="5">
        <f>raw_order_lines!J541</f>
        <v>6</v>
      </c>
      <c r="K541" s="2" t="str">
        <f>raw_order_lines!K541</f>
        <v>正常交付</v>
      </c>
      <c r="L541" s="2" t="str">
        <f>raw_order_lines!L541</f>
        <v>true</v>
      </c>
      <c r="M541" s="2" t="str">
        <f>INDEX(dim_products!$B$2:$B$21,MATCH($E541,dim_products!$A$2:$A$21,0))</f>
        <v>豇豆</v>
      </c>
      <c r="N541" s="2" t="str">
        <f>INDEX(dim_products!$C$2:$C$21,MATCH($E541,dim_products!$A$2:$A$21,0))</f>
        <v>散装鲜菜</v>
      </c>
      <c r="O541" s="2" t="str">
        <f>INDEX(dim_customers!$B$2:$B$7,MATCH($C541,dim_customers!$A$2:$A$7,0))</f>
        <v>模拟_兴街快餐店</v>
      </c>
      <c r="P541" s="6">
        <f>INT((ROUND(raw_order_lines!H541*10,0)*ROUND(raw_order_lines!J541*100,0)+5)/10)/100</f>
        <v>48.6</v>
      </c>
      <c r="Q541" s="6">
        <f>INT((ROUND(raw_order_lines!I541*10,0)*ROUND(raw_order_lines!J541*100,0)+5)/10)/100</f>
        <v>0</v>
      </c>
      <c r="R541" s="6">
        <f t="shared" si="24"/>
        <v>48.6</v>
      </c>
      <c r="S541" s="2" t="str">
        <f>IF(OR(ROUND(raw_order_lines!I541*10,0)&gt;ROUND(raw_order_lines!H541*10,0),ROUND(raw_order_lines!H541*10,0)&gt;ROUND(raw_order_lines!G541*10,0),ROUND(raw_order_lines!G541*10,0)&lt;=0),"数量关系异常","")</f>
        <v/>
      </c>
      <c r="T541" s="2" t="str">
        <f>IF($F541&lt;&gt;INDEX(dim_products!$D$2:$D$21,MATCH($E541,dim_products!$A$2:$A$21,0)),"单位不一致","")</f>
        <v/>
      </c>
      <c r="U541" s="2" t="str">
        <f>IF(OR(ROUND(raw_order_lines!J541*100,0)&lt;ROUND(INDEX(dim_products!$F$2:$F$21,MATCH($E541,dim_products!$A$2:$A$21,0))*100,0),ROUND(raw_order_lines!J541*100,0)&gt;ROUND(INDEX(dim_products!$G$2:$G$21,MATCH($E541,dim_products!$A$2:$A$21,0))*100,0)),"单价越界","")</f>
        <v/>
      </c>
      <c r="V541" s="2" t="str">
        <f t="shared" si="25"/>
        <v/>
      </c>
      <c r="W541" s="2" t="str">
        <f t="shared" si="26"/>
        <v>通过</v>
      </c>
    </row>
    <row r="542" spans="1:23" ht="15">
      <c r="A542" s="2" t="str">
        <f>raw_order_lines!A542</f>
        <v>SIM-20260917-C003</v>
      </c>
      <c r="B542" s="2">
        <f>raw_order_lines!B542</f>
        <v>7</v>
      </c>
      <c r="C542" s="2" t="str">
        <f>raw_order_lines!C542</f>
        <v>C003</v>
      </c>
      <c r="D542" s="3">
        <f>raw_order_lines!D542</f>
        <v>46282</v>
      </c>
      <c r="E542" s="2" t="str">
        <f>raw_order_lines!E542</f>
        <v>P016</v>
      </c>
      <c r="F542" s="2" t="str">
        <f>raw_order_lines!F542</f>
        <v>公斤</v>
      </c>
      <c r="G542" s="4">
        <f>raw_order_lines!G542</f>
        <v>6</v>
      </c>
      <c r="H542" s="4">
        <f>raw_order_lines!H542</f>
        <v>6</v>
      </c>
      <c r="I542" s="4">
        <f>raw_order_lines!I542</f>
        <v>0</v>
      </c>
      <c r="J542" s="5">
        <f>raw_order_lines!J542</f>
        <v>10.199999999999999</v>
      </c>
      <c r="K542" s="2" t="str">
        <f>raw_order_lines!K542</f>
        <v>正常交付</v>
      </c>
      <c r="L542" s="2" t="str">
        <f>raw_order_lines!L542</f>
        <v>true</v>
      </c>
      <c r="M542" s="2" t="str">
        <f>INDEX(dim_products!$B$2:$B$21,MATCH($E542,dim_products!$A$2:$A$21,0))</f>
        <v>鸡蛋</v>
      </c>
      <c r="N542" s="2" t="str">
        <f>INDEX(dim_products!$C$2:$C$21,MATCH($E542,dim_products!$A$2:$A$21,0))</f>
        <v>普通鲜鸡蛋按净重</v>
      </c>
      <c r="O542" s="2" t="str">
        <f>INDEX(dim_customers!$B$2:$B$7,MATCH($C542,dim_customers!$A$2:$A$7,0))</f>
        <v>模拟_兴街快餐店</v>
      </c>
      <c r="P542" s="6">
        <f>INT((ROUND(raw_order_lines!H542*10,0)*ROUND(raw_order_lines!J542*100,0)+5)/10)/100</f>
        <v>61.2</v>
      </c>
      <c r="Q542" s="6">
        <f>INT((ROUND(raw_order_lines!I542*10,0)*ROUND(raw_order_lines!J542*100,0)+5)/10)/100</f>
        <v>0</v>
      </c>
      <c r="R542" s="6">
        <f t="shared" si="24"/>
        <v>61.2</v>
      </c>
      <c r="S542" s="2" t="str">
        <f>IF(OR(ROUND(raw_order_lines!I542*10,0)&gt;ROUND(raw_order_lines!H542*10,0),ROUND(raw_order_lines!H542*10,0)&gt;ROUND(raw_order_lines!G542*10,0),ROUND(raw_order_lines!G542*10,0)&lt;=0),"数量关系异常","")</f>
        <v/>
      </c>
      <c r="T542" s="2" t="str">
        <f>IF($F542&lt;&gt;INDEX(dim_products!$D$2:$D$21,MATCH($E542,dim_products!$A$2:$A$21,0)),"单位不一致","")</f>
        <v/>
      </c>
      <c r="U542" s="2" t="str">
        <f>IF(OR(ROUND(raw_order_lines!J542*100,0)&lt;ROUND(INDEX(dim_products!$F$2:$F$21,MATCH($E542,dim_products!$A$2:$A$21,0))*100,0),ROUND(raw_order_lines!J542*100,0)&gt;ROUND(INDEX(dim_products!$G$2:$G$21,MATCH($E542,dim_products!$A$2:$A$21,0))*100,0)),"单价越界","")</f>
        <v/>
      </c>
      <c r="V542" s="2" t="str">
        <f t="shared" si="25"/>
        <v/>
      </c>
      <c r="W542" s="2" t="str">
        <f t="shared" si="26"/>
        <v>通过</v>
      </c>
    </row>
    <row r="543" spans="1:23" ht="15">
      <c r="A543" s="2" t="str">
        <f>raw_order_lines!A543</f>
        <v>SIM-20260917-C004</v>
      </c>
      <c r="B543" s="2">
        <f>raw_order_lines!B543</f>
        <v>1</v>
      </c>
      <c r="C543" s="2" t="str">
        <f>raw_order_lines!C543</f>
        <v>C004</v>
      </c>
      <c r="D543" s="3">
        <f>raw_order_lines!D543</f>
        <v>46282</v>
      </c>
      <c r="E543" s="2" t="str">
        <f>raw_order_lines!E543</f>
        <v>P012</v>
      </c>
      <c r="F543" s="2" t="str">
        <f>raw_order_lines!F543</f>
        <v>公斤</v>
      </c>
      <c r="G543" s="4">
        <f>raw_order_lines!G543</f>
        <v>8.6</v>
      </c>
      <c r="H543" s="4">
        <f>raw_order_lines!H543</f>
        <v>8.6</v>
      </c>
      <c r="I543" s="4">
        <f>raw_order_lines!I543</f>
        <v>0</v>
      </c>
      <c r="J543" s="5">
        <f>raw_order_lines!J543</f>
        <v>5.2</v>
      </c>
      <c r="K543" s="2" t="str">
        <f>raw_order_lines!K543</f>
        <v>正常交付</v>
      </c>
      <c r="L543" s="2" t="str">
        <f>raw_order_lines!L543</f>
        <v>true</v>
      </c>
      <c r="M543" s="2" t="str">
        <f>INDEX(dim_products!$B$2:$B$21,MATCH($E543,dim_products!$A$2:$A$21,0))</f>
        <v>小白菜</v>
      </c>
      <c r="N543" s="2" t="str">
        <f>INDEX(dim_products!$C$2:$C$21,MATCH($E543,dim_products!$A$2:$A$21,0))</f>
        <v>散装鲜菜</v>
      </c>
      <c r="O543" s="2" t="str">
        <f>INDEX(dim_customers!$B$2:$B$7,MATCH($C543,dim_customers!$A$2:$A$7,0))</f>
        <v>模拟_田畔饭店</v>
      </c>
      <c r="P543" s="6">
        <f>INT((ROUND(raw_order_lines!H543*10,0)*ROUND(raw_order_lines!J543*100,0)+5)/10)/100</f>
        <v>44.72</v>
      </c>
      <c r="Q543" s="6">
        <f>INT((ROUND(raw_order_lines!I543*10,0)*ROUND(raw_order_lines!J543*100,0)+5)/10)/100</f>
        <v>0</v>
      </c>
      <c r="R543" s="6">
        <f t="shared" si="24"/>
        <v>44.72</v>
      </c>
      <c r="S543" s="2" t="str">
        <f>IF(OR(ROUND(raw_order_lines!I543*10,0)&gt;ROUND(raw_order_lines!H543*10,0),ROUND(raw_order_lines!H543*10,0)&gt;ROUND(raw_order_lines!G543*10,0),ROUND(raw_order_lines!G543*10,0)&lt;=0),"数量关系异常","")</f>
        <v/>
      </c>
      <c r="T543" s="2" t="str">
        <f>IF($F543&lt;&gt;INDEX(dim_products!$D$2:$D$21,MATCH($E543,dim_products!$A$2:$A$21,0)),"单位不一致","")</f>
        <v/>
      </c>
      <c r="U543" s="2" t="str">
        <f>IF(OR(ROUND(raw_order_lines!J543*100,0)&lt;ROUND(INDEX(dim_products!$F$2:$F$21,MATCH($E543,dim_products!$A$2:$A$21,0))*100,0),ROUND(raw_order_lines!J543*100,0)&gt;ROUND(INDEX(dim_products!$G$2:$G$21,MATCH($E543,dim_products!$A$2:$A$21,0))*100,0)),"单价越界","")</f>
        <v/>
      </c>
      <c r="V543" s="2" t="str">
        <f t="shared" si="25"/>
        <v/>
      </c>
      <c r="W543" s="2" t="str">
        <f t="shared" si="26"/>
        <v>通过</v>
      </c>
    </row>
    <row r="544" spans="1:23" ht="15">
      <c r="A544" s="2" t="str">
        <f>raw_order_lines!A544</f>
        <v>SIM-20260917-C004</v>
      </c>
      <c r="B544" s="2">
        <f>raw_order_lines!B544</f>
        <v>2</v>
      </c>
      <c r="C544" s="2" t="str">
        <f>raw_order_lines!C544</f>
        <v>C004</v>
      </c>
      <c r="D544" s="3">
        <f>raw_order_lines!D544</f>
        <v>46282</v>
      </c>
      <c r="E544" s="2" t="str">
        <f>raw_order_lines!E544</f>
        <v>P008</v>
      </c>
      <c r="F544" s="2" t="str">
        <f>raw_order_lines!F544</f>
        <v>公斤</v>
      </c>
      <c r="G544" s="4">
        <f>raw_order_lines!G544</f>
        <v>7</v>
      </c>
      <c r="H544" s="4">
        <f>raw_order_lines!H544</f>
        <v>7</v>
      </c>
      <c r="I544" s="4">
        <f>raw_order_lines!I544</f>
        <v>0</v>
      </c>
      <c r="J544" s="5">
        <f>raw_order_lines!J544</f>
        <v>4.4000000000000004</v>
      </c>
      <c r="K544" s="2" t="str">
        <f>raw_order_lines!K544</f>
        <v>正常交付</v>
      </c>
      <c r="L544" s="2" t="str">
        <f>raw_order_lines!L544</f>
        <v>true</v>
      </c>
      <c r="M544" s="2" t="str">
        <f>INDEX(dim_products!$B$2:$B$21,MATCH($E544,dim_products!$A$2:$A$21,0))</f>
        <v>黄瓜</v>
      </c>
      <c r="N544" s="2" t="str">
        <f>INDEX(dim_products!$C$2:$C$21,MATCH($E544,dim_products!$A$2:$A$21,0))</f>
        <v>散装鲜菜</v>
      </c>
      <c r="O544" s="2" t="str">
        <f>INDEX(dim_customers!$B$2:$B$7,MATCH($C544,dim_customers!$A$2:$A$7,0))</f>
        <v>模拟_田畔饭店</v>
      </c>
      <c r="P544" s="6">
        <f>INT((ROUND(raw_order_lines!H544*10,0)*ROUND(raw_order_lines!J544*100,0)+5)/10)/100</f>
        <v>30.8</v>
      </c>
      <c r="Q544" s="6">
        <f>INT((ROUND(raw_order_lines!I544*10,0)*ROUND(raw_order_lines!J544*100,0)+5)/10)/100</f>
        <v>0</v>
      </c>
      <c r="R544" s="6">
        <f t="shared" si="24"/>
        <v>30.8</v>
      </c>
      <c r="S544" s="2" t="str">
        <f>IF(OR(ROUND(raw_order_lines!I544*10,0)&gt;ROUND(raw_order_lines!H544*10,0),ROUND(raw_order_lines!H544*10,0)&gt;ROUND(raw_order_lines!G544*10,0),ROUND(raw_order_lines!G544*10,0)&lt;=0),"数量关系异常","")</f>
        <v/>
      </c>
      <c r="T544" s="2" t="str">
        <f>IF($F544&lt;&gt;INDEX(dim_products!$D$2:$D$21,MATCH($E544,dim_products!$A$2:$A$21,0)),"单位不一致","")</f>
        <v/>
      </c>
      <c r="U544" s="2" t="str">
        <f>IF(OR(ROUND(raw_order_lines!J544*100,0)&lt;ROUND(INDEX(dim_products!$F$2:$F$21,MATCH($E544,dim_products!$A$2:$A$21,0))*100,0),ROUND(raw_order_lines!J544*100,0)&gt;ROUND(INDEX(dim_products!$G$2:$G$21,MATCH($E544,dim_products!$A$2:$A$21,0))*100,0)),"单价越界","")</f>
        <v/>
      </c>
      <c r="V544" s="2" t="str">
        <f t="shared" si="25"/>
        <v/>
      </c>
      <c r="W544" s="2" t="str">
        <f t="shared" si="26"/>
        <v>通过</v>
      </c>
    </row>
    <row r="545" spans="1:23" ht="15">
      <c r="A545" s="2" t="str">
        <f>raw_order_lines!A545</f>
        <v>SIM-20260917-C004</v>
      </c>
      <c r="B545" s="2">
        <f>raw_order_lines!B545</f>
        <v>3</v>
      </c>
      <c r="C545" s="2" t="str">
        <f>raw_order_lines!C545</f>
        <v>C004</v>
      </c>
      <c r="D545" s="3">
        <f>raw_order_lines!D545</f>
        <v>46282</v>
      </c>
      <c r="E545" s="2" t="str">
        <f>raw_order_lines!E545</f>
        <v>P001</v>
      </c>
      <c r="F545" s="2" t="str">
        <f>raw_order_lines!F545</f>
        <v>公斤</v>
      </c>
      <c r="G545" s="4">
        <f>raw_order_lines!G545</f>
        <v>3.8</v>
      </c>
      <c r="H545" s="4">
        <f>raw_order_lines!H545</f>
        <v>3.8</v>
      </c>
      <c r="I545" s="4">
        <f>raw_order_lines!I545</f>
        <v>0</v>
      </c>
      <c r="J545" s="5">
        <f>raw_order_lines!J545</f>
        <v>3.4</v>
      </c>
      <c r="K545" s="2" t="str">
        <f>raw_order_lines!K545</f>
        <v>正常交付</v>
      </c>
      <c r="L545" s="2" t="str">
        <f>raw_order_lines!L545</f>
        <v>true</v>
      </c>
      <c r="M545" s="2" t="str">
        <f>INDEX(dim_products!$B$2:$B$21,MATCH($E545,dim_products!$A$2:$A$21,0))</f>
        <v>土豆</v>
      </c>
      <c r="N545" s="2" t="str">
        <f>INDEX(dim_products!$C$2:$C$21,MATCH($E545,dim_products!$A$2:$A$21,0))</f>
        <v>散装鲜菜</v>
      </c>
      <c r="O545" s="2" t="str">
        <f>INDEX(dim_customers!$B$2:$B$7,MATCH($C545,dim_customers!$A$2:$A$7,0))</f>
        <v>模拟_田畔饭店</v>
      </c>
      <c r="P545" s="6">
        <f>INT((ROUND(raw_order_lines!H545*10,0)*ROUND(raw_order_lines!J545*100,0)+5)/10)/100</f>
        <v>12.92</v>
      </c>
      <c r="Q545" s="6">
        <f>INT((ROUND(raw_order_lines!I545*10,0)*ROUND(raw_order_lines!J545*100,0)+5)/10)/100</f>
        <v>0</v>
      </c>
      <c r="R545" s="6">
        <f t="shared" si="24"/>
        <v>12.92</v>
      </c>
      <c r="S545" s="2" t="str">
        <f>IF(OR(ROUND(raw_order_lines!I545*10,0)&gt;ROUND(raw_order_lines!H545*10,0),ROUND(raw_order_lines!H545*10,0)&gt;ROUND(raw_order_lines!G545*10,0),ROUND(raw_order_lines!G545*10,0)&lt;=0),"数量关系异常","")</f>
        <v/>
      </c>
      <c r="T545" s="2" t="str">
        <f>IF($F545&lt;&gt;INDEX(dim_products!$D$2:$D$21,MATCH($E545,dim_products!$A$2:$A$21,0)),"单位不一致","")</f>
        <v/>
      </c>
      <c r="U545" s="2" t="str">
        <f>IF(OR(ROUND(raw_order_lines!J545*100,0)&lt;ROUND(INDEX(dim_products!$F$2:$F$21,MATCH($E545,dim_products!$A$2:$A$21,0))*100,0),ROUND(raw_order_lines!J545*100,0)&gt;ROUND(INDEX(dim_products!$G$2:$G$21,MATCH($E545,dim_products!$A$2:$A$21,0))*100,0)),"单价越界","")</f>
        <v/>
      </c>
      <c r="V545" s="2" t="str">
        <f t="shared" si="25"/>
        <v/>
      </c>
      <c r="W545" s="2" t="str">
        <f t="shared" si="26"/>
        <v>通过</v>
      </c>
    </row>
    <row r="546" spans="1:23" ht="15">
      <c r="A546" s="2" t="str">
        <f>raw_order_lines!A546</f>
        <v>SIM-20260917-C004</v>
      </c>
      <c r="B546" s="2">
        <f>raw_order_lines!B546</f>
        <v>4</v>
      </c>
      <c r="C546" s="2" t="str">
        <f>raw_order_lines!C546</f>
        <v>C004</v>
      </c>
      <c r="D546" s="3">
        <f>raw_order_lines!D546</f>
        <v>46282</v>
      </c>
      <c r="E546" s="2" t="str">
        <f>raw_order_lines!E546</f>
        <v>P014</v>
      </c>
      <c r="F546" s="2" t="str">
        <f>raw_order_lines!F546</f>
        <v>公斤</v>
      </c>
      <c r="G546" s="4">
        <f>raw_order_lines!G546</f>
        <v>7</v>
      </c>
      <c r="H546" s="4">
        <f>raw_order_lines!H546</f>
        <v>7</v>
      </c>
      <c r="I546" s="4">
        <f>raw_order_lines!I546</f>
        <v>0</v>
      </c>
      <c r="J546" s="5">
        <f>raw_order_lines!J546</f>
        <v>5</v>
      </c>
      <c r="K546" s="2" t="str">
        <f>raw_order_lines!K546</f>
        <v>正常交付</v>
      </c>
      <c r="L546" s="2" t="str">
        <f>raw_order_lines!L546</f>
        <v>true</v>
      </c>
      <c r="M546" s="2" t="str">
        <f>INDEX(dim_products!$B$2:$B$21,MATCH($E546,dim_products!$A$2:$A$21,0))</f>
        <v>丝瓜</v>
      </c>
      <c r="N546" s="2" t="str">
        <f>INDEX(dim_products!$C$2:$C$21,MATCH($E546,dim_products!$A$2:$A$21,0))</f>
        <v>散装鲜菜</v>
      </c>
      <c r="O546" s="2" t="str">
        <f>INDEX(dim_customers!$B$2:$B$7,MATCH($C546,dim_customers!$A$2:$A$7,0))</f>
        <v>模拟_田畔饭店</v>
      </c>
      <c r="P546" s="6">
        <f>INT((ROUND(raw_order_lines!H546*10,0)*ROUND(raw_order_lines!J546*100,0)+5)/10)/100</f>
        <v>35</v>
      </c>
      <c r="Q546" s="6">
        <f>INT((ROUND(raw_order_lines!I546*10,0)*ROUND(raw_order_lines!J546*100,0)+5)/10)/100</f>
        <v>0</v>
      </c>
      <c r="R546" s="6">
        <f t="shared" si="24"/>
        <v>35</v>
      </c>
      <c r="S546" s="2" t="str">
        <f>IF(OR(ROUND(raw_order_lines!I546*10,0)&gt;ROUND(raw_order_lines!H546*10,0),ROUND(raw_order_lines!H546*10,0)&gt;ROUND(raw_order_lines!G546*10,0),ROUND(raw_order_lines!G546*10,0)&lt;=0),"数量关系异常","")</f>
        <v/>
      </c>
      <c r="T546" s="2" t="str">
        <f>IF($F546&lt;&gt;INDEX(dim_products!$D$2:$D$21,MATCH($E546,dim_products!$A$2:$A$21,0)),"单位不一致","")</f>
        <v/>
      </c>
      <c r="U546" s="2" t="str">
        <f>IF(OR(ROUND(raw_order_lines!J546*100,0)&lt;ROUND(INDEX(dim_products!$F$2:$F$21,MATCH($E546,dim_products!$A$2:$A$21,0))*100,0),ROUND(raw_order_lines!J546*100,0)&gt;ROUND(INDEX(dim_products!$G$2:$G$21,MATCH($E546,dim_products!$A$2:$A$21,0))*100,0)),"单价越界","")</f>
        <v/>
      </c>
      <c r="V546" s="2" t="str">
        <f t="shared" si="25"/>
        <v/>
      </c>
      <c r="W546" s="2" t="str">
        <f t="shared" si="26"/>
        <v>通过</v>
      </c>
    </row>
    <row r="547" spans="1:23" ht="15">
      <c r="A547" s="2" t="str">
        <f>raw_order_lines!A547</f>
        <v>SIM-20260917-C004</v>
      </c>
      <c r="B547" s="2">
        <f>raw_order_lines!B547</f>
        <v>5</v>
      </c>
      <c r="C547" s="2" t="str">
        <f>raw_order_lines!C547</f>
        <v>C004</v>
      </c>
      <c r="D547" s="3">
        <f>raw_order_lines!D547</f>
        <v>46282</v>
      </c>
      <c r="E547" s="2" t="str">
        <f>raw_order_lines!E547</f>
        <v>P002</v>
      </c>
      <c r="F547" s="2" t="str">
        <f>raw_order_lines!F547</f>
        <v>公斤</v>
      </c>
      <c r="G547" s="4">
        <f>raw_order_lines!G547</f>
        <v>7.5</v>
      </c>
      <c r="H547" s="4">
        <f>raw_order_lines!H547</f>
        <v>7.5</v>
      </c>
      <c r="I547" s="4">
        <f>raw_order_lines!I547</f>
        <v>0</v>
      </c>
      <c r="J547" s="5">
        <f>raw_order_lines!J547</f>
        <v>2.7</v>
      </c>
      <c r="K547" s="2" t="str">
        <f>raw_order_lines!K547</f>
        <v>正常交付</v>
      </c>
      <c r="L547" s="2" t="str">
        <f>raw_order_lines!L547</f>
        <v>true</v>
      </c>
      <c r="M547" s="2" t="str">
        <f>INDEX(dim_products!$B$2:$B$21,MATCH($E547,dim_products!$A$2:$A$21,0))</f>
        <v>白萝卜</v>
      </c>
      <c r="N547" s="2" t="str">
        <f>INDEX(dim_products!$C$2:$C$21,MATCH($E547,dim_products!$A$2:$A$21,0))</f>
        <v>散装鲜菜</v>
      </c>
      <c r="O547" s="2" t="str">
        <f>INDEX(dim_customers!$B$2:$B$7,MATCH($C547,dim_customers!$A$2:$A$7,0))</f>
        <v>模拟_田畔饭店</v>
      </c>
      <c r="P547" s="6">
        <f>INT((ROUND(raw_order_lines!H547*10,0)*ROUND(raw_order_lines!J547*100,0)+5)/10)/100</f>
        <v>20.25</v>
      </c>
      <c r="Q547" s="6">
        <f>INT((ROUND(raw_order_lines!I547*10,0)*ROUND(raw_order_lines!J547*100,0)+5)/10)/100</f>
        <v>0</v>
      </c>
      <c r="R547" s="6">
        <f t="shared" si="24"/>
        <v>20.25</v>
      </c>
      <c r="S547" s="2" t="str">
        <f>IF(OR(ROUND(raw_order_lines!I547*10,0)&gt;ROUND(raw_order_lines!H547*10,0),ROUND(raw_order_lines!H547*10,0)&gt;ROUND(raw_order_lines!G547*10,0),ROUND(raw_order_lines!G547*10,0)&lt;=0),"数量关系异常","")</f>
        <v/>
      </c>
      <c r="T547" s="2" t="str">
        <f>IF($F547&lt;&gt;INDEX(dim_products!$D$2:$D$21,MATCH($E547,dim_products!$A$2:$A$21,0)),"单位不一致","")</f>
        <v/>
      </c>
      <c r="U547" s="2" t="str">
        <f>IF(OR(ROUND(raw_order_lines!J547*100,0)&lt;ROUND(INDEX(dim_products!$F$2:$F$21,MATCH($E547,dim_products!$A$2:$A$21,0))*100,0),ROUND(raw_order_lines!J547*100,0)&gt;ROUND(INDEX(dim_products!$G$2:$G$21,MATCH($E547,dim_products!$A$2:$A$21,0))*100,0)),"单价越界","")</f>
        <v/>
      </c>
      <c r="V547" s="2" t="str">
        <f t="shared" si="25"/>
        <v/>
      </c>
      <c r="W547" s="2" t="str">
        <f t="shared" si="26"/>
        <v>通过</v>
      </c>
    </row>
    <row r="548" spans="1:23" ht="15">
      <c r="A548" s="2" t="str">
        <f>raw_order_lines!A548</f>
        <v>SIM-20260917-C004</v>
      </c>
      <c r="B548" s="2">
        <f>raw_order_lines!B548</f>
        <v>6</v>
      </c>
      <c r="C548" s="2" t="str">
        <f>raw_order_lines!C548</f>
        <v>C004</v>
      </c>
      <c r="D548" s="3">
        <f>raw_order_lines!D548</f>
        <v>46282</v>
      </c>
      <c r="E548" s="2" t="str">
        <f>raw_order_lines!E548</f>
        <v>P009</v>
      </c>
      <c r="F548" s="2" t="str">
        <f>raw_order_lines!F548</f>
        <v>公斤</v>
      </c>
      <c r="G548" s="4">
        <f>raw_order_lines!G548</f>
        <v>6.4</v>
      </c>
      <c r="H548" s="4">
        <f>raw_order_lines!H548</f>
        <v>6.4</v>
      </c>
      <c r="I548" s="4">
        <f>raw_order_lines!I548</f>
        <v>0</v>
      </c>
      <c r="J548" s="5">
        <f>raw_order_lines!J548</f>
        <v>4.8</v>
      </c>
      <c r="K548" s="2" t="str">
        <f>raw_order_lines!K548</f>
        <v>正常交付</v>
      </c>
      <c r="L548" s="2" t="str">
        <f>raw_order_lines!L548</f>
        <v>true</v>
      </c>
      <c r="M548" s="2" t="str">
        <f>INDEX(dim_products!$B$2:$B$21,MATCH($E548,dim_products!$A$2:$A$21,0))</f>
        <v>西红柿</v>
      </c>
      <c r="N548" s="2" t="str">
        <f>INDEX(dim_products!$C$2:$C$21,MATCH($E548,dim_products!$A$2:$A$21,0))</f>
        <v>散装鲜菜</v>
      </c>
      <c r="O548" s="2" t="str">
        <f>INDEX(dim_customers!$B$2:$B$7,MATCH($C548,dim_customers!$A$2:$A$7,0))</f>
        <v>模拟_田畔饭店</v>
      </c>
      <c r="P548" s="6">
        <f>INT((ROUND(raw_order_lines!H548*10,0)*ROUND(raw_order_lines!J548*100,0)+5)/10)/100</f>
        <v>30.72</v>
      </c>
      <c r="Q548" s="6">
        <f>INT((ROUND(raw_order_lines!I548*10,0)*ROUND(raw_order_lines!J548*100,0)+5)/10)/100</f>
        <v>0</v>
      </c>
      <c r="R548" s="6">
        <f t="shared" si="24"/>
        <v>30.72</v>
      </c>
      <c r="S548" s="2" t="str">
        <f>IF(OR(ROUND(raw_order_lines!I548*10,0)&gt;ROUND(raw_order_lines!H548*10,0),ROUND(raw_order_lines!H548*10,0)&gt;ROUND(raw_order_lines!G548*10,0),ROUND(raw_order_lines!G548*10,0)&lt;=0),"数量关系异常","")</f>
        <v/>
      </c>
      <c r="T548" s="2" t="str">
        <f>IF($F548&lt;&gt;INDEX(dim_products!$D$2:$D$21,MATCH($E548,dim_products!$A$2:$A$21,0)),"单位不一致","")</f>
        <v/>
      </c>
      <c r="U548" s="2" t="str">
        <f>IF(OR(ROUND(raw_order_lines!J548*100,0)&lt;ROUND(INDEX(dim_products!$F$2:$F$21,MATCH($E548,dim_products!$A$2:$A$21,0))*100,0),ROUND(raw_order_lines!J548*100,0)&gt;ROUND(INDEX(dim_products!$G$2:$G$21,MATCH($E548,dim_products!$A$2:$A$21,0))*100,0)),"单价越界","")</f>
        <v/>
      </c>
      <c r="V548" s="2" t="str">
        <f t="shared" si="25"/>
        <v/>
      </c>
      <c r="W548" s="2" t="str">
        <f t="shared" si="26"/>
        <v>通过</v>
      </c>
    </row>
    <row r="549" spans="1:23" ht="15">
      <c r="A549" s="2" t="str">
        <f>raw_order_lines!A549</f>
        <v>SIM-20260917-C005</v>
      </c>
      <c r="B549" s="2">
        <f>raw_order_lines!B549</f>
        <v>1</v>
      </c>
      <c r="C549" s="2" t="str">
        <f>raw_order_lines!C549</f>
        <v>C005</v>
      </c>
      <c r="D549" s="3">
        <f>raw_order_lines!D549</f>
        <v>46282</v>
      </c>
      <c r="E549" s="2" t="str">
        <f>raw_order_lines!E549</f>
        <v>P011</v>
      </c>
      <c r="F549" s="2" t="str">
        <f>raw_order_lines!F549</f>
        <v>公斤</v>
      </c>
      <c r="G549" s="4">
        <f>raw_order_lines!G549</f>
        <v>11.4</v>
      </c>
      <c r="H549" s="4">
        <f>raw_order_lines!H549</f>
        <v>11.4</v>
      </c>
      <c r="I549" s="4">
        <f>raw_order_lines!I549</f>
        <v>0.2</v>
      </c>
      <c r="J549" s="5">
        <f>raw_order_lines!J549</f>
        <v>4.3</v>
      </c>
      <c r="K549" s="2" t="str">
        <f>raw_order_lines!K549</f>
        <v>正常交付；签收时挑出黄叶退回</v>
      </c>
      <c r="L549" s="2" t="str">
        <f>raw_order_lines!L549</f>
        <v>true</v>
      </c>
      <c r="M549" s="2" t="str">
        <f>INDEX(dim_products!$B$2:$B$21,MATCH($E549,dim_products!$A$2:$A$21,0))</f>
        <v>红薯叶</v>
      </c>
      <c r="N549" s="2" t="str">
        <f>INDEX(dim_products!$C$2:$C$21,MATCH($E549,dim_products!$A$2:$A$21,0))</f>
        <v>散装鲜菜</v>
      </c>
      <c r="O549" s="2" t="str">
        <f>INDEX(dim_customers!$B$2:$B$7,MATCH($C549,dim_customers!$A$2:$A$7,0))</f>
        <v>模拟_青禾小学食堂</v>
      </c>
      <c r="P549" s="6">
        <f>INT((ROUND(raw_order_lines!H549*10,0)*ROUND(raw_order_lines!J549*100,0)+5)/10)/100</f>
        <v>49.02</v>
      </c>
      <c r="Q549" s="6">
        <f>INT((ROUND(raw_order_lines!I549*10,0)*ROUND(raw_order_lines!J549*100,0)+5)/10)/100</f>
        <v>0.86</v>
      </c>
      <c r="R549" s="6">
        <f t="shared" si="24"/>
        <v>48.160000000000004</v>
      </c>
      <c r="S549" s="2" t="str">
        <f>IF(OR(ROUND(raw_order_lines!I549*10,0)&gt;ROUND(raw_order_lines!H549*10,0),ROUND(raw_order_lines!H549*10,0)&gt;ROUND(raw_order_lines!G549*10,0),ROUND(raw_order_lines!G549*10,0)&lt;=0),"数量关系异常","")</f>
        <v/>
      </c>
      <c r="T549" s="2" t="str">
        <f>IF($F549&lt;&gt;INDEX(dim_products!$D$2:$D$21,MATCH($E549,dim_products!$A$2:$A$21,0)),"单位不一致","")</f>
        <v/>
      </c>
      <c r="U549" s="2" t="str">
        <f>IF(OR(ROUND(raw_order_lines!J549*100,0)&lt;ROUND(INDEX(dim_products!$F$2:$F$21,MATCH($E549,dim_products!$A$2:$A$21,0))*100,0),ROUND(raw_order_lines!J549*100,0)&gt;ROUND(INDEX(dim_products!$G$2:$G$21,MATCH($E549,dim_products!$A$2:$A$21,0))*100,0)),"单价越界","")</f>
        <v/>
      </c>
      <c r="V549" s="2" t="str">
        <f t="shared" si="25"/>
        <v/>
      </c>
      <c r="W549" s="2" t="str">
        <f t="shared" si="26"/>
        <v>通过</v>
      </c>
    </row>
    <row r="550" spans="1:23" ht="15">
      <c r="A550" s="2" t="str">
        <f>raw_order_lines!A550</f>
        <v>SIM-20260917-C005</v>
      </c>
      <c r="B550" s="2">
        <f>raw_order_lines!B550</f>
        <v>2</v>
      </c>
      <c r="C550" s="2" t="str">
        <f>raw_order_lines!C550</f>
        <v>C005</v>
      </c>
      <c r="D550" s="3">
        <f>raw_order_lines!D550</f>
        <v>46282</v>
      </c>
      <c r="E550" s="2" t="str">
        <f>raw_order_lines!E550</f>
        <v>P006</v>
      </c>
      <c r="F550" s="2" t="str">
        <f>raw_order_lines!F550</f>
        <v>公斤</v>
      </c>
      <c r="G550" s="4">
        <f>raw_order_lines!G550</f>
        <v>8.3000000000000007</v>
      </c>
      <c r="H550" s="4">
        <f>raw_order_lines!H550</f>
        <v>8.3000000000000007</v>
      </c>
      <c r="I550" s="4">
        <f>raw_order_lines!I550</f>
        <v>0</v>
      </c>
      <c r="J550" s="5">
        <f>raw_order_lines!J550</f>
        <v>4.8</v>
      </c>
      <c r="K550" s="2" t="str">
        <f>raw_order_lines!K550</f>
        <v>正常交付</v>
      </c>
      <c r="L550" s="2" t="str">
        <f>raw_order_lines!L550</f>
        <v>true</v>
      </c>
      <c r="M550" s="2" t="str">
        <f>INDEX(dim_products!$B$2:$B$21,MATCH($E550,dim_products!$A$2:$A$21,0))</f>
        <v>茄子</v>
      </c>
      <c r="N550" s="2" t="str">
        <f>INDEX(dim_products!$C$2:$C$21,MATCH($E550,dim_products!$A$2:$A$21,0))</f>
        <v>散装鲜菜</v>
      </c>
      <c r="O550" s="2" t="str">
        <f>INDEX(dim_customers!$B$2:$B$7,MATCH($C550,dim_customers!$A$2:$A$7,0))</f>
        <v>模拟_青禾小学食堂</v>
      </c>
      <c r="P550" s="6">
        <f>INT((ROUND(raw_order_lines!H550*10,0)*ROUND(raw_order_lines!J550*100,0)+5)/10)/100</f>
        <v>39.840000000000003</v>
      </c>
      <c r="Q550" s="6">
        <f>INT((ROUND(raw_order_lines!I550*10,0)*ROUND(raw_order_lines!J550*100,0)+5)/10)/100</f>
        <v>0</v>
      </c>
      <c r="R550" s="6">
        <f t="shared" si="24"/>
        <v>39.840000000000003</v>
      </c>
      <c r="S550" s="2" t="str">
        <f>IF(OR(ROUND(raw_order_lines!I550*10,0)&gt;ROUND(raw_order_lines!H550*10,0),ROUND(raw_order_lines!H550*10,0)&gt;ROUND(raw_order_lines!G550*10,0),ROUND(raw_order_lines!G550*10,0)&lt;=0),"数量关系异常","")</f>
        <v/>
      </c>
      <c r="T550" s="2" t="str">
        <f>IF($F550&lt;&gt;INDEX(dim_products!$D$2:$D$21,MATCH($E550,dim_products!$A$2:$A$21,0)),"单位不一致","")</f>
        <v/>
      </c>
      <c r="U550" s="2" t="str">
        <f>IF(OR(ROUND(raw_order_lines!J550*100,0)&lt;ROUND(INDEX(dim_products!$F$2:$F$21,MATCH($E550,dim_products!$A$2:$A$21,0))*100,0),ROUND(raw_order_lines!J550*100,0)&gt;ROUND(INDEX(dim_products!$G$2:$G$21,MATCH($E550,dim_products!$A$2:$A$21,0))*100,0)),"单价越界","")</f>
        <v/>
      </c>
      <c r="V550" s="2" t="str">
        <f t="shared" si="25"/>
        <v/>
      </c>
      <c r="W550" s="2" t="str">
        <f t="shared" si="26"/>
        <v>通过</v>
      </c>
    </row>
    <row r="551" spans="1:23" ht="15">
      <c r="A551" s="2" t="str">
        <f>raw_order_lines!A551</f>
        <v>SIM-20260917-C005</v>
      </c>
      <c r="B551" s="2">
        <f>raw_order_lines!B551</f>
        <v>3</v>
      </c>
      <c r="C551" s="2" t="str">
        <f>raw_order_lines!C551</f>
        <v>C005</v>
      </c>
      <c r="D551" s="3">
        <f>raw_order_lines!D551</f>
        <v>46282</v>
      </c>
      <c r="E551" s="2" t="str">
        <f>raw_order_lines!E551</f>
        <v>P008</v>
      </c>
      <c r="F551" s="2" t="str">
        <f>raw_order_lines!F551</f>
        <v>公斤</v>
      </c>
      <c r="G551" s="4">
        <f>raw_order_lines!G551</f>
        <v>11.4</v>
      </c>
      <c r="H551" s="4">
        <f>raw_order_lines!H551</f>
        <v>11.4</v>
      </c>
      <c r="I551" s="4">
        <f>raw_order_lines!I551</f>
        <v>0</v>
      </c>
      <c r="J551" s="5">
        <f>raw_order_lines!J551</f>
        <v>4.4000000000000004</v>
      </c>
      <c r="K551" s="2" t="str">
        <f>raw_order_lines!K551</f>
        <v>正常交付</v>
      </c>
      <c r="L551" s="2" t="str">
        <f>raw_order_lines!L551</f>
        <v>true</v>
      </c>
      <c r="M551" s="2" t="str">
        <f>INDEX(dim_products!$B$2:$B$21,MATCH($E551,dim_products!$A$2:$A$21,0))</f>
        <v>黄瓜</v>
      </c>
      <c r="N551" s="2" t="str">
        <f>INDEX(dim_products!$C$2:$C$21,MATCH($E551,dim_products!$A$2:$A$21,0))</f>
        <v>散装鲜菜</v>
      </c>
      <c r="O551" s="2" t="str">
        <f>INDEX(dim_customers!$B$2:$B$7,MATCH($C551,dim_customers!$A$2:$A$7,0))</f>
        <v>模拟_青禾小学食堂</v>
      </c>
      <c r="P551" s="6">
        <f>INT((ROUND(raw_order_lines!H551*10,0)*ROUND(raw_order_lines!J551*100,0)+5)/10)/100</f>
        <v>50.16</v>
      </c>
      <c r="Q551" s="6">
        <f>INT((ROUND(raw_order_lines!I551*10,0)*ROUND(raw_order_lines!J551*100,0)+5)/10)/100</f>
        <v>0</v>
      </c>
      <c r="R551" s="6">
        <f t="shared" si="24"/>
        <v>50.16</v>
      </c>
      <c r="S551" s="2" t="str">
        <f>IF(OR(ROUND(raw_order_lines!I551*10,0)&gt;ROUND(raw_order_lines!H551*10,0),ROUND(raw_order_lines!H551*10,0)&gt;ROUND(raw_order_lines!G551*10,0),ROUND(raw_order_lines!G551*10,0)&lt;=0),"数量关系异常","")</f>
        <v/>
      </c>
      <c r="T551" s="2" t="str">
        <f>IF($F551&lt;&gt;INDEX(dim_products!$D$2:$D$21,MATCH($E551,dim_products!$A$2:$A$21,0)),"单位不一致","")</f>
        <v/>
      </c>
      <c r="U551" s="2" t="str">
        <f>IF(OR(ROUND(raw_order_lines!J551*100,0)&lt;ROUND(INDEX(dim_products!$F$2:$F$21,MATCH($E551,dim_products!$A$2:$A$21,0))*100,0),ROUND(raw_order_lines!J551*100,0)&gt;ROUND(INDEX(dim_products!$G$2:$G$21,MATCH($E551,dim_products!$A$2:$A$21,0))*100,0)),"单价越界","")</f>
        <v/>
      </c>
      <c r="V551" s="2" t="str">
        <f t="shared" si="25"/>
        <v/>
      </c>
      <c r="W551" s="2" t="str">
        <f t="shared" si="26"/>
        <v>通过</v>
      </c>
    </row>
    <row r="552" spans="1:23" ht="15">
      <c r="A552" s="2" t="str">
        <f>raw_order_lines!A552</f>
        <v>SIM-20260917-C005</v>
      </c>
      <c r="B552" s="2">
        <f>raw_order_lines!B552</f>
        <v>4</v>
      </c>
      <c r="C552" s="2" t="str">
        <f>raw_order_lines!C552</f>
        <v>C005</v>
      </c>
      <c r="D552" s="3">
        <f>raw_order_lines!D552</f>
        <v>46282</v>
      </c>
      <c r="E552" s="2" t="str">
        <f>raw_order_lines!E552</f>
        <v>P014</v>
      </c>
      <c r="F552" s="2" t="str">
        <f>raw_order_lines!F552</f>
        <v>公斤</v>
      </c>
      <c r="G552" s="4">
        <f>raw_order_lines!G552</f>
        <v>16.5</v>
      </c>
      <c r="H552" s="4">
        <f>raw_order_lines!H552</f>
        <v>16.5</v>
      </c>
      <c r="I552" s="4">
        <f>raw_order_lines!I552</f>
        <v>0</v>
      </c>
      <c r="J552" s="5">
        <f>raw_order_lines!J552</f>
        <v>5</v>
      </c>
      <c r="K552" s="2" t="str">
        <f>raw_order_lines!K552</f>
        <v>正常交付</v>
      </c>
      <c r="L552" s="2" t="str">
        <f>raw_order_lines!L552</f>
        <v>true</v>
      </c>
      <c r="M552" s="2" t="str">
        <f>INDEX(dim_products!$B$2:$B$21,MATCH($E552,dim_products!$A$2:$A$21,0))</f>
        <v>丝瓜</v>
      </c>
      <c r="N552" s="2" t="str">
        <f>INDEX(dim_products!$C$2:$C$21,MATCH($E552,dim_products!$A$2:$A$21,0))</f>
        <v>散装鲜菜</v>
      </c>
      <c r="O552" s="2" t="str">
        <f>INDEX(dim_customers!$B$2:$B$7,MATCH($C552,dim_customers!$A$2:$A$7,0))</f>
        <v>模拟_青禾小学食堂</v>
      </c>
      <c r="P552" s="6">
        <f>INT((ROUND(raw_order_lines!H552*10,0)*ROUND(raw_order_lines!J552*100,0)+5)/10)/100</f>
        <v>82.5</v>
      </c>
      <c r="Q552" s="6">
        <f>INT((ROUND(raw_order_lines!I552*10,0)*ROUND(raw_order_lines!J552*100,0)+5)/10)/100</f>
        <v>0</v>
      </c>
      <c r="R552" s="6">
        <f t="shared" si="24"/>
        <v>82.5</v>
      </c>
      <c r="S552" s="2" t="str">
        <f>IF(OR(ROUND(raw_order_lines!I552*10,0)&gt;ROUND(raw_order_lines!H552*10,0),ROUND(raw_order_lines!H552*10,0)&gt;ROUND(raw_order_lines!G552*10,0),ROUND(raw_order_lines!G552*10,0)&lt;=0),"数量关系异常","")</f>
        <v/>
      </c>
      <c r="T552" s="2" t="str">
        <f>IF($F552&lt;&gt;INDEX(dim_products!$D$2:$D$21,MATCH($E552,dim_products!$A$2:$A$21,0)),"单位不一致","")</f>
        <v/>
      </c>
      <c r="U552" s="2" t="str">
        <f>IF(OR(ROUND(raw_order_lines!J552*100,0)&lt;ROUND(INDEX(dim_products!$F$2:$F$21,MATCH($E552,dim_products!$A$2:$A$21,0))*100,0),ROUND(raw_order_lines!J552*100,0)&gt;ROUND(INDEX(dim_products!$G$2:$G$21,MATCH($E552,dim_products!$A$2:$A$21,0))*100,0)),"单价越界","")</f>
        <v/>
      </c>
      <c r="V552" s="2" t="str">
        <f t="shared" si="25"/>
        <v/>
      </c>
      <c r="W552" s="2" t="str">
        <f t="shared" si="26"/>
        <v>通过</v>
      </c>
    </row>
    <row r="553" spans="1:23" ht="15">
      <c r="A553" s="2" t="str">
        <f>raw_order_lines!A553</f>
        <v>SIM-20260917-C005</v>
      </c>
      <c r="B553" s="2">
        <f>raw_order_lines!B553</f>
        <v>5</v>
      </c>
      <c r="C553" s="2" t="str">
        <f>raw_order_lines!C553</f>
        <v>C005</v>
      </c>
      <c r="D553" s="3">
        <f>raw_order_lines!D553</f>
        <v>46282</v>
      </c>
      <c r="E553" s="2" t="str">
        <f>raw_order_lines!E553</f>
        <v>P001</v>
      </c>
      <c r="F553" s="2" t="str">
        <f>raw_order_lines!F553</f>
        <v>公斤</v>
      </c>
      <c r="G553" s="4">
        <f>raw_order_lines!G553</f>
        <v>9.3000000000000007</v>
      </c>
      <c r="H553" s="4">
        <f>raw_order_lines!H553</f>
        <v>9.3000000000000007</v>
      </c>
      <c r="I553" s="4">
        <f>raw_order_lines!I553</f>
        <v>0</v>
      </c>
      <c r="J553" s="5">
        <f>raw_order_lines!J553</f>
        <v>3.4</v>
      </c>
      <c r="K553" s="2" t="str">
        <f>raw_order_lines!K553</f>
        <v>正常交付</v>
      </c>
      <c r="L553" s="2" t="str">
        <f>raw_order_lines!L553</f>
        <v>true</v>
      </c>
      <c r="M553" s="2" t="str">
        <f>INDEX(dim_products!$B$2:$B$21,MATCH($E553,dim_products!$A$2:$A$21,0))</f>
        <v>土豆</v>
      </c>
      <c r="N553" s="2" t="str">
        <f>INDEX(dim_products!$C$2:$C$21,MATCH($E553,dim_products!$A$2:$A$21,0))</f>
        <v>散装鲜菜</v>
      </c>
      <c r="O553" s="2" t="str">
        <f>INDEX(dim_customers!$B$2:$B$7,MATCH($C553,dim_customers!$A$2:$A$7,0))</f>
        <v>模拟_青禾小学食堂</v>
      </c>
      <c r="P553" s="6">
        <f>INT((ROUND(raw_order_lines!H553*10,0)*ROUND(raw_order_lines!J553*100,0)+5)/10)/100</f>
        <v>31.62</v>
      </c>
      <c r="Q553" s="6">
        <f>INT((ROUND(raw_order_lines!I553*10,0)*ROUND(raw_order_lines!J553*100,0)+5)/10)/100</f>
        <v>0</v>
      </c>
      <c r="R553" s="6">
        <f t="shared" si="24"/>
        <v>31.62</v>
      </c>
      <c r="S553" s="2" t="str">
        <f>IF(OR(ROUND(raw_order_lines!I553*10,0)&gt;ROUND(raw_order_lines!H553*10,0),ROUND(raw_order_lines!H553*10,0)&gt;ROUND(raw_order_lines!G553*10,0),ROUND(raw_order_lines!G553*10,0)&lt;=0),"数量关系异常","")</f>
        <v/>
      </c>
      <c r="T553" s="2" t="str">
        <f>IF($F553&lt;&gt;INDEX(dim_products!$D$2:$D$21,MATCH($E553,dim_products!$A$2:$A$21,0)),"单位不一致","")</f>
        <v/>
      </c>
      <c r="U553" s="2" t="str">
        <f>IF(OR(ROUND(raw_order_lines!J553*100,0)&lt;ROUND(INDEX(dim_products!$F$2:$F$21,MATCH($E553,dim_products!$A$2:$A$21,0))*100,0),ROUND(raw_order_lines!J553*100,0)&gt;ROUND(INDEX(dim_products!$G$2:$G$21,MATCH($E553,dim_products!$A$2:$A$21,0))*100,0)),"单价越界","")</f>
        <v/>
      </c>
      <c r="V553" s="2" t="str">
        <f t="shared" si="25"/>
        <v/>
      </c>
      <c r="W553" s="2" t="str">
        <f t="shared" si="26"/>
        <v>通过</v>
      </c>
    </row>
    <row r="554" spans="1:23" ht="15">
      <c r="A554" s="2" t="str">
        <f>raw_order_lines!A554</f>
        <v>SIM-20260917-C005</v>
      </c>
      <c r="B554" s="2">
        <f>raw_order_lines!B554</f>
        <v>6</v>
      </c>
      <c r="C554" s="2" t="str">
        <f>raw_order_lines!C554</f>
        <v>C005</v>
      </c>
      <c r="D554" s="3">
        <f>raw_order_lines!D554</f>
        <v>46282</v>
      </c>
      <c r="E554" s="2" t="str">
        <f>raw_order_lines!E554</f>
        <v>P013</v>
      </c>
      <c r="F554" s="2" t="str">
        <f>raw_order_lines!F554</f>
        <v>公斤</v>
      </c>
      <c r="G554" s="4">
        <f>raw_order_lines!G554</f>
        <v>11.4</v>
      </c>
      <c r="H554" s="4">
        <f>raw_order_lines!H554</f>
        <v>11.4</v>
      </c>
      <c r="I554" s="4">
        <f>raw_order_lines!I554</f>
        <v>0</v>
      </c>
      <c r="J554" s="5">
        <f>raw_order_lines!J554</f>
        <v>6</v>
      </c>
      <c r="K554" s="2" t="str">
        <f>raw_order_lines!K554</f>
        <v>正常交付</v>
      </c>
      <c r="L554" s="2" t="str">
        <f>raw_order_lines!L554</f>
        <v>true</v>
      </c>
      <c r="M554" s="2" t="str">
        <f>INDEX(dim_products!$B$2:$B$21,MATCH($E554,dim_products!$A$2:$A$21,0))</f>
        <v>豇豆</v>
      </c>
      <c r="N554" s="2" t="str">
        <f>INDEX(dim_products!$C$2:$C$21,MATCH($E554,dim_products!$A$2:$A$21,0))</f>
        <v>散装鲜菜</v>
      </c>
      <c r="O554" s="2" t="str">
        <f>INDEX(dim_customers!$B$2:$B$7,MATCH($C554,dim_customers!$A$2:$A$7,0))</f>
        <v>模拟_青禾小学食堂</v>
      </c>
      <c r="P554" s="6">
        <f>INT((ROUND(raw_order_lines!H554*10,0)*ROUND(raw_order_lines!J554*100,0)+5)/10)/100</f>
        <v>68.400000000000006</v>
      </c>
      <c r="Q554" s="6">
        <f>INT((ROUND(raw_order_lines!I554*10,0)*ROUND(raw_order_lines!J554*100,0)+5)/10)/100</f>
        <v>0</v>
      </c>
      <c r="R554" s="6">
        <f t="shared" si="24"/>
        <v>68.400000000000006</v>
      </c>
      <c r="S554" s="2" t="str">
        <f>IF(OR(ROUND(raw_order_lines!I554*10,0)&gt;ROUND(raw_order_lines!H554*10,0),ROUND(raw_order_lines!H554*10,0)&gt;ROUND(raw_order_lines!G554*10,0),ROUND(raw_order_lines!G554*10,0)&lt;=0),"数量关系异常","")</f>
        <v/>
      </c>
      <c r="T554" s="2" t="str">
        <f>IF($F554&lt;&gt;INDEX(dim_products!$D$2:$D$21,MATCH($E554,dim_products!$A$2:$A$21,0)),"单位不一致","")</f>
        <v/>
      </c>
      <c r="U554" s="2" t="str">
        <f>IF(OR(ROUND(raw_order_lines!J554*100,0)&lt;ROUND(INDEX(dim_products!$F$2:$F$21,MATCH($E554,dim_products!$A$2:$A$21,0))*100,0),ROUND(raw_order_lines!J554*100,0)&gt;ROUND(INDEX(dim_products!$G$2:$G$21,MATCH($E554,dim_products!$A$2:$A$21,0))*100,0)),"单价越界","")</f>
        <v/>
      </c>
      <c r="V554" s="2" t="str">
        <f t="shared" si="25"/>
        <v/>
      </c>
      <c r="W554" s="2" t="str">
        <f t="shared" si="26"/>
        <v>通过</v>
      </c>
    </row>
    <row r="555" spans="1:23" ht="15">
      <c r="A555" s="2" t="str">
        <f>raw_order_lines!A555</f>
        <v>SIM-20260917-C005</v>
      </c>
      <c r="B555" s="2">
        <f>raw_order_lines!B555</f>
        <v>7</v>
      </c>
      <c r="C555" s="2" t="str">
        <f>raw_order_lines!C555</f>
        <v>C005</v>
      </c>
      <c r="D555" s="3">
        <f>raw_order_lines!D555</f>
        <v>46282</v>
      </c>
      <c r="E555" s="2" t="str">
        <f>raw_order_lines!E555</f>
        <v>P016</v>
      </c>
      <c r="F555" s="2" t="str">
        <f>raw_order_lines!F555</f>
        <v>公斤</v>
      </c>
      <c r="G555" s="4">
        <f>raw_order_lines!G555</f>
        <v>12</v>
      </c>
      <c r="H555" s="4">
        <f>raw_order_lines!H555</f>
        <v>12</v>
      </c>
      <c r="I555" s="4">
        <f>raw_order_lines!I555</f>
        <v>0</v>
      </c>
      <c r="J555" s="5">
        <f>raw_order_lines!J555</f>
        <v>10.199999999999999</v>
      </c>
      <c r="K555" s="2" t="str">
        <f>raw_order_lines!K555</f>
        <v>正常交付</v>
      </c>
      <c r="L555" s="2" t="str">
        <f>raw_order_lines!L555</f>
        <v>true</v>
      </c>
      <c r="M555" s="2" t="str">
        <f>INDEX(dim_products!$B$2:$B$21,MATCH($E555,dim_products!$A$2:$A$21,0))</f>
        <v>鸡蛋</v>
      </c>
      <c r="N555" s="2" t="str">
        <f>INDEX(dim_products!$C$2:$C$21,MATCH($E555,dim_products!$A$2:$A$21,0))</f>
        <v>普通鲜鸡蛋按净重</v>
      </c>
      <c r="O555" s="2" t="str">
        <f>INDEX(dim_customers!$B$2:$B$7,MATCH($C555,dim_customers!$A$2:$A$7,0))</f>
        <v>模拟_青禾小学食堂</v>
      </c>
      <c r="P555" s="6">
        <f>INT((ROUND(raw_order_lines!H555*10,0)*ROUND(raw_order_lines!J555*100,0)+5)/10)/100</f>
        <v>122.4</v>
      </c>
      <c r="Q555" s="6">
        <f>INT((ROUND(raw_order_lines!I555*10,0)*ROUND(raw_order_lines!J555*100,0)+5)/10)/100</f>
        <v>0</v>
      </c>
      <c r="R555" s="6">
        <f t="shared" si="24"/>
        <v>122.4</v>
      </c>
      <c r="S555" s="2" t="str">
        <f>IF(OR(ROUND(raw_order_lines!I555*10,0)&gt;ROUND(raw_order_lines!H555*10,0),ROUND(raw_order_lines!H555*10,0)&gt;ROUND(raw_order_lines!G555*10,0),ROUND(raw_order_lines!G555*10,0)&lt;=0),"数量关系异常","")</f>
        <v/>
      </c>
      <c r="T555" s="2" t="str">
        <f>IF($F555&lt;&gt;INDEX(dim_products!$D$2:$D$21,MATCH($E555,dim_products!$A$2:$A$21,0)),"单位不一致","")</f>
        <v/>
      </c>
      <c r="U555" s="2" t="str">
        <f>IF(OR(ROUND(raw_order_lines!J555*100,0)&lt;ROUND(INDEX(dim_products!$F$2:$F$21,MATCH($E555,dim_products!$A$2:$A$21,0))*100,0),ROUND(raw_order_lines!J555*100,0)&gt;ROUND(INDEX(dim_products!$G$2:$G$21,MATCH($E555,dim_products!$A$2:$A$21,0))*100,0)),"单价越界","")</f>
        <v/>
      </c>
      <c r="V555" s="2" t="str">
        <f t="shared" si="25"/>
        <v/>
      </c>
      <c r="W555" s="2" t="str">
        <f t="shared" si="26"/>
        <v>通过</v>
      </c>
    </row>
    <row r="556" spans="1:23" ht="15">
      <c r="A556" s="2" t="str">
        <f>raw_order_lines!A556</f>
        <v>SIM-20260917-C005</v>
      </c>
      <c r="B556" s="2">
        <f>raw_order_lines!B556</f>
        <v>8</v>
      </c>
      <c r="C556" s="2" t="str">
        <f>raw_order_lines!C556</f>
        <v>C005</v>
      </c>
      <c r="D556" s="3">
        <f>raw_order_lines!D556</f>
        <v>46282</v>
      </c>
      <c r="E556" s="2" t="str">
        <f>raw_order_lines!E556</f>
        <v>P015</v>
      </c>
      <c r="F556" s="2" t="str">
        <f>raw_order_lines!F556</f>
        <v>公斤</v>
      </c>
      <c r="G556" s="4">
        <f>raw_order_lines!G556</f>
        <v>1</v>
      </c>
      <c r="H556" s="4">
        <f>raw_order_lines!H556</f>
        <v>1</v>
      </c>
      <c r="I556" s="4">
        <f>raw_order_lines!I556</f>
        <v>0</v>
      </c>
      <c r="J556" s="5">
        <f>raw_order_lines!J556</f>
        <v>7.3</v>
      </c>
      <c r="K556" s="2" t="str">
        <f>raw_order_lines!K556</f>
        <v>正常交付</v>
      </c>
      <c r="L556" s="2" t="str">
        <f>raw_order_lines!L556</f>
        <v>true</v>
      </c>
      <c r="M556" s="2" t="str">
        <f>INDEX(dim_products!$B$2:$B$21,MATCH($E556,dim_products!$A$2:$A$21,0))</f>
        <v>小葱</v>
      </c>
      <c r="N556" s="2" t="str">
        <f>INDEX(dim_products!$C$2:$C$21,MATCH($E556,dim_products!$A$2:$A$21,0))</f>
        <v>散装鲜菜</v>
      </c>
      <c r="O556" s="2" t="str">
        <f>INDEX(dim_customers!$B$2:$B$7,MATCH($C556,dim_customers!$A$2:$A$7,0))</f>
        <v>模拟_青禾小学食堂</v>
      </c>
      <c r="P556" s="6">
        <f>INT((ROUND(raw_order_lines!H556*10,0)*ROUND(raw_order_lines!J556*100,0)+5)/10)/100</f>
        <v>7.3</v>
      </c>
      <c r="Q556" s="6">
        <f>INT((ROUND(raw_order_lines!I556*10,0)*ROUND(raw_order_lines!J556*100,0)+5)/10)/100</f>
        <v>0</v>
      </c>
      <c r="R556" s="6">
        <f t="shared" si="24"/>
        <v>7.3</v>
      </c>
      <c r="S556" s="2" t="str">
        <f>IF(OR(ROUND(raw_order_lines!I556*10,0)&gt;ROUND(raw_order_lines!H556*10,0),ROUND(raw_order_lines!H556*10,0)&gt;ROUND(raw_order_lines!G556*10,0),ROUND(raw_order_lines!G556*10,0)&lt;=0),"数量关系异常","")</f>
        <v/>
      </c>
      <c r="T556" s="2" t="str">
        <f>IF($F556&lt;&gt;INDEX(dim_products!$D$2:$D$21,MATCH($E556,dim_products!$A$2:$A$21,0)),"单位不一致","")</f>
        <v/>
      </c>
      <c r="U556" s="2" t="str">
        <f>IF(OR(ROUND(raw_order_lines!J556*100,0)&lt;ROUND(INDEX(dim_products!$F$2:$F$21,MATCH($E556,dim_products!$A$2:$A$21,0))*100,0),ROUND(raw_order_lines!J556*100,0)&gt;ROUND(INDEX(dim_products!$G$2:$G$21,MATCH($E556,dim_products!$A$2:$A$21,0))*100,0)),"单价越界","")</f>
        <v/>
      </c>
      <c r="V556" s="2" t="str">
        <f t="shared" si="25"/>
        <v/>
      </c>
      <c r="W556" s="2" t="str">
        <f t="shared" si="26"/>
        <v>通过</v>
      </c>
    </row>
    <row r="557" spans="1:23" ht="15">
      <c r="A557" s="2" t="str">
        <f>raw_order_lines!A557</f>
        <v>SIM-20260917-C006</v>
      </c>
      <c r="B557" s="2">
        <f>raw_order_lines!B557</f>
        <v>1</v>
      </c>
      <c r="C557" s="2" t="str">
        <f>raw_order_lines!C557</f>
        <v>C006</v>
      </c>
      <c r="D557" s="3">
        <f>raw_order_lines!D557</f>
        <v>46282</v>
      </c>
      <c r="E557" s="2" t="str">
        <f>raw_order_lines!E557</f>
        <v>P012</v>
      </c>
      <c r="F557" s="2" t="str">
        <f>raw_order_lines!F557</f>
        <v>公斤</v>
      </c>
      <c r="G557" s="4">
        <f>raw_order_lines!G557</f>
        <v>8.8000000000000007</v>
      </c>
      <c r="H557" s="4">
        <f>raw_order_lines!H557</f>
        <v>8.8000000000000007</v>
      </c>
      <c r="I557" s="4">
        <f>raw_order_lines!I557</f>
        <v>0</v>
      </c>
      <c r="J557" s="5">
        <f>raw_order_lines!J557</f>
        <v>5.2</v>
      </c>
      <c r="K557" s="2" t="str">
        <f>raw_order_lines!K557</f>
        <v>正常交付</v>
      </c>
      <c r="L557" s="2" t="str">
        <f>raw_order_lines!L557</f>
        <v>true</v>
      </c>
      <c r="M557" s="2" t="str">
        <f>INDEX(dim_products!$B$2:$B$21,MATCH($E557,dim_products!$A$2:$A$21,0))</f>
        <v>小白菜</v>
      </c>
      <c r="N557" s="2" t="str">
        <f>INDEX(dim_products!$C$2:$C$21,MATCH($E557,dim_products!$A$2:$A$21,0))</f>
        <v>散装鲜菜</v>
      </c>
      <c r="O557" s="2" t="str">
        <f>INDEX(dim_customers!$B$2:$B$7,MATCH($C557,dim_customers!$A$2:$A$7,0))</f>
        <v>模拟_溪桥医院食堂</v>
      </c>
      <c r="P557" s="6">
        <f>INT((ROUND(raw_order_lines!H557*10,0)*ROUND(raw_order_lines!J557*100,0)+5)/10)/100</f>
        <v>45.76</v>
      </c>
      <c r="Q557" s="6">
        <f>INT((ROUND(raw_order_lines!I557*10,0)*ROUND(raw_order_lines!J557*100,0)+5)/10)/100</f>
        <v>0</v>
      </c>
      <c r="R557" s="6">
        <f t="shared" si="24"/>
        <v>45.76</v>
      </c>
      <c r="S557" s="2" t="str">
        <f>IF(OR(ROUND(raw_order_lines!I557*10,0)&gt;ROUND(raw_order_lines!H557*10,0),ROUND(raw_order_lines!H557*10,0)&gt;ROUND(raw_order_lines!G557*10,0),ROUND(raw_order_lines!G557*10,0)&lt;=0),"数量关系异常","")</f>
        <v/>
      </c>
      <c r="T557" s="2" t="str">
        <f>IF($F557&lt;&gt;INDEX(dim_products!$D$2:$D$21,MATCH($E557,dim_products!$A$2:$A$21,0)),"单位不一致","")</f>
        <v/>
      </c>
      <c r="U557" s="2" t="str">
        <f>IF(OR(ROUND(raw_order_lines!J557*100,0)&lt;ROUND(INDEX(dim_products!$F$2:$F$21,MATCH($E557,dim_products!$A$2:$A$21,0))*100,0),ROUND(raw_order_lines!J557*100,0)&gt;ROUND(INDEX(dim_products!$G$2:$G$21,MATCH($E557,dim_products!$A$2:$A$21,0))*100,0)),"单价越界","")</f>
        <v/>
      </c>
      <c r="V557" s="2" t="str">
        <f t="shared" si="25"/>
        <v/>
      </c>
      <c r="W557" s="2" t="str">
        <f t="shared" si="26"/>
        <v>通过</v>
      </c>
    </row>
    <row r="558" spans="1:23" ht="15">
      <c r="A558" s="2" t="str">
        <f>raw_order_lines!A558</f>
        <v>SIM-20260917-C006</v>
      </c>
      <c r="B558" s="2">
        <f>raw_order_lines!B558</f>
        <v>2</v>
      </c>
      <c r="C558" s="2" t="str">
        <f>raw_order_lines!C558</f>
        <v>C006</v>
      </c>
      <c r="D558" s="3">
        <f>raw_order_lines!D558</f>
        <v>46282</v>
      </c>
      <c r="E558" s="2" t="str">
        <f>raw_order_lines!E558</f>
        <v>P014</v>
      </c>
      <c r="F558" s="2" t="str">
        <f>raw_order_lines!F558</f>
        <v>公斤</v>
      </c>
      <c r="G558" s="4">
        <f>raw_order_lines!G558</f>
        <v>6.5</v>
      </c>
      <c r="H558" s="4">
        <f>raw_order_lines!H558</f>
        <v>6.5</v>
      </c>
      <c r="I558" s="4">
        <f>raw_order_lines!I558</f>
        <v>0</v>
      </c>
      <c r="J558" s="5">
        <f>raw_order_lines!J558</f>
        <v>5</v>
      </c>
      <c r="K558" s="2" t="str">
        <f>raw_order_lines!K558</f>
        <v>正常交付</v>
      </c>
      <c r="L558" s="2" t="str">
        <f>raw_order_lines!L558</f>
        <v>true</v>
      </c>
      <c r="M558" s="2" t="str">
        <f>INDEX(dim_products!$B$2:$B$21,MATCH($E558,dim_products!$A$2:$A$21,0))</f>
        <v>丝瓜</v>
      </c>
      <c r="N558" s="2" t="str">
        <f>INDEX(dim_products!$C$2:$C$21,MATCH($E558,dim_products!$A$2:$A$21,0))</f>
        <v>散装鲜菜</v>
      </c>
      <c r="O558" s="2" t="str">
        <f>INDEX(dim_customers!$B$2:$B$7,MATCH($C558,dim_customers!$A$2:$A$7,0))</f>
        <v>模拟_溪桥医院食堂</v>
      </c>
      <c r="P558" s="6">
        <f>INT((ROUND(raw_order_lines!H558*10,0)*ROUND(raw_order_lines!J558*100,0)+5)/10)/100</f>
        <v>32.5</v>
      </c>
      <c r="Q558" s="6">
        <f>INT((ROUND(raw_order_lines!I558*10,0)*ROUND(raw_order_lines!J558*100,0)+5)/10)/100</f>
        <v>0</v>
      </c>
      <c r="R558" s="6">
        <f t="shared" si="24"/>
        <v>32.5</v>
      </c>
      <c r="S558" s="2" t="str">
        <f>IF(OR(ROUND(raw_order_lines!I558*10,0)&gt;ROUND(raw_order_lines!H558*10,0),ROUND(raw_order_lines!H558*10,0)&gt;ROUND(raw_order_lines!G558*10,0),ROUND(raw_order_lines!G558*10,0)&lt;=0),"数量关系异常","")</f>
        <v/>
      </c>
      <c r="T558" s="2" t="str">
        <f>IF($F558&lt;&gt;INDEX(dim_products!$D$2:$D$21,MATCH($E558,dim_products!$A$2:$A$21,0)),"单位不一致","")</f>
        <v/>
      </c>
      <c r="U558" s="2" t="str">
        <f>IF(OR(ROUND(raw_order_lines!J558*100,0)&lt;ROUND(INDEX(dim_products!$F$2:$F$21,MATCH($E558,dim_products!$A$2:$A$21,0))*100,0),ROUND(raw_order_lines!J558*100,0)&gt;ROUND(INDEX(dim_products!$G$2:$G$21,MATCH($E558,dim_products!$A$2:$A$21,0))*100,0)),"单价越界","")</f>
        <v/>
      </c>
      <c r="V558" s="2" t="str">
        <f t="shared" si="25"/>
        <v/>
      </c>
      <c r="W558" s="2" t="str">
        <f t="shared" si="26"/>
        <v>通过</v>
      </c>
    </row>
    <row r="559" spans="1:23" ht="15">
      <c r="A559" s="2" t="str">
        <f>raw_order_lines!A559</f>
        <v>SIM-20260917-C006</v>
      </c>
      <c r="B559" s="2">
        <f>raw_order_lines!B559</f>
        <v>3</v>
      </c>
      <c r="C559" s="2" t="str">
        <f>raw_order_lines!C559</f>
        <v>C006</v>
      </c>
      <c r="D559" s="3">
        <f>raw_order_lines!D559</f>
        <v>46282</v>
      </c>
      <c r="E559" s="2" t="str">
        <f>raw_order_lines!E559</f>
        <v>P005</v>
      </c>
      <c r="F559" s="2" t="str">
        <f>raw_order_lines!F559</f>
        <v>公斤</v>
      </c>
      <c r="G559" s="4">
        <f>raw_order_lines!G559</f>
        <v>4.7</v>
      </c>
      <c r="H559" s="4">
        <f>raw_order_lines!H559</f>
        <v>4.7</v>
      </c>
      <c r="I559" s="4">
        <f>raw_order_lines!I559</f>
        <v>0</v>
      </c>
      <c r="J559" s="5">
        <f>raw_order_lines!J559</f>
        <v>3.2</v>
      </c>
      <c r="K559" s="2" t="str">
        <f>raw_order_lines!K559</f>
        <v>正常交付</v>
      </c>
      <c r="L559" s="2" t="str">
        <f>raw_order_lines!L559</f>
        <v>true</v>
      </c>
      <c r="M559" s="2" t="str">
        <f>INDEX(dim_products!$B$2:$B$21,MATCH($E559,dim_products!$A$2:$A$21,0))</f>
        <v>南瓜</v>
      </c>
      <c r="N559" s="2" t="str">
        <f>INDEX(dim_products!$C$2:$C$21,MATCH($E559,dim_products!$A$2:$A$21,0))</f>
        <v>散装鲜菜</v>
      </c>
      <c r="O559" s="2" t="str">
        <f>INDEX(dim_customers!$B$2:$B$7,MATCH($C559,dim_customers!$A$2:$A$7,0))</f>
        <v>模拟_溪桥医院食堂</v>
      </c>
      <c r="P559" s="6">
        <f>INT((ROUND(raw_order_lines!H559*10,0)*ROUND(raw_order_lines!J559*100,0)+5)/10)/100</f>
        <v>15.04</v>
      </c>
      <c r="Q559" s="6">
        <f>INT((ROUND(raw_order_lines!I559*10,0)*ROUND(raw_order_lines!J559*100,0)+5)/10)/100</f>
        <v>0</v>
      </c>
      <c r="R559" s="6">
        <f t="shared" si="24"/>
        <v>15.04</v>
      </c>
      <c r="S559" s="2" t="str">
        <f>IF(OR(ROUND(raw_order_lines!I559*10,0)&gt;ROUND(raw_order_lines!H559*10,0),ROUND(raw_order_lines!H559*10,0)&gt;ROUND(raw_order_lines!G559*10,0),ROUND(raw_order_lines!G559*10,0)&lt;=0),"数量关系异常","")</f>
        <v/>
      </c>
      <c r="T559" s="2" t="str">
        <f>IF($F559&lt;&gt;INDEX(dim_products!$D$2:$D$21,MATCH($E559,dim_products!$A$2:$A$21,0)),"单位不一致","")</f>
        <v/>
      </c>
      <c r="U559" s="2" t="str">
        <f>IF(OR(ROUND(raw_order_lines!J559*100,0)&lt;ROUND(INDEX(dim_products!$F$2:$F$21,MATCH($E559,dim_products!$A$2:$A$21,0))*100,0),ROUND(raw_order_lines!J559*100,0)&gt;ROUND(INDEX(dim_products!$G$2:$G$21,MATCH($E559,dim_products!$A$2:$A$21,0))*100,0)),"单价越界","")</f>
        <v/>
      </c>
      <c r="V559" s="2" t="str">
        <f t="shared" si="25"/>
        <v/>
      </c>
      <c r="W559" s="2" t="str">
        <f t="shared" si="26"/>
        <v>通过</v>
      </c>
    </row>
    <row r="560" spans="1:23" ht="15">
      <c r="A560" s="2" t="str">
        <f>raw_order_lines!A560</f>
        <v>SIM-20260917-C006</v>
      </c>
      <c r="B560" s="2">
        <f>raw_order_lines!B560</f>
        <v>4</v>
      </c>
      <c r="C560" s="2" t="str">
        <f>raw_order_lines!C560</f>
        <v>C006</v>
      </c>
      <c r="D560" s="3">
        <f>raw_order_lines!D560</f>
        <v>46282</v>
      </c>
      <c r="E560" s="2" t="str">
        <f>raw_order_lines!E560</f>
        <v>P004</v>
      </c>
      <c r="F560" s="2" t="str">
        <f>raw_order_lines!F560</f>
        <v>公斤</v>
      </c>
      <c r="G560" s="4">
        <f>raw_order_lines!G560</f>
        <v>8.8000000000000007</v>
      </c>
      <c r="H560" s="4">
        <f>raw_order_lines!H560</f>
        <v>8.8000000000000007</v>
      </c>
      <c r="I560" s="4">
        <f>raw_order_lines!I560</f>
        <v>0</v>
      </c>
      <c r="J560" s="5">
        <f>raw_order_lines!J560</f>
        <v>2.6</v>
      </c>
      <c r="K560" s="2" t="str">
        <f>raw_order_lines!K560</f>
        <v>正常交付</v>
      </c>
      <c r="L560" s="2" t="str">
        <f>raw_order_lines!L560</f>
        <v>true</v>
      </c>
      <c r="M560" s="2" t="str">
        <f>INDEX(dim_products!$B$2:$B$21,MATCH($E560,dim_products!$A$2:$A$21,0))</f>
        <v>冬瓜</v>
      </c>
      <c r="N560" s="2" t="str">
        <f>INDEX(dim_products!$C$2:$C$21,MATCH($E560,dim_products!$A$2:$A$21,0))</f>
        <v>散装鲜菜</v>
      </c>
      <c r="O560" s="2" t="str">
        <f>INDEX(dim_customers!$B$2:$B$7,MATCH($C560,dim_customers!$A$2:$A$7,0))</f>
        <v>模拟_溪桥医院食堂</v>
      </c>
      <c r="P560" s="6">
        <f>INT((ROUND(raw_order_lines!H560*10,0)*ROUND(raw_order_lines!J560*100,0)+5)/10)/100</f>
        <v>22.88</v>
      </c>
      <c r="Q560" s="6">
        <f>INT((ROUND(raw_order_lines!I560*10,0)*ROUND(raw_order_lines!J560*100,0)+5)/10)/100</f>
        <v>0</v>
      </c>
      <c r="R560" s="6">
        <f t="shared" si="24"/>
        <v>22.88</v>
      </c>
      <c r="S560" s="2" t="str">
        <f>IF(OR(ROUND(raw_order_lines!I560*10,0)&gt;ROUND(raw_order_lines!H560*10,0),ROUND(raw_order_lines!H560*10,0)&gt;ROUND(raw_order_lines!G560*10,0),ROUND(raw_order_lines!G560*10,0)&lt;=0),"数量关系异常","")</f>
        <v/>
      </c>
      <c r="T560" s="2" t="str">
        <f>IF($F560&lt;&gt;INDEX(dim_products!$D$2:$D$21,MATCH($E560,dim_products!$A$2:$A$21,0)),"单位不一致","")</f>
        <v/>
      </c>
      <c r="U560" s="2" t="str">
        <f>IF(OR(ROUND(raw_order_lines!J560*100,0)&lt;ROUND(INDEX(dim_products!$F$2:$F$21,MATCH($E560,dim_products!$A$2:$A$21,0))*100,0),ROUND(raw_order_lines!J560*100,0)&gt;ROUND(INDEX(dim_products!$G$2:$G$21,MATCH($E560,dim_products!$A$2:$A$21,0))*100,0)),"单价越界","")</f>
        <v/>
      </c>
      <c r="V560" s="2" t="str">
        <f t="shared" si="25"/>
        <v/>
      </c>
      <c r="W560" s="2" t="str">
        <f t="shared" si="26"/>
        <v>通过</v>
      </c>
    </row>
    <row r="561" spans="1:23" ht="15">
      <c r="A561" s="2" t="str">
        <f>raw_order_lines!A561</f>
        <v>SIM-20260917-C006</v>
      </c>
      <c r="B561" s="2">
        <f>raw_order_lines!B561</f>
        <v>5</v>
      </c>
      <c r="C561" s="2" t="str">
        <f>raw_order_lines!C561</f>
        <v>C006</v>
      </c>
      <c r="D561" s="3">
        <f>raw_order_lines!D561</f>
        <v>46282</v>
      </c>
      <c r="E561" s="2" t="str">
        <f>raw_order_lines!E561</f>
        <v>P006</v>
      </c>
      <c r="F561" s="2" t="str">
        <f>raw_order_lines!F561</f>
        <v>公斤</v>
      </c>
      <c r="G561" s="4">
        <f>raw_order_lines!G561</f>
        <v>9.4</v>
      </c>
      <c r="H561" s="4">
        <f>raw_order_lines!H561</f>
        <v>9.1999999999999993</v>
      </c>
      <c r="I561" s="4">
        <f>raw_order_lines!I561</f>
        <v>0</v>
      </c>
      <c r="J561" s="5">
        <f>raw_order_lines!J561</f>
        <v>4.8</v>
      </c>
      <c r="K561" s="2" t="str">
        <f>raw_order_lines!K561</f>
        <v>到货不足；按实际交付计费</v>
      </c>
      <c r="L561" s="2" t="str">
        <f>raw_order_lines!L561</f>
        <v>true</v>
      </c>
      <c r="M561" s="2" t="str">
        <f>INDEX(dim_products!$B$2:$B$21,MATCH($E561,dim_products!$A$2:$A$21,0))</f>
        <v>茄子</v>
      </c>
      <c r="N561" s="2" t="str">
        <f>INDEX(dim_products!$C$2:$C$21,MATCH($E561,dim_products!$A$2:$A$21,0))</f>
        <v>散装鲜菜</v>
      </c>
      <c r="O561" s="2" t="str">
        <f>INDEX(dim_customers!$B$2:$B$7,MATCH($C561,dim_customers!$A$2:$A$7,0))</f>
        <v>模拟_溪桥医院食堂</v>
      </c>
      <c r="P561" s="6">
        <f>INT((ROUND(raw_order_lines!H561*10,0)*ROUND(raw_order_lines!J561*100,0)+5)/10)/100</f>
        <v>44.16</v>
      </c>
      <c r="Q561" s="6">
        <f>INT((ROUND(raw_order_lines!I561*10,0)*ROUND(raw_order_lines!J561*100,0)+5)/10)/100</f>
        <v>0</v>
      </c>
      <c r="R561" s="6">
        <f t="shared" si="24"/>
        <v>44.16</v>
      </c>
      <c r="S561" s="2" t="str">
        <f>IF(OR(ROUND(raw_order_lines!I561*10,0)&gt;ROUND(raw_order_lines!H561*10,0),ROUND(raw_order_lines!H561*10,0)&gt;ROUND(raw_order_lines!G561*10,0),ROUND(raw_order_lines!G561*10,0)&lt;=0),"数量关系异常","")</f>
        <v/>
      </c>
      <c r="T561" s="2" t="str">
        <f>IF($F561&lt;&gt;INDEX(dim_products!$D$2:$D$21,MATCH($E561,dim_products!$A$2:$A$21,0)),"单位不一致","")</f>
        <v/>
      </c>
      <c r="U561" s="2" t="str">
        <f>IF(OR(ROUND(raw_order_lines!J561*100,0)&lt;ROUND(INDEX(dim_products!$F$2:$F$21,MATCH($E561,dim_products!$A$2:$A$21,0))*100,0),ROUND(raw_order_lines!J561*100,0)&gt;ROUND(INDEX(dim_products!$G$2:$G$21,MATCH($E561,dim_products!$A$2:$A$21,0))*100,0)),"单价越界","")</f>
        <v/>
      </c>
      <c r="V561" s="2" t="str">
        <f t="shared" si="25"/>
        <v/>
      </c>
      <c r="W561" s="2" t="str">
        <f t="shared" si="26"/>
        <v>通过</v>
      </c>
    </row>
    <row r="562" spans="1:23" ht="15">
      <c r="A562" s="2" t="str">
        <f>raw_order_lines!A562</f>
        <v>SIM-20260917-C006</v>
      </c>
      <c r="B562" s="2">
        <f>raw_order_lines!B562</f>
        <v>6</v>
      </c>
      <c r="C562" s="2" t="str">
        <f>raw_order_lines!C562</f>
        <v>C006</v>
      </c>
      <c r="D562" s="3">
        <f>raw_order_lines!D562</f>
        <v>46282</v>
      </c>
      <c r="E562" s="2" t="str">
        <f>raw_order_lines!E562</f>
        <v>P003</v>
      </c>
      <c r="F562" s="2" t="str">
        <f>raw_order_lines!F562</f>
        <v>公斤</v>
      </c>
      <c r="G562" s="4">
        <f>raw_order_lines!G562</f>
        <v>5.9</v>
      </c>
      <c r="H562" s="4">
        <f>raw_order_lines!H562</f>
        <v>5.4</v>
      </c>
      <c r="I562" s="4">
        <f>raw_order_lines!I562</f>
        <v>0</v>
      </c>
      <c r="J562" s="5">
        <f>raw_order_lines!J562</f>
        <v>3.5</v>
      </c>
      <c r="K562" s="2" t="str">
        <f>raw_order_lines!K562</f>
        <v>到货不足；按实际交付计费</v>
      </c>
      <c r="L562" s="2" t="str">
        <f>raw_order_lines!L562</f>
        <v>true</v>
      </c>
      <c r="M562" s="2" t="str">
        <f>INDEX(dim_products!$B$2:$B$21,MATCH($E562,dim_products!$A$2:$A$21,0))</f>
        <v>包菜</v>
      </c>
      <c r="N562" s="2" t="str">
        <f>INDEX(dim_products!$C$2:$C$21,MATCH($E562,dim_products!$A$2:$A$21,0))</f>
        <v>散装鲜菜</v>
      </c>
      <c r="O562" s="2" t="str">
        <f>INDEX(dim_customers!$B$2:$B$7,MATCH($C562,dim_customers!$A$2:$A$7,0))</f>
        <v>模拟_溪桥医院食堂</v>
      </c>
      <c r="P562" s="6">
        <f>INT((ROUND(raw_order_lines!H562*10,0)*ROUND(raw_order_lines!J562*100,0)+5)/10)/100</f>
        <v>18.899999999999999</v>
      </c>
      <c r="Q562" s="6">
        <f>INT((ROUND(raw_order_lines!I562*10,0)*ROUND(raw_order_lines!J562*100,0)+5)/10)/100</f>
        <v>0</v>
      </c>
      <c r="R562" s="6">
        <f t="shared" si="24"/>
        <v>18.899999999999999</v>
      </c>
      <c r="S562" s="2" t="str">
        <f>IF(OR(ROUND(raw_order_lines!I562*10,0)&gt;ROUND(raw_order_lines!H562*10,0),ROUND(raw_order_lines!H562*10,0)&gt;ROUND(raw_order_lines!G562*10,0),ROUND(raw_order_lines!G562*10,0)&lt;=0),"数量关系异常","")</f>
        <v/>
      </c>
      <c r="T562" s="2" t="str">
        <f>IF($F562&lt;&gt;INDEX(dim_products!$D$2:$D$21,MATCH($E562,dim_products!$A$2:$A$21,0)),"单位不一致","")</f>
        <v/>
      </c>
      <c r="U562" s="2" t="str">
        <f>IF(OR(ROUND(raw_order_lines!J562*100,0)&lt;ROUND(INDEX(dim_products!$F$2:$F$21,MATCH($E562,dim_products!$A$2:$A$21,0))*100,0),ROUND(raw_order_lines!J562*100,0)&gt;ROUND(INDEX(dim_products!$G$2:$G$21,MATCH($E562,dim_products!$A$2:$A$21,0))*100,0)),"单价越界","")</f>
        <v/>
      </c>
      <c r="V562" s="2" t="str">
        <f t="shared" si="25"/>
        <v/>
      </c>
      <c r="W562" s="2" t="str">
        <f t="shared" si="26"/>
        <v>通过</v>
      </c>
    </row>
    <row r="563" spans="1:23" ht="15">
      <c r="A563" s="2" t="str">
        <f>raw_order_lines!A563</f>
        <v>SIM-20260917-C006</v>
      </c>
      <c r="B563" s="2">
        <f>raw_order_lines!B563</f>
        <v>7</v>
      </c>
      <c r="C563" s="2" t="str">
        <f>raw_order_lines!C563</f>
        <v>C006</v>
      </c>
      <c r="D563" s="3">
        <f>raw_order_lines!D563</f>
        <v>46282</v>
      </c>
      <c r="E563" s="2" t="str">
        <f>raw_order_lines!E563</f>
        <v>P016</v>
      </c>
      <c r="F563" s="2" t="str">
        <f>raw_order_lines!F563</f>
        <v>公斤</v>
      </c>
      <c r="G563" s="4">
        <f>raw_order_lines!G563</f>
        <v>9</v>
      </c>
      <c r="H563" s="4">
        <f>raw_order_lines!H563</f>
        <v>9</v>
      </c>
      <c r="I563" s="4">
        <f>raw_order_lines!I563</f>
        <v>0</v>
      </c>
      <c r="J563" s="5">
        <f>raw_order_lines!J563</f>
        <v>10.199999999999999</v>
      </c>
      <c r="K563" s="2" t="str">
        <f>raw_order_lines!K563</f>
        <v>正常交付</v>
      </c>
      <c r="L563" s="2" t="str">
        <f>raw_order_lines!L563</f>
        <v>true</v>
      </c>
      <c r="M563" s="2" t="str">
        <f>INDEX(dim_products!$B$2:$B$21,MATCH($E563,dim_products!$A$2:$A$21,0))</f>
        <v>鸡蛋</v>
      </c>
      <c r="N563" s="2" t="str">
        <f>INDEX(dim_products!$C$2:$C$21,MATCH($E563,dim_products!$A$2:$A$21,0))</f>
        <v>普通鲜鸡蛋按净重</v>
      </c>
      <c r="O563" s="2" t="str">
        <f>INDEX(dim_customers!$B$2:$B$7,MATCH($C563,dim_customers!$A$2:$A$7,0))</f>
        <v>模拟_溪桥医院食堂</v>
      </c>
      <c r="P563" s="6">
        <f>INT((ROUND(raw_order_lines!H563*10,0)*ROUND(raw_order_lines!J563*100,0)+5)/10)/100</f>
        <v>91.8</v>
      </c>
      <c r="Q563" s="6">
        <f>INT((ROUND(raw_order_lines!I563*10,0)*ROUND(raw_order_lines!J563*100,0)+5)/10)/100</f>
        <v>0</v>
      </c>
      <c r="R563" s="6">
        <f t="shared" si="24"/>
        <v>91.8</v>
      </c>
      <c r="S563" s="2" t="str">
        <f>IF(OR(ROUND(raw_order_lines!I563*10,0)&gt;ROUND(raw_order_lines!H563*10,0),ROUND(raw_order_lines!H563*10,0)&gt;ROUND(raw_order_lines!G563*10,0),ROUND(raw_order_lines!G563*10,0)&lt;=0),"数量关系异常","")</f>
        <v/>
      </c>
      <c r="T563" s="2" t="str">
        <f>IF($F563&lt;&gt;INDEX(dim_products!$D$2:$D$21,MATCH($E563,dim_products!$A$2:$A$21,0)),"单位不一致","")</f>
        <v/>
      </c>
      <c r="U563" s="2" t="str">
        <f>IF(OR(ROUND(raw_order_lines!J563*100,0)&lt;ROUND(INDEX(dim_products!$F$2:$F$21,MATCH($E563,dim_products!$A$2:$A$21,0))*100,0),ROUND(raw_order_lines!J563*100,0)&gt;ROUND(INDEX(dim_products!$G$2:$G$21,MATCH($E563,dim_products!$A$2:$A$21,0))*100,0)),"单价越界","")</f>
        <v/>
      </c>
      <c r="V563" s="2" t="str">
        <f t="shared" si="25"/>
        <v/>
      </c>
      <c r="W563" s="2" t="str">
        <f t="shared" si="26"/>
        <v>通过</v>
      </c>
    </row>
    <row r="564" spans="1:23" ht="15">
      <c r="A564" s="2" t="str">
        <f>raw_order_lines!A564</f>
        <v>SIM-20260918-C001</v>
      </c>
      <c r="B564" s="2">
        <f>raw_order_lines!B564</f>
        <v>1</v>
      </c>
      <c r="C564" s="2" t="str">
        <f>raw_order_lines!C564</f>
        <v>C001</v>
      </c>
      <c r="D564" s="3">
        <f>raw_order_lines!D564</f>
        <v>46283</v>
      </c>
      <c r="E564" s="2" t="str">
        <f>raw_order_lines!E564</f>
        <v>P011</v>
      </c>
      <c r="F564" s="2" t="str">
        <f>raw_order_lines!F564</f>
        <v>公斤</v>
      </c>
      <c r="G564" s="4">
        <f>raw_order_lines!G564</f>
        <v>3.6</v>
      </c>
      <c r="H564" s="4">
        <f>raw_order_lines!H564</f>
        <v>3.6</v>
      </c>
      <c r="I564" s="4">
        <f>raw_order_lines!I564</f>
        <v>0.3</v>
      </c>
      <c r="J564" s="5">
        <f>raw_order_lines!J564</f>
        <v>4.3</v>
      </c>
      <c r="K564" s="2" t="str">
        <f>raw_order_lines!K564</f>
        <v>正常交付；签收时挑出黄叶退回</v>
      </c>
      <c r="L564" s="2" t="str">
        <f>raw_order_lines!L564</f>
        <v>true</v>
      </c>
      <c r="M564" s="2" t="str">
        <f>INDEX(dim_products!$B$2:$B$21,MATCH($E564,dim_products!$A$2:$A$21,0))</f>
        <v>红薯叶</v>
      </c>
      <c r="N564" s="2" t="str">
        <f>INDEX(dim_products!$C$2:$C$21,MATCH($E564,dim_products!$A$2:$A$21,0))</f>
        <v>散装鲜菜</v>
      </c>
      <c r="O564" s="2" t="str">
        <f>INDEX(dim_customers!$B$2:$B$7,MATCH($C564,dim_customers!$A$2:$A$7,0))</f>
        <v>模拟_榕树下粉面店</v>
      </c>
      <c r="P564" s="6">
        <f>INT((ROUND(raw_order_lines!H564*10,0)*ROUND(raw_order_lines!J564*100,0)+5)/10)/100</f>
        <v>15.48</v>
      </c>
      <c r="Q564" s="6">
        <f>INT((ROUND(raw_order_lines!I564*10,0)*ROUND(raw_order_lines!J564*100,0)+5)/10)/100</f>
        <v>1.29</v>
      </c>
      <c r="R564" s="6">
        <f t="shared" si="24"/>
        <v>14.190000000000001</v>
      </c>
      <c r="S564" s="2" t="str">
        <f>IF(OR(ROUND(raw_order_lines!I564*10,0)&gt;ROUND(raw_order_lines!H564*10,0),ROUND(raw_order_lines!H564*10,0)&gt;ROUND(raw_order_lines!G564*10,0),ROUND(raw_order_lines!G564*10,0)&lt;=0),"数量关系异常","")</f>
        <v/>
      </c>
      <c r="T564" s="2" t="str">
        <f>IF($F564&lt;&gt;INDEX(dim_products!$D$2:$D$21,MATCH($E564,dim_products!$A$2:$A$21,0)),"单位不一致","")</f>
        <v/>
      </c>
      <c r="U564" s="2" t="str">
        <f>IF(OR(ROUND(raw_order_lines!J564*100,0)&lt;ROUND(INDEX(dim_products!$F$2:$F$21,MATCH($E564,dim_products!$A$2:$A$21,0))*100,0),ROUND(raw_order_lines!J564*100,0)&gt;ROUND(INDEX(dim_products!$G$2:$G$21,MATCH($E564,dim_products!$A$2:$A$21,0))*100,0)),"单价越界","")</f>
        <v/>
      </c>
      <c r="V564" s="2" t="str">
        <f t="shared" si="25"/>
        <v/>
      </c>
      <c r="W564" s="2" t="str">
        <f t="shared" si="26"/>
        <v>通过</v>
      </c>
    </row>
    <row r="565" spans="1:23" ht="15">
      <c r="A565" s="2" t="str">
        <f>raw_order_lines!A565</f>
        <v>SIM-20260918-C001</v>
      </c>
      <c r="B565" s="2">
        <f>raw_order_lines!B565</f>
        <v>2</v>
      </c>
      <c r="C565" s="2" t="str">
        <f>raw_order_lines!C565</f>
        <v>C001</v>
      </c>
      <c r="D565" s="3">
        <f>raw_order_lines!D565</f>
        <v>46283</v>
      </c>
      <c r="E565" s="2" t="str">
        <f>raw_order_lines!E565</f>
        <v>P001</v>
      </c>
      <c r="F565" s="2" t="str">
        <f>raw_order_lines!F565</f>
        <v>公斤</v>
      </c>
      <c r="G565" s="4">
        <f>raw_order_lines!G565</f>
        <v>2.2999999999999998</v>
      </c>
      <c r="H565" s="4">
        <f>raw_order_lines!H565</f>
        <v>2.2999999999999998</v>
      </c>
      <c r="I565" s="4">
        <f>raw_order_lines!I565</f>
        <v>0</v>
      </c>
      <c r="J565" s="5">
        <f>raw_order_lines!J565</f>
        <v>3.4</v>
      </c>
      <c r="K565" s="2" t="str">
        <f>raw_order_lines!K565</f>
        <v>正常交付</v>
      </c>
      <c r="L565" s="2" t="str">
        <f>raw_order_lines!L565</f>
        <v>true</v>
      </c>
      <c r="M565" s="2" t="str">
        <f>INDEX(dim_products!$B$2:$B$21,MATCH($E565,dim_products!$A$2:$A$21,0))</f>
        <v>土豆</v>
      </c>
      <c r="N565" s="2" t="str">
        <f>INDEX(dim_products!$C$2:$C$21,MATCH($E565,dim_products!$A$2:$A$21,0))</f>
        <v>散装鲜菜</v>
      </c>
      <c r="O565" s="2" t="str">
        <f>INDEX(dim_customers!$B$2:$B$7,MATCH($C565,dim_customers!$A$2:$A$7,0))</f>
        <v>模拟_榕树下粉面店</v>
      </c>
      <c r="P565" s="6">
        <f>INT((ROUND(raw_order_lines!H565*10,0)*ROUND(raw_order_lines!J565*100,0)+5)/10)/100</f>
        <v>7.82</v>
      </c>
      <c r="Q565" s="6">
        <f>INT((ROUND(raw_order_lines!I565*10,0)*ROUND(raw_order_lines!J565*100,0)+5)/10)/100</f>
        <v>0</v>
      </c>
      <c r="R565" s="6">
        <f t="shared" si="24"/>
        <v>7.82</v>
      </c>
      <c r="S565" s="2" t="str">
        <f>IF(OR(ROUND(raw_order_lines!I565*10,0)&gt;ROUND(raw_order_lines!H565*10,0),ROUND(raw_order_lines!H565*10,0)&gt;ROUND(raw_order_lines!G565*10,0),ROUND(raw_order_lines!G565*10,0)&lt;=0),"数量关系异常","")</f>
        <v/>
      </c>
      <c r="T565" s="2" t="str">
        <f>IF($F565&lt;&gt;INDEX(dim_products!$D$2:$D$21,MATCH($E565,dim_products!$A$2:$A$21,0)),"单位不一致","")</f>
        <v/>
      </c>
      <c r="U565" s="2" t="str">
        <f>IF(OR(ROUND(raw_order_lines!J565*100,0)&lt;ROUND(INDEX(dim_products!$F$2:$F$21,MATCH($E565,dim_products!$A$2:$A$21,0))*100,0),ROUND(raw_order_lines!J565*100,0)&gt;ROUND(INDEX(dim_products!$G$2:$G$21,MATCH($E565,dim_products!$A$2:$A$21,0))*100,0)),"单价越界","")</f>
        <v/>
      </c>
      <c r="V565" s="2" t="str">
        <f t="shared" si="25"/>
        <v/>
      </c>
      <c r="W565" s="2" t="str">
        <f t="shared" si="26"/>
        <v>通过</v>
      </c>
    </row>
    <row r="566" spans="1:23" ht="15">
      <c r="A566" s="2" t="str">
        <f>raw_order_lines!A566</f>
        <v>SIM-20260918-C001</v>
      </c>
      <c r="B566" s="2">
        <f>raw_order_lines!B566</f>
        <v>3</v>
      </c>
      <c r="C566" s="2" t="str">
        <f>raw_order_lines!C566</f>
        <v>C001</v>
      </c>
      <c r="D566" s="3">
        <f>raw_order_lines!D566</f>
        <v>46283</v>
      </c>
      <c r="E566" s="2" t="str">
        <f>raw_order_lines!E566</f>
        <v>P005</v>
      </c>
      <c r="F566" s="2" t="str">
        <f>raw_order_lines!F566</f>
        <v>公斤</v>
      </c>
      <c r="G566" s="4">
        <f>raw_order_lines!G566</f>
        <v>2.2999999999999998</v>
      </c>
      <c r="H566" s="4">
        <f>raw_order_lines!H566</f>
        <v>2.2999999999999998</v>
      </c>
      <c r="I566" s="4">
        <f>raw_order_lines!I566</f>
        <v>0</v>
      </c>
      <c r="J566" s="5">
        <f>raw_order_lines!J566</f>
        <v>3.2</v>
      </c>
      <c r="K566" s="2" t="str">
        <f>raw_order_lines!K566</f>
        <v>正常交付</v>
      </c>
      <c r="L566" s="2" t="str">
        <f>raw_order_lines!L566</f>
        <v>true</v>
      </c>
      <c r="M566" s="2" t="str">
        <f>INDEX(dim_products!$B$2:$B$21,MATCH($E566,dim_products!$A$2:$A$21,0))</f>
        <v>南瓜</v>
      </c>
      <c r="N566" s="2" t="str">
        <f>INDEX(dim_products!$C$2:$C$21,MATCH($E566,dim_products!$A$2:$A$21,0))</f>
        <v>散装鲜菜</v>
      </c>
      <c r="O566" s="2" t="str">
        <f>INDEX(dim_customers!$B$2:$B$7,MATCH($C566,dim_customers!$A$2:$A$7,0))</f>
        <v>模拟_榕树下粉面店</v>
      </c>
      <c r="P566" s="6">
        <f>INT((ROUND(raw_order_lines!H566*10,0)*ROUND(raw_order_lines!J566*100,0)+5)/10)/100</f>
        <v>7.36</v>
      </c>
      <c r="Q566" s="6">
        <f>INT((ROUND(raw_order_lines!I566*10,0)*ROUND(raw_order_lines!J566*100,0)+5)/10)/100</f>
        <v>0</v>
      </c>
      <c r="R566" s="6">
        <f t="shared" si="24"/>
        <v>7.36</v>
      </c>
      <c r="S566" s="2" t="str">
        <f>IF(OR(ROUND(raw_order_lines!I566*10,0)&gt;ROUND(raw_order_lines!H566*10,0),ROUND(raw_order_lines!H566*10,0)&gt;ROUND(raw_order_lines!G566*10,0),ROUND(raw_order_lines!G566*10,0)&lt;=0),"数量关系异常","")</f>
        <v/>
      </c>
      <c r="T566" s="2" t="str">
        <f>IF($F566&lt;&gt;INDEX(dim_products!$D$2:$D$21,MATCH($E566,dim_products!$A$2:$A$21,0)),"单位不一致","")</f>
        <v/>
      </c>
      <c r="U566" s="2" t="str">
        <f>IF(OR(ROUND(raw_order_lines!J566*100,0)&lt;ROUND(INDEX(dim_products!$F$2:$F$21,MATCH($E566,dim_products!$A$2:$A$21,0))*100,0),ROUND(raw_order_lines!J566*100,0)&gt;ROUND(INDEX(dim_products!$G$2:$G$21,MATCH($E566,dim_products!$A$2:$A$21,0))*100,0)),"单价越界","")</f>
        <v/>
      </c>
      <c r="V566" s="2" t="str">
        <f t="shared" si="25"/>
        <v/>
      </c>
      <c r="W566" s="2" t="str">
        <f t="shared" si="26"/>
        <v>通过</v>
      </c>
    </row>
    <row r="567" spans="1:23" ht="15">
      <c r="A567" s="2" t="str">
        <f>raw_order_lines!A567</f>
        <v>SIM-20260918-C001</v>
      </c>
      <c r="B567" s="2">
        <f>raw_order_lines!B567</f>
        <v>4</v>
      </c>
      <c r="C567" s="2" t="str">
        <f>raw_order_lines!C567</f>
        <v>C001</v>
      </c>
      <c r="D567" s="3">
        <f>raw_order_lines!D567</f>
        <v>46283</v>
      </c>
      <c r="E567" s="2" t="str">
        <f>raw_order_lines!E567</f>
        <v>P004</v>
      </c>
      <c r="F567" s="2" t="str">
        <f>raw_order_lines!F567</f>
        <v>公斤</v>
      </c>
      <c r="G567" s="4">
        <f>raw_order_lines!G567</f>
        <v>4.5999999999999996</v>
      </c>
      <c r="H567" s="4">
        <f>raw_order_lines!H567</f>
        <v>4.5999999999999996</v>
      </c>
      <c r="I567" s="4">
        <f>raw_order_lines!I567</f>
        <v>0</v>
      </c>
      <c r="J567" s="5">
        <f>raw_order_lines!J567</f>
        <v>2.6</v>
      </c>
      <c r="K567" s="2" t="str">
        <f>raw_order_lines!K567</f>
        <v>正常交付</v>
      </c>
      <c r="L567" s="2" t="str">
        <f>raw_order_lines!L567</f>
        <v>true</v>
      </c>
      <c r="M567" s="2" t="str">
        <f>INDEX(dim_products!$B$2:$B$21,MATCH($E567,dim_products!$A$2:$A$21,0))</f>
        <v>冬瓜</v>
      </c>
      <c r="N567" s="2" t="str">
        <f>INDEX(dim_products!$C$2:$C$21,MATCH($E567,dim_products!$A$2:$A$21,0))</f>
        <v>散装鲜菜</v>
      </c>
      <c r="O567" s="2" t="str">
        <f>INDEX(dim_customers!$B$2:$B$7,MATCH($C567,dim_customers!$A$2:$A$7,0))</f>
        <v>模拟_榕树下粉面店</v>
      </c>
      <c r="P567" s="6">
        <f>INT((ROUND(raw_order_lines!H567*10,0)*ROUND(raw_order_lines!J567*100,0)+5)/10)/100</f>
        <v>11.96</v>
      </c>
      <c r="Q567" s="6">
        <f>INT((ROUND(raw_order_lines!I567*10,0)*ROUND(raw_order_lines!J567*100,0)+5)/10)/100</f>
        <v>0</v>
      </c>
      <c r="R567" s="6">
        <f t="shared" si="24"/>
        <v>11.96</v>
      </c>
      <c r="S567" s="2" t="str">
        <f>IF(OR(ROUND(raw_order_lines!I567*10,0)&gt;ROUND(raw_order_lines!H567*10,0),ROUND(raw_order_lines!H567*10,0)&gt;ROUND(raw_order_lines!G567*10,0),ROUND(raw_order_lines!G567*10,0)&lt;=0),"数量关系异常","")</f>
        <v/>
      </c>
      <c r="T567" s="2" t="str">
        <f>IF($F567&lt;&gt;INDEX(dim_products!$D$2:$D$21,MATCH($E567,dim_products!$A$2:$A$21,0)),"单位不一致","")</f>
        <v/>
      </c>
      <c r="U567" s="2" t="str">
        <f>IF(OR(ROUND(raw_order_lines!J567*100,0)&lt;ROUND(INDEX(dim_products!$F$2:$F$21,MATCH($E567,dim_products!$A$2:$A$21,0))*100,0),ROUND(raw_order_lines!J567*100,0)&gt;ROUND(INDEX(dim_products!$G$2:$G$21,MATCH($E567,dim_products!$A$2:$A$21,0))*100,0)),"单价越界","")</f>
        <v/>
      </c>
      <c r="V567" s="2" t="str">
        <f t="shared" si="25"/>
        <v/>
      </c>
      <c r="W567" s="2" t="str">
        <f t="shared" si="26"/>
        <v>通过</v>
      </c>
    </row>
    <row r="568" spans="1:23" ht="15">
      <c r="A568" s="2" t="str">
        <f>raw_order_lines!A568</f>
        <v>SIM-20260918-C001</v>
      </c>
      <c r="B568" s="2">
        <f>raw_order_lines!B568</f>
        <v>5</v>
      </c>
      <c r="C568" s="2" t="str">
        <f>raw_order_lines!C568</f>
        <v>C001</v>
      </c>
      <c r="D568" s="3">
        <f>raw_order_lines!D568</f>
        <v>46283</v>
      </c>
      <c r="E568" s="2" t="str">
        <f>raw_order_lines!E568</f>
        <v>P015</v>
      </c>
      <c r="F568" s="2" t="str">
        <f>raw_order_lines!F568</f>
        <v>公斤</v>
      </c>
      <c r="G568" s="4">
        <f>raw_order_lines!G568</f>
        <v>0.5</v>
      </c>
      <c r="H568" s="4">
        <f>raw_order_lines!H568</f>
        <v>0.5</v>
      </c>
      <c r="I568" s="4">
        <f>raw_order_lines!I568</f>
        <v>0</v>
      </c>
      <c r="J568" s="5">
        <f>raw_order_lines!J568</f>
        <v>7.3</v>
      </c>
      <c r="K568" s="2" t="str">
        <f>raw_order_lines!K568</f>
        <v>正常交付</v>
      </c>
      <c r="L568" s="2" t="str">
        <f>raw_order_lines!L568</f>
        <v>true</v>
      </c>
      <c r="M568" s="2" t="str">
        <f>INDEX(dim_products!$B$2:$B$21,MATCH($E568,dim_products!$A$2:$A$21,0))</f>
        <v>小葱</v>
      </c>
      <c r="N568" s="2" t="str">
        <f>INDEX(dim_products!$C$2:$C$21,MATCH($E568,dim_products!$A$2:$A$21,0))</f>
        <v>散装鲜菜</v>
      </c>
      <c r="O568" s="2" t="str">
        <f>INDEX(dim_customers!$B$2:$B$7,MATCH($C568,dim_customers!$A$2:$A$7,0))</f>
        <v>模拟_榕树下粉面店</v>
      </c>
      <c r="P568" s="6">
        <f>INT((ROUND(raw_order_lines!H568*10,0)*ROUND(raw_order_lines!J568*100,0)+5)/10)/100</f>
        <v>3.65</v>
      </c>
      <c r="Q568" s="6">
        <f>INT((ROUND(raw_order_lines!I568*10,0)*ROUND(raw_order_lines!J568*100,0)+5)/10)/100</f>
        <v>0</v>
      </c>
      <c r="R568" s="6">
        <f t="shared" si="24"/>
        <v>3.65</v>
      </c>
      <c r="S568" s="2" t="str">
        <f>IF(OR(ROUND(raw_order_lines!I568*10,0)&gt;ROUND(raw_order_lines!H568*10,0),ROUND(raw_order_lines!H568*10,0)&gt;ROUND(raw_order_lines!G568*10,0),ROUND(raw_order_lines!G568*10,0)&lt;=0),"数量关系异常","")</f>
        <v/>
      </c>
      <c r="T568" s="2" t="str">
        <f>IF($F568&lt;&gt;INDEX(dim_products!$D$2:$D$21,MATCH($E568,dim_products!$A$2:$A$21,0)),"单位不一致","")</f>
        <v/>
      </c>
      <c r="U568" s="2" t="str">
        <f>IF(OR(ROUND(raw_order_lines!J568*100,0)&lt;ROUND(INDEX(dim_products!$F$2:$F$21,MATCH($E568,dim_products!$A$2:$A$21,0))*100,0),ROUND(raw_order_lines!J568*100,0)&gt;ROUND(INDEX(dim_products!$G$2:$G$21,MATCH($E568,dim_products!$A$2:$A$21,0))*100,0)),"单价越界","")</f>
        <v/>
      </c>
      <c r="V568" s="2" t="str">
        <f t="shared" si="25"/>
        <v/>
      </c>
      <c r="W568" s="2" t="str">
        <f t="shared" si="26"/>
        <v>通过</v>
      </c>
    </row>
    <row r="569" spans="1:23" ht="15">
      <c r="A569" s="2" t="str">
        <f>raw_order_lines!A569</f>
        <v>SIM-20260918-C001</v>
      </c>
      <c r="B569" s="2">
        <f>raw_order_lines!B569</f>
        <v>6</v>
      </c>
      <c r="C569" s="2" t="str">
        <f>raw_order_lines!C569</f>
        <v>C001</v>
      </c>
      <c r="D569" s="3">
        <f>raw_order_lines!D569</f>
        <v>46283</v>
      </c>
      <c r="E569" s="2" t="str">
        <f>raw_order_lines!E569</f>
        <v>P019</v>
      </c>
      <c r="F569" s="2" t="str">
        <f>raw_order_lines!F569</f>
        <v>桶</v>
      </c>
      <c r="G569" s="4">
        <f>raw_order_lines!G569</f>
        <v>1</v>
      </c>
      <c r="H569" s="4">
        <f>raw_order_lines!H569</f>
        <v>1</v>
      </c>
      <c r="I569" s="4">
        <f>raw_order_lines!I569</f>
        <v>0</v>
      </c>
      <c r="J569" s="5">
        <f>raw_order_lines!J569</f>
        <v>71</v>
      </c>
      <c r="K569" s="2" t="str">
        <f>raw_order_lines!K569</f>
        <v>正常交付</v>
      </c>
      <c r="L569" s="2" t="str">
        <f>raw_order_lines!L569</f>
        <v>true</v>
      </c>
      <c r="M569" s="2" t="str">
        <f>INDEX(dim_products!$B$2:$B$21,MATCH($E569,dim_products!$A$2:$A$21,0))</f>
        <v>菜籽油</v>
      </c>
      <c r="N569" s="2" t="str">
        <f>INDEX(dim_products!$C$2:$C$21,MATCH($E569,dim_products!$A$2:$A$21,0))</f>
        <v>5升/桶普通菜籽油</v>
      </c>
      <c r="O569" s="2" t="str">
        <f>INDEX(dim_customers!$B$2:$B$7,MATCH($C569,dim_customers!$A$2:$A$7,0))</f>
        <v>模拟_榕树下粉面店</v>
      </c>
      <c r="P569" s="6">
        <f>INT((ROUND(raw_order_lines!H569*10,0)*ROUND(raw_order_lines!J569*100,0)+5)/10)/100</f>
        <v>71</v>
      </c>
      <c r="Q569" s="6">
        <f>INT((ROUND(raw_order_lines!I569*10,0)*ROUND(raw_order_lines!J569*100,0)+5)/10)/100</f>
        <v>0</v>
      </c>
      <c r="R569" s="6">
        <f t="shared" si="24"/>
        <v>71</v>
      </c>
      <c r="S569" s="2" t="str">
        <f>IF(OR(ROUND(raw_order_lines!I569*10,0)&gt;ROUND(raw_order_lines!H569*10,0),ROUND(raw_order_lines!H569*10,0)&gt;ROUND(raw_order_lines!G569*10,0),ROUND(raw_order_lines!G569*10,0)&lt;=0),"数量关系异常","")</f>
        <v/>
      </c>
      <c r="T569" s="2" t="str">
        <f>IF($F569&lt;&gt;INDEX(dim_products!$D$2:$D$21,MATCH($E569,dim_products!$A$2:$A$21,0)),"单位不一致","")</f>
        <v/>
      </c>
      <c r="U569" s="2" t="str">
        <f>IF(OR(ROUND(raw_order_lines!J569*100,0)&lt;ROUND(INDEX(dim_products!$F$2:$F$21,MATCH($E569,dim_products!$A$2:$A$21,0))*100,0),ROUND(raw_order_lines!J569*100,0)&gt;ROUND(INDEX(dim_products!$G$2:$G$21,MATCH($E569,dim_products!$A$2:$A$21,0))*100,0)),"单价越界","")</f>
        <v/>
      </c>
      <c r="V569" s="2" t="str">
        <f t="shared" si="25"/>
        <v/>
      </c>
      <c r="W569" s="2" t="str">
        <f t="shared" si="26"/>
        <v>通过</v>
      </c>
    </row>
    <row r="570" spans="1:23" ht="15">
      <c r="A570" s="2" t="str">
        <f>raw_order_lines!A570</f>
        <v>SIM-20260918-C001</v>
      </c>
      <c r="B570" s="2">
        <f>raw_order_lines!B570</f>
        <v>7</v>
      </c>
      <c r="C570" s="2" t="str">
        <f>raw_order_lines!C570</f>
        <v>C001</v>
      </c>
      <c r="D570" s="3">
        <f>raw_order_lines!D570</f>
        <v>46283</v>
      </c>
      <c r="E570" s="2" t="str">
        <f>raw_order_lines!E570</f>
        <v>P018</v>
      </c>
      <c r="F570" s="2" t="str">
        <f>raw_order_lines!F570</f>
        <v>袋</v>
      </c>
      <c r="G570" s="4">
        <f>raw_order_lines!G570</f>
        <v>1</v>
      </c>
      <c r="H570" s="4">
        <f>raw_order_lines!H570</f>
        <v>1</v>
      </c>
      <c r="I570" s="4">
        <f>raw_order_lines!I570</f>
        <v>0</v>
      </c>
      <c r="J570" s="5">
        <f>raw_order_lines!J570</f>
        <v>113</v>
      </c>
      <c r="K570" s="2" t="str">
        <f>raw_order_lines!K570</f>
        <v>正常交付</v>
      </c>
      <c r="L570" s="2" t="str">
        <f>raw_order_lines!L570</f>
        <v>true</v>
      </c>
      <c r="M570" s="2" t="str">
        <f>INDEX(dim_products!$B$2:$B$21,MATCH($E570,dim_products!$A$2:$A$21,0))</f>
        <v>小麦粉</v>
      </c>
      <c r="N570" s="2" t="str">
        <f>INDEX(dim_products!$C$2:$C$21,MATCH($E570,dim_products!$A$2:$A$21,0))</f>
        <v>25公斤/袋普通小麦粉</v>
      </c>
      <c r="O570" s="2" t="str">
        <f>INDEX(dim_customers!$B$2:$B$7,MATCH($C570,dim_customers!$A$2:$A$7,0))</f>
        <v>模拟_榕树下粉面店</v>
      </c>
      <c r="P570" s="6">
        <f>INT((ROUND(raw_order_lines!H570*10,0)*ROUND(raw_order_lines!J570*100,0)+5)/10)/100</f>
        <v>113</v>
      </c>
      <c r="Q570" s="6">
        <f>INT((ROUND(raw_order_lines!I570*10,0)*ROUND(raw_order_lines!J570*100,0)+5)/10)/100</f>
        <v>0</v>
      </c>
      <c r="R570" s="6">
        <f t="shared" si="24"/>
        <v>113</v>
      </c>
      <c r="S570" s="2" t="str">
        <f>IF(OR(ROUND(raw_order_lines!I570*10,0)&gt;ROUND(raw_order_lines!H570*10,0),ROUND(raw_order_lines!H570*10,0)&gt;ROUND(raw_order_lines!G570*10,0),ROUND(raw_order_lines!G570*10,0)&lt;=0),"数量关系异常","")</f>
        <v/>
      </c>
      <c r="T570" s="2" t="str">
        <f>IF($F570&lt;&gt;INDEX(dim_products!$D$2:$D$21,MATCH($E570,dim_products!$A$2:$A$21,0)),"单位不一致","")</f>
        <v/>
      </c>
      <c r="U570" s="2" t="str">
        <f>IF(OR(ROUND(raw_order_lines!J570*100,0)&lt;ROUND(INDEX(dim_products!$F$2:$F$21,MATCH($E570,dim_products!$A$2:$A$21,0))*100,0),ROUND(raw_order_lines!J570*100,0)&gt;ROUND(INDEX(dim_products!$G$2:$G$21,MATCH($E570,dim_products!$A$2:$A$21,0))*100,0)),"单价越界","")</f>
        <v/>
      </c>
      <c r="V570" s="2" t="str">
        <f t="shared" si="25"/>
        <v/>
      </c>
      <c r="W570" s="2" t="str">
        <f t="shared" si="26"/>
        <v>通过</v>
      </c>
    </row>
    <row r="571" spans="1:23" ht="15">
      <c r="A571" s="2" t="str">
        <f>raw_order_lines!A571</f>
        <v>SIM-20260918-C002</v>
      </c>
      <c r="B571" s="2">
        <f>raw_order_lines!B571</f>
        <v>1</v>
      </c>
      <c r="C571" s="2" t="str">
        <f>raw_order_lines!C571</f>
        <v>C002</v>
      </c>
      <c r="D571" s="3">
        <f>raw_order_lines!D571</f>
        <v>46283</v>
      </c>
      <c r="E571" s="2" t="str">
        <f>raw_order_lines!E571</f>
        <v>P010</v>
      </c>
      <c r="F571" s="2" t="str">
        <f>raw_order_lines!F571</f>
        <v>公斤</v>
      </c>
      <c r="G571" s="4">
        <f>raw_order_lines!G571</f>
        <v>6.8</v>
      </c>
      <c r="H571" s="4">
        <f>raw_order_lines!H571</f>
        <v>6.8</v>
      </c>
      <c r="I571" s="4">
        <f>raw_order_lines!I571</f>
        <v>0</v>
      </c>
      <c r="J571" s="5">
        <f>raw_order_lines!J571</f>
        <v>4.5</v>
      </c>
      <c r="K571" s="2" t="str">
        <f>raw_order_lines!K571</f>
        <v>正常交付</v>
      </c>
      <c r="L571" s="2" t="str">
        <f>raw_order_lines!L571</f>
        <v>true</v>
      </c>
      <c r="M571" s="2" t="str">
        <f>INDEX(dim_products!$B$2:$B$21,MATCH($E571,dim_products!$A$2:$A$21,0))</f>
        <v>空心菜</v>
      </c>
      <c r="N571" s="2" t="str">
        <f>INDEX(dim_products!$C$2:$C$21,MATCH($E571,dim_products!$A$2:$A$21,0))</f>
        <v>散装鲜菜</v>
      </c>
      <c r="O571" s="2" t="str">
        <f>INDEX(dim_customers!$B$2:$B$7,MATCH($C571,dim_customers!$A$2:$A$7,0))</f>
        <v>模拟_桥头家常菜馆</v>
      </c>
      <c r="P571" s="6">
        <f>INT((ROUND(raw_order_lines!H571*10,0)*ROUND(raw_order_lines!J571*100,0)+5)/10)/100</f>
        <v>30.6</v>
      </c>
      <c r="Q571" s="6">
        <f>INT((ROUND(raw_order_lines!I571*10,0)*ROUND(raw_order_lines!J571*100,0)+5)/10)/100</f>
        <v>0</v>
      </c>
      <c r="R571" s="6">
        <f t="shared" si="24"/>
        <v>30.6</v>
      </c>
      <c r="S571" s="2" t="str">
        <f>IF(OR(ROUND(raw_order_lines!I571*10,0)&gt;ROUND(raw_order_lines!H571*10,0),ROUND(raw_order_lines!H571*10,0)&gt;ROUND(raw_order_lines!G571*10,0),ROUND(raw_order_lines!G571*10,0)&lt;=0),"数量关系异常","")</f>
        <v/>
      </c>
      <c r="T571" s="2" t="str">
        <f>IF($F571&lt;&gt;INDEX(dim_products!$D$2:$D$21,MATCH($E571,dim_products!$A$2:$A$21,0)),"单位不一致","")</f>
        <v/>
      </c>
      <c r="U571" s="2" t="str">
        <f>IF(OR(ROUND(raw_order_lines!J571*100,0)&lt;ROUND(INDEX(dim_products!$F$2:$F$21,MATCH($E571,dim_products!$A$2:$A$21,0))*100,0),ROUND(raw_order_lines!J571*100,0)&gt;ROUND(INDEX(dim_products!$G$2:$G$21,MATCH($E571,dim_products!$A$2:$A$21,0))*100,0)),"单价越界","")</f>
        <v/>
      </c>
      <c r="V571" s="2" t="str">
        <f t="shared" si="25"/>
        <v/>
      </c>
      <c r="W571" s="2" t="str">
        <f t="shared" si="26"/>
        <v>通过</v>
      </c>
    </row>
    <row r="572" spans="1:23" ht="15">
      <c r="A572" s="2" t="str">
        <f>raw_order_lines!A572</f>
        <v>SIM-20260918-C002</v>
      </c>
      <c r="B572" s="2">
        <f>raw_order_lines!B572</f>
        <v>2</v>
      </c>
      <c r="C572" s="2" t="str">
        <f>raw_order_lines!C572</f>
        <v>C002</v>
      </c>
      <c r="D572" s="3">
        <f>raw_order_lines!D572</f>
        <v>46283</v>
      </c>
      <c r="E572" s="2" t="str">
        <f>raw_order_lines!E572</f>
        <v>P002</v>
      </c>
      <c r="F572" s="2" t="str">
        <f>raw_order_lines!F572</f>
        <v>公斤</v>
      </c>
      <c r="G572" s="4">
        <f>raw_order_lines!G572</f>
        <v>5.3</v>
      </c>
      <c r="H572" s="4">
        <f>raw_order_lines!H572</f>
        <v>5.3</v>
      </c>
      <c r="I572" s="4">
        <f>raw_order_lines!I572</f>
        <v>0</v>
      </c>
      <c r="J572" s="5">
        <f>raw_order_lines!J572</f>
        <v>2.7</v>
      </c>
      <c r="K572" s="2" t="str">
        <f>raw_order_lines!K572</f>
        <v>正常交付</v>
      </c>
      <c r="L572" s="2" t="str">
        <f>raw_order_lines!L572</f>
        <v>true</v>
      </c>
      <c r="M572" s="2" t="str">
        <f>INDEX(dim_products!$B$2:$B$21,MATCH($E572,dim_products!$A$2:$A$21,0))</f>
        <v>白萝卜</v>
      </c>
      <c r="N572" s="2" t="str">
        <f>INDEX(dim_products!$C$2:$C$21,MATCH($E572,dim_products!$A$2:$A$21,0))</f>
        <v>散装鲜菜</v>
      </c>
      <c r="O572" s="2" t="str">
        <f>INDEX(dim_customers!$B$2:$B$7,MATCH($C572,dim_customers!$A$2:$A$7,0))</f>
        <v>模拟_桥头家常菜馆</v>
      </c>
      <c r="P572" s="6">
        <f>INT((ROUND(raw_order_lines!H572*10,0)*ROUND(raw_order_lines!J572*100,0)+5)/10)/100</f>
        <v>14.31</v>
      </c>
      <c r="Q572" s="6">
        <f>INT((ROUND(raw_order_lines!I572*10,0)*ROUND(raw_order_lines!J572*100,0)+5)/10)/100</f>
        <v>0</v>
      </c>
      <c r="R572" s="6">
        <f t="shared" si="24"/>
        <v>14.31</v>
      </c>
      <c r="S572" s="2" t="str">
        <f>IF(OR(ROUND(raw_order_lines!I572*10,0)&gt;ROUND(raw_order_lines!H572*10,0),ROUND(raw_order_lines!H572*10,0)&gt;ROUND(raw_order_lines!G572*10,0),ROUND(raw_order_lines!G572*10,0)&lt;=0),"数量关系异常","")</f>
        <v/>
      </c>
      <c r="T572" s="2" t="str">
        <f>IF($F572&lt;&gt;INDEX(dim_products!$D$2:$D$21,MATCH($E572,dim_products!$A$2:$A$21,0)),"单位不一致","")</f>
        <v/>
      </c>
      <c r="U572" s="2" t="str">
        <f>IF(OR(ROUND(raw_order_lines!J572*100,0)&lt;ROUND(INDEX(dim_products!$F$2:$F$21,MATCH($E572,dim_products!$A$2:$A$21,0))*100,0),ROUND(raw_order_lines!J572*100,0)&gt;ROUND(INDEX(dim_products!$G$2:$G$21,MATCH($E572,dim_products!$A$2:$A$21,0))*100,0)),"单价越界","")</f>
        <v/>
      </c>
      <c r="V572" s="2" t="str">
        <f t="shared" si="25"/>
        <v/>
      </c>
      <c r="W572" s="2" t="str">
        <f t="shared" si="26"/>
        <v>通过</v>
      </c>
    </row>
    <row r="573" spans="1:23" ht="15">
      <c r="A573" s="2" t="str">
        <f>raw_order_lines!A573</f>
        <v>SIM-20260918-C002</v>
      </c>
      <c r="B573" s="2">
        <f>raw_order_lines!B573</f>
        <v>3</v>
      </c>
      <c r="C573" s="2" t="str">
        <f>raw_order_lines!C573</f>
        <v>C002</v>
      </c>
      <c r="D573" s="3">
        <f>raw_order_lines!D573</f>
        <v>46283</v>
      </c>
      <c r="E573" s="2" t="str">
        <f>raw_order_lines!E573</f>
        <v>P013</v>
      </c>
      <c r="F573" s="2" t="str">
        <f>raw_order_lines!F573</f>
        <v>公斤</v>
      </c>
      <c r="G573" s="4">
        <f>raw_order_lines!G573</f>
        <v>7.6</v>
      </c>
      <c r="H573" s="4">
        <f>raw_order_lines!H573</f>
        <v>7.6</v>
      </c>
      <c r="I573" s="4">
        <f>raw_order_lines!I573</f>
        <v>0</v>
      </c>
      <c r="J573" s="5">
        <f>raw_order_lines!J573</f>
        <v>6</v>
      </c>
      <c r="K573" s="2" t="str">
        <f>raw_order_lines!K573</f>
        <v>正常交付</v>
      </c>
      <c r="L573" s="2" t="str">
        <f>raw_order_lines!L573</f>
        <v>true</v>
      </c>
      <c r="M573" s="2" t="str">
        <f>INDEX(dim_products!$B$2:$B$21,MATCH($E573,dim_products!$A$2:$A$21,0))</f>
        <v>豇豆</v>
      </c>
      <c r="N573" s="2" t="str">
        <f>INDEX(dim_products!$C$2:$C$21,MATCH($E573,dim_products!$A$2:$A$21,0))</f>
        <v>散装鲜菜</v>
      </c>
      <c r="O573" s="2" t="str">
        <f>INDEX(dim_customers!$B$2:$B$7,MATCH($C573,dim_customers!$A$2:$A$7,0))</f>
        <v>模拟_桥头家常菜馆</v>
      </c>
      <c r="P573" s="6">
        <f>INT((ROUND(raw_order_lines!H573*10,0)*ROUND(raw_order_lines!J573*100,0)+5)/10)/100</f>
        <v>45.6</v>
      </c>
      <c r="Q573" s="6">
        <f>INT((ROUND(raw_order_lines!I573*10,0)*ROUND(raw_order_lines!J573*100,0)+5)/10)/100</f>
        <v>0</v>
      </c>
      <c r="R573" s="6">
        <f t="shared" si="24"/>
        <v>45.6</v>
      </c>
      <c r="S573" s="2" t="str">
        <f>IF(OR(ROUND(raw_order_lines!I573*10,0)&gt;ROUND(raw_order_lines!H573*10,0),ROUND(raw_order_lines!H573*10,0)&gt;ROUND(raw_order_lines!G573*10,0),ROUND(raw_order_lines!G573*10,0)&lt;=0),"数量关系异常","")</f>
        <v/>
      </c>
      <c r="T573" s="2" t="str">
        <f>IF($F573&lt;&gt;INDEX(dim_products!$D$2:$D$21,MATCH($E573,dim_products!$A$2:$A$21,0)),"单位不一致","")</f>
        <v/>
      </c>
      <c r="U573" s="2" t="str">
        <f>IF(OR(ROUND(raw_order_lines!J573*100,0)&lt;ROUND(INDEX(dim_products!$F$2:$F$21,MATCH($E573,dim_products!$A$2:$A$21,0))*100,0),ROUND(raw_order_lines!J573*100,0)&gt;ROUND(INDEX(dim_products!$G$2:$G$21,MATCH($E573,dim_products!$A$2:$A$21,0))*100,0)),"单价越界","")</f>
        <v/>
      </c>
      <c r="V573" s="2" t="str">
        <f t="shared" si="25"/>
        <v/>
      </c>
      <c r="W573" s="2" t="str">
        <f t="shared" si="26"/>
        <v>通过</v>
      </c>
    </row>
    <row r="574" spans="1:23" ht="15">
      <c r="A574" s="2" t="str">
        <f>raw_order_lines!A574</f>
        <v>SIM-20260918-C002</v>
      </c>
      <c r="B574" s="2">
        <f>raw_order_lines!B574</f>
        <v>4</v>
      </c>
      <c r="C574" s="2" t="str">
        <f>raw_order_lines!C574</f>
        <v>C002</v>
      </c>
      <c r="D574" s="3">
        <f>raw_order_lines!D574</f>
        <v>46283</v>
      </c>
      <c r="E574" s="2" t="str">
        <f>raw_order_lines!E574</f>
        <v>P014</v>
      </c>
      <c r="F574" s="2" t="str">
        <f>raw_order_lines!F574</f>
        <v>公斤</v>
      </c>
      <c r="G574" s="4">
        <f>raw_order_lines!G574</f>
        <v>8.4</v>
      </c>
      <c r="H574" s="4">
        <f>raw_order_lines!H574</f>
        <v>8.4</v>
      </c>
      <c r="I574" s="4">
        <f>raw_order_lines!I574</f>
        <v>0</v>
      </c>
      <c r="J574" s="5">
        <f>raw_order_lines!J574</f>
        <v>5</v>
      </c>
      <c r="K574" s="2" t="str">
        <f>raw_order_lines!K574</f>
        <v>正常交付</v>
      </c>
      <c r="L574" s="2" t="str">
        <f>raw_order_lines!L574</f>
        <v>true</v>
      </c>
      <c r="M574" s="2" t="str">
        <f>INDEX(dim_products!$B$2:$B$21,MATCH($E574,dim_products!$A$2:$A$21,0))</f>
        <v>丝瓜</v>
      </c>
      <c r="N574" s="2" t="str">
        <f>INDEX(dim_products!$C$2:$C$21,MATCH($E574,dim_products!$A$2:$A$21,0))</f>
        <v>散装鲜菜</v>
      </c>
      <c r="O574" s="2" t="str">
        <f>INDEX(dim_customers!$B$2:$B$7,MATCH($C574,dim_customers!$A$2:$A$7,0))</f>
        <v>模拟_桥头家常菜馆</v>
      </c>
      <c r="P574" s="6">
        <f>INT((ROUND(raw_order_lines!H574*10,0)*ROUND(raw_order_lines!J574*100,0)+5)/10)/100</f>
        <v>42</v>
      </c>
      <c r="Q574" s="6">
        <f>INT((ROUND(raw_order_lines!I574*10,0)*ROUND(raw_order_lines!J574*100,0)+5)/10)/100</f>
        <v>0</v>
      </c>
      <c r="R574" s="6">
        <f t="shared" si="24"/>
        <v>42</v>
      </c>
      <c r="S574" s="2" t="str">
        <f>IF(OR(ROUND(raw_order_lines!I574*10,0)&gt;ROUND(raw_order_lines!H574*10,0),ROUND(raw_order_lines!H574*10,0)&gt;ROUND(raw_order_lines!G574*10,0),ROUND(raw_order_lines!G574*10,0)&lt;=0),"数量关系异常","")</f>
        <v/>
      </c>
      <c r="T574" s="2" t="str">
        <f>IF($F574&lt;&gt;INDEX(dim_products!$D$2:$D$21,MATCH($E574,dim_products!$A$2:$A$21,0)),"单位不一致","")</f>
        <v/>
      </c>
      <c r="U574" s="2" t="str">
        <f>IF(OR(ROUND(raw_order_lines!J574*100,0)&lt;ROUND(INDEX(dim_products!$F$2:$F$21,MATCH($E574,dim_products!$A$2:$A$21,0))*100,0),ROUND(raw_order_lines!J574*100,0)&gt;ROUND(INDEX(dim_products!$G$2:$G$21,MATCH($E574,dim_products!$A$2:$A$21,0))*100,0)),"单价越界","")</f>
        <v/>
      </c>
      <c r="V574" s="2" t="str">
        <f t="shared" si="25"/>
        <v/>
      </c>
      <c r="W574" s="2" t="str">
        <f t="shared" si="26"/>
        <v>通过</v>
      </c>
    </row>
    <row r="575" spans="1:23" ht="15">
      <c r="A575" s="2" t="str">
        <f>raw_order_lines!A575</f>
        <v>SIM-20260918-C002</v>
      </c>
      <c r="B575" s="2">
        <f>raw_order_lines!B575</f>
        <v>5</v>
      </c>
      <c r="C575" s="2" t="str">
        <f>raw_order_lines!C575</f>
        <v>C002</v>
      </c>
      <c r="D575" s="3">
        <f>raw_order_lines!D575</f>
        <v>46283</v>
      </c>
      <c r="E575" s="2" t="str">
        <f>raw_order_lines!E575</f>
        <v>P009</v>
      </c>
      <c r="F575" s="2" t="str">
        <f>raw_order_lines!F575</f>
        <v>公斤</v>
      </c>
      <c r="G575" s="4">
        <f>raw_order_lines!G575</f>
        <v>6.8</v>
      </c>
      <c r="H575" s="4">
        <f>raw_order_lines!H575</f>
        <v>6.3</v>
      </c>
      <c r="I575" s="4">
        <f>raw_order_lines!I575</f>
        <v>0</v>
      </c>
      <c r="J575" s="5">
        <f>raw_order_lines!J575</f>
        <v>4.8</v>
      </c>
      <c r="K575" s="2" t="str">
        <f>raw_order_lines!K575</f>
        <v>到货不足；按实际交付计费</v>
      </c>
      <c r="L575" s="2" t="str">
        <f>raw_order_lines!L575</f>
        <v>true</v>
      </c>
      <c r="M575" s="2" t="str">
        <f>INDEX(dim_products!$B$2:$B$21,MATCH($E575,dim_products!$A$2:$A$21,0))</f>
        <v>西红柿</v>
      </c>
      <c r="N575" s="2" t="str">
        <f>INDEX(dim_products!$C$2:$C$21,MATCH($E575,dim_products!$A$2:$A$21,0))</f>
        <v>散装鲜菜</v>
      </c>
      <c r="O575" s="2" t="str">
        <f>INDEX(dim_customers!$B$2:$B$7,MATCH($C575,dim_customers!$A$2:$A$7,0))</f>
        <v>模拟_桥头家常菜馆</v>
      </c>
      <c r="P575" s="6">
        <f>INT((ROUND(raw_order_lines!H575*10,0)*ROUND(raw_order_lines!J575*100,0)+5)/10)/100</f>
        <v>30.24</v>
      </c>
      <c r="Q575" s="6">
        <f>INT((ROUND(raw_order_lines!I575*10,0)*ROUND(raw_order_lines!J575*100,0)+5)/10)/100</f>
        <v>0</v>
      </c>
      <c r="R575" s="6">
        <f t="shared" si="24"/>
        <v>30.24</v>
      </c>
      <c r="S575" s="2" t="str">
        <f>IF(OR(ROUND(raw_order_lines!I575*10,0)&gt;ROUND(raw_order_lines!H575*10,0),ROUND(raw_order_lines!H575*10,0)&gt;ROUND(raw_order_lines!G575*10,0),ROUND(raw_order_lines!G575*10,0)&lt;=0),"数量关系异常","")</f>
        <v/>
      </c>
      <c r="T575" s="2" t="str">
        <f>IF($F575&lt;&gt;INDEX(dim_products!$D$2:$D$21,MATCH($E575,dim_products!$A$2:$A$21,0)),"单位不一致","")</f>
        <v/>
      </c>
      <c r="U575" s="2" t="str">
        <f>IF(OR(ROUND(raw_order_lines!J575*100,0)&lt;ROUND(INDEX(dim_products!$F$2:$F$21,MATCH($E575,dim_products!$A$2:$A$21,0))*100,0),ROUND(raw_order_lines!J575*100,0)&gt;ROUND(INDEX(dim_products!$G$2:$G$21,MATCH($E575,dim_products!$A$2:$A$21,0))*100,0)),"单价越界","")</f>
        <v/>
      </c>
      <c r="V575" s="2" t="str">
        <f t="shared" si="25"/>
        <v/>
      </c>
      <c r="W575" s="2" t="str">
        <f t="shared" si="26"/>
        <v>通过</v>
      </c>
    </row>
    <row r="576" spans="1:23" ht="15">
      <c r="A576" s="2" t="str">
        <f>raw_order_lines!A576</f>
        <v>SIM-20260918-C002</v>
      </c>
      <c r="B576" s="2">
        <f>raw_order_lines!B576</f>
        <v>6</v>
      </c>
      <c r="C576" s="2" t="str">
        <f>raw_order_lines!C576</f>
        <v>C002</v>
      </c>
      <c r="D576" s="3">
        <f>raw_order_lines!D576</f>
        <v>46283</v>
      </c>
      <c r="E576" s="2" t="str">
        <f>raw_order_lines!E576</f>
        <v>P015</v>
      </c>
      <c r="F576" s="2" t="str">
        <f>raw_order_lines!F576</f>
        <v>公斤</v>
      </c>
      <c r="G576" s="4">
        <f>raw_order_lines!G576</f>
        <v>1</v>
      </c>
      <c r="H576" s="4">
        <f>raw_order_lines!H576</f>
        <v>1</v>
      </c>
      <c r="I576" s="4">
        <f>raw_order_lines!I576</f>
        <v>0</v>
      </c>
      <c r="J576" s="5">
        <f>raw_order_lines!J576</f>
        <v>7.3</v>
      </c>
      <c r="K576" s="2" t="str">
        <f>raw_order_lines!K576</f>
        <v>正常交付</v>
      </c>
      <c r="L576" s="2" t="str">
        <f>raw_order_lines!L576</f>
        <v>true</v>
      </c>
      <c r="M576" s="2" t="str">
        <f>INDEX(dim_products!$B$2:$B$21,MATCH($E576,dim_products!$A$2:$A$21,0))</f>
        <v>小葱</v>
      </c>
      <c r="N576" s="2" t="str">
        <f>INDEX(dim_products!$C$2:$C$21,MATCH($E576,dim_products!$A$2:$A$21,0))</f>
        <v>散装鲜菜</v>
      </c>
      <c r="O576" s="2" t="str">
        <f>INDEX(dim_customers!$B$2:$B$7,MATCH($C576,dim_customers!$A$2:$A$7,0))</f>
        <v>模拟_桥头家常菜馆</v>
      </c>
      <c r="P576" s="6">
        <f>INT((ROUND(raw_order_lines!H576*10,0)*ROUND(raw_order_lines!J576*100,0)+5)/10)/100</f>
        <v>7.3</v>
      </c>
      <c r="Q576" s="6">
        <f>INT((ROUND(raw_order_lines!I576*10,0)*ROUND(raw_order_lines!J576*100,0)+5)/10)/100</f>
        <v>0</v>
      </c>
      <c r="R576" s="6">
        <f t="shared" si="24"/>
        <v>7.3</v>
      </c>
      <c r="S576" s="2" t="str">
        <f>IF(OR(ROUND(raw_order_lines!I576*10,0)&gt;ROUND(raw_order_lines!H576*10,0),ROUND(raw_order_lines!H576*10,0)&gt;ROUND(raw_order_lines!G576*10,0),ROUND(raw_order_lines!G576*10,0)&lt;=0),"数量关系异常","")</f>
        <v/>
      </c>
      <c r="T576" s="2" t="str">
        <f>IF($F576&lt;&gt;INDEX(dim_products!$D$2:$D$21,MATCH($E576,dim_products!$A$2:$A$21,0)),"单位不一致","")</f>
        <v/>
      </c>
      <c r="U576" s="2" t="str">
        <f>IF(OR(ROUND(raw_order_lines!J576*100,0)&lt;ROUND(INDEX(dim_products!$F$2:$F$21,MATCH($E576,dim_products!$A$2:$A$21,0))*100,0),ROUND(raw_order_lines!J576*100,0)&gt;ROUND(INDEX(dim_products!$G$2:$G$21,MATCH($E576,dim_products!$A$2:$A$21,0))*100,0)),"单价越界","")</f>
        <v/>
      </c>
      <c r="V576" s="2" t="str">
        <f t="shared" si="25"/>
        <v/>
      </c>
      <c r="W576" s="2" t="str">
        <f t="shared" si="26"/>
        <v>通过</v>
      </c>
    </row>
    <row r="577" spans="1:23" ht="15">
      <c r="A577" s="2" t="str">
        <f>raw_order_lines!A577</f>
        <v>SIM-20260918-C002</v>
      </c>
      <c r="B577" s="2">
        <f>raw_order_lines!B577</f>
        <v>7</v>
      </c>
      <c r="C577" s="2" t="str">
        <f>raw_order_lines!C577</f>
        <v>C002</v>
      </c>
      <c r="D577" s="3">
        <f>raw_order_lines!D577</f>
        <v>46283</v>
      </c>
      <c r="E577" s="2" t="str">
        <f>raw_order_lines!E577</f>
        <v>P017</v>
      </c>
      <c r="F577" s="2" t="str">
        <f>raw_order_lines!F577</f>
        <v>袋</v>
      </c>
      <c r="G577" s="4">
        <f>raw_order_lines!G577</f>
        <v>3</v>
      </c>
      <c r="H577" s="4">
        <f>raw_order_lines!H577</f>
        <v>3</v>
      </c>
      <c r="I577" s="4">
        <f>raw_order_lines!I577</f>
        <v>0</v>
      </c>
      <c r="J577" s="5">
        <f>raw_order_lines!J577</f>
        <v>119</v>
      </c>
      <c r="K577" s="2" t="str">
        <f>raw_order_lines!K577</f>
        <v>正常交付</v>
      </c>
      <c r="L577" s="2" t="str">
        <f>raw_order_lines!L577</f>
        <v>true</v>
      </c>
      <c r="M577" s="2" t="str">
        <f>INDEX(dim_products!$B$2:$B$21,MATCH($E577,dim_products!$A$2:$A$21,0))</f>
        <v>籼米</v>
      </c>
      <c r="N577" s="2" t="str">
        <f>INDEX(dim_products!$C$2:$C$21,MATCH($E577,dim_products!$A$2:$A$21,0))</f>
        <v>25公斤/袋普通籼米</v>
      </c>
      <c r="O577" s="2" t="str">
        <f>INDEX(dim_customers!$B$2:$B$7,MATCH($C577,dim_customers!$A$2:$A$7,0))</f>
        <v>模拟_桥头家常菜馆</v>
      </c>
      <c r="P577" s="6">
        <f>INT((ROUND(raw_order_lines!H577*10,0)*ROUND(raw_order_lines!J577*100,0)+5)/10)/100</f>
        <v>357</v>
      </c>
      <c r="Q577" s="6">
        <f>INT((ROUND(raw_order_lines!I577*10,0)*ROUND(raw_order_lines!J577*100,0)+5)/10)/100</f>
        <v>0</v>
      </c>
      <c r="R577" s="6">
        <f t="shared" si="24"/>
        <v>357</v>
      </c>
      <c r="S577" s="2" t="str">
        <f>IF(OR(ROUND(raw_order_lines!I577*10,0)&gt;ROUND(raw_order_lines!H577*10,0),ROUND(raw_order_lines!H577*10,0)&gt;ROUND(raw_order_lines!G577*10,0),ROUND(raw_order_lines!G577*10,0)&lt;=0),"数量关系异常","")</f>
        <v/>
      </c>
      <c r="T577" s="2" t="str">
        <f>IF($F577&lt;&gt;INDEX(dim_products!$D$2:$D$21,MATCH($E577,dim_products!$A$2:$A$21,0)),"单位不一致","")</f>
        <v/>
      </c>
      <c r="U577" s="2" t="str">
        <f>IF(OR(ROUND(raw_order_lines!J577*100,0)&lt;ROUND(INDEX(dim_products!$F$2:$F$21,MATCH($E577,dim_products!$A$2:$A$21,0))*100,0),ROUND(raw_order_lines!J577*100,0)&gt;ROUND(INDEX(dim_products!$G$2:$G$21,MATCH($E577,dim_products!$A$2:$A$21,0))*100,0)),"单价越界","")</f>
        <v/>
      </c>
      <c r="V577" s="2" t="str">
        <f t="shared" si="25"/>
        <v/>
      </c>
      <c r="W577" s="2" t="str">
        <f t="shared" si="26"/>
        <v>通过</v>
      </c>
    </row>
    <row r="578" spans="1:23" ht="15">
      <c r="A578" s="2" t="str">
        <f>raw_order_lines!A578</f>
        <v>SIM-20260918-C002</v>
      </c>
      <c r="B578" s="2">
        <f>raw_order_lines!B578</f>
        <v>8</v>
      </c>
      <c r="C578" s="2" t="str">
        <f>raw_order_lines!C578</f>
        <v>C002</v>
      </c>
      <c r="D578" s="3">
        <f>raw_order_lines!D578</f>
        <v>46283</v>
      </c>
      <c r="E578" s="2" t="str">
        <f>raw_order_lines!E578</f>
        <v>P019</v>
      </c>
      <c r="F578" s="2" t="str">
        <f>raw_order_lines!F578</f>
        <v>桶</v>
      </c>
      <c r="G578" s="4">
        <f>raw_order_lines!G578</f>
        <v>1</v>
      </c>
      <c r="H578" s="4">
        <f>raw_order_lines!H578</f>
        <v>1</v>
      </c>
      <c r="I578" s="4">
        <f>raw_order_lines!I578</f>
        <v>0</v>
      </c>
      <c r="J578" s="5">
        <f>raw_order_lines!J578</f>
        <v>71</v>
      </c>
      <c r="K578" s="2" t="str">
        <f>raw_order_lines!K578</f>
        <v>正常交付</v>
      </c>
      <c r="L578" s="2" t="str">
        <f>raw_order_lines!L578</f>
        <v>true</v>
      </c>
      <c r="M578" s="2" t="str">
        <f>INDEX(dim_products!$B$2:$B$21,MATCH($E578,dim_products!$A$2:$A$21,0))</f>
        <v>菜籽油</v>
      </c>
      <c r="N578" s="2" t="str">
        <f>INDEX(dim_products!$C$2:$C$21,MATCH($E578,dim_products!$A$2:$A$21,0))</f>
        <v>5升/桶普通菜籽油</v>
      </c>
      <c r="O578" s="2" t="str">
        <f>INDEX(dim_customers!$B$2:$B$7,MATCH($C578,dim_customers!$A$2:$A$7,0))</f>
        <v>模拟_桥头家常菜馆</v>
      </c>
      <c r="P578" s="6">
        <f>INT((ROUND(raw_order_lines!H578*10,0)*ROUND(raw_order_lines!J578*100,0)+5)/10)/100</f>
        <v>71</v>
      </c>
      <c r="Q578" s="6">
        <f>INT((ROUND(raw_order_lines!I578*10,0)*ROUND(raw_order_lines!J578*100,0)+5)/10)/100</f>
        <v>0</v>
      </c>
      <c r="R578" s="6">
        <f t="shared" ref="R578:R641" si="27">$P578-$Q578</f>
        <v>71</v>
      </c>
      <c r="S578" s="2" t="str">
        <f>IF(OR(ROUND(raw_order_lines!I578*10,0)&gt;ROUND(raw_order_lines!H578*10,0),ROUND(raw_order_lines!H578*10,0)&gt;ROUND(raw_order_lines!G578*10,0),ROUND(raw_order_lines!G578*10,0)&lt;=0),"数量关系异常","")</f>
        <v/>
      </c>
      <c r="T578" s="2" t="str">
        <f>IF($F578&lt;&gt;INDEX(dim_products!$D$2:$D$21,MATCH($E578,dim_products!$A$2:$A$21,0)),"单位不一致","")</f>
        <v/>
      </c>
      <c r="U578" s="2" t="str">
        <f>IF(OR(ROUND(raw_order_lines!J578*100,0)&lt;ROUND(INDEX(dim_products!$F$2:$F$21,MATCH($E578,dim_products!$A$2:$A$21,0))*100,0),ROUND(raw_order_lines!J578*100,0)&gt;ROUND(INDEX(dim_products!$G$2:$G$21,MATCH($E578,dim_products!$A$2:$A$21,0))*100,0)),"单价越界","")</f>
        <v/>
      </c>
      <c r="V578" s="2" t="str">
        <f t="shared" ref="V578:V641" si="28">IF(COUNTIFS($A$2:$A$967,$A578,$B$2:$B$967,$B578)&gt;1,"主键重复","")</f>
        <v/>
      </c>
      <c r="W578" s="2" t="str">
        <f t="shared" ref="W578:W641" si="29">IF(COUNTIF($S578:$T578,"?*")+COUNTIF($V578:$V578,"?*")&gt;0,"阻断",IF(COUNTIF($U578:$U578,"?*")&gt;0,"提示","通过"))</f>
        <v>通过</v>
      </c>
    </row>
    <row r="579" spans="1:23" ht="15">
      <c r="A579" s="2" t="str">
        <f>raw_order_lines!A579</f>
        <v>SIM-20260918-C003</v>
      </c>
      <c r="B579" s="2">
        <f>raw_order_lines!B579</f>
        <v>1</v>
      </c>
      <c r="C579" s="2" t="str">
        <f>raw_order_lines!C579</f>
        <v>C003</v>
      </c>
      <c r="D579" s="3">
        <f>raw_order_lines!D579</f>
        <v>46283</v>
      </c>
      <c r="E579" s="2" t="str">
        <f>raw_order_lines!E579</f>
        <v>P012</v>
      </c>
      <c r="F579" s="2" t="str">
        <f>raw_order_lines!F579</f>
        <v>公斤</v>
      </c>
      <c r="G579" s="4">
        <f>raw_order_lines!G579</f>
        <v>5.5</v>
      </c>
      <c r="H579" s="4">
        <f>raw_order_lines!H579</f>
        <v>5.5</v>
      </c>
      <c r="I579" s="4">
        <f>raw_order_lines!I579</f>
        <v>0.3</v>
      </c>
      <c r="J579" s="5">
        <f>raw_order_lines!J579</f>
        <v>5.2</v>
      </c>
      <c r="K579" s="2" t="str">
        <f>raw_order_lines!K579</f>
        <v>正常交付；签收时挑出黄叶退回</v>
      </c>
      <c r="L579" s="2" t="str">
        <f>raw_order_lines!L579</f>
        <v>true</v>
      </c>
      <c r="M579" s="2" t="str">
        <f>INDEX(dim_products!$B$2:$B$21,MATCH($E579,dim_products!$A$2:$A$21,0))</f>
        <v>小白菜</v>
      </c>
      <c r="N579" s="2" t="str">
        <f>INDEX(dim_products!$C$2:$C$21,MATCH($E579,dim_products!$A$2:$A$21,0))</f>
        <v>散装鲜菜</v>
      </c>
      <c r="O579" s="2" t="str">
        <f>INDEX(dim_customers!$B$2:$B$7,MATCH($C579,dim_customers!$A$2:$A$7,0))</f>
        <v>模拟_兴街快餐店</v>
      </c>
      <c r="P579" s="6">
        <f>INT((ROUND(raw_order_lines!H579*10,0)*ROUND(raw_order_lines!J579*100,0)+5)/10)/100</f>
        <v>28.6</v>
      </c>
      <c r="Q579" s="6">
        <f>INT((ROUND(raw_order_lines!I579*10,0)*ROUND(raw_order_lines!J579*100,0)+5)/10)/100</f>
        <v>1.56</v>
      </c>
      <c r="R579" s="6">
        <f t="shared" si="27"/>
        <v>27.040000000000003</v>
      </c>
      <c r="S579" s="2" t="str">
        <f>IF(OR(ROUND(raw_order_lines!I579*10,0)&gt;ROUND(raw_order_lines!H579*10,0),ROUND(raw_order_lines!H579*10,0)&gt;ROUND(raw_order_lines!G579*10,0),ROUND(raw_order_lines!G579*10,0)&lt;=0),"数量关系异常","")</f>
        <v/>
      </c>
      <c r="T579" s="2" t="str">
        <f>IF($F579&lt;&gt;INDEX(dim_products!$D$2:$D$21,MATCH($E579,dim_products!$A$2:$A$21,0)),"单位不一致","")</f>
        <v/>
      </c>
      <c r="U579" s="2" t="str">
        <f>IF(OR(ROUND(raw_order_lines!J579*100,0)&lt;ROUND(INDEX(dim_products!$F$2:$F$21,MATCH($E579,dim_products!$A$2:$A$21,0))*100,0),ROUND(raw_order_lines!J579*100,0)&gt;ROUND(INDEX(dim_products!$G$2:$G$21,MATCH($E579,dim_products!$A$2:$A$21,0))*100,0)),"单价越界","")</f>
        <v/>
      </c>
      <c r="V579" s="2" t="str">
        <f t="shared" si="28"/>
        <v/>
      </c>
      <c r="W579" s="2" t="str">
        <f t="shared" si="29"/>
        <v>通过</v>
      </c>
    </row>
    <row r="580" spans="1:23" ht="15">
      <c r="A580" s="2" t="str">
        <f>raw_order_lines!A580</f>
        <v>SIM-20260918-C003</v>
      </c>
      <c r="B580" s="2">
        <f>raw_order_lines!B580</f>
        <v>2</v>
      </c>
      <c r="C580" s="2" t="str">
        <f>raw_order_lines!C580</f>
        <v>C003</v>
      </c>
      <c r="D580" s="3">
        <f>raw_order_lines!D580</f>
        <v>46283</v>
      </c>
      <c r="E580" s="2" t="str">
        <f>raw_order_lines!E580</f>
        <v>P002</v>
      </c>
      <c r="F580" s="2" t="str">
        <f>raw_order_lines!F580</f>
        <v>公斤</v>
      </c>
      <c r="G580" s="4">
        <f>raw_order_lines!G580</f>
        <v>6.3</v>
      </c>
      <c r="H580" s="4">
        <f>raw_order_lines!H580</f>
        <v>6.3</v>
      </c>
      <c r="I580" s="4">
        <f>raw_order_lines!I580</f>
        <v>0</v>
      </c>
      <c r="J580" s="5">
        <f>raw_order_lines!J580</f>
        <v>2.7</v>
      </c>
      <c r="K580" s="2" t="str">
        <f>raw_order_lines!K580</f>
        <v>正常交付</v>
      </c>
      <c r="L580" s="2" t="str">
        <f>raw_order_lines!L580</f>
        <v>true</v>
      </c>
      <c r="M580" s="2" t="str">
        <f>INDEX(dim_products!$B$2:$B$21,MATCH($E580,dim_products!$A$2:$A$21,0))</f>
        <v>白萝卜</v>
      </c>
      <c r="N580" s="2" t="str">
        <f>INDEX(dim_products!$C$2:$C$21,MATCH($E580,dim_products!$A$2:$A$21,0))</f>
        <v>散装鲜菜</v>
      </c>
      <c r="O580" s="2" t="str">
        <f>INDEX(dim_customers!$B$2:$B$7,MATCH($C580,dim_customers!$A$2:$A$7,0))</f>
        <v>模拟_兴街快餐店</v>
      </c>
      <c r="P580" s="6">
        <f>INT((ROUND(raw_order_lines!H580*10,0)*ROUND(raw_order_lines!J580*100,0)+5)/10)/100</f>
        <v>17.010000000000002</v>
      </c>
      <c r="Q580" s="6">
        <f>INT((ROUND(raw_order_lines!I580*10,0)*ROUND(raw_order_lines!J580*100,0)+5)/10)/100</f>
        <v>0</v>
      </c>
      <c r="R580" s="6">
        <f t="shared" si="27"/>
        <v>17.010000000000002</v>
      </c>
      <c r="S580" s="2" t="str">
        <f>IF(OR(ROUND(raw_order_lines!I580*10,0)&gt;ROUND(raw_order_lines!H580*10,0),ROUND(raw_order_lines!H580*10,0)&gt;ROUND(raw_order_lines!G580*10,0),ROUND(raw_order_lines!G580*10,0)&lt;=0),"数量关系异常","")</f>
        <v/>
      </c>
      <c r="T580" s="2" t="str">
        <f>IF($F580&lt;&gt;INDEX(dim_products!$D$2:$D$21,MATCH($E580,dim_products!$A$2:$A$21,0)),"单位不一致","")</f>
        <v/>
      </c>
      <c r="U580" s="2" t="str">
        <f>IF(OR(ROUND(raw_order_lines!J580*100,0)&lt;ROUND(INDEX(dim_products!$F$2:$F$21,MATCH($E580,dim_products!$A$2:$A$21,0))*100,0),ROUND(raw_order_lines!J580*100,0)&gt;ROUND(INDEX(dim_products!$G$2:$G$21,MATCH($E580,dim_products!$A$2:$A$21,0))*100,0)),"单价越界","")</f>
        <v/>
      </c>
      <c r="V580" s="2" t="str">
        <f t="shared" si="28"/>
        <v/>
      </c>
      <c r="W580" s="2" t="str">
        <f t="shared" si="29"/>
        <v>通过</v>
      </c>
    </row>
    <row r="581" spans="1:23" ht="15">
      <c r="A581" s="2" t="str">
        <f>raw_order_lines!A581</f>
        <v>SIM-20260918-C003</v>
      </c>
      <c r="B581" s="2">
        <f>raw_order_lines!B581</f>
        <v>3</v>
      </c>
      <c r="C581" s="2" t="str">
        <f>raw_order_lines!C581</f>
        <v>C003</v>
      </c>
      <c r="D581" s="3">
        <f>raw_order_lines!D581</f>
        <v>46283</v>
      </c>
      <c r="E581" s="2" t="str">
        <f>raw_order_lines!E581</f>
        <v>P003</v>
      </c>
      <c r="F581" s="2" t="str">
        <f>raw_order_lines!F581</f>
        <v>公斤</v>
      </c>
      <c r="G581" s="4">
        <f>raw_order_lines!G581</f>
        <v>9.4</v>
      </c>
      <c r="H581" s="4">
        <f>raw_order_lines!H581</f>
        <v>9.4</v>
      </c>
      <c r="I581" s="4">
        <f>raw_order_lines!I581</f>
        <v>0</v>
      </c>
      <c r="J581" s="5">
        <f>raw_order_lines!J581</f>
        <v>3.5</v>
      </c>
      <c r="K581" s="2" t="str">
        <f>raw_order_lines!K581</f>
        <v>正常交付</v>
      </c>
      <c r="L581" s="2" t="str">
        <f>raw_order_lines!L581</f>
        <v>true</v>
      </c>
      <c r="M581" s="2" t="str">
        <f>INDEX(dim_products!$B$2:$B$21,MATCH($E581,dim_products!$A$2:$A$21,0))</f>
        <v>包菜</v>
      </c>
      <c r="N581" s="2" t="str">
        <f>INDEX(dim_products!$C$2:$C$21,MATCH($E581,dim_products!$A$2:$A$21,0))</f>
        <v>散装鲜菜</v>
      </c>
      <c r="O581" s="2" t="str">
        <f>INDEX(dim_customers!$B$2:$B$7,MATCH($C581,dim_customers!$A$2:$A$7,0))</f>
        <v>模拟_兴街快餐店</v>
      </c>
      <c r="P581" s="6">
        <f>INT((ROUND(raw_order_lines!H581*10,0)*ROUND(raw_order_lines!J581*100,0)+5)/10)/100</f>
        <v>32.9</v>
      </c>
      <c r="Q581" s="6">
        <f>INT((ROUND(raw_order_lines!I581*10,0)*ROUND(raw_order_lines!J581*100,0)+5)/10)/100</f>
        <v>0</v>
      </c>
      <c r="R581" s="6">
        <f t="shared" si="27"/>
        <v>32.9</v>
      </c>
      <c r="S581" s="2" t="str">
        <f>IF(OR(ROUND(raw_order_lines!I581*10,0)&gt;ROUND(raw_order_lines!H581*10,0),ROUND(raw_order_lines!H581*10,0)&gt;ROUND(raw_order_lines!G581*10,0),ROUND(raw_order_lines!G581*10,0)&lt;=0),"数量关系异常","")</f>
        <v/>
      </c>
      <c r="T581" s="2" t="str">
        <f>IF($F581&lt;&gt;INDEX(dim_products!$D$2:$D$21,MATCH($E581,dim_products!$A$2:$A$21,0)),"单位不一致","")</f>
        <v/>
      </c>
      <c r="U581" s="2" t="str">
        <f>IF(OR(ROUND(raw_order_lines!J581*100,0)&lt;ROUND(INDEX(dim_products!$F$2:$F$21,MATCH($E581,dim_products!$A$2:$A$21,0))*100,0),ROUND(raw_order_lines!J581*100,0)&gt;ROUND(INDEX(dim_products!$G$2:$G$21,MATCH($E581,dim_products!$A$2:$A$21,0))*100,0)),"单价越界","")</f>
        <v/>
      </c>
      <c r="V581" s="2" t="str">
        <f t="shared" si="28"/>
        <v/>
      </c>
      <c r="W581" s="2" t="str">
        <f t="shared" si="29"/>
        <v>通过</v>
      </c>
    </row>
    <row r="582" spans="1:23" ht="15">
      <c r="A582" s="2" t="str">
        <f>raw_order_lines!A582</f>
        <v>SIM-20260918-C003</v>
      </c>
      <c r="B582" s="2">
        <f>raw_order_lines!B582</f>
        <v>4</v>
      </c>
      <c r="C582" s="2" t="str">
        <f>raw_order_lines!C582</f>
        <v>C003</v>
      </c>
      <c r="D582" s="3">
        <f>raw_order_lines!D582</f>
        <v>46283</v>
      </c>
      <c r="E582" s="2" t="str">
        <f>raw_order_lines!E582</f>
        <v>P004</v>
      </c>
      <c r="F582" s="2" t="str">
        <f>raw_order_lines!F582</f>
        <v>公斤</v>
      </c>
      <c r="G582" s="4">
        <f>raw_order_lines!G582</f>
        <v>7.8</v>
      </c>
      <c r="H582" s="4">
        <f>raw_order_lines!H582</f>
        <v>7.8</v>
      </c>
      <c r="I582" s="4">
        <f>raw_order_lines!I582</f>
        <v>0</v>
      </c>
      <c r="J582" s="5">
        <f>raw_order_lines!J582</f>
        <v>2.6</v>
      </c>
      <c r="K582" s="2" t="str">
        <f>raw_order_lines!K582</f>
        <v>正常交付</v>
      </c>
      <c r="L582" s="2" t="str">
        <f>raw_order_lines!L582</f>
        <v>true</v>
      </c>
      <c r="M582" s="2" t="str">
        <f>INDEX(dim_products!$B$2:$B$21,MATCH($E582,dim_products!$A$2:$A$21,0))</f>
        <v>冬瓜</v>
      </c>
      <c r="N582" s="2" t="str">
        <f>INDEX(dim_products!$C$2:$C$21,MATCH($E582,dim_products!$A$2:$A$21,0))</f>
        <v>散装鲜菜</v>
      </c>
      <c r="O582" s="2" t="str">
        <f>INDEX(dim_customers!$B$2:$B$7,MATCH($C582,dim_customers!$A$2:$A$7,0))</f>
        <v>模拟_兴街快餐店</v>
      </c>
      <c r="P582" s="6">
        <f>INT((ROUND(raw_order_lines!H582*10,0)*ROUND(raw_order_lines!J582*100,0)+5)/10)/100</f>
        <v>20.28</v>
      </c>
      <c r="Q582" s="6">
        <f>INT((ROUND(raw_order_lines!I582*10,0)*ROUND(raw_order_lines!J582*100,0)+5)/10)/100</f>
        <v>0</v>
      </c>
      <c r="R582" s="6">
        <f t="shared" si="27"/>
        <v>20.28</v>
      </c>
      <c r="S582" s="2" t="str">
        <f>IF(OR(ROUND(raw_order_lines!I582*10,0)&gt;ROUND(raw_order_lines!H582*10,0),ROUND(raw_order_lines!H582*10,0)&gt;ROUND(raw_order_lines!G582*10,0),ROUND(raw_order_lines!G582*10,0)&lt;=0),"数量关系异常","")</f>
        <v/>
      </c>
      <c r="T582" s="2" t="str">
        <f>IF($F582&lt;&gt;INDEX(dim_products!$D$2:$D$21,MATCH($E582,dim_products!$A$2:$A$21,0)),"单位不一致","")</f>
        <v/>
      </c>
      <c r="U582" s="2" t="str">
        <f>IF(OR(ROUND(raw_order_lines!J582*100,0)&lt;ROUND(INDEX(dim_products!$F$2:$F$21,MATCH($E582,dim_products!$A$2:$A$21,0))*100,0),ROUND(raw_order_lines!J582*100,0)&gt;ROUND(INDEX(dim_products!$G$2:$G$21,MATCH($E582,dim_products!$A$2:$A$21,0))*100,0)),"单价越界","")</f>
        <v/>
      </c>
      <c r="V582" s="2" t="str">
        <f t="shared" si="28"/>
        <v/>
      </c>
      <c r="W582" s="2" t="str">
        <f t="shared" si="29"/>
        <v>通过</v>
      </c>
    </row>
    <row r="583" spans="1:23" ht="15">
      <c r="A583" s="2" t="str">
        <f>raw_order_lines!A583</f>
        <v>SIM-20260918-C003</v>
      </c>
      <c r="B583" s="2">
        <f>raw_order_lines!B583</f>
        <v>5</v>
      </c>
      <c r="C583" s="2" t="str">
        <f>raw_order_lines!C583</f>
        <v>C003</v>
      </c>
      <c r="D583" s="3">
        <f>raw_order_lines!D583</f>
        <v>46283</v>
      </c>
      <c r="E583" s="2" t="str">
        <f>raw_order_lines!E583</f>
        <v>P007</v>
      </c>
      <c r="F583" s="2" t="str">
        <f>raw_order_lines!F583</f>
        <v>公斤</v>
      </c>
      <c r="G583" s="4">
        <f>raw_order_lines!G583</f>
        <v>12.5</v>
      </c>
      <c r="H583" s="4">
        <f>raw_order_lines!H583</f>
        <v>12.5</v>
      </c>
      <c r="I583" s="4">
        <f>raw_order_lines!I583</f>
        <v>0</v>
      </c>
      <c r="J583" s="5">
        <f>raw_order_lines!J583</f>
        <v>5.25</v>
      </c>
      <c r="K583" s="2" t="str">
        <f>raw_order_lines!K583</f>
        <v>正常交付</v>
      </c>
      <c r="L583" s="2" t="str">
        <f>raw_order_lines!L583</f>
        <v>true</v>
      </c>
      <c r="M583" s="2" t="str">
        <f>INDEX(dim_products!$B$2:$B$21,MATCH($E583,dim_products!$A$2:$A$21,0))</f>
        <v>青椒</v>
      </c>
      <c r="N583" s="2" t="str">
        <f>INDEX(dim_products!$C$2:$C$21,MATCH($E583,dim_products!$A$2:$A$21,0))</f>
        <v>散装鲜菜</v>
      </c>
      <c r="O583" s="2" t="str">
        <f>INDEX(dim_customers!$B$2:$B$7,MATCH($C583,dim_customers!$A$2:$A$7,0))</f>
        <v>模拟_兴街快餐店</v>
      </c>
      <c r="P583" s="6">
        <f>INT((ROUND(raw_order_lines!H583*10,0)*ROUND(raw_order_lines!J583*100,0)+5)/10)/100</f>
        <v>65.63</v>
      </c>
      <c r="Q583" s="6">
        <f>INT((ROUND(raw_order_lines!I583*10,0)*ROUND(raw_order_lines!J583*100,0)+5)/10)/100</f>
        <v>0</v>
      </c>
      <c r="R583" s="6">
        <f t="shared" si="27"/>
        <v>65.63</v>
      </c>
      <c r="S583" s="2" t="str">
        <f>IF(OR(ROUND(raw_order_lines!I583*10,0)&gt;ROUND(raw_order_lines!H583*10,0),ROUND(raw_order_lines!H583*10,0)&gt;ROUND(raw_order_lines!G583*10,0),ROUND(raw_order_lines!G583*10,0)&lt;=0),"数量关系异常","")</f>
        <v/>
      </c>
      <c r="T583" s="2" t="str">
        <f>IF($F583&lt;&gt;INDEX(dim_products!$D$2:$D$21,MATCH($E583,dim_products!$A$2:$A$21,0)),"单位不一致","")</f>
        <v/>
      </c>
      <c r="U583" s="2" t="str">
        <f>IF(OR(ROUND(raw_order_lines!J583*100,0)&lt;ROUND(INDEX(dim_products!$F$2:$F$21,MATCH($E583,dim_products!$A$2:$A$21,0))*100,0),ROUND(raw_order_lines!J583*100,0)&gt;ROUND(INDEX(dim_products!$G$2:$G$21,MATCH($E583,dim_products!$A$2:$A$21,0))*100,0)),"单价越界","")</f>
        <v/>
      </c>
      <c r="V583" s="2" t="str">
        <f t="shared" si="28"/>
        <v/>
      </c>
      <c r="W583" s="2" t="str">
        <f t="shared" si="29"/>
        <v>通过</v>
      </c>
    </row>
    <row r="584" spans="1:23" ht="15">
      <c r="A584" s="2" t="str">
        <f>raw_order_lines!A584</f>
        <v>SIM-20260918-C003</v>
      </c>
      <c r="B584" s="2">
        <f>raw_order_lines!B584</f>
        <v>6</v>
      </c>
      <c r="C584" s="2" t="str">
        <f>raw_order_lines!C584</f>
        <v>C003</v>
      </c>
      <c r="D584" s="3">
        <f>raw_order_lines!D584</f>
        <v>46283</v>
      </c>
      <c r="E584" s="2" t="str">
        <f>raw_order_lines!E584</f>
        <v>P008</v>
      </c>
      <c r="F584" s="2" t="str">
        <f>raw_order_lines!F584</f>
        <v>公斤</v>
      </c>
      <c r="G584" s="4">
        <f>raw_order_lines!G584</f>
        <v>5.5</v>
      </c>
      <c r="H584" s="4">
        <f>raw_order_lines!H584</f>
        <v>5.5</v>
      </c>
      <c r="I584" s="4">
        <f>raw_order_lines!I584</f>
        <v>0</v>
      </c>
      <c r="J584" s="5">
        <f>raw_order_lines!J584</f>
        <v>4.4000000000000004</v>
      </c>
      <c r="K584" s="2" t="str">
        <f>raw_order_lines!K584</f>
        <v>正常交付</v>
      </c>
      <c r="L584" s="2" t="str">
        <f>raw_order_lines!L584</f>
        <v>true</v>
      </c>
      <c r="M584" s="2" t="str">
        <f>INDEX(dim_products!$B$2:$B$21,MATCH($E584,dim_products!$A$2:$A$21,0))</f>
        <v>黄瓜</v>
      </c>
      <c r="N584" s="2" t="str">
        <f>INDEX(dim_products!$C$2:$C$21,MATCH($E584,dim_products!$A$2:$A$21,0))</f>
        <v>散装鲜菜</v>
      </c>
      <c r="O584" s="2" t="str">
        <f>INDEX(dim_customers!$B$2:$B$7,MATCH($C584,dim_customers!$A$2:$A$7,0))</f>
        <v>模拟_兴街快餐店</v>
      </c>
      <c r="P584" s="6">
        <f>INT((ROUND(raw_order_lines!H584*10,0)*ROUND(raw_order_lines!J584*100,0)+5)/10)/100</f>
        <v>24.2</v>
      </c>
      <c r="Q584" s="6">
        <f>INT((ROUND(raw_order_lines!I584*10,0)*ROUND(raw_order_lines!J584*100,0)+5)/10)/100</f>
        <v>0</v>
      </c>
      <c r="R584" s="6">
        <f t="shared" si="27"/>
        <v>24.2</v>
      </c>
      <c r="S584" s="2" t="str">
        <f>IF(OR(ROUND(raw_order_lines!I584*10,0)&gt;ROUND(raw_order_lines!H584*10,0),ROUND(raw_order_lines!H584*10,0)&gt;ROUND(raw_order_lines!G584*10,0),ROUND(raw_order_lines!G584*10,0)&lt;=0),"数量关系异常","")</f>
        <v/>
      </c>
      <c r="T584" s="2" t="str">
        <f>IF($F584&lt;&gt;INDEX(dim_products!$D$2:$D$21,MATCH($E584,dim_products!$A$2:$A$21,0)),"单位不一致","")</f>
        <v/>
      </c>
      <c r="U584" s="2" t="str">
        <f>IF(OR(ROUND(raw_order_lines!J584*100,0)&lt;ROUND(INDEX(dim_products!$F$2:$F$21,MATCH($E584,dim_products!$A$2:$A$21,0))*100,0),ROUND(raw_order_lines!J584*100,0)&gt;ROUND(INDEX(dim_products!$G$2:$G$21,MATCH($E584,dim_products!$A$2:$A$21,0))*100,0)),"单价越界","")</f>
        <v/>
      </c>
      <c r="V584" s="2" t="str">
        <f t="shared" si="28"/>
        <v/>
      </c>
      <c r="W584" s="2" t="str">
        <f t="shared" si="29"/>
        <v>通过</v>
      </c>
    </row>
    <row r="585" spans="1:23" ht="15">
      <c r="A585" s="2" t="str">
        <f>raw_order_lines!A585</f>
        <v>SIM-20260918-C003</v>
      </c>
      <c r="B585" s="2">
        <f>raw_order_lines!B585</f>
        <v>7</v>
      </c>
      <c r="C585" s="2" t="str">
        <f>raw_order_lines!C585</f>
        <v>C003</v>
      </c>
      <c r="D585" s="3">
        <f>raw_order_lines!D585</f>
        <v>46283</v>
      </c>
      <c r="E585" s="2" t="str">
        <f>raw_order_lines!E585</f>
        <v>P015</v>
      </c>
      <c r="F585" s="2" t="str">
        <f>raw_order_lines!F585</f>
        <v>公斤</v>
      </c>
      <c r="G585" s="4">
        <f>raw_order_lines!G585</f>
        <v>1</v>
      </c>
      <c r="H585" s="4">
        <f>raw_order_lines!H585</f>
        <v>1</v>
      </c>
      <c r="I585" s="4">
        <f>raw_order_lines!I585</f>
        <v>0</v>
      </c>
      <c r="J585" s="5">
        <f>raw_order_lines!J585</f>
        <v>7.3</v>
      </c>
      <c r="K585" s="2" t="str">
        <f>raw_order_lines!K585</f>
        <v>正常交付</v>
      </c>
      <c r="L585" s="2" t="str">
        <f>raw_order_lines!L585</f>
        <v>true</v>
      </c>
      <c r="M585" s="2" t="str">
        <f>INDEX(dim_products!$B$2:$B$21,MATCH($E585,dim_products!$A$2:$A$21,0))</f>
        <v>小葱</v>
      </c>
      <c r="N585" s="2" t="str">
        <f>INDEX(dim_products!$C$2:$C$21,MATCH($E585,dim_products!$A$2:$A$21,0))</f>
        <v>散装鲜菜</v>
      </c>
      <c r="O585" s="2" t="str">
        <f>INDEX(dim_customers!$B$2:$B$7,MATCH($C585,dim_customers!$A$2:$A$7,0))</f>
        <v>模拟_兴街快餐店</v>
      </c>
      <c r="P585" s="6">
        <f>INT((ROUND(raw_order_lines!H585*10,0)*ROUND(raw_order_lines!J585*100,0)+5)/10)/100</f>
        <v>7.3</v>
      </c>
      <c r="Q585" s="6">
        <f>INT((ROUND(raw_order_lines!I585*10,0)*ROUND(raw_order_lines!J585*100,0)+5)/10)/100</f>
        <v>0</v>
      </c>
      <c r="R585" s="6">
        <f t="shared" si="27"/>
        <v>7.3</v>
      </c>
      <c r="S585" s="2" t="str">
        <f>IF(OR(ROUND(raw_order_lines!I585*10,0)&gt;ROUND(raw_order_lines!H585*10,0),ROUND(raw_order_lines!H585*10,0)&gt;ROUND(raw_order_lines!G585*10,0),ROUND(raw_order_lines!G585*10,0)&lt;=0),"数量关系异常","")</f>
        <v/>
      </c>
      <c r="T585" s="2" t="str">
        <f>IF($F585&lt;&gt;INDEX(dim_products!$D$2:$D$21,MATCH($E585,dim_products!$A$2:$A$21,0)),"单位不一致","")</f>
        <v/>
      </c>
      <c r="U585" s="2" t="str">
        <f>IF(OR(ROUND(raw_order_lines!J585*100,0)&lt;ROUND(INDEX(dim_products!$F$2:$F$21,MATCH($E585,dim_products!$A$2:$A$21,0))*100,0),ROUND(raw_order_lines!J585*100,0)&gt;ROUND(INDEX(dim_products!$G$2:$G$21,MATCH($E585,dim_products!$A$2:$A$21,0))*100,0)),"单价越界","")</f>
        <v/>
      </c>
      <c r="V585" s="2" t="str">
        <f t="shared" si="28"/>
        <v/>
      </c>
      <c r="W585" s="2" t="str">
        <f t="shared" si="29"/>
        <v>通过</v>
      </c>
    </row>
    <row r="586" spans="1:23" ht="15">
      <c r="A586" s="2" t="str">
        <f>raw_order_lines!A586</f>
        <v>SIM-20260918-C003</v>
      </c>
      <c r="B586" s="2">
        <f>raw_order_lines!B586</f>
        <v>8</v>
      </c>
      <c r="C586" s="2" t="str">
        <f>raw_order_lines!C586</f>
        <v>C003</v>
      </c>
      <c r="D586" s="3">
        <f>raw_order_lines!D586</f>
        <v>46283</v>
      </c>
      <c r="E586" s="2" t="str">
        <f>raw_order_lines!E586</f>
        <v>P017</v>
      </c>
      <c r="F586" s="2" t="str">
        <f>raw_order_lines!F586</f>
        <v>袋</v>
      </c>
      <c r="G586" s="4">
        <f>raw_order_lines!G586</f>
        <v>5</v>
      </c>
      <c r="H586" s="4">
        <f>raw_order_lines!H586</f>
        <v>5</v>
      </c>
      <c r="I586" s="4">
        <f>raw_order_lines!I586</f>
        <v>0</v>
      </c>
      <c r="J586" s="5">
        <f>raw_order_lines!J586</f>
        <v>119</v>
      </c>
      <c r="K586" s="2" t="str">
        <f>raw_order_lines!K586</f>
        <v>正常交付</v>
      </c>
      <c r="L586" s="2" t="str">
        <f>raw_order_lines!L586</f>
        <v>true</v>
      </c>
      <c r="M586" s="2" t="str">
        <f>INDEX(dim_products!$B$2:$B$21,MATCH($E586,dim_products!$A$2:$A$21,0))</f>
        <v>籼米</v>
      </c>
      <c r="N586" s="2" t="str">
        <f>INDEX(dim_products!$C$2:$C$21,MATCH($E586,dim_products!$A$2:$A$21,0))</f>
        <v>25公斤/袋普通籼米</v>
      </c>
      <c r="O586" s="2" t="str">
        <f>INDEX(dim_customers!$B$2:$B$7,MATCH($C586,dim_customers!$A$2:$A$7,0))</f>
        <v>模拟_兴街快餐店</v>
      </c>
      <c r="P586" s="6">
        <f>INT((ROUND(raw_order_lines!H586*10,0)*ROUND(raw_order_lines!J586*100,0)+5)/10)/100</f>
        <v>595</v>
      </c>
      <c r="Q586" s="6">
        <f>INT((ROUND(raw_order_lines!I586*10,0)*ROUND(raw_order_lines!J586*100,0)+5)/10)/100</f>
        <v>0</v>
      </c>
      <c r="R586" s="6">
        <f t="shared" si="27"/>
        <v>595</v>
      </c>
      <c r="S586" s="2" t="str">
        <f>IF(OR(ROUND(raw_order_lines!I586*10,0)&gt;ROUND(raw_order_lines!H586*10,0),ROUND(raw_order_lines!H586*10,0)&gt;ROUND(raw_order_lines!G586*10,0),ROUND(raw_order_lines!G586*10,0)&lt;=0),"数量关系异常","")</f>
        <v/>
      </c>
      <c r="T586" s="2" t="str">
        <f>IF($F586&lt;&gt;INDEX(dim_products!$D$2:$D$21,MATCH($E586,dim_products!$A$2:$A$21,0)),"单位不一致","")</f>
        <v/>
      </c>
      <c r="U586" s="2" t="str">
        <f>IF(OR(ROUND(raw_order_lines!J586*100,0)&lt;ROUND(INDEX(dim_products!$F$2:$F$21,MATCH($E586,dim_products!$A$2:$A$21,0))*100,0),ROUND(raw_order_lines!J586*100,0)&gt;ROUND(INDEX(dim_products!$G$2:$G$21,MATCH($E586,dim_products!$A$2:$A$21,0))*100,0)),"单价越界","")</f>
        <v/>
      </c>
      <c r="V586" s="2" t="str">
        <f t="shared" si="28"/>
        <v/>
      </c>
      <c r="W586" s="2" t="str">
        <f t="shared" si="29"/>
        <v>通过</v>
      </c>
    </row>
    <row r="587" spans="1:23" ht="15">
      <c r="A587" s="2" t="str">
        <f>raw_order_lines!A587</f>
        <v>SIM-20260918-C003</v>
      </c>
      <c r="B587" s="2">
        <f>raw_order_lines!B587</f>
        <v>9</v>
      </c>
      <c r="C587" s="2" t="str">
        <f>raw_order_lines!C587</f>
        <v>C003</v>
      </c>
      <c r="D587" s="3">
        <f>raw_order_lines!D587</f>
        <v>46283</v>
      </c>
      <c r="E587" s="2" t="str">
        <f>raw_order_lines!E587</f>
        <v>P020</v>
      </c>
      <c r="F587" s="2" t="str">
        <f>raw_order_lines!F587</f>
        <v>桶</v>
      </c>
      <c r="G587" s="4">
        <f>raw_order_lines!G587</f>
        <v>2</v>
      </c>
      <c r="H587" s="4">
        <f>raw_order_lines!H587</f>
        <v>2</v>
      </c>
      <c r="I587" s="4">
        <f>raw_order_lines!I587</f>
        <v>0</v>
      </c>
      <c r="J587" s="5">
        <f>raw_order_lines!J587</f>
        <v>55</v>
      </c>
      <c r="K587" s="2" t="str">
        <f>raw_order_lines!K587</f>
        <v>正常交付</v>
      </c>
      <c r="L587" s="2" t="str">
        <f>raw_order_lines!L587</f>
        <v>true</v>
      </c>
      <c r="M587" s="2" t="str">
        <f>INDEX(dim_products!$B$2:$B$21,MATCH($E587,dim_products!$A$2:$A$21,0))</f>
        <v>大豆油</v>
      </c>
      <c r="N587" s="2" t="str">
        <f>INDEX(dim_products!$C$2:$C$21,MATCH($E587,dim_products!$A$2:$A$21,0))</f>
        <v>5升/桶普通大豆油</v>
      </c>
      <c r="O587" s="2" t="str">
        <f>INDEX(dim_customers!$B$2:$B$7,MATCH($C587,dim_customers!$A$2:$A$7,0))</f>
        <v>模拟_兴街快餐店</v>
      </c>
      <c r="P587" s="6">
        <f>INT((ROUND(raw_order_lines!H587*10,0)*ROUND(raw_order_lines!J587*100,0)+5)/10)/100</f>
        <v>110</v>
      </c>
      <c r="Q587" s="6">
        <f>INT((ROUND(raw_order_lines!I587*10,0)*ROUND(raw_order_lines!J587*100,0)+5)/10)/100</f>
        <v>0</v>
      </c>
      <c r="R587" s="6">
        <f t="shared" si="27"/>
        <v>110</v>
      </c>
      <c r="S587" s="2" t="str">
        <f>IF(OR(ROUND(raw_order_lines!I587*10,0)&gt;ROUND(raw_order_lines!H587*10,0),ROUND(raw_order_lines!H587*10,0)&gt;ROUND(raw_order_lines!G587*10,0),ROUND(raw_order_lines!G587*10,0)&lt;=0),"数量关系异常","")</f>
        <v/>
      </c>
      <c r="T587" s="2" t="str">
        <f>IF($F587&lt;&gt;INDEX(dim_products!$D$2:$D$21,MATCH($E587,dim_products!$A$2:$A$21,0)),"单位不一致","")</f>
        <v/>
      </c>
      <c r="U587" s="2" t="str">
        <f>IF(OR(ROUND(raw_order_lines!J587*100,0)&lt;ROUND(INDEX(dim_products!$F$2:$F$21,MATCH($E587,dim_products!$A$2:$A$21,0))*100,0),ROUND(raw_order_lines!J587*100,0)&gt;ROUND(INDEX(dim_products!$G$2:$G$21,MATCH($E587,dim_products!$A$2:$A$21,0))*100,0)),"单价越界","")</f>
        <v/>
      </c>
      <c r="V587" s="2" t="str">
        <f t="shared" si="28"/>
        <v/>
      </c>
      <c r="W587" s="2" t="str">
        <f t="shared" si="29"/>
        <v>通过</v>
      </c>
    </row>
    <row r="588" spans="1:23" ht="15">
      <c r="A588" s="2" t="str">
        <f>raw_order_lines!A588</f>
        <v>SIM-20260918-C005</v>
      </c>
      <c r="B588" s="2">
        <f>raw_order_lines!B588</f>
        <v>1</v>
      </c>
      <c r="C588" s="2" t="str">
        <f>raw_order_lines!C588</f>
        <v>C005</v>
      </c>
      <c r="D588" s="3">
        <f>raw_order_lines!D588</f>
        <v>46283</v>
      </c>
      <c r="E588" s="2" t="str">
        <f>raw_order_lines!E588</f>
        <v>P012</v>
      </c>
      <c r="F588" s="2" t="str">
        <f>raw_order_lines!F588</f>
        <v>公斤</v>
      </c>
      <c r="G588" s="4">
        <f>raw_order_lines!G588</f>
        <v>10.4</v>
      </c>
      <c r="H588" s="4">
        <f>raw_order_lines!H588</f>
        <v>10.4</v>
      </c>
      <c r="I588" s="4">
        <f>raw_order_lines!I588</f>
        <v>0</v>
      </c>
      <c r="J588" s="5">
        <f>raw_order_lines!J588</f>
        <v>5.2</v>
      </c>
      <c r="K588" s="2" t="str">
        <f>raw_order_lines!K588</f>
        <v>正常交付</v>
      </c>
      <c r="L588" s="2" t="str">
        <f>raw_order_lines!L588</f>
        <v>true</v>
      </c>
      <c r="M588" s="2" t="str">
        <f>INDEX(dim_products!$B$2:$B$21,MATCH($E588,dim_products!$A$2:$A$21,0))</f>
        <v>小白菜</v>
      </c>
      <c r="N588" s="2" t="str">
        <f>INDEX(dim_products!$C$2:$C$21,MATCH($E588,dim_products!$A$2:$A$21,0))</f>
        <v>散装鲜菜</v>
      </c>
      <c r="O588" s="2" t="str">
        <f>INDEX(dim_customers!$B$2:$B$7,MATCH($C588,dim_customers!$A$2:$A$7,0))</f>
        <v>模拟_青禾小学食堂</v>
      </c>
      <c r="P588" s="6">
        <f>INT((ROUND(raw_order_lines!H588*10,0)*ROUND(raw_order_lines!J588*100,0)+5)/10)/100</f>
        <v>54.08</v>
      </c>
      <c r="Q588" s="6">
        <f>INT((ROUND(raw_order_lines!I588*10,0)*ROUND(raw_order_lines!J588*100,0)+5)/10)/100</f>
        <v>0</v>
      </c>
      <c r="R588" s="6">
        <f t="shared" si="27"/>
        <v>54.08</v>
      </c>
      <c r="S588" s="2" t="str">
        <f>IF(OR(ROUND(raw_order_lines!I588*10,0)&gt;ROUND(raw_order_lines!H588*10,0),ROUND(raw_order_lines!H588*10,0)&gt;ROUND(raw_order_lines!G588*10,0),ROUND(raw_order_lines!G588*10,0)&lt;=0),"数量关系异常","")</f>
        <v/>
      </c>
      <c r="T588" s="2" t="str">
        <f>IF($F588&lt;&gt;INDEX(dim_products!$D$2:$D$21,MATCH($E588,dim_products!$A$2:$A$21,0)),"单位不一致","")</f>
        <v/>
      </c>
      <c r="U588" s="2" t="str">
        <f>IF(OR(ROUND(raw_order_lines!J588*100,0)&lt;ROUND(INDEX(dim_products!$F$2:$F$21,MATCH($E588,dim_products!$A$2:$A$21,0))*100,0),ROUND(raw_order_lines!J588*100,0)&gt;ROUND(INDEX(dim_products!$G$2:$G$21,MATCH($E588,dim_products!$A$2:$A$21,0))*100,0)),"单价越界","")</f>
        <v/>
      </c>
      <c r="V588" s="2" t="str">
        <f t="shared" si="28"/>
        <v/>
      </c>
      <c r="W588" s="2" t="str">
        <f t="shared" si="29"/>
        <v>通过</v>
      </c>
    </row>
    <row r="589" spans="1:23" ht="15">
      <c r="A589" s="2" t="str">
        <f>raw_order_lines!A589</f>
        <v>SIM-20260918-C005</v>
      </c>
      <c r="B589" s="2">
        <f>raw_order_lines!B589</f>
        <v>2</v>
      </c>
      <c r="C589" s="2" t="str">
        <f>raw_order_lines!C589</f>
        <v>C005</v>
      </c>
      <c r="D589" s="3">
        <f>raw_order_lines!D589</f>
        <v>46283</v>
      </c>
      <c r="E589" s="2" t="str">
        <f>raw_order_lines!E589</f>
        <v>P006</v>
      </c>
      <c r="F589" s="2" t="str">
        <f>raw_order_lines!F589</f>
        <v>公斤</v>
      </c>
      <c r="G589" s="4">
        <f>raw_order_lines!G589</f>
        <v>10.4</v>
      </c>
      <c r="H589" s="4">
        <f>raw_order_lines!H589</f>
        <v>10.4</v>
      </c>
      <c r="I589" s="4">
        <f>raw_order_lines!I589</f>
        <v>0</v>
      </c>
      <c r="J589" s="5">
        <f>raw_order_lines!J589</f>
        <v>4.8</v>
      </c>
      <c r="K589" s="2" t="str">
        <f>raw_order_lines!K589</f>
        <v>正常交付</v>
      </c>
      <c r="L589" s="2" t="str">
        <f>raw_order_lines!L589</f>
        <v>true</v>
      </c>
      <c r="M589" s="2" t="str">
        <f>INDEX(dim_products!$B$2:$B$21,MATCH($E589,dim_products!$A$2:$A$21,0))</f>
        <v>茄子</v>
      </c>
      <c r="N589" s="2" t="str">
        <f>INDEX(dim_products!$C$2:$C$21,MATCH($E589,dim_products!$A$2:$A$21,0))</f>
        <v>散装鲜菜</v>
      </c>
      <c r="O589" s="2" t="str">
        <f>INDEX(dim_customers!$B$2:$B$7,MATCH($C589,dim_customers!$A$2:$A$7,0))</f>
        <v>模拟_青禾小学食堂</v>
      </c>
      <c r="P589" s="6">
        <f>INT((ROUND(raw_order_lines!H589*10,0)*ROUND(raw_order_lines!J589*100,0)+5)/10)/100</f>
        <v>49.92</v>
      </c>
      <c r="Q589" s="6">
        <f>INT((ROUND(raw_order_lines!I589*10,0)*ROUND(raw_order_lines!J589*100,0)+5)/10)/100</f>
        <v>0</v>
      </c>
      <c r="R589" s="6">
        <f t="shared" si="27"/>
        <v>49.92</v>
      </c>
      <c r="S589" s="2" t="str">
        <f>IF(OR(ROUND(raw_order_lines!I589*10,0)&gt;ROUND(raw_order_lines!H589*10,0),ROUND(raw_order_lines!H589*10,0)&gt;ROUND(raw_order_lines!G589*10,0),ROUND(raw_order_lines!G589*10,0)&lt;=0),"数量关系异常","")</f>
        <v/>
      </c>
      <c r="T589" s="2" t="str">
        <f>IF($F589&lt;&gt;INDEX(dim_products!$D$2:$D$21,MATCH($E589,dim_products!$A$2:$A$21,0)),"单位不一致","")</f>
        <v/>
      </c>
      <c r="U589" s="2" t="str">
        <f>IF(OR(ROUND(raw_order_lines!J589*100,0)&lt;ROUND(INDEX(dim_products!$F$2:$F$21,MATCH($E589,dim_products!$A$2:$A$21,0))*100,0),ROUND(raw_order_lines!J589*100,0)&gt;ROUND(INDEX(dim_products!$G$2:$G$21,MATCH($E589,dim_products!$A$2:$A$21,0))*100,0)),"单价越界","")</f>
        <v/>
      </c>
      <c r="V589" s="2" t="str">
        <f t="shared" si="28"/>
        <v/>
      </c>
      <c r="W589" s="2" t="str">
        <f t="shared" si="29"/>
        <v>通过</v>
      </c>
    </row>
    <row r="590" spans="1:23" ht="15">
      <c r="A590" s="2" t="str">
        <f>raw_order_lines!A590</f>
        <v>SIM-20260918-C005</v>
      </c>
      <c r="B590" s="2">
        <f>raw_order_lines!B590</f>
        <v>3</v>
      </c>
      <c r="C590" s="2" t="str">
        <f>raw_order_lines!C590</f>
        <v>C005</v>
      </c>
      <c r="D590" s="3">
        <f>raw_order_lines!D590</f>
        <v>46283</v>
      </c>
      <c r="E590" s="2" t="str">
        <f>raw_order_lines!E590</f>
        <v>P013</v>
      </c>
      <c r="F590" s="2" t="str">
        <f>raw_order_lines!F590</f>
        <v>公斤</v>
      </c>
      <c r="G590" s="4">
        <f>raw_order_lines!G590</f>
        <v>11.9</v>
      </c>
      <c r="H590" s="4">
        <f>raw_order_lines!H590</f>
        <v>11.9</v>
      </c>
      <c r="I590" s="4">
        <f>raw_order_lines!I590</f>
        <v>0</v>
      </c>
      <c r="J590" s="5">
        <f>raw_order_lines!J590</f>
        <v>6</v>
      </c>
      <c r="K590" s="2" t="str">
        <f>raw_order_lines!K590</f>
        <v>正常交付</v>
      </c>
      <c r="L590" s="2" t="str">
        <f>raw_order_lines!L590</f>
        <v>true</v>
      </c>
      <c r="M590" s="2" t="str">
        <f>INDEX(dim_products!$B$2:$B$21,MATCH($E590,dim_products!$A$2:$A$21,0))</f>
        <v>豇豆</v>
      </c>
      <c r="N590" s="2" t="str">
        <f>INDEX(dim_products!$C$2:$C$21,MATCH($E590,dim_products!$A$2:$A$21,0))</f>
        <v>散装鲜菜</v>
      </c>
      <c r="O590" s="2" t="str">
        <f>INDEX(dim_customers!$B$2:$B$7,MATCH($C590,dim_customers!$A$2:$A$7,0))</f>
        <v>模拟_青禾小学食堂</v>
      </c>
      <c r="P590" s="6">
        <f>INT((ROUND(raw_order_lines!H590*10,0)*ROUND(raw_order_lines!J590*100,0)+5)/10)/100</f>
        <v>71.400000000000006</v>
      </c>
      <c r="Q590" s="6">
        <f>INT((ROUND(raw_order_lines!I590*10,0)*ROUND(raw_order_lines!J590*100,0)+5)/10)/100</f>
        <v>0</v>
      </c>
      <c r="R590" s="6">
        <f t="shared" si="27"/>
        <v>71.400000000000006</v>
      </c>
      <c r="S590" s="2" t="str">
        <f>IF(OR(ROUND(raw_order_lines!I590*10,0)&gt;ROUND(raw_order_lines!H590*10,0),ROUND(raw_order_lines!H590*10,0)&gt;ROUND(raw_order_lines!G590*10,0),ROUND(raw_order_lines!G590*10,0)&lt;=0),"数量关系异常","")</f>
        <v/>
      </c>
      <c r="T590" s="2" t="str">
        <f>IF($F590&lt;&gt;INDEX(dim_products!$D$2:$D$21,MATCH($E590,dim_products!$A$2:$A$21,0)),"单位不一致","")</f>
        <v/>
      </c>
      <c r="U590" s="2" t="str">
        <f>IF(OR(ROUND(raw_order_lines!J590*100,0)&lt;ROUND(INDEX(dim_products!$F$2:$F$21,MATCH($E590,dim_products!$A$2:$A$21,0))*100,0),ROUND(raw_order_lines!J590*100,0)&gt;ROUND(INDEX(dim_products!$G$2:$G$21,MATCH($E590,dim_products!$A$2:$A$21,0))*100,0)),"单价越界","")</f>
        <v/>
      </c>
      <c r="V590" s="2" t="str">
        <f t="shared" si="28"/>
        <v/>
      </c>
      <c r="W590" s="2" t="str">
        <f t="shared" si="29"/>
        <v>通过</v>
      </c>
    </row>
    <row r="591" spans="1:23" ht="15">
      <c r="A591" s="2" t="str">
        <f>raw_order_lines!A591</f>
        <v>SIM-20260918-C005</v>
      </c>
      <c r="B591" s="2">
        <f>raw_order_lines!B591</f>
        <v>4</v>
      </c>
      <c r="C591" s="2" t="str">
        <f>raw_order_lines!C591</f>
        <v>C005</v>
      </c>
      <c r="D591" s="3">
        <f>raw_order_lines!D591</f>
        <v>46283</v>
      </c>
      <c r="E591" s="2" t="str">
        <f>raw_order_lines!E591</f>
        <v>P005</v>
      </c>
      <c r="F591" s="2" t="str">
        <f>raw_order_lines!F591</f>
        <v>公斤</v>
      </c>
      <c r="G591" s="4">
        <f>raw_order_lines!G591</f>
        <v>11.1</v>
      </c>
      <c r="H591" s="4">
        <f>raw_order_lines!H591</f>
        <v>11.1</v>
      </c>
      <c r="I591" s="4">
        <f>raw_order_lines!I591</f>
        <v>0</v>
      </c>
      <c r="J591" s="5">
        <f>raw_order_lines!J591</f>
        <v>3.2</v>
      </c>
      <c r="K591" s="2" t="str">
        <f>raw_order_lines!K591</f>
        <v>正常交付</v>
      </c>
      <c r="L591" s="2" t="str">
        <f>raw_order_lines!L591</f>
        <v>true</v>
      </c>
      <c r="M591" s="2" t="str">
        <f>INDEX(dim_products!$B$2:$B$21,MATCH($E591,dim_products!$A$2:$A$21,0))</f>
        <v>南瓜</v>
      </c>
      <c r="N591" s="2" t="str">
        <f>INDEX(dim_products!$C$2:$C$21,MATCH($E591,dim_products!$A$2:$A$21,0))</f>
        <v>散装鲜菜</v>
      </c>
      <c r="O591" s="2" t="str">
        <f>INDEX(dim_customers!$B$2:$B$7,MATCH($C591,dim_customers!$A$2:$A$7,0))</f>
        <v>模拟_青禾小学食堂</v>
      </c>
      <c r="P591" s="6">
        <f>INT((ROUND(raw_order_lines!H591*10,0)*ROUND(raw_order_lines!J591*100,0)+5)/10)/100</f>
        <v>35.520000000000003</v>
      </c>
      <c r="Q591" s="6">
        <f>INT((ROUND(raw_order_lines!I591*10,0)*ROUND(raw_order_lines!J591*100,0)+5)/10)/100</f>
        <v>0</v>
      </c>
      <c r="R591" s="6">
        <f t="shared" si="27"/>
        <v>35.520000000000003</v>
      </c>
      <c r="S591" s="2" t="str">
        <f>IF(OR(ROUND(raw_order_lines!I591*10,0)&gt;ROUND(raw_order_lines!H591*10,0),ROUND(raw_order_lines!H591*10,0)&gt;ROUND(raw_order_lines!G591*10,0),ROUND(raw_order_lines!G591*10,0)&lt;=0),"数量关系异常","")</f>
        <v/>
      </c>
      <c r="T591" s="2" t="str">
        <f>IF($F591&lt;&gt;INDEX(dim_products!$D$2:$D$21,MATCH($E591,dim_products!$A$2:$A$21,0)),"单位不一致","")</f>
        <v/>
      </c>
      <c r="U591" s="2" t="str">
        <f>IF(OR(ROUND(raw_order_lines!J591*100,0)&lt;ROUND(INDEX(dim_products!$F$2:$F$21,MATCH($E591,dim_products!$A$2:$A$21,0))*100,0),ROUND(raw_order_lines!J591*100,0)&gt;ROUND(INDEX(dim_products!$G$2:$G$21,MATCH($E591,dim_products!$A$2:$A$21,0))*100,0)),"单价越界","")</f>
        <v/>
      </c>
      <c r="V591" s="2" t="str">
        <f t="shared" si="28"/>
        <v/>
      </c>
      <c r="W591" s="2" t="str">
        <f t="shared" si="29"/>
        <v>通过</v>
      </c>
    </row>
    <row r="592" spans="1:23" ht="15">
      <c r="A592" s="2" t="str">
        <f>raw_order_lines!A592</f>
        <v>SIM-20260918-C005</v>
      </c>
      <c r="B592" s="2">
        <f>raw_order_lines!B592</f>
        <v>5</v>
      </c>
      <c r="C592" s="2" t="str">
        <f>raw_order_lines!C592</f>
        <v>C005</v>
      </c>
      <c r="D592" s="3">
        <f>raw_order_lines!D592</f>
        <v>46283</v>
      </c>
      <c r="E592" s="2" t="str">
        <f>raw_order_lines!E592</f>
        <v>P002</v>
      </c>
      <c r="F592" s="2" t="str">
        <f>raw_order_lines!F592</f>
        <v>公斤</v>
      </c>
      <c r="G592" s="4">
        <f>raw_order_lines!G592</f>
        <v>8.1</v>
      </c>
      <c r="H592" s="4">
        <f>raw_order_lines!H592</f>
        <v>8.1</v>
      </c>
      <c r="I592" s="4">
        <f>raw_order_lines!I592</f>
        <v>0</v>
      </c>
      <c r="J592" s="5">
        <f>raw_order_lines!J592</f>
        <v>2.7</v>
      </c>
      <c r="K592" s="2" t="str">
        <f>raw_order_lines!K592</f>
        <v>正常交付</v>
      </c>
      <c r="L592" s="2" t="str">
        <f>raw_order_lines!L592</f>
        <v>true</v>
      </c>
      <c r="M592" s="2" t="str">
        <f>INDEX(dim_products!$B$2:$B$21,MATCH($E592,dim_products!$A$2:$A$21,0))</f>
        <v>白萝卜</v>
      </c>
      <c r="N592" s="2" t="str">
        <f>INDEX(dim_products!$C$2:$C$21,MATCH($E592,dim_products!$A$2:$A$21,0))</f>
        <v>散装鲜菜</v>
      </c>
      <c r="O592" s="2" t="str">
        <f>INDEX(dim_customers!$B$2:$B$7,MATCH($C592,dim_customers!$A$2:$A$7,0))</f>
        <v>模拟_青禾小学食堂</v>
      </c>
      <c r="P592" s="6">
        <f>INT((ROUND(raw_order_lines!H592*10,0)*ROUND(raw_order_lines!J592*100,0)+5)/10)/100</f>
        <v>21.87</v>
      </c>
      <c r="Q592" s="6">
        <f>INT((ROUND(raw_order_lines!I592*10,0)*ROUND(raw_order_lines!J592*100,0)+5)/10)/100</f>
        <v>0</v>
      </c>
      <c r="R592" s="6">
        <f t="shared" si="27"/>
        <v>21.87</v>
      </c>
      <c r="S592" s="2" t="str">
        <f>IF(OR(ROUND(raw_order_lines!I592*10,0)&gt;ROUND(raw_order_lines!H592*10,0),ROUND(raw_order_lines!H592*10,0)&gt;ROUND(raw_order_lines!G592*10,0),ROUND(raw_order_lines!G592*10,0)&lt;=0),"数量关系异常","")</f>
        <v/>
      </c>
      <c r="T592" s="2" t="str">
        <f>IF($F592&lt;&gt;INDEX(dim_products!$D$2:$D$21,MATCH($E592,dim_products!$A$2:$A$21,0)),"单位不一致","")</f>
        <v/>
      </c>
      <c r="U592" s="2" t="str">
        <f>IF(OR(ROUND(raw_order_lines!J592*100,0)&lt;ROUND(INDEX(dim_products!$F$2:$F$21,MATCH($E592,dim_products!$A$2:$A$21,0))*100,0),ROUND(raw_order_lines!J592*100,0)&gt;ROUND(INDEX(dim_products!$G$2:$G$21,MATCH($E592,dim_products!$A$2:$A$21,0))*100,0)),"单价越界","")</f>
        <v/>
      </c>
      <c r="V592" s="2" t="str">
        <f t="shared" si="28"/>
        <v/>
      </c>
      <c r="W592" s="2" t="str">
        <f t="shared" si="29"/>
        <v>通过</v>
      </c>
    </row>
    <row r="593" spans="1:23" ht="15">
      <c r="A593" s="2" t="str">
        <f>raw_order_lines!A593</f>
        <v>SIM-20260918-C005</v>
      </c>
      <c r="B593" s="2">
        <f>raw_order_lines!B593</f>
        <v>6</v>
      </c>
      <c r="C593" s="2" t="str">
        <f>raw_order_lines!C593</f>
        <v>C005</v>
      </c>
      <c r="D593" s="3">
        <f>raw_order_lines!D593</f>
        <v>46283</v>
      </c>
      <c r="E593" s="2" t="str">
        <f>raw_order_lines!E593</f>
        <v>P008</v>
      </c>
      <c r="F593" s="2" t="str">
        <f>raw_order_lines!F593</f>
        <v>公斤</v>
      </c>
      <c r="G593" s="4">
        <f>raw_order_lines!G593</f>
        <v>5.2</v>
      </c>
      <c r="H593" s="4">
        <f>raw_order_lines!H593</f>
        <v>4.9000000000000004</v>
      </c>
      <c r="I593" s="4">
        <f>raw_order_lines!I593</f>
        <v>0</v>
      </c>
      <c r="J593" s="5">
        <f>raw_order_lines!J593</f>
        <v>4.4000000000000004</v>
      </c>
      <c r="K593" s="2" t="str">
        <f>raw_order_lines!K593</f>
        <v>到货不足；按实际交付计费</v>
      </c>
      <c r="L593" s="2" t="str">
        <f>raw_order_lines!L593</f>
        <v>true</v>
      </c>
      <c r="M593" s="2" t="str">
        <f>INDEX(dim_products!$B$2:$B$21,MATCH($E593,dim_products!$A$2:$A$21,0))</f>
        <v>黄瓜</v>
      </c>
      <c r="N593" s="2" t="str">
        <f>INDEX(dim_products!$C$2:$C$21,MATCH($E593,dim_products!$A$2:$A$21,0))</f>
        <v>散装鲜菜</v>
      </c>
      <c r="O593" s="2" t="str">
        <f>INDEX(dim_customers!$B$2:$B$7,MATCH($C593,dim_customers!$A$2:$A$7,0))</f>
        <v>模拟_青禾小学食堂</v>
      </c>
      <c r="P593" s="6">
        <f>INT((ROUND(raw_order_lines!H593*10,0)*ROUND(raw_order_lines!J593*100,0)+5)/10)/100</f>
        <v>21.56</v>
      </c>
      <c r="Q593" s="6">
        <f>INT((ROUND(raw_order_lines!I593*10,0)*ROUND(raw_order_lines!J593*100,0)+5)/10)/100</f>
        <v>0</v>
      </c>
      <c r="R593" s="6">
        <f t="shared" si="27"/>
        <v>21.56</v>
      </c>
      <c r="S593" s="2" t="str">
        <f>IF(OR(ROUND(raw_order_lines!I593*10,0)&gt;ROUND(raw_order_lines!H593*10,0),ROUND(raw_order_lines!H593*10,0)&gt;ROUND(raw_order_lines!G593*10,0),ROUND(raw_order_lines!G593*10,0)&lt;=0),"数量关系异常","")</f>
        <v/>
      </c>
      <c r="T593" s="2" t="str">
        <f>IF($F593&lt;&gt;INDEX(dim_products!$D$2:$D$21,MATCH($E593,dim_products!$A$2:$A$21,0)),"单位不一致","")</f>
        <v/>
      </c>
      <c r="U593" s="2" t="str">
        <f>IF(OR(ROUND(raw_order_lines!J593*100,0)&lt;ROUND(INDEX(dim_products!$F$2:$F$21,MATCH($E593,dim_products!$A$2:$A$21,0))*100,0),ROUND(raw_order_lines!J593*100,0)&gt;ROUND(INDEX(dim_products!$G$2:$G$21,MATCH($E593,dim_products!$A$2:$A$21,0))*100,0)),"单价越界","")</f>
        <v/>
      </c>
      <c r="V593" s="2" t="str">
        <f t="shared" si="28"/>
        <v/>
      </c>
      <c r="W593" s="2" t="str">
        <f t="shared" si="29"/>
        <v>通过</v>
      </c>
    </row>
    <row r="594" spans="1:23" ht="15">
      <c r="A594" s="2" t="str">
        <f>raw_order_lines!A594</f>
        <v>SIM-20260918-C006</v>
      </c>
      <c r="B594" s="2">
        <f>raw_order_lines!B594</f>
        <v>1</v>
      </c>
      <c r="C594" s="2" t="str">
        <f>raw_order_lines!C594</f>
        <v>C006</v>
      </c>
      <c r="D594" s="3">
        <f>raw_order_lines!D594</f>
        <v>46283</v>
      </c>
      <c r="E594" s="2" t="str">
        <f>raw_order_lines!E594</f>
        <v>P012</v>
      </c>
      <c r="F594" s="2" t="str">
        <f>raw_order_lines!F594</f>
        <v>公斤</v>
      </c>
      <c r="G594" s="4">
        <f>raw_order_lines!G594</f>
        <v>9.9</v>
      </c>
      <c r="H594" s="4">
        <f>raw_order_lines!H594</f>
        <v>9.9</v>
      </c>
      <c r="I594" s="4">
        <f>raw_order_lines!I594</f>
        <v>0</v>
      </c>
      <c r="J594" s="5">
        <f>raw_order_lines!J594</f>
        <v>5.2</v>
      </c>
      <c r="K594" s="2" t="str">
        <f>raw_order_lines!K594</f>
        <v>正常交付</v>
      </c>
      <c r="L594" s="2" t="str">
        <f>raw_order_lines!L594</f>
        <v>true</v>
      </c>
      <c r="M594" s="2" t="str">
        <f>INDEX(dim_products!$B$2:$B$21,MATCH($E594,dim_products!$A$2:$A$21,0))</f>
        <v>小白菜</v>
      </c>
      <c r="N594" s="2" t="str">
        <f>INDEX(dim_products!$C$2:$C$21,MATCH($E594,dim_products!$A$2:$A$21,0))</f>
        <v>散装鲜菜</v>
      </c>
      <c r="O594" s="2" t="str">
        <f>INDEX(dim_customers!$B$2:$B$7,MATCH($C594,dim_customers!$A$2:$A$7,0))</f>
        <v>模拟_溪桥医院食堂</v>
      </c>
      <c r="P594" s="6">
        <f>INT((ROUND(raw_order_lines!H594*10,0)*ROUND(raw_order_lines!J594*100,0)+5)/10)/100</f>
        <v>51.48</v>
      </c>
      <c r="Q594" s="6">
        <f>INT((ROUND(raw_order_lines!I594*10,0)*ROUND(raw_order_lines!J594*100,0)+5)/10)/100</f>
        <v>0</v>
      </c>
      <c r="R594" s="6">
        <f t="shared" si="27"/>
        <v>51.48</v>
      </c>
      <c r="S594" s="2" t="str">
        <f>IF(OR(ROUND(raw_order_lines!I594*10,0)&gt;ROUND(raw_order_lines!H594*10,0),ROUND(raw_order_lines!H594*10,0)&gt;ROUND(raw_order_lines!G594*10,0),ROUND(raw_order_lines!G594*10,0)&lt;=0),"数量关系异常","")</f>
        <v/>
      </c>
      <c r="T594" s="2" t="str">
        <f>IF($F594&lt;&gt;INDEX(dim_products!$D$2:$D$21,MATCH($E594,dim_products!$A$2:$A$21,0)),"单位不一致","")</f>
        <v/>
      </c>
      <c r="U594" s="2" t="str">
        <f>IF(OR(ROUND(raw_order_lines!J594*100,0)&lt;ROUND(INDEX(dim_products!$F$2:$F$21,MATCH($E594,dim_products!$A$2:$A$21,0))*100,0),ROUND(raw_order_lines!J594*100,0)&gt;ROUND(INDEX(dim_products!$G$2:$G$21,MATCH($E594,dim_products!$A$2:$A$21,0))*100,0)),"单价越界","")</f>
        <v/>
      </c>
      <c r="V594" s="2" t="str">
        <f t="shared" si="28"/>
        <v/>
      </c>
      <c r="W594" s="2" t="str">
        <f t="shared" si="29"/>
        <v>通过</v>
      </c>
    </row>
    <row r="595" spans="1:23" ht="15">
      <c r="A595" s="2" t="str">
        <f>raw_order_lines!A595</f>
        <v>SIM-20260918-C006</v>
      </c>
      <c r="B595" s="2">
        <f>raw_order_lines!B595</f>
        <v>2</v>
      </c>
      <c r="C595" s="2" t="str">
        <f>raw_order_lines!C595</f>
        <v>C006</v>
      </c>
      <c r="D595" s="3">
        <f>raw_order_lines!D595</f>
        <v>46283</v>
      </c>
      <c r="E595" s="2" t="str">
        <f>raw_order_lines!E595</f>
        <v>P001</v>
      </c>
      <c r="F595" s="2" t="str">
        <f>raw_order_lines!F595</f>
        <v>公斤</v>
      </c>
      <c r="G595" s="4">
        <f>raw_order_lines!G595</f>
        <v>7.4</v>
      </c>
      <c r="H595" s="4">
        <f>raw_order_lines!H595</f>
        <v>7.4</v>
      </c>
      <c r="I595" s="4">
        <f>raw_order_lines!I595</f>
        <v>0</v>
      </c>
      <c r="J595" s="5">
        <f>raw_order_lines!J595</f>
        <v>3.4</v>
      </c>
      <c r="K595" s="2" t="str">
        <f>raw_order_lines!K595</f>
        <v>正常交付</v>
      </c>
      <c r="L595" s="2" t="str">
        <f>raw_order_lines!L595</f>
        <v>true</v>
      </c>
      <c r="M595" s="2" t="str">
        <f>INDEX(dim_products!$B$2:$B$21,MATCH($E595,dim_products!$A$2:$A$21,0))</f>
        <v>土豆</v>
      </c>
      <c r="N595" s="2" t="str">
        <f>INDEX(dim_products!$C$2:$C$21,MATCH($E595,dim_products!$A$2:$A$21,0))</f>
        <v>散装鲜菜</v>
      </c>
      <c r="O595" s="2" t="str">
        <f>INDEX(dim_customers!$B$2:$B$7,MATCH($C595,dim_customers!$A$2:$A$7,0))</f>
        <v>模拟_溪桥医院食堂</v>
      </c>
      <c r="P595" s="6">
        <f>INT((ROUND(raw_order_lines!H595*10,0)*ROUND(raw_order_lines!J595*100,0)+5)/10)/100</f>
        <v>25.16</v>
      </c>
      <c r="Q595" s="6">
        <f>INT((ROUND(raw_order_lines!I595*10,0)*ROUND(raw_order_lines!J595*100,0)+5)/10)/100</f>
        <v>0</v>
      </c>
      <c r="R595" s="6">
        <f t="shared" si="27"/>
        <v>25.16</v>
      </c>
      <c r="S595" s="2" t="str">
        <f>IF(OR(ROUND(raw_order_lines!I595*10,0)&gt;ROUND(raw_order_lines!H595*10,0),ROUND(raw_order_lines!H595*10,0)&gt;ROUND(raw_order_lines!G595*10,0),ROUND(raw_order_lines!G595*10,0)&lt;=0),"数量关系异常","")</f>
        <v/>
      </c>
      <c r="T595" s="2" t="str">
        <f>IF($F595&lt;&gt;INDEX(dim_products!$D$2:$D$21,MATCH($E595,dim_products!$A$2:$A$21,0)),"单位不一致","")</f>
        <v/>
      </c>
      <c r="U595" s="2" t="str">
        <f>IF(OR(ROUND(raw_order_lines!J595*100,0)&lt;ROUND(INDEX(dim_products!$F$2:$F$21,MATCH($E595,dim_products!$A$2:$A$21,0))*100,0),ROUND(raw_order_lines!J595*100,0)&gt;ROUND(INDEX(dim_products!$G$2:$G$21,MATCH($E595,dim_products!$A$2:$A$21,0))*100,0)),"单价越界","")</f>
        <v/>
      </c>
      <c r="V595" s="2" t="str">
        <f t="shared" si="28"/>
        <v/>
      </c>
      <c r="W595" s="2" t="str">
        <f t="shared" si="29"/>
        <v>通过</v>
      </c>
    </row>
    <row r="596" spans="1:23" ht="15">
      <c r="A596" s="2" t="str">
        <f>raw_order_lines!A596</f>
        <v>SIM-20260918-C006</v>
      </c>
      <c r="B596" s="2">
        <f>raw_order_lines!B596</f>
        <v>3</v>
      </c>
      <c r="C596" s="2" t="str">
        <f>raw_order_lines!C596</f>
        <v>C006</v>
      </c>
      <c r="D596" s="3">
        <f>raw_order_lines!D596</f>
        <v>46283</v>
      </c>
      <c r="E596" s="2" t="str">
        <f>raw_order_lines!E596</f>
        <v>P006</v>
      </c>
      <c r="F596" s="2" t="str">
        <f>raw_order_lines!F596</f>
        <v>公斤</v>
      </c>
      <c r="G596" s="4">
        <f>raw_order_lines!G596</f>
        <v>8.6999999999999993</v>
      </c>
      <c r="H596" s="4">
        <f>raw_order_lines!H596</f>
        <v>8.6999999999999993</v>
      </c>
      <c r="I596" s="4">
        <f>raw_order_lines!I596</f>
        <v>0</v>
      </c>
      <c r="J596" s="5">
        <f>raw_order_lines!J596</f>
        <v>4.8</v>
      </c>
      <c r="K596" s="2" t="str">
        <f>raw_order_lines!K596</f>
        <v>正常交付</v>
      </c>
      <c r="L596" s="2" t="str">
        <f>raw_order_lines!L596</f>
        <v>true</v>
      </c>
      <c r="M596" s="2" t="str">
        <f>INDEX(dim_products!$B$2:$B$21,MATCH($E596,dim_products!$A$2:$A$21,0))</f>
        <v>茄子</v>
      </c>
      <c r="N596" s="2" t="str">
        <f>INDEX(dim_products!$C$2:$C$21,MATCH($E596,dim_products!$A$2:$A$21,0))</f>
        <v>散装鲜菜</v>
      </c>
      <c r="O596" s="2" t="str">
        <f>INDEX(dim_customers!$B$2:$B$7,MATCH($C596,dim_customers!$A$2:$A$7,0))</f>
        <v>模拟_溪桥医院食堂</v>
      </c>
      <c r="P596" s="6">
        <f>INT((ROUND(raw_order_lines!H596*10,0)*ROUND(raw_order_lines!J596*100,0)+5)/10)/100</f>
        <v>41.76</v>
      </c>
      <c r="Q596" s="6">
        <f>INT((ROUND(raw_order_lines!I596*10,0)*ROUND(raw_order_lines!J596*100,0)+5)/10)/100</f>
        <v>0</v>
      </c>
      <c r="R596" s="6">
        <f t="shared" si="27"/>
        <v>41.76</v>
      </c>
      <c r="S596" s="2" t="str">
        <f>IF(OR(ROUND(raw_order_lines!I596*10,0)&gt;ROUND(raw_order_lines!H596*10,0),ROUND(raw_order_lines!H596*10,0)&gt;ROUND(raw_order_lines!G596*10,0),ROUND(raw_order_lines!G596*10,0)&lt;=0),"数量关系异常","")</f>
        <v/>
      </c>
      <c r="T596" s="2" t="str">
        <f>IF($F596&lt;&gt;INDEX(dim_products!$D$2:$D$21,MATCH($E596,dim_products!$A$2:$A$21,0)),"单位不一致","")</f>
        <v/>
      </c>
      <c r="U596" s="2" t="str">
        <f>IF(OR(ROUND(raw_order_lines!J596*100,0)&lt;ROUND(INDEX(dim_products!$F$2:$F$21,MATCH($E596,dim_products!$A$2:$A$21,0))*100,0),ROUND(raw_order_lines!J596*100,0)&gt;ROUND(INDEX(dim_products!$G$2:$G$21,MATCH($E596,dim_products!$A$2:$A$21,0))*100,0)),"单价越界","")</f>
        <v/>
      </c>
      <c r="V596" s="2" t="str">
        <f t="shared" si="28"/>
        <v/>
      </c>
      <c r="W596" s="2" t="str">
        <f t="shared" si="29"/>
        <v>通过</v>
      </c>
    </row>
    <row r="597" spans="1:23" ht="15">
      <c r="A597" s="2" t="str">
        <f>raw_order_lines!A597</f>
        <v>SIM-20260918-C006</v>
      </c>
      <c r="B597" s="2">
        <f>raw_order_lines!B597</f>
        <v>4</v>
      </c>
      <c r="C597" s="2" t="str">
        <f>raw_order_lines!C597</f>
        <v>C006</v>
      </c>
      <c r="D597" s="3">
        <f>raw_order_lines!D597</f>
        <v>46283</v>
      </c>
      <c r="E597" s="2" t="str">
        <f>raw_order_lines!E597</f>
        <v>P009</v>
      </c>
      <c r="F597" s="2" t="str">
        <f>raw_order_lines!F597</f>
        <v>公斤</v>
      </c>
      <c r="G597" s="4">
        <f>raw_order_lines!G597</f>
        <v>8.1</v>
      </c>
      <c r="H597" s="4">
        <f>raw_order_lines!H597</f>
        <v>8.1</v>
      </c>
      <c r="I597" s="4">
        <f>raw_order_lines!I597</f>
        <v>0</v>
      </c>
      <c r="J597" s="5">
        <f>raw_order_lines!J597</f>
        <v>4.8</v>
      </c>
      <c r="K597" s="2" t="str">
        <f>raw_order_lines!K597</f>
        <v>正常交付</v>
      </c>
      <c r="L597" s="2" t="str">
        <f>raw_order_lines!L597</f>
        <v>true</v>
      </c>
      <c r="M597" s="2" t="str">
        <f>INDEX(dim_products!$B$2:$B$21,MATCH($E597,dim_products!$A$2:$A$21,0))</f>
        <v>西红柿</v>
      </c>
      <c r="N597" s="2" t="str">
        <f>INDEX(dim_products!$C$2:$C$21,MATCH($E597,dim_products!$A$2:$A$21,0))</f>
        <v>散装鲜菜</v>
      </c>
      <c r="O597" s="2" t="str">
        <f>INDEX(dim_customers!$B$2:$B$7,MATCH($C597,dim_customers!$A$2:$A$7,0))</f>
        <v>模拟_溪桥医院食堂</v>
      </c>
      <c r="P597" s="6">
        <f>INT((ROUND(raw_order_lines!H597*10,0)*ROUND(raw_order_lines!J597*100,0)+5)/10)/100</f>
        <v>38.880000000000003</v>
      </c>
      <c r="Q597" s="6">
        <f>INT((ROUND(raw_order_lines!I597*10,0)*ROUND(raw_order_lines!J597*100,0)+5)/10)/100</f>
        <v>0</v>
      </c>
      <c r="R597" s="6">
        <f t="shared" si="27"/>
        <v>38.880000000000003</v>
      </c>
      <c r="S597" s="2" t="str">
        <f>IF(OR(ROUND(raw_order_lines!I597*10,0)&gt;ROUND(raw_order_lines!H597*10,0),ROUND(raw_order_lines!H597*10,0)&gt;ROUND(raw_order_lines!G597*10,0),ROUND(raw_order_lines!G597*10,0)&lt;=0),"数量关系异常","")</f>
        <v/>
      </c>
      <c r="T597" s="2" t="str">
        <f>IF($F597&lt;&gt;INDEX(dim_products!$D$2:$D$21,MATCH($E597,dim_products!$A$2:$A$21,0)),"单位不一致","")</f>
        <v/>
      </c>
      <c r="U597" s="2" t="str">
        <f>IF(OR(ROUND(raw_order_lines!J597*100,0)&lt;ROUND(INDEX(dim_products!$F$2:$F$21,MATCH($E597,dim_products!$A$2:$A$21,0))*100,0),ROUND(raw_order_lines!J597*100,0)&gt;ROUND(INDEX(dim_products!$G$2:$G$21,MATCH($E597,dim_products!$A$2:$A$21,0))*100,0)),"单价越界","")</f>
        <v/>
      </c>
      <c r="V597" s="2" t="str">
        <f t="shared" si="28"/>
        <v/>
      </c>
      <c r="W597" s="2" t="str">
        <f t="shared" si="29"/>
        <v>通过</v>
      </c>
    </row>
    <row r="598" spans="1:23" ht="15">
      <c r="A598" s="2" t="str">
        <f>raw_order_lines!A598</f>
        <v>SIM-20260918-C006</v>
      </c>
      <c r="B598" s="2">
        <f>raw_order_lines!B598</f>
        <v>5</v>
      </c>
      <c r="C598" s="2" t="str">
        <f>raw_order_lines!C598</f>
        <v>C006</v>
      </c>
      <c r="D598" s="3">
        <f>raw_order_lines!D598</f>
        <v>46283</v>
      </c>
      <c r="E598" s="2" t="str">
        <f>raw_order_lines!E598</f>
        <v>P003</v>
      </c>
      <c r="F598" s="2" t="str">
        <f>raw_order_lines!F598</f>
        <v>公斤</v>
      </c>
      <c r="G598" s="4">
        <f>raw_order_lines!G598</f>
        <v>7.4</v>
      </c>
      <c r="H598" s="4">
        <f>raw_order_lines!H598</f>
        <v>7.4</v>
      </c>
      <c r="I598" s="4">
        <f>raw_order_lines!I598</f>
        <v>0</v>
      </c>
      <c r="J598" s="5">
        <f>raw_order_lines!J598</f>
        <v>3.5</v>
      </c>
      <c r="K598" s="2" t="str">
        <f>raw_order_lines!K598</f>
        <v>正常交付</v>
      </c>
      <c r="L598" s="2" t="str">
        <f>raw_order_lines!L598</f>
        <v>true</v>
      </c>
      <c r="M598" s="2" t="str">
        <f>INDEX(dim_products!$B$2:$B$21,MATCH($E598,dim_products!$A$2:$A$21,0))</f>
        <v>包菜</v>
      </c>
      <c r="N598" s="2" t="str">
        <f>INDEX(dim_products!$C$2:$C$21,MATCH($E598,dim_products!$A$2:$A$21,0))</f>
        <v>散装鲜菜</v>
      </c>
      <c r="O598" s="2" t="str">
        <f>INDEX(dim_customers!$B$2:$B$7,MATCH($C598,dim_customers!$A$2:$A$7,0))</f>
        <v>模拟_溪桥医院食堂</v>
      </c>
      <c r="P598" s="6">
        <f>INT((ROUND(raw_order_lines!H598*10,0)*ROUND(raw_order_lines!J598*100,0)+5)/10)/100</f>
        <v>25.9</v>
      </c>
      <c r="Q598" s="6">
        <f>INT((ROUND(raw_order_lines!I598*10,0)*ROUND(raw_order_lines!J598*100,0)+5)/10)/100</f>
        <v>0</v>
      </c>
      <c r="R598" s="6">
        <f t="shared" si="27"/>
        <v>25.9</v>
      </c>
      <c r="S598" s="2" t="str">
        <f>IF(OR(ROUND(raw_order_lines!I598*10,0)&gt;ROUND(raw_order_lines!H598*10,0),ROUND(raw_order_lines!H598*10,0)&gt;ROUND(raw_order_lines!G598*10,0),ROUND(raw_order_lines!G598*10,0)&lt;=0),"数量关系异常","")</f>
        <v/>
      </c>
      <c r="T598" s="2" t="str">
        <f>IF($F598&lt;&gt;INDEX(dim_products!$D$2:$D$21,MATCH($E598,dim_products!$A$2:$A$21,0)),"单位不一致","")</f>
        <v/>
      </c>
      <c r="U598" s="2" t="str">
        <f>IF(OR(ROUND(raw_order_lines!J598*100,0)&lt;ROUND(INDEX(dim_products!$F$2:$F$21,MATCH($E598,dim_products!$A$2:$A$21,0))*100,0),ROUND(raw_order_lines!J598*100,0)&gt;ROUND(INDEX(dim_products!$G$2:$G$21,MATCH($E598,dim_products!$A$2:$A$21,0))*100,0)),"单价越界","")</f>
        <v/>
      </c>
      <c r="V598" s="2" t="str">
        <f t="shared" si="28"/>
        <v/>
      </c>
      <c r="W598" s="2" t="str">
        <f t="shared" si="29"/>
        <v>通过</v>
      </c>
    </row>
    <row r="599" spans="1:23" ht="15">
      <c r="A599" s="2" t="str">
        <f>raw_order_lines!A599</f>
        <v>SIM-20260918-C006</v>
      </c>
      <c r="B599" s="2">
        <f>raw_order_lines!B599</f>
        <v>6</v>
      </c>
      <c r="C599" s="2" t="str">
        <f>raw_order_lines!C599</f>
        <v>C006</v>
      </c>
      <c r="D599" s="3">
        <f>raw_order_lines!D599</f>
        <v>46283</v>
      </c>
      <c r="E599" s="2" t="str">
        <f>raw_order_lines!E599</f>
        <v>P005</v>
      </c>
      <c r="F599" s="2" t="str">
        <f>raw_order_lines!F599</f>
        <v>公斤</v>
      </c>
      <c r="G599" s="4">
        <f>raw_order_lines!G599</f>
        <v>7.4</v>
      </c>
      <c r="H599" s="4">
        <f>raw_order_lines!H599</f>
        <v>7.4</v>
      </c>
      <c r="I599" s="4">
        <f>raw_order_lines!I599</f>
        <v>0</v>
      </c>
      <c r="J599" s="5">
        <f>raw_order_lines!J599</f>
        <v>3.2</v>
      </c>
      <c r="K599" s="2" t="str">
        <f>raw_order_lines!K599</f>
        <v>正常交付</v>
      </c>
      <c r="L599" s="2" t="str">
        <f>raw_order_lines!L599</f>
        <v>true</v>
      </c>
      <c r="M599" s="2" t="str">
        <f>INDEX(dim_products!$B$2:$B$21,MATCH($E599,dim_products!$A$2:$A$21,0))</f>
        <v>南瓜</v>
      </c>
      <c r="N599" s="2" t="str">
        <f>INDEX(dim_products!$C$2:$C$21,MATCH($E599,dim_products!$A$2:$A$21,0))</f>
        <v>散装鲜菜</v>
      </c>
      <c r="O599" s="2" t="str">
        <f>INDEX(dim_customers!$B$2:$B$7,MATCH($C599,dim_customers!$A$2:$A$7,0))</f>
        <v>模拟_溪桥医院食堂</v>
      </c>
      <c r="P599" s="6">
        <f>INT((ROUND(raw_order_lines!H599*10,0)*ROUND(raw_order_lines!J599*100,0)+5)/10)/100</f>
        <v>23.68</v>
      </c>
      <c r="Q599" s="6">
        <f>INT((ROUND(raw_order_lines!I599*10,0)*ROUND(raw_order_lines!J599*100,0)+5)/10)/100</f>
        <v>0</v>
      </c>
      <c r="R599" s="6">
        <f t="shared" si="27"/>
        <v>23.68</v>
      </c>
      <c r="S599" s="2" t="str">
        <f>IF(OR(ROUND(raw_order_lines!I599*10,0)&gt;ROUND(raw_order_lines!H599*10,0),ROUND(raw_order_lines!H599*10,0)&gt;ROUND(raw_order_lines!G599*10,0),ROUND(raw_order_lines!G599*10,0)&lt;=0),"数量关系异常","")</f>
        <v/>
      </c>
      <c r="T599" s="2" t="str">
        <f>IF($F599&lt;&gt;INDEX(dim_products!$D$2:$D$21,MATCH($E599,dim_products!$A$2:$A$21,0)),"单位不一致","")</f>
        <v/>
      </c>
      <c r="U599" s="2" t="str">
        <f>IF(OR(ROUND(raw_order_lines!J599*100,0)&lt;ROUND(INDEX(dim_products!$F$2:$F$21,MATCH($E599,dim_products!$A$2:$A$21,0))*100,0),ROUND(raw_order_lines!J599*100,0)&gt;ROUND(INDEX(dim_products!$G$2:$G$21,MATCH($E599,dim_products!$A$2:$A$21,0))*100,0)),"单价越界","")</f>
        <v/>
      </c>
      <c r="V599" s="2" t="str">
        <f t="shared" si="28"/>
        <v/>
      </c>
      <c r="W599" s="2" t="str">
        <f t="shared" si="29"/>
        <v>通过</v>
      </c>
    </row>
    <row r="600" spans="1:23" ht="15">
      <c r="A600" s="2" t="str">
        <f>raw_order_lines!A600</f>
        <v>SIM-20260919-C001</v>
      </c>
      <c r="B600" s="2">
        <f>raw_order_lines!B600</f>
        <v>1</v>
      </c>
      <c r="C600" s="2" t="str">
        <f>raw_order_lines!C600</f>
        <v>C001</v>
      </c>
      <c r="D600" s="3">
        <f>raw_order_lines!D600</f>
        <v>46284</v>
      </c>
      <c r="E600" s="2" t="str">
        <f>raw_order_lines!E600</f>
        <v>P012</v>
      </c>
      <c r="F600" s="2" t="str">
        <f>raw_order_lines!F600</f>
        <v>公斤</v>
      </c>
      <c r="G600" s="4">
        <f>raw_order_lines!G600</f>
        <v>3.1</v>
      </c>
      <c r="H600" s="4">
        <f>raw_order_lines!H600</f>
        <v>3.1</v>
      </c>
      <c r="I600" s="4">
        <f>raw_order_lines!I600</f>
        <v>0</v>
      </c>
      <c r="J600" s="5">
        <f>raw_order_lines!J600</f>
        <v>5.2</v>
      </c>
      <c r="K600" s="2" t="str">
        <f>raw_order_lines!K600</f>
        <v>正常交付</v>
      </c>
      <c r="L600" s="2" t="str">
        <f>raw_order_lines!L600</f>
        <v>true</v>
      </c>
      <c r="M600" s="2" t="str">
        <f>INDEX(dim_products!$B$2:$B$21,MATCH($E600,dim_products!$A$2:$A$21,0))</f>
        <v>小白菜</v>
      </c>
      <c r="N600" s="2" t="str">
        <f>INDEX(dim_products!$C$2:$C$21,MATCH($E600,dim_products!$A$2:$A$21,0))</f>
        <v>散装鲜菜</v>
      </c>
      <c r="O600" s="2" t="str">
        <f>INDEX(dim_customers!$B$2:$B$7,MATCH($C600,dim_customers!$A$2:$A$7,0))</f>
        <v>模拟_榕树下粉面店</v>
      </c>
      <c r="P600" s="6">
        <f>INT((ROUND(raw_order_lines!H600*10,0)*ROUND(raw_order_lines!J600*100,0)+5)/10)/100</f>
        <v>16.12</v>
      </c>
      <c r="Q600" s="6">
        <f>INT((ROUND(raw_order_lines!I600*10,0)*ROUND(raw_order_lines!J600*100,0)+5)/10)/100</f>
        <v>0</v>
      </c>
      <c r="R600" s="6">
        <f t="shared" si="27"/>
        <v>16.12</v>
      </c>
      <c r="S600" s="2" t="str">
        <f>IF(OR(ROUND(raw_order_lines!I600*10,0)&gt;ROUND(raw_order_lines!H600*10,0),ROUND(raw_order_lines!H600*10,0)&gt;ROUND(raw_order_lines!G600*10,0),ROUND(raw_order_lines!G600*10,0)&lt;=0),"数量关系异常","")</f>
        <v/>
      </c>
      <c r="T600" s="2" t="str">
        <f>IF($F600&lt;&gt;INDEX(dim_products!$D$2:$D$21,MATCH($E600,dim_products!$A$2:$A$21,0)),"单位不一致","")</f>
        <v/>
      </c>
      <c r="U600" s="2" t="str">
        <f>IF(OR(ROUND(raw_order_lines!J600*100,0)&lt;ROUND(INDEX(dim_products!$F$2:$F$21,MATCH($E600,dim_products!$A$2:$A$21,0))*100,0),ROUND(raw_order_lines!J600*100,0)&gt;ROUND(INDEX(dim_products!$G$2:$G$21,MATCH($E600,dim_products!$A$2:$A$21,0))*100,0)),"单价越界","")</f>
        <v/>
      </c>
      <c r="V600" s="2" t="str">
        <f t="shared" si="28"/>
        <v/>
      </c>
      <c r="W600" s="2" t="str">
        <f t="shared" si="29"/>
        <v>通过</v>
      </c>
    </row>
    <row r="601" spans="1:23" ht="15">
      <c r="A601" s="2" t="str">
        <f>raw_order_lines!A601</f>
        <v>SIM-20260919-C001</v>
      </c>
      <c r="B601" s="2">
        <f>raw_order_lines!B601</f>
        <v>2</v>
      </c>
      <c r="C601" s="2" t="str">
        <f>raw_order_lines!C601</f>
        <v>C001</v>
      </c>
      <c r="D601" s="3">
        <f>raw_order_lines!D601</f>
        <v>46284</v>
      </c>
      <c r="E601" s="2" t="str">
        <f>raw_order_lines!E601</f>
        <v>P009</v>
      </c>
      <c r="F601" s="2" t="str">
        <f>raw_order_lines!F601</f>
        <v>公斤</v>
      </c>
      <c r="G601" s="4">
        <f>raw_order_lines!G601</f>
        <v>3.3</v>
      </c>
      <c r="H601" s="4">
        <f>raw_order_lines!H601</f>
        <v>3.3</v>
      </c>
      <c r="I601" s="4">
        <f>raw_order_lines!I601</f>
        <v>0</v>
      </c>
      <c r="J601" s="5">
        <f>raw_order_lines!J601</f>
        <v>4.8</v>
      </c>
      <c r="K601" s="2" t="str">
        <f>raw_order_lines!K601</f>
        <v>正常交付</v>
      </c>
      <c r="L601" s="2" t="str">
        <f>raw_order_lines!L601</f>
        <v>true</v>
      </c>
      <c r="M601" s="2" t="str">
        <f>INDEX(dim_products!$B$2:$B$21,MATCH($E601,dim_products!$A$2:$A$21,0))</f>
        <v>西红柿</v>
      </c>
      <c r="N601" s="2" t="str">
        <f>INDEX(dim_products!$C$2:$C$21,MATCH($E601,dim_products!$A$2:$A$21,0))</f>
        <v>散装鲜菜</v>
      </c>
      <c r="O601" s="2" t="str">
        <f>INDEX(dim_customers!$B$2:$B$7,MATCH($C601,dim_customers!$A$2:$A$7,0))</f>
        <v>模拟_榕树下粉面店</v>
      </c>
      <c r="P601" s="6">
        <f>INT((ROUND(raw_order_lines!H601*10,0)*ROUND(raw_order_lines!J601*100,0)+5)/10)/100</f>
        <v>15.84</v>
      </c>
      <c r="Q601" s="6">
        <f>INT((ROUND(raw_order_lines!I601*10,0)*ROUND(raw_order_lines!J601*100,0)+5)/10)/100</f>
        <v>0</v>
      </c>
      <c r="R601" s="6">
        <f t="shared" si="27"/>
        <v>15.84</v>
      </c>
      <c r="S601" s="2" t="str">
        <f>IF(OR(ROUND(raw_order_lines!I601*10,0)&gt;ROUND(raw_order_lines!H601*10,0),ROUND(raw_order_lines!H601*10,0)&gt;ROUND(raw_order_lines!G601*10,0),ROUND(raw_order_lines!G601*10,0)&lt;=0),"数量关系异常","")</f>
        <v/>
      </c>
      <c r="T601" s="2" t="str">
        <f>IF($F601&lt;&gt;INDEX(dim_products!$D$2:$D$21,MATCH($E601,dim_products!$A$2:$A$21,0)),"单位不一致","")</f>
        <v/>
      </c>
      <c r="U601" s="2" t="str">
        <f>IF(OR(ROUND(raw_order_lines!J601*100,0)&lt;ROUND(INDEX(dim_products!$F$2:$F$21,MATCH($E601,dim_products!$A$2:$A$21,0))*100,0),ROUND(raw_order_lines!J601*100,0)&gt;ROUND(INDEX(dim_products!$G$2:$G$21,MATCH($E601,dim_products!$A$2:$A$21,0))*100,0)),"单价越界","")</f>
        <v/>
      </c>
      <c r="V601" s="2" t="str">
        <f t="shared" si="28"/>
        <v/>
      </c>
      <c r="W601" s="2" t="str">
        <f t="shared" si="29"/>
        <v>通过</v>
      </c>
    </row>
    <row r="602" spans="1:23" ht="15">
      <c r="A602" s="2" t="str">
        <f>raw_order_lines!A602</f>
        <v>SIM-20260919-C001</v>
      </c>
      <c r="B602" s="2">
        <f>raw_order_lines!B602</f>
        <v>3</v>
      </c>
      <c r="C602" s="2" t="str">
        <f>raw_order_lines!C602</f>
        <v>C001</v>
      </c>
      <c r="D602" s="3">
        <f>raw_order_lines!D602</f>
        <v>46284</v>
      </c>
      <c r="E602" s="2" t="str">
        <f>raw_order_lines!E602</f>
        <v>P007</v>
      </c>
      <c r="F602" s="2" t="str">
        <f>raw_order_lines!F602</f>
        <v>公斤</v>
      </c>
      <c r="G602" s="4">
        <f>raw_order_lines!G602</f>
        <v>2.6</v>
      </c>
      <c r="H602" s="4">
        <f>raw_order_lines!H602</f>
        <v>2.6</v>
      </c>
      <c r="I602" s="4">
        <f>raw_order_lines!I602</f>
        <v>0</v>
      </c>
      <c r="J602" s="5">
        <f>raw_order_lines!J602</f>
        <v>5.25</v>
      </c>
      <c r="K602" s="2" t="str">
        <f>raw_order_lines!K602</f>
        <v>正常交付</v>
      </c>
      <c r="L602" s="2" t="str">
        <f>raw_order_lines!L602</f>
        <v>true</v>
      </c>
      <c r="M602" s="2" t="str">
        <f>INDEX(dim_products!$B$2:$B$21,MATCH($E602,dim_products!$A$2:$A$21,0))</f>
        <v>青椒</v>
      </c>
      <c r="N602" s="2" t="str">
        <f>INDEX(dim_products!$C$2:$C$21,MATCH($E602,dim_products!$A$2:$A$21,0))</f>
        <v>散装鲜菜</v>
      </c>
      <c r="O602" s="2" t="str">
        <f>INDEX(dim_customers!$B$2:$B$7,MATCH($C602,dim_customers!$A$2:$A$7,0))</f>
        <v>模拟_榕树下粉面店</v>
      </c>
      <c r="P602" s="6">
        <f>INT((ROUND(raw_order_lines!H602*10,0)*ROUND(raw_order_lines!J602*100,0)+5)/10)/100</f>
        <v>13.65</v>
      </c>
      <c r="Q602" s="6">
        <f>INT((ROUND(raw_order_lines!I602*10,0)*ROUND(raw_order_lines!J602*100,0)+5)/10)/100</f>
        <v>0</v>
      </c>
      <c r="R602" s="6">
        <f t="shared" si="27"/>
        <v>13.65</v>
      </c>
      <c r="S602" s="2" t="str">
        <f>IF(OR(ROUND(raw_order_lines!I602*10,0)&gt;ROUND(raw_order_lines!H602*10,0),ROUND(raw_order_lines!H602*10,0)&gt;ROUND(raw_order_lines!G602*10,0),ROUND(raw_order_lines!G602*10,0)&lt;=0),"数量关系异常","")</f>
        <v/>
      </c>
      <c r="T602" s="2" t="str">
        <f>IF($F602&lt;&gt;INDEX(dim_products!$D$2:$D$21,MATCH($E602,dim_products!$A$2:$A$21,0)),"单位不一致","")</f>
        <v/>
      </c>
      <c r="U602" s="2" t="str">
        <f>IF(OR(ROUND(raw_order_lines!J602*100,0)&lt;ROUND(INDEX(dim_products!$F$2:$F$21,MATCH($E602,dim_products!$A$2:$A$21,0))*100,0),ROUND(raw_order_lines!J602*100,0)&gt;ROUND(INDEX(dim_products!$G$2:$G$21,MATCH($E602,dim_products!$A$2:$A$21,0))*100,0)),"单价越界","")</f>
        <v/>
      </c>
      <c r="V602" s="2" t="str">
        <f t="shared" si="28"/>
        <v/>
      </c>
      <c r="W602" s="2" t="str">
        <f t="shared" si="29"/>
        <v>通过</v>
      </c>
    </row>
    <row r="603" spans="1:23" ht="15">
      <c r="A603" s="2" t="str">
        <f>raw_order_lines!A603</f>
        <v>SIM-20260919-C001</v>
      </c>
      <c r="B603" s="2">
        <f>raw_order_lines!B603</f>
        <v>4</v>
      </c>
      <c r="C603" s="2" t="str">
        <f>raw_order_lines!C603</f>
        <v>C001</v>
      </c>
      <c r="D603" s="3">
        <f>raw_order_lines!D603</f>
        <v>46284</v>
      </c>
      <c r="E603" s="2" t="str">
        <f>raw_order_lines!E603</f>
        <v>P014</v>
      </c>
      <c r="F603" s="2" t="str">
        <f>raw_order_lines!F603</f>
        <v>公斤</v>
      </c>
      <c r="G603" s="4">
        <f>raw_order_lines!G603</f>
        <v>2.4</v>
      </c>
      <c r="H603" s="4">
        <f>raw_order_lines!H603</f>
        <v>2.4</v>
      </c>
      <c r="I603" s="4">
        <f>raw_order_lines!I603</f>
        <v>0</v>
      </c>
      <c r="J603" s="5">
        <f>raw_order_lines!J603</f>
        <v>5</v>
      </c>
      <c r="K603" s="2" t="str">
        <f>raw_order_lines!K603</f>
        <v>正常交付</v>
      </c>
      <c r="L603" s="2" t="str">
        <f>raw_order_lines!L603</f>
        <v>true</v>
      </c>
      <c r="M603" s="2" t="str">
        <f>INDEX(dim_products!$B$2:$B$21,MATCH($E603,dim_products!$A$2:$A$21,0))</f>
        <v>丝瓜</v>
      </c>
      <c r="N603" s="2" t="str">
        <f>INDEX(dim_products!$C$2:$C$21,MATCH($E603,dim_products!$A$2:$A$21,0))</f>
        <v>散装鲜菜</v>
      </c>
      <c r="O603" s="2" t="str">
        <f>INDEX(dim_customers!$B$2:$B$7,MATCH($C603,dim_customers!$A$2:$A$7,0))</f>
        <v>模拟_榕树下粉面店</v>
      </c>
      <c r="P603" s="6">
        <f>INT((ROUND(raw_order_lines!H603*10,0)*ROUND(raw_order_lines!J603*100,0)+5)/10)/100</f>
        <v>12</v>
      </c>
      <c r="Q603" s="6">
        <f>INT((ROUND(raw_order_lines!I603*10,0)*ROUND(raw_order_lines!J603*100,0)+5)/10)/100</f>
        <v>0</v>
      </c>
      <c r="R603" s="6">
        <f t="shared" si="27"/>
        <v>12</v>
      </c>
      <c r="S603" s="2" t="str">
        <f>IF(OR(ROUND(raw_order_lines!I603*10,0)&gt;ROUND(raw_order_lines!H603*10,0),ROUND(raw_order_lines!H603*10,0)&gt;ROUND(raw_order_lines!G603*10,0),ROUND(raw_order_lines!G603*10,0)&lt;=0),"数量关系异常","")</f>
        <v/>
      </c>
      <c r="T603" s="2" t="str">
        <f>IF($F603&lt;&gt;INDEX(dim_products!$D$2:$D$21,MATCH($E603,dim_products!$A$2:$A$21,0)),"单位不一致","")</f>
        <v/>
      </c>
      <c r="U603" s="2" t="str">
        <f>IF(OR(ROUND(raw_order_lines!J603*100,0)&lt;ROUND(INDEX(dim_products!$F$2:$F$21,MATCH($E603,dim_products!$A$2:$A$21,0))*100,0),ROUND(raw_order_lines!J603*100,0)&gt;ROUND(INDEX(dim_products!$G$2:$G$21,MATCH($E603,dim_products!$A$2:$A$21,0))*100,0)),"单价越界","")</f>
        <v/>
      </c>
      <c r="V603" s="2" t="str">
        <f t="shared" si="28"/>
        <v/>
      </c>
      <c r="W603" s="2" t="str">
        <f t="shared" si="29"/>
        <v>通过</v>
      </c>
    </row>
    <row r="604" spans="1:23" ht="15">
      <c r="A604" s="2" t="str">
        <f>raw_order_lines!A604</f>
        <v>SIM-20260919-C001</v>
      </c>
      <c r="B604" s="2">
        <f>raw_order_lines!B604</f>
        <v>5</v>
      </c>
      <c r="C604" s="2" t="str">
        <f>raw_order_lines!C604</f>
        <v>C001</v>
      </c>
      <c r="D604" s="3">
        <f>raw_order_lines!D604</f>
        <v>46284</v>
      </c>
      <c r="E604" s="2" t="str">
        <f>raw_order_lines!E604</f>
        <v>P016</v>
      </c>
      <c r="F604" s="2" t="str">
        <f>raw_order_lines!F604</f>
        <v>公斤</v>
      </c>
      <c r="G604" s="4">
        <f>raw_order_lines!G604</f>
        <v>3</v>
      </c>
      <c r="H604" s="4">
        <f>raw_order_lines!H604</f>
        <v>3</v>
      </c>
      <c r="I604" s="4">
        <f>raw_order_lines!I604</f>
        <v>0</v>
      </c>
      <c r="J604" s="5">
        <f>raw_order_lines!J604</f>
        <v>10.199999999999999</v>
      </c>
      <c r="K604" s="2" t="str">
        <f>raw_order_lines!K604</f>
        <v>正常交付</v>
      </c>
      <c r="L604" s="2" t="str">
        <f>raw_order_lines!L604</f>
        <v>true</v>
      </c>
      <c r="M604" s="2" t="str">
        <f>INDEX(dim_products!$B$2:$B$21,MATCH($E604,dim_products!$A$2:$A$21,0))</f>
        <v>鸡蛋</v>
      </c>
      <c r="N604" s="2" t="str">
        <f>INDEX(dim_products!$C$2:$C$21,MATCH($E604,dim_products!$A$2:$A$21,0))</f>
        <v>普通鲜鸡蛋按净重</v>
      </c>
      <c r="O604" s="2" t="str">
        <f>INDEX(dim_customers!$B$2:$B$7,MATCH($C604,dim_customers!$A$2:$A$7,0))</f>
        <v>模拟_榕树下粉面店</v>
      </c>
      <c r="P604" s="6">
        <f>INT((ROUND(raw_order_lines!H604*10,0)*ROUND(raw_order_lines!J604*100,0)+5)/10)/100</f>
        <v>30.6</v>
      </c>
      <c r="Q604" s="6">
        <f>INT((ROUND(raw_order_lines!I604*10,0)*ROUND(raw_order_lines!J604*100,0)+5)/10)/100</f>
        <v>0</v>
      </c>
      <c r="R604" s="6">
        <f t="shared" si="27"/>
        <v>30.6</v>
      </c>
      <c r="S604" s="2" t="str">
        <f>IF(OR(ROUND(raw_order_lines!I604*10,0)&gt;ROUND(raw_order_lines!H604*10,0),ROUND(raw_order_lines!H604*10,0)&gt;ROUND(raw_order_lines!G604*10,0),ROUND(raw_order_lines!G604*10,0)&lt;=0),"数量关系异常","")</f>
        <v/>
      </c>
      <c r="T604" s="2" t="str">
        <f>IF($F604&lt;&gt;INDEX(dim_products!$D$2:$D$21,MATCH($E604,dim_products!$A$2:$A$21,0)),"单位不一致","")</f>
        <v/>
      </c>
      <c r="U604" s="2" t="str">
        <f>IF(OR(ROUND(raw_order_lines!J604*100,0)&lt;ROUND(INDEX(dim_products!$F$2:$F$21,MATCH($E604,dim_products!$A$2:$A$21,0))*100,0),ROUND(raw_order_lines!J604*100,0)&gt;ROUND(INDEX(dim_products!$G$2:$G$21,MATCH($E604,dim_products!$A$2:$A$21,0))*100,0)),"单价越界","")</f>
        <v/>
      </c>
      <c r="V604" s="2" t="str">
        <f t="shared" si="28"/>
        <v/>
      </c>
      <c r="W604" s="2" t="str">
        <f t="shared" si="29"/>
        <v>通过</v>
      </c>
    </row>
    <row r="605" spans="1:23" ht="15">
      <c r="A605" s="2" t="str">
        <f>raw_order_lines!A605</f>
        <v>SIM-20260919-C002</v>
      </c>
      <c r="B605" s="2">
        <f>raw_order_lines!B605</f>
        <v>1</v>
      </c>
      <c r="C605" s="2" t="str">
        <f>raw_order_lines!C605</f>
        <v>C002</v>
      </c>
      <c r="D605" s="3">
        <f>raw_order_lines!D605</f>
        <v>46284</v>
      </c>
      <c r="E605" s="2" t="str">
        <f>raw_order_lines!E605</f>
        <v>P010</v>
      </c>
      <c r="F605" s="2" t="str">
        <f>raw_order_lines!F605</f>
        <v>公斤</v>
      </c>
      <c r="G605" s="4">
        <f>raw_order_lines!G605</f>
        <v>6.2</v>
      </c>
      <c r="H605" s="4">
        <f>raw_order_lines!H605</f>
        <v>6.2</v>
      </c>
      <c r="I605" s="4">
        <f>raw_order_lines!I605</f>
        <v>0</v>
      </c>
      <c r="J605" s="5">
        <f>raw_order_lines!J605</f>
        <v>4.5</v>
      </c>
      <c r="K605" s="2" t="str">
        <f>raw_order_lines!K605</f>
        <v>正常交付</v>
      </c>
      <c r="L605" s="2" t="str">
        <f>raw_order_lines!L605</f>
        <v>true</v>
      </c>
      <c r="M605" s="2" t="str">
        <f>INDEX(dim_products!$B$2:$B$21,MATCH($E605,dim_products!$A$2:$A$21,0))</f>
        <v>空心菜</v>
      </c>
      <c r="N605" s="2" t="str">
        <f>INDEX(dim_products!$C$2:$C$21,MATCH($E605,dim_products!$A$2:$A$21,0))</f>
        <v>散装鲜菜</v>
      </c>
      <c r="O605" s="2" t="str">
        <f>INDEX(dim_customers!$B$2:$B$7,MATCH($C605,dim_customers!$A$2:$A$7,0))</f>
        <v>模拟_桥头家常菜馆</v>
      </c>
      <c r="P605" s="6">
        <f>INT((ROUND(raw_order_lines!H605*10,0)*ROUND(raw_order_lines!J605*100,0)+5)/10)/100</f>
        <v>27.9</v>
      </c>
      <c r="Q605" s="6">
        <f>INT((ROUND(raw_order_lines!I605*10,0)*ROUND(raw_order_lines!J605*100,0)+5)/10)/100</f>
        <v>0</v>
      </c>
      <c r="R605" s="6">
        <f t="shared" si="27"/>
        <v>27.9</v>
      </c>
      <c r="S605" s="2" t="str">
        <f>IF(OR(ROUND(raw_order_lines!I605*10,0)&gt;ROUND(raw_order_lines!H605*10,0),ROUND(raw_order_lines!H605*10,0)&gt;ROUND(raw_order_lines!G605*10,0),ROUND(raw_order_lines!G605*10,0)&lt;=0),"数量关系异常","")</f>
        <v/>
      </c>
      <c r="T605" s="2" t="str">
        <f>IF($F605&lt;&gt;INDEX(dim_products!$D$2:$D$21,MATCH($E605,dim_products!$A$2:$A$21,0)),"单位不一致","")</f>
        <v/>
      </c>
      <c r="U605" s="2" t="str">
        <f>IF(OR(ROUND(raw_order_lines!J605*100,0)&lt;ROUND(INDEX(dim_products!$F$2:$F$21,MATCH($E605,dim_products!$A$2:$A$21,0))*100,0),ROUND(raw_order_lines!J605*100,0)&gt;ROUND(INDEX(dim_products!$G$2:$G$21,MATCH($E605,dim_products!$A$2:$A$21,0))*100,0)),"单价越界","")</f>
        <v/>
      </c>
      <c r="V605" s="2" t="str">
        <f t="shared" si="28"/>
        <v/>
      </c>
      <c r="W605" s="2" t="str">
        <f t="shared" si="29"/>
        <v>通过</v>
      </c>
    </row>
    <row r="606" spans="1:23" ht="15">
      <c r="A606" s="2" t="str">
        <f>raw_order_lines!A606</f>
        <v>SIM-20260919-C002</v>
      </c>
      <c r="B606" s="2">
        <f>raw_order_lines!B606</f>
        <v>2</v>
      </c>
      <c r="C606" s="2" t="str">
        <f>raw_order_lines!C606</f>
        <v>C002</v>
      </c>
      <c r="D606" s="3">
        <f>raw_order_lines!D606</f>
        <v>46284</v>
      </c>
      <c r="E606" s="2" t="str">
        <f>raw_order_lines!E606</f>
        <v>P008</v>
      </c>
      <c r="F606" s="2" t="str">
        <f>raw_order_lines!F606</f>
        <v>公斤</v>
      </c>
      <c r="G606" s="4">
        <f>raw_order_lines!G606</f>
        <v>7.1</v>
      </c>
      <c r="H606" s="4">
        <f>raw_order_lines!H606</f>
        <v>7.1</v>
      </c>
      <c r="I606" s="4">
        <f>raw_order_lines!I606</f>
        <v>0</v>
      </c>
      <c r="J606" s="5">
        <f>raw_order_lines!J606</f>
        <v>4.4000000000000004</v>
      </c>
      <c r="K606" s="2" t="str">
        <f>raw_order_lines!K606</f>
        <v>正常交付</v>
      </c>
      <c r="L606" s="2" t="str">
        <f>raw_order_lines!L606</f>
        <v>true</v>
      </c>
      <c r="M606" s="2" t="str">
        <f>INDEX(dim_products!$B$2:$B$21,MATCH($E606,dim_products!$A$2:$A$21,0))</f>
        <v>黄瓜</v>
      </c>
      <c r="N606" s="2" t="str">
        <f>INDEX(dim_products!$C$2:$C$21,MATCH($E606,dim_products!$A$2:$A$21,0))</f>
        <v>散装鲜菜</v>
      </c>
      <c r="O606" s="2" t="str">
        <f>INDEX(dim_customers!$B$2:$B$7,MATCH($C606,dim_customers!$A$2:$A$7,0))</f>
        <v>模拟_桥头家常菜馆</v>
      </c>
      <c r="P606" s="6">
        <f>INT((ROUND(raw_order_lines!H606*10,0)*ROUND(raw_order_lines!J606*100,0)+5)/10)/100</f>
        <v>31.24</v>
      </c>
      <c r="Q606" s="6">
        <f>INT((ROUND(raw_order_lines!I606*10,0)*ROUND(raw_order_lines!J606*100,0)+5)/10)/100</f>
        <v>0</v>
      </c>
      <c r="R606" s="6">
        <f t="shared" si="27"/>
        <v>31.24</v>
      </c>
      <c r="S606" s="2" t="str">
        <f>IF(OR(ROUND(raw_order_lines!I606*10,0)&gt;ROUND(raw_order_lines!H606*10,0),ROUND(raw_order_lines!H606*10,0)&gt;ROUND(raw_order_lines!G606*10,0),ROUND(raw_order_lines!G606*10,0)&lt;=0),"数量关系异常","")</f>
        <v/>
      </c>
      <c r="T606" s="2" t="str">
        <f>IF($F606&lt;&gt;INDEX(dim_products!$D$2:$D$21,MATCH($E606,dim_products!$A$2:$A$21,0)),"单位不一致","")</f>
        <v/>
      </c>
      <c r="U606" s="2" t="str">
        <f>IF(OR(ROUND(raw_order_lines!J606*100,0)&lt;ROUND(INDEX(dim_products!$F$2:$F$21,MATCH($E606,dim_products!$A$2:$A$21,0))*100,0),ROUND(raw_order_lines!J606*100,0)&gt;ROUND(INDEX(dim_products!$G$2:$G$21,MATCH($E606,dim_products!$A$2:$A$21,0))*100,0)),"单价越界","")</f>
        <v/>
      </c>
      <c r="V606" s="2" t="str">
        <f t="shared" si="28"/>
        <v/>
      </c>
      <c r="W606" s="2" t="str">
        <f t="shared" si="29"/>
        <v>通过</v>
      </c>
    </row>
    <row r="607" spans="1:23" ht="15">
      <c r="A607" s="2" t="str">
        <f>raw_order_lines!A607</f>
        <v>SIM-20260919-C002</v>
      </c>
      <c r="B607" s="2">
        <f>raw_order_lines!B607</f>
        <v>3</v>
      </c>
      <c r="C607" s="2" t="str">
        <f>raw_order_lines!C607</f>
        <v>C002</v>
      </c>
      <c r="D607" s="3">
        <f>raw_order_lines!D607</f>
        <v>46284</v>
      </c>
      <c r="E607" s="2" t="str">
        <f>raw_order_lines!E607</f>
        <v>P007</v>
      </c>
      <c r="F607" s="2" t="str">
        <f>raw_order_lines!F607</f>
        <v>公斤</v>
      </c>
      <c r="G607" s="4">
        <f>raw_order_lines!G607</f>
        <v>12.4</v>
      </c>
      <c r="H607" s="4">
        <f>raw_order_lines!H607</f>
        <v>12.4</v>
      </c>
      <c r="I607" s="4">
        <f>raw_order_lines!I607</f>
        <v>0</v>
      </c>
      <c r="J607" s="5">
        <f>raw_order_lines!J607</f>
        <v>5.25</v>
      </c>
      <c r="K607" s="2" t="str">
        <f>raw_order_lines!K607</f>
        <v>正常交付</v>
      </c>
      <c r="L607" s="2" t="str">
        <f>raw_order_lines!L607</f>
        <v>true</v>
      </c>
      <c r="M607" s="2" t="str">
        <f>INDEX(dim_products!$B$2:$B$21,MATCH($E607,dim_products!$A$2:$A$21,0))</f>
        <v>青椒</v>
      </c>
      <c r="N607" s="2" t="str">
        <f>INDEX(dim_products!$C$2:$C$21,MATCH($E607,dim_products!$A$2:$A$21,0))</f>
        <v>散装鲜菜</v>
      </c>
      <c r="O607" s="2" t="str">
        <f>INDEX(dim_customers!$B$2:$B$7,MATCH($C607,dim_customers!$A$2:$A$7,0))</f>
        <v>模拟_桥头家常菜馆</v>
      </c>
      <c r="P607" s="6">
        <f>INT((ROUND(raw_order_lines!H607*10,0)*ROUND(raw_order_lines!J607*100,0)+5)/10)/100</f>
        <v>65.099999999999994</v>
      </c>
      <c r="Q607" s="6">
        <f>INT((ROUND(raw_order_lines!I607*10,0)*ROUND(raw_order_lines!J607*100,0)+5)/10)/100</f>
        <v>0</v>
      </c>
      <c r="R607" s="6">
        <f t="shared" si="27"/>
        <v>65.099999999999994</v>
      </c>
      <c r="S607" s="2" t="str">
        <f>IF(OR(ROUND(raw_order_lines!I607*10,0)&gt;ROUND(raw_order_lines!H607*10,0),ROUND(raw_order_lines!H607*10,0)&gt;ROUND(raw_order_lines!G607*10,0),ROUND(raw_order_lines!G607*10,0)&lt;=0),"数量关系异常","")</f>
        <v/>
      </c>
      <c r="T607" s="2" t="str">
        <f>IF($F607&lt;&gt;INDEX(dim_products!$D$2:$D$21,MATCH($E607,dim_products!$A$2:$A$21,0)),"单位不一致","")</f>
        <v/>
      </c>
      <c r="U607" s="2" t="str">
        <f>IF(OR(ROUND(raw_order_lines!J607*100,0)&lt;ROUND(INDEX(dim_products!$F$2:$F$21,MATCH($E607,dim_products!$A$2:$A$21,0))*100,0),ROUND(raw_order_lines!J607*100,0)&gt;ROUND(INDEX(dim_products!$G$2:$G$21,MATCH($E607,dim_products!$A$2:$A$21,0))*100,0)),"单价越界","")</f>
        <v/>
      </c>
      <c r="V607" s="2" t="str">
        <f t="shared" si="28"/>
        <v/>
      </c>
      <c r="W607" s="2" t="str">
        <f t="shared" si="29"/>
        <v>通过</v>
      </c>
    </row>
    <row r="608" spans="1:23" ht="15">
      <c r="A608" s="2" t="str">
        <f>raw_order_lines!A608</f>
        <v>SIM-20260919-C002</v>
      </c>
      <c r="B608" s="2">
        <f>raw_order_lines!B608</f>
        <v>4</v>
      </c>
      <c r="C608" s="2" t="str">
        <f>raw_order_lines!C608</f>
        <v>C002</v>
      </c>
      <c r="D608" s="3">
        <f>raw_order_lines!D608</f>
        <v>46284</v>
      </c>
      <c r="E608" s="2" t="str">
        <f>raw_order_lines!E608</f>
        <v>P002</v>
      </c>
      <c r="F608" s="2" t="str">
        <f>raw_order_lines!F608</f>
        <v>公斤</v>
      </c>
      <c r="G608" s="4">
        <f>raw_order_lines!G608</f>
        <v>7.1</v>
      </c>
      <c r="H608" s="4">
        <f>raw_order_lines!H608</f>
        <v>7.1</v>
      </c>
      <c r="I608" s="4">
        <f>raw_order_lines!I608</f>
        <v>0</v>
      </c>
      <c r="J608" s="5">
        <f>raw_order_lines!J608</f>
        <v>2.7</v>
      </c>
      <c r="K608" s="2" t="str">
        <f>raw_order_lines!K608</f>
        <v>正常交付</v>
      </c>
      <c r="L608" s="2" t="str">
        <f>raw_order_lines!L608</f>
        <v>true</v>
      </c>
      <c r="M608" s="2" t="str">
        <f>INDEX(dim_products!$B$2:$B$21,MATCH($E608,dim_products!$A$2:$A$21,0))</f>
        <v>白萝卜</v>
      </c>
      <c r="N608" s="2" t="str">
        <f>INDEX(dim_products!$C$2:$C$21,MATCH($E608,dim_products!$A$2:$A$21,0))</f>
        <v>散装鲜菜</v>
      </c>
      <c r="O608" s="2" t="str">
        <f>INDEX(dim_customers!$B$2:$B$7,MATCH($C608,dim_customers!$A$2:$A$7,0))</f>
        <v>模拟_桥头家常菜馆</v>
      </c>
      <c r="P608" s="6">
        <f>INT((ROUND(raw_order_lines!H608*10,0)*ROUND(raw_order_lines!J608*100,0)+5)/10)/100</f>
        <v>19.170000000000002</v>
      </c>
      <c r="Q608" s="6">
        <f>INT((ROUND(raw_order_lines!I608*10,0)*ROUND(raw_order_lines!J608*100,0)+5)/10)/100</f>
        <v>0</v>
      </c>
      <c r="R608" s="6">
        <f t="shared" si="27"/>
        <v>19.170000000000002</v>
      </c>
      <c r="S608" s="2" t="str">
        <f>IF(OR(ROUND(raw_order_lines!I608*10,0)&gt;ROUND(raw_order_lines!H608*10,0),ROUND(raw_order_lines!H608*10,0)&gt;ROUND(raw_order_lines!G608*10,0),ROUND(raw_order_lines!G608*10,0)&lt;=0),"数量关系异常","")</f>
        <v/>
      </c>
      <c r="T608" s="2" t="str">
        <f>IF($F608&lt;&gt;INDEX(dim_products!$D$2:$D$21,MATCH($E608,dim_products!$A$2:$A$21,0)),"单位不一致","")</f>
        <v/>
      </c>
      <c r="U608" s="2" t="str">
        <f>IF(OR(ROUND(raw_order_lines!J608*100,0)&lt;ROUND(INDEX(dim_products!$F$2:$F$21,MATCH($E608,dim_products!$A$2:$A$21,0))*100,0),ROUND(raw_order_lines!J608*100,0)&gt;ROUND(INDEX(dim_products!$G$2:$G$21,MATCH($E608,dim_products!$A$2:$A$21,0))*100,0)),"单价越界","")</f>
        <v/>
      </c>
      <c r="V608" s="2" t="str">
        <f t="shared" si="28"/>
        <v/>
      </c>
      <c r="W608" s="2" t="str">
        <f t="shared" si="29"/>
        <v>通过</v>
      </c>
    </row>
    <row r="609" spans="1:23" ht="15">
      <c r="A609" s="2" t="str">
        <f>raw_order_lines!A609</f>
        <v>SIM-20260919-C002</v>
      </c>
      <c r="B609" s="2">
        <f>raw_order_lines!B609</f>
        <v>5</v>
      </c>
      <c r="C609" s="2" t="str">
        <f>raw_order_lines!C609</f>
        <v>C002</v>
      </c>
      <c r="D609" s="3">
        <f>raw_order_lines!D609</f>
        <v>46284</v>
      </c>
      <c r="E609" s="2" t="str">
        <f>raw_order_lines!E609</f>
        <v>P006</v>
      </c>
      <c r="F609" s="2" t="str">
        <f>raw_order_lines!F609</f>
        <v>公斤</v>
      </c>
      <c r="G609" s="4">
        <f>raw_order_lines!G609</f>
        <v>6.2</v>
      </c>
      <c r="H609" s="4">
        <f>raw_order_lines!H609</f>
        <v>6.2</v>
      </c>
      <c r="I609" s="4">
        <f>raw_order_lines!I609</f>
        <v>0</v>
      </c>
      <c r="J609" s="5">
        <f>raw_order_lines!J609</f>
        <v>4.8</v>
      </c>
      <c r="K609" s="2" t="str">
        <f>raw_order_lines!K609</f>
        <v>正常交付</v>
      </c>
      <c r="L609" s="2" t="str">
        <f>raw_order_lines!L609</f>
        <v>true</v>
      </c>
      <c r="M609" s="2" t="str">
        <f>INDEX(dim_products!$B$2:$B$21,MATCH($E609,dim_products!$A$2:$A$21,0))</f>
        <v>茄子</v>
      </c>
      <c r="N609" s="2" t="str">
        <f>INDEX(dim_products!$C$2:$C$21,MATCH($E609,dim_products!$A$2:$A$21,0))</f>
        <v>散装鲜菜</v>
      </c>
      <c r="O609" s="2" t="str">
        <f>INDEX(dim_customers!$B$2:$B$7,MATCH($C609,dim_customers!$A$2:$A$7,0))</f>
        <v>模拟_桥头家常菜馆</v>
      </c>
      <c r="P609" s="6">
        <f>INT((ROUND(raw_order_lines!H609*10,0)*ROUND(raw_order_lines!J609*100,0)+5)/10)/100</f>
        <v>29.76</v>
      </c>
      <c r="Q609" s="6">
        <f>INT((ROUND(raw_order_lines!I609*10,0)*ROUND(raw_order_lines!J609*100,0)+5)/10)/100</f>
        <v>0</v>
      </c>
      <c r="R609" s="6">
        <f t="shared" si="27"/>
        <v>29.76</v>
      </c>
      <c r="S609" s="2" t="str">
        <f>IF(OR(ROUND(raw_order_lines!I609*10,0)&gt;ROUND(raw_order_lines!H609*10,0),ROUND(raw_order_lines!H609*10,0)&gt;ROUND(raw_order_lines!G609*10,0),ROUND(raw_order_lines!G609*10,0)&lt;=0),"数量关系异常","")</f>
        <v/>
      </c>
      <c r="T609" s="2" t="str">
        <f>IF($F609&lt;&gt;INDEX(dim_products!$D$2:$D$21,MATCH($E609,dim_products!$A$2:$A$21,0)),"单位不一致","")</f>
        <v/>
      </c>
      <c r="U609" s="2" t="str">
        <f>IF(OR(ROUND(raw_order_lines!J609*100,0)&lt;ROUND(INDEX(dim_products!$F$2:$F$21,MATCH($E609,dim_products!$A$2:$A$21,0))*100,0),ROUND(raw_order_lines!J609*100,0)&gt;ROUND(INDEX(dim_products!$G$2:$G$21,MATCH($E609,dim_products!$A$2:$A$21,0))*100,0)),"单价越界","")</f>
        <v/>
      </c>
      <c r="V609" s="2" t="str">
        <f t="shared" si="28"/>
        <v/>
      </c>
      <c r="W609" s="2" t="str">
        <f t="shared" si="29"/>
        <v>通过</v>
      </c>
    </row>
    <row r="610" spans="1:23" ht="15">
      <c r="A610" s="2" t="str">
        <f>raw_order_lines!A610</f>
        <v>SIM-20260919-C002</v>
      </c>
      <c r="B610" s="2">
        <f>raw_order_lines!B610</f>
        <v>6</v>
      </c>
      <c r="C610" s="2" t="str">
        <f>raw_order_lines!C610</f>
        <v>C002</v>
      </c>
      <c r="D610" s="3">
        <f>raw_order_lines!D610</f>
        <v>46284</v>
      </c>
      <c r="E610" s="2" t="str">
        <f>raw_order_lines!E610</f>
        <v>P016</v>
      </c>
      <c r="F610" s="2" t="str">
        <f>raw_order_lines!F610</f>
        <v>公斤</v>
      </c>
      <c r="G610" s="4">
        <f>raw_order_lines!G610</f>
        <v>4</v>
      </c>
      <c r="H610" s="4">
        <f>raw_order_lines!H610</f>
        <v>4</v>
      </c>
      <c r="I610" s="4">
        <f>raw_order_lines!I610</f>
        <v>0</v>
      </c>
      <c r="J610" s="5">
        <f>raw_order_lines!J610</f>
        <v>10.199999999999999</v>
      </c>
      <c r="K610" s="2" t="str">
        <f>raw_order_lines!K610</f>
        <v>正常交付</v>
      </c>
      <c r="L610" s="2" t="str">
        <f>raw_order_lines!L610</f>
        <v>true</v>
      </c>
      <c r="M610" s="2" t="str">
        <f>INDEX(dim_products!$B$2:$B$21,MATCH($E610,dim_products!$A$2:$A$21,0))</f>
        <v>鸡蛋</v>
      </c>
      <c r="N610" s="2" t="str">
        <f>INDEX(dim_products!$C$2:$C$21,MATCH($E610,dim_products!$A$2:$A$21,0))</f>
        <v>普通鲜鸡蛋按净重</v>
      </c>
      <c r="O610" s="2" t="str">
        <f>INDEX(dim_customers!$B$2:$B$7,MATCH($C610,dim_customers!$A$2:$A$7,0))</f>
        <v>模拟_桥头家常菜馆</v>
      </c>
      <c r="P610" s="6">
        <f>INT((ROUND(raw_order_lines!H610*10,0)*ROUND(raw_order_lines!J610*100,0)+5)/10)/100</f>
        <v>40.799999999999997</v>
      </c>
      <c r="Q610" s="6">
        <f>INT((ROUND(raw_order_lines!I610*10,0)*ROUND(raw_order_lines!J610*100,0)+5)/10)/100</f>
        <v>0</v>
      </c>
      <c r="R610" s="6">
        <f t="shared" si="27"/>
        <v>40.799999999999997</v>
      </c>
      <c r="S610" s="2" t="str">
        <f>IF(OR(ROUND(raw_order_lines!I610*10,0)&gt;ROUND(raw_order_lines!H610*10,0),ROUND(raw_order_lines!H610*10,0)&gt;ROUND(raw_order_lines!G610*10,0),ROUND(raw_order_lines!G610*10,0)&lt;=0),"数量关系异常","")</f>
        <v/>
      </c>
      <c r="T610" s="2" t="str">
        <f>IF($F610&lt;&gt;INDEX(dim_products!$D$2:$D$21,MATCH($E610,dim_products!$A$2:$A$21,0)),"单位不一致","")</f>
        <v/>
      </c>
      <c r="U610" s="2" t="str">
        <f>IF(OR(ROUND(raw_order_lines!J610*100,0)&lt;ROUND(INDEX(dim_products!$F$2:$F$21,MATCH($E610,dim_products!$A$2:$A$21,0))*100,0),ROUND(raw_order_lines!J610*100,0)&gt;ROUND(INDEX(dim_products!$G$2:$G$21,MATCH($E610,dim_products!$A$2:$A$21,0))*100,0)),"单价越界","")</f>
        <v/>
      </c>
      <c r="V610" s="2" t="str">
        <f t="shared" si="28"/>
        <v/>
      </c>
      <c r="W610" s="2" t="str">
        <f t="shared" si="29"/>
        <v>通过</v>
      </c>
    </row>
    <row r="611" spans="1:23" ht="15">
      <c r="A611" s="2" t="str">
        <f>raw_order_lines!A611</f>
        <v>SIM-20260919-C003</v>
      </c>
      <c r="B611" s="2">
        <f>raw_order_lines!B611</f>
        <v>1</v>
      </c>
      <c r="C611" s="2" t="str">
        <f>raw_order_lines!C611</f>
        <v>C003</v>
      </c>
      <c r="D611" s="3">
        <f>raw_order_lines!D611</f>
        <v>46284</v>
      </c>
      <c r="E611" s="2" t="str">
        <f>raw_order_lines!E611</f>
        <v>P012</v>
      </c>
      <c r="F611" s="2" t="str">
        <f>raw_order_lines!F611</f>
        <v>公斤</v>
      </c>
      <c r="G611" s="4">
        <f>raw_order_lines!G611</f>
        <v>6.3</v>
      </c>
      <c r="H611" s="4">
        <f>raw_order_lines!H611</f>
        <v>6.3</v>
      </c>
      <c r="I611" s="4">
        <f>raw_order_lines!I611</f>
        <v>0</v>
      </c>
      <c r="J611" s="5">
        <f>raw_order_lines!J611</f>
        <v>5.2</v>
      </c>
      <c r="K611" s="2" t="str">
        <f>raw_order_lines!K611</f>
        <v>正常交付</v>
      </c>
      <c r="L611" s="2" t="str">
        <f>raw_order_lines!L611</f>
        <v>true</v>
      </c>
      <c r="M611" s="2" t="str">
        <f>INDEX(dim_products!$B$2:$B$21,MATCH($E611,dim_products!$A$2:$A$21,0))</f>
        <v>小白菜</v>
      </c>
      <c r="N611" s="2" t="str">
        <f>INDEX(dim_products!$C$2:$C$21,MATCH($E611,dim_products!$A$2:$A$21,0))</f>
        <v>散装鲜菜</v>
      </c>
      <c r="O611" s="2" t="str">
        <f>INDEX(dim_customers!$B$2:$B$7,MATCH($C611,dim_customers!$A$2:$A$7,0))</f>
        <v>模拟_兴街快餐店</v>
      </c>
      <c r="P611" s="6">
        <f>INT((ROUND(raw_order_lines!H611*10,0)*ROUND(raw_order_lines!J611*100,0)+5)/10)/100</f>
        <v>32.76</v>
      </c>
      <c r="Q611" s="6">
        <f>INT((ROUND(raw_order_lines!I611*10,0)*ROUND(raw_order_lines!J611*100,0)+5)/10)/100</f>
        <v>0</v>
      </c>
      <c r="R611" s="6">
        <f t="shared" si="27"/>
        <v>32.76</v>
      </c>
      <c r="S611" s="2" t="str">
        <f>IF(OR(ROUND(raw_order_lines!I611*10,0)&gt;ROUND(raw_order_lines!H611*10,0),ROUND(raw_order_lines!H611*10,0)&gt;ROUND(raw_order_lines!G611*10,0),ROUND(raw_order_lines!G611*10,0)&lt;=0),"数量关系异常","")</f>
        <v/>
      </c>
      <c r="T611" s="2" t="str">
        <f>IF($F611&lt;&gt;INDEX(dim_products!$D$2:$D$21,MATCH($E611,dim_products!$A$2:$A$21,0)),"单位不一致","")</f>
        <v/>
      </c>
      <c r="U611" s="2" t="str">
        <f>IF(OR(ROUND(raw_order_lines!J611*100,0)&lt;ROUND(INDEX(dim_products!$F$2:$F$21,MATCH($E611,dim_products!$A$2:$A$21,0))*100,0),ROUND(raw_order_lines!J611*100,0)&gt;ROUND(INDEX(dim_products!$G$2:$G$21,MATCH($E611,dim_products!$A$2:$A$21,0))*100,0)),"单价越界","")</f>
        <v/>
      </c>
      <c r="V611" s="2" t="str">
        <f t="shared" si="28"/>
        <v/>
      </c>
      <c r="W611" s="2" t="str">
        <f t="shared" si="29"/>
        <v>通过</v>
      </c>
    </row>
    <row r="612" spans="1:23" ht="15">
      <c r="A612" s="2" t="str">
        <f>raw_order_lines!A612</f>
        <v>SIM-20260919-C003</v>
      </c>
      <c r="B612" s="2">
        <f>raw_order_lines!B612</f>
        <v>2</v>
      </c>
      <c r="C612" s="2" t="str">
        <f>raw_order_lines!C612</f>
        <v>C003</v>
      </c>
      <c r="D612" s="3">
        <f>raw_order_lines!D612</f>
        <v>46284</v>
      </c>
      <c r="E612" s="2" t="str">
        <f>raw_order_lines!E612</f>
        <v>P005</v>
      </c>
      <c r="F612" s="2" t="str">
        <f>raw_order_lines!F612</f>
        <v>公斤</v>
      </c>
      <c r="G612" s="4">
        <f>raw_order_lines!G612</f>
        <v>5.0999999999999996</v>
      </c>
      <c r="H612" s="4">
        <f>raw_order_lines!H612</f>
        <v>5.0999999999999996</v>
      </c>
      <c r="I612" s="4">
        <f>raw_order_lines!I612</f>
        <v>0</v>
      </c>
      <c r="J612" s="5">
        <f>raw_order_lines!J612</f>
        <v>3.2</v>
      </c>
      <c r="K612" s="2" t="str">
        <f>raw_order_lines!K612</f>
        <v>正常交付</v>
      </c>
      <c r="L612" s="2" t="str">
        <f>raw_order_lines!L612</f>
        <v>true</v>
      </c>
      <c r="M612" s="2" t="str">
        <f>INDEX(dim_products!$B$2:$B$21,MATCH($E612,dim_products!$A$2:$A$21,0))</f>
        <v>南瓜</v>
      </c>
      <c r="N612" s="2" t="str">
        <f>INDEX(dim_products!$C$2:$C$21,MATCH($E612,dim_products!$A$2:$A$21,0))</f>
        <v>散装鲜菜</v>
      </c>
      <c r="O612" s="2" t="str">
        <f>INDEX(dim_customers!$B$2:$B$7,MATCH($C612,dim_customers!$A$2:$A$7,0))</f>
        <v>模拟_兴街快餐店</v>
      </c>
      <c r="P612" s="6">
        <f>INT((ROUND(raw_order_lines!H612*10,0)*ROUND(raw_order_lines!J612*100,0)+5)/10)/100</f>
        <v>16.32</v>
      </c>
      <c r="Q612" s="6">
        <f>INT((ROUND(raw_order_lines!I612*10,0)*ROUND(raw_order_lines!J612*100,0)+5)/10)/100</f>
        <v>0</v>
      </c>
      <c r="R612" s="6">
        <f t="shared" si="27"/>
        <v>16.32</v>
      </c>
      <c r="S612" s="2" t="str">
        <f>IF(OR(ROUND(raw_order_lines!I612*10,0)&gt;ROUND(raw_order_lines!H612*10,0),ROUND(raw_order_lines!H612*10,0)&gt;ROUND(raw_order_lines!G612*10,0),ROUND(raw_order_lines!G612*10,0)&lt;=0),"数量关系异常","")</f>
        <v/>
      </c>
      <c r="T612" s="2" t="str">
        <f>IF($F612&lt;&gt;INDEX(dim_products!$D$2:$D$21,MATCH($E612,dim_products!$A$2:$A$21,0)),"单位不一致","")</f>
        <v/>
      </c>
      <c r="U612" s="2" t="str">
        <f>IF(OR(ROUND(raw_order_lines!J612*100,0)&lt;ROUND(INDEX(dim_products!$F$2:$F$21,MATCH($E612,dim_products!$A$2:$A$21,0))*100,0),ROUND(raw_order_lines!J612*100,0)&gt;ROUND(INDEX(dim_products!$G$2:$G$21,MATCH($E612,dim_products!$A$2:$A$21,0))*100,0)),"单价越界","")</f>
        <v/>
      </c>
      <c r="V612" s="2" t="str">
        <f t="shared" si="28"/>
        <v/>
      </c>
      <c r="W612" s="2" t="str">
        <f t="shared" si="29"/>
        <v>通过</v>
      </c>
    </row>
    <row r="613" spans="1:23" ht="15">
      <c r="A613" s="2" t="str">
        <f>raw_order_lines!A613</f>
        <v>SIM-20260919-C003</v>
      </c>
      <c r="B613" s="2">
        <f>raw_order_lines!B613</f>
        <v>3</v>
      </c>
      <c r="C613" s="2" t="str">
        <f>raw_order_lines!C613</f>
        <v>C003</v>
      </c>
      <c r="D613" s="3">
        <f>raw_order_lines!D613</f>
        <v>46284</v>
      </c>
      <c r="E613" s="2" t="str">
        <f>raw_order_lines!E613</f>
        <v>P004</v>
      </c>
      <c r="F613" s="2" t="str">
        <f>raw_order_lines!F613</f>
        <v>公斤</v>
      </c>
      <c r="G613" s="4">
        <f>raw_order_lines!G613</f>
        <v>8.6</v>
      </c>
      <c r="H613" s="4">
        <f>raw_order_lines!H613</f>
        <v>8.6</v>
      </c>
      <c r="I613" s="4">
        <f>raw_order_lines!I613</f>
        <v>0</v>
      </c>
      <c r="J613" s="5">
        <f>raw_order_lines!J613</f>
        <v>2.6</v>
      </c>
      <c r="K613" s="2" t="str">
        <f>raw_order_lines!K613</f>
        <v>正常交付</v>
      </c>
      <c r="L613" s="2" t="str">
        <f>raw_order_lines!L613</f>
        <v>true</v>
      </c>
      <c r="M613" s="2" t="str">
        <f>INDEX(dim_products!$B$2:$B$21,MATCH($E613,dim_products!$A$2:$A$21,0))</f>
        <v>冬瓜</v>
      </c>
      <c r="N613" s="2" t="str">
        <f>INDEX(dim_products!$C$2:$C$21,MATCH($E613,dim_products!$A$2:$A$21,0))</f>
        <v>散装鲜菜</v>
      </c>
      <c r="O613" s="2" t="str">
        <f>INDEX(dim_customers!$B$2:$B$7,MATCH($C613,dim_customers!$A$2:$A$7,0))</f>
        <v>模拟_兴街快餐店</v>
      </c>
      <c r="P613" s="6">
        <f>INT((ROUND(raw_order_lines!H613*10,0)*ROUND(raw_order_lines!J613*100,0)+5)/10)/100</f>
        <v>22.36</v>
      </c>
      <c r="Q613" s="6">
        <f>INT((ROUND(raw_order_lines!I613*10,0)*ROUND(raw_order_lines!J613*100,0)+5)/10)/100</f>
        <v>0</v>
      </c>
      <c r="R613" s="6">
        <f t="shared" si="27"/>
        <v>22.36</v>
      </c>
      <c r="S613" s="2" t="str">
        <f>IF(OR(ROUND(raw_order_lines!I613*10,0)&gt;ROUND(raw_order_lines!H613*10,0),ROUND(raw_order_lines!H613*10,0)&gt;ROUND(raw_order_lines!G613*10,0),ROUND(raw_order_lines!G613*10,0)&lt;=0),"数量关系异常","")</f>
        <v/>
      </c>
      <c r="T613" s="2" t="str">
        <f>IF($F613&lt;&gt;INDEX(dim_products!$D$2:$D$21,MATCH($E613,dim_products!$A$2:$A$21,0)),"单位不一致","")</f>
        <v/>
      </c>
      <c r="U613" s="2" t="str">
        <f>IF(OR(ROUND(raw_order_lines!J613*100,0)&lt;ROUND(INDEX(dim_products!$F$2:$F$21,MATCH($E613,dim_products!$A$2:$A$21,0))*100,0),ROUND(raw_order_lines!J613*100,0)&gt;ROUND(INDEX(dim_products!$G$2:$G$21,MATCH($E613,dim_products!$A$2:$A$21,0))*100,0)),"单价越界","")</f>
        <v/>
      </c>
      <c r="V613" s="2" t="str">
        <f t="shared" si="28"/>
        <v/>
      </c>
      <c r="W613" s="2" t="str">
        <f t="shared" si="29"/>
        <v>通过</v>
      </c>
    </row>
    <row r="614" spans="1:23" ht="15">
      <c r="A614" s="2" t="str">
        <f>raw_order_lines!A614</f>
        <v>SIM-20260919-C003</v>
      </c>
      <c r="B614" s="2">
        <f>raw_order_lines!B614</f>
        <v>4</v>
      </c>
      <c r="C614" s="2" t="str">
        <f>raw_order_lines!C614</f>
        <v>C003</v>
      </c>
      <c r="D614" s="3">
        <f>raw_order_lines!D614</f>
        <v>46284</v>
      </c>
      <c r="E614" s="2" t="str">
        <f>raw_order_lines!E614</f>
        <v>P001</v>
      </c>
      <c r="F614" s="2" t="str">
        <f>raw_order_lines!F614</f>
        <v>公斤</v>
      </c>
      <c r="G614" s="4">
        <f>raw_order_lines!G614</f>
        <v>4.5999999999999996</v>
      </c>
      <c r="H614" s="4">
        <f>raw_order_lines!H614</f>
        <v>4.5999999999999996</v>
      </c>
      <c r="I614" s="4">
        <f>raw_order_lines!I614</f>
        <v>0</v>
      </c>
      <c r="J614" s="5">
        <f>raw_order_lines!J614</f>
        <v>3.4</v>
      </c>
      <c r="K614" s="2" t="str">
        <f>raw_order_lines!K614</f>
        <v>正常交付</v>
      </c>
      <c r="L614" s="2" t="str">
        <f>raw_order_lines!L614</f>
        <v>true</v>
      </c>
      <c r="M614" s="2" t="str">
        <f>INDEX(dim_products!$B$2:$B$21,MATCH($E614,dim_products!$A$2:$A$21,0))</f>
        <v>土豆</v>
      </c>
      <c r="N614" s="2" t="str">
        <f>INDEX(dim_products!$C$2:$C$21,MATCH($E614,dim_products!$A$2:$A$21,0))</f>
        <v>散装鲜菜</v>
      </c>
      <c r="O614" s="2" t="str">
        <f>INDEX(dim_customers!$B$2:$B$7,MATCH($C614,dim_customers!$A$2:$A$7,0))</f>
        <v>模拟_兴街快餐店</v>
      </c>
      <c r="P614" s="6">
        <f>INT((ROUND(raw_order_lines!H614*10,0)*ROUND(raw_order_lines!J614*100,0)+5)/10)/100</f>
        <v>15.64</v>
      </c>
      <c r="Q614" s="6">
        <f>INT((ROUND(raw_order_lines!I614*10,0)*ROUND(raw_order_lines!J614*100,0)+5)/10)/100</f>
        <v>0</v>
      </c>
      <c r="R614" s="6">
        <f t="shared" si="27"/>
        <v>15.64</v>
      </c>
      <c r="S614" s="2" t="str">
        <f>IF(OR(ROUND(raw_order_lines!I614*10,0)&gt;ROUND(raw_order_lines!H614*10,0),ROUND(raw_order_lines!H614*10,0)&gt;ROUND(raw_order_lines!G614*10,0),ROUND(raw_order_lines!G614*10,0)&lt;=0),"数量关系异常","")</f>
        <v/>
      </c>
      <c r="T614" s="2" t="str">
        <f>IF($F614&lt;&gt;INDEX(dim_products!$D$2:$D$21,MATCH($E614,dim_products!$A$2:$A$21,0)),"单位不一致","")</f>
        <v/>
      </c>
      <c r="U614" s="2" t="str">
        <f>IF(OR(ROUND(raw_order_lines!J614*100,0)&lt;ROUND(INDEX(dim_products!$F$2:$F$21,MATCH($E614,dim_products!$A$2:$A$21,0))*100,0),ROUND(raw_order_lines!J614*100,0)&gt;ROUND(INDEX(dim_products!$G$2:$G$21,MATCH($E614,dim_products!$A$2:$A$21,0))*100,0)),"单价越界","")</f>
        <v/>
      </c>
      <c r="V614" s="2" t="str">
        <f t="shared" si="28"/>
        <v/>
      </c>
      <c r="W614" s="2" t="str">
        <f t="shared" si="29"/>
        <v>通过</v>
      </c>
    </row>
    <row r="615" spans="1:23" ht="15">
      <c r="A615" s="2" t="str">
        <f>raw_order_lines!A615</f>
        <v>SIM-20260919-C003</v>
      </c>
      <c r="B615" s="2">
        <f>raw_order_lines!B615</f>
        <v>5</v>
      </c>
      <c r="C615" s="2" t="str">
        <f>raw_order_lines!C615</f>
        <v>C003</v>
      </c>
      <c r="D615" s="3">
        <f>raw_order_lines!D615</f>
        <v>46284</v>
      </c>
      <c r="E615" s="2" t="str">
        <f>raw_order_lines!E615</f>
        <v>P014</v>
      </c>
      <c r="F615" s="2" t="str">
        <f>raw_order_lines!F615</f>
        <v>公斤</v>
      </c>
      <c r="G615" s="4">
        <f>raw_order_lines!G615</f>
        <v>9.1</v>
      </c>
      <c r="H615" s="4">
        <f>raw_order_lines!H615</f>
        <v>9.1</v>
      </c>
      <c r="I615" s="4">
        <f>raw_order_lines!I615</f>
        <v>0</v>
      </c>
      <c r="J615" s="5">
        <f>raw_order_lines!J615</f>
        <v>5</v>
      </c>
      <c r="K615" s="2" t="str">
        <f>raw_order_lines!K615</f>
        <v>正常交付</v>
      </c>
      <c r="L615" s="2" t="str">
        <f>raw_order_lines!L615</f>
        <v>true</v>
      </c>
      <c r="M615" s="2" t="str">
        <f>INDEX(dim_products!$B$2:$B$21,MATCH($E615,dim_products!$A$2:$A$21,0))</f>
        <v>丝瓜</v>
      </c>
      <c r="N615" s="2" t="str">
        <f>INDEX(dim_products!$C$2:$C$21,MATCH($E615,dim_products!$A$2:$A$21,0))</f>
        <v>散装鲜菜</v>
      </c>
      <c r="O615" s="2" t="str">
        <f>INDEX(dim_customers!$B$2:$B$7,MATCH($C615,dim_customers!$A$2:$A$7,0))</f>
        <v>模拟_兴街快餐店</v>
      </c>
      <c r="P615" s="6">
        <f>INT((ROUND(raw_order_lines!H615*10,0)*ROUND(raw_order_lines!J615*100,0)+5)/10)/100</f>
        <v>45.5</v>
      </c>
      <c r="Q615" s="6">
        <f>INT((ROUND(raw_order_lines!I615*10,0)*ROUND(raw_order_lines!J615*100,0)+5)/10)/100</f>
        <v>0</v>
      </c>
      <c r="R615" s="6">
        <f t="shared" si="27"/>
        <v>45.5</v>
      </c>
      <c r="S615" s="2" t="str">
        <f>IF(OR(ROUND(raw_order_lines!I615*10,0)&gt;ROUND(raw_order_lines!H615*10,0),ROUND(raw_order_lines!H615*10,0)&gt;ROUND(raw_order_lines!G615*10,0),ROUND(raw_order_lines!G615*10,0)&lt;=0),"数量关系异常","")</f>
        <v/>
      </c>
      <c r="T615" s="2" t="str">
        <f>IF($F615&lt;&gt;INDEX(dim_products!$D$2:$D$21,MATCH($E615,dim_products!$A$2:$A$21,0)),"单位不一致","")</f>
        <v/>
      </c>
      <c r="U615" s="2" t="str">
        <f>IF(OR(ROUND(raw_order_lines!J615*100,0)&lt;ROUND(INDEX(dim_products!$F$2:$F$21,MATCH($E615,dim_products!$A$2:$A$21,0))*100,0),ROUND(raw_order_lines!J615*100,0)&gt;ROUND(INDEX(dim_products!$G$2:$G$21,MATCH($E615,dim_products!$A$2:$A$21,0))*100,0)),"单价越界","")</f>
        <v/>
      </c>
      <c r="V615" s="2" t="str">
        <f t="shared" si="28"/>
        <v/>
      </c>
      <c r="W615" s="2" t="str">
        <f t="shared" si="29"/>
        <v>通过</v>
      </c>
    </row>
    <row r="616" spans="1:23" ht="15">
      <c r="A616" s="2" t="str">
        <f>raw_order_lines!A616</f>
        <v>SIM-20260919-C003</v>
      </c>
      <c r="B616" s="2">
        <f>raw_order_lines!B616</f>
        <v>6</v>
      </c>
      <c r="C616" s="2" t="str">
        <f>raw_order_lines!C616</f>
        <v>C003</v>
      </c>
      <c r="D616" s="3">
        <f>raw_order_lines!D616</f>
        <v>46284</v>
      </c>
      <c r="E616" s="2" t="str">
        <f>raw_order_lines!E616</f>
        <v>P008</v>
      </c>
      <c r="F616" s="2" t="str">
        <f>raw_order_lines!F616</f>
        <v>公斤</v>
      </c>
      <c r="G616" s="4">
        <f>raw_order_lines!G616</f>
        <v>9.1</v>
      </c>
      <c r="H616" s="4">
        <f>raw_order_lines!H616</f>
        <v>9.1</v>
      </c>
      <c r="I616" s="4">
        <f>raw_order_lines!I616</f>
        <v>0</v>
      </c>
      <c r="J616" s="5">
        <f>raw_order_lines!J616</f>
        <v>4.4000000000000004</v>
      </c>
      <c r="K616" s="2" t="str">
        <f>raw_order_lines!K616</f>
        <v>正常交付</v>
      </c>
      <c r="L616" s="2" t="str">
        <f>raw_order_lines!L616</f>
        <v>true</v>
      </c>
      <c r="M616" s="2" t="str">
        <f>INDEX(dim_products!$B$2:$B$21,MATCH($E616,dim_products!$A$2:$A$21,0))</f>
        <v>黄瓜</v>
      </c>
      <c r="N616" s="2" t="str">
        <f>INDEX(dim_products!$C$2:$C$21,MATCH($E616,dim_products!$A$2:$A$21,0))</f>
        <v>散装鲜菜</v>
      </c>
      <c r="O616" s="2" t="str">
        <f>INDEX(dim_customers!$B$2:$B$7,MATCH($C616,dim_customers!$A$2:$A$7,0))</f>
        <v>模拟_兴街快餐店</v>
      </c>
      <c r="P616" s="6">
        <f>INT((ROUND(raw_order_lines!H616*10,0)*ROUND(raw_order_lines!J616*100,0)+5)/10)/100</f>
        <v>40.04</v>
      </c>
      <c r="Q616" s="6">
        <f>INT((ROUND(raw_order_lines!I616*10,0)*ROUND(raw_order_lines!J616*100,0)+5)/10)/100</f>
        <v>0</v>
      </c>
      <c r="R616" s="6">
        <f t="shared" si="27"/>
        <v>40.04</v>
      </c>
      <c r="S616" s="2" t="str">
        <f>IF(OR(ROUND(raw_order_lines!I616*10,0)&gt;ROUND(raw_order_lines!H616*10,0),ROUND(raw_order_lines!H616*10,0)&gt;ROUND(raw_order_lines!G616*10,0),ROUND(raw_order_lines!G616*10,0)&lt;=0),"数量关系异常","")</f>
        <v/>
      </c>
      <c r="T616" s="2" t="str">
        <f>IF($F616&lt;&gt;INDEX(dim_products!$D$2:$D$21,MATCH($E616,dim_products!$A$2:$A$21,0)),"单位不一致","")</f>
        <v/>
      </c>
      <c r="U616" s="2" t="str">
        <f>IF(OR(ROUND(raw_order_lines!J616*100,0)&lt;ROUND(INDEX(dim_products!$F$2:$F$21,MATCH($E616,dim_products!$A$2:$A$21,0))*100,0),ROUND(raw_order_lines!J616*100,0)&gt;ROUND(INDEX(dim_products!$G$2:$G$21,MATCH($E616,dim_products!$A$2:$A$21,0))*100,0)),"单价越界","")</f>
        <v/>
      </c>
      <c r="V616" s="2" t="str">
        <f t="shared" si="28"/>
        <v/>
      </c>
      <c r="W616" s="2" t="str">
        <f t="shared" si="29"/>
        <v>通过</v>
      </c>
    </row>
    <row r="617" spans="1:23" ht="15">
      <c r="A617" s="2" t="str">
        <f>raw_order_lines!A617</f>
        <v>SIM-20260919-C003</v>
      </c>
      <c r="B617" s="2">
        <f>raw_order_lines!B617</f>
        <v>7</v>
      </c>
      <c r="C617" s="2" t="str">
        <f>raw_order_lines!C617</f>
        <v>C003</v>
      </c>
      <c r="D617" s="3">
        <f>raw_order_lines!D617</f>
        <v>46284</v>
      </c>
      <c r="E617" s="2" t="str">
        <f>raw_order_lines!E617</f>
        <v>P016</v>
      </c>
      <c r="F617" s="2" t="str">
        <f>raw_order_lines!F617</f>
        <v>公斤</v>
      </c>
      <c r="G617" s="4">
        <f>raw_order_lines!G617</f>
        <v>6</v>
      </c>
      <c r="H617" s="4">
        <f>raw_order_lines!H617</f>
        <v>6</v>
      </c>
      <c r="I617" s="4">
        <f>raw_order_lines!I617</f>
        <v>0</v>
      </c>
      <c r="J617" s="5">
        <f>raw_order_lines!J617</f>
        <v>10.199999999999999</v>
      </c>
      <c r="K617" s="2" t="str">
        <f>raw_order_lines!K617</f>
        <v>正常交付</v>
      </c>
      <c r="L617" s="2" t="str">
        <f>raw_order_lines!L617</f>
        <v>true</v>
      </c>
      <c r="M617" s="2" t="str">
        <f>INDEX(dim_products!$B$2:$B$21,MATCH($E617,dim_products!$A$2:$A$21,0))</f>
        <v>鸡蛋</v>
      </c>
      <c r="N617" s="2" t="str">
        <f>INDEX(dim_products!$C$2:$C$21,MATCH($E617,dim_products!$A$2:$A$21,0))</f>
        <v>普通鲜鸡蛋按净重</v>
      </c>
      <c r="O617" s="2" t="str">
        <f>INDEX(dim_customers!$B$2:$B$7,MATCH($C617,dim_customers!$A$2:$A$7,0))</f>
        <v>模拟_兴街快餐店</v>
      </c>
      <c r="P617" s="6">
        <f>INT((ROUND(raw_order_lines!H617*10,0)*ROUND(raw_order_lines!J617*100,0)+5)/10)/100</f>
        <v>61.2</v>
      </c>
      <c r="Q617" s="6">
        <f>INT((ROUND(raw_order_lines!I617*10,0)*ROUND(raw_order_lines!J617*100,0)+5)/10)/100</f>
        <v>0</v>
      </c>
      <c r="R617" s="6">
        <f t="shared" si="27"/>
        <v>61.2</v>
      </c>
      <c r="S617" s="2" t="str">
        <f>IF(OR(ROUND(raw_order_lines!I617*10,0)&gt;ROUND(raw_order_lines!H617*10,0),ROUND(raw_order_lines!H617*10,0)&gt;ROUND(raw_order_lines!G617*10,0),ROUND(raw_order_lines!G617*10,0)&lt;=0),"数量关系异常","")</f>
        <v/>
      </c>
      <c r="T617" s="2" t="str">
        <f>IF($F617&lt;&gt;INDEX(dim_products!$D$2:$D$21,MATCH($E617,dim_products!$A$2:$A$21,0)),"单位不一致","")</f>
        <v/>
      </c>
      <c r="U617" s="2" t="str">
        <f>IF(OR(ROUND(raw_order_lines!J617*100,0)&lt;ROUND(INDEX(dim_products!$F$2:$F$21,MATCH($E617,dim_products!$A$2:$A$21,0))*100,0),ROUND(raw_order_lines!J617*100,0)&gt;ROUND(INDEX(dim_products!$G$2:$G$21,MATCH($E617,dim_products!$A$2:$A$21,0))*100,0)),"单价越界","")</f>
        <v/>
      </c>
      <c r="V617" s="2" t="str">
        <f t="shared" si="28"/>
        <v/>
      </c>
      <c r="W617" s="2" t="str">
        <f t="shared" si="29"/>
        <v>通过</v>
      </c>
    </row>
    <row r="618" spans="1:23" ht="15">
      <c r="A618" s="2" t="str">
        <f>raw_order_lines!A618</f>
        <v>SIM-20260919-C004</v>
      </c>
      <c r="B618" s="2">
        <f>raw_order_lines!B618</f>
        <v>1</v>
      </c>
      <c r="C618" s="2" t="str">
        <f>raw_order_lines!C618</f>
        <v>C004</v>
      </c>
      <c r="D618" s="3">
        <f>raw_order_lines!D618</f>
        <v>46284</v>
      </c>
      <c r="E618" s="2" t="str">
        <f>raw_order_lines!E618</f>
        <v>P010</v>
      </c>
      <c r="F618" s="2" t="str">
        <f>raw_order_lines!F618</f>
        <v>公斤</v>
      </c>
      <c r="G618" s="4">
        <f>raw_order_lines!G618</f>
        <v>6.7</v>
      </c>
      <c r="H618" s="4">
        <f>raw_order_lines!H618</f>
        <v>6.7</v>
      </c>
      <c r="I618" s="4">
        <f>raw_order_lines!I618</f>
        <v>0</v>
      </c>
      <c r="J618" s="5">
        <f>raw_order_lines!J618</f>
        <v>4.5</v>
      </c>
      <c r="K618" s="2" t="str">
        <f>raw_order_lines!K618</f>
        <v>正常交付</v>
      </c>
      <c r="L618" s="2" t="str">
        <f>raw_order_lines!L618</f>
        <v>true</v>
      </c>
      <c r="M618" s="2" t="str">
        <f>INDEX(dim_products!$B$2:$B$21,MATCH($E618,dim_products!$A$2:$A$21,0))</f>
        <v>空心菜</v>
      </c>
      <c r="N618" s="2" t="str">
        <f>INDEX(dim_products!$C$2:$C$21,MATCH($E618,dim_products!$A$2:$A$21,0))</f>
        <v>散装鲜菜</v>
      </c>
      <c r="O618" s="2" t="str">
        <f>INDEX(dim_customers!$B$2:$B$7,MATCH($C618,dim_customers!$A$2:$A$7,0))</f>
        <v>模拟_田畔饭店</v>
      </c>
      <c r="P618" s="6">
        <f>INT((ROUND(raw_order_lines!H618*10,0)*ROUND(raw_order_lines!J618*100,0)+5)/10)/100</f>
        <v>30.15</v>
      </c>
      <c r="Q618" s="6">
        <f>INT((ROUND(raw_order_lines!I618*10,0)*ROUND(raw_order_lines!J618*100,0)+5)/10)/100</f>
        <v>0</v>
      </c>
      <c r="R618" s="6">
        <f t="shared" si="27"/>
        <v>30.15</v>
      </c>
      <c r="S618" s="2" t="str">
        <f>IF(OR(ROUND(raw_order_lines!I618*10,0)&gt;ROUND(raw_order_lines!H618*10,0),ROUND(raw_order_lines!H618*10,0)&gt;ROUND(raw_order_lines!G618*10,0),ROUND(raw_order_lines!G618*10,0)&lt;=0),"数量关系异常","")</f>
        <v/>
      </c>
      <c r="T618" s="2" t="str">
        <f>IF($F618&lt;&gt;INDEX(dim_products!$D$2:$D$21,MATCH($E618,dim_products!$A$2:$A$21,0)),"单位不一致","")</f>
        <v/>
      </c>
      <c r="U618" s="2" t="str">
        <f>IF(OR(ROUND(raw_order_lines!J618*100,0)&lt;ROUND(INDEX(dim_products!$F$2:$F$21,MATCH($E618,dim_products!$A$2:$A$21,0))*100,0),ROUND(raw_order_lines!J618*100,0)&gt;ROUND(INDEX(dim_products!$G$2:$G$21,MATCH($E618,dim_products!$A$2:$A$21,0))*100,0)),"单价越界","")</f>
        <v/>
      </c>
      <c r="V618" s="2" t="str">
        <f t="shared" si="28"/>
        <v/>
      </c>
      <c r="W618" s="2" t="str">
        <f t="shared" si="29"/>
        <v>通过</v>
      </c>
    </row>
    <row r="619" spans="1:23" ht="15">
      <c r="A619" s="2" t="str">
        <f>raw_order_lines!A619</f>
        <v>SIM-20260919-C004</v>
      </c>
      <c r="B619" s="2">
        <f>raw_order_lines!B619</f>
        <v>2</v>
      </c>
      <c r="C619" s="2" t="str">
        <f>raw_order_lines!C619</f>
        <v>C004</v>
      </c>
      <c r="D619" s="3">
        <f>raw_order_lines!D619</f>
        <v>46284</v>
      </c>
      <c r="E619" s="2" t="str">
        <f>raw_order_lines!E619</f>
        <v>P007</v>
      </c>
      <c r="F619" s="2" t="str">
        <f>raw_order_lines!F619</f>
        <v>公斤</v>
      </c>
      <c r="G619" s="4">
        <f>raw_order_lines!G619</f>
        <v>8.1999999999999993</v>
      </c>
      <c r="H619" s="4">
        <f>raw_order_lines!H619</f>
        <v>8.1999999999999993</v>
      </c>
      <c r="I619" s="4">
        <f>raw_order_lines!I619</f>
        <v>0</v>
      </c>
      <c r="J619" s="5">
        <f>raw_order_lines!J619</f>
        <v>5.25</v>
      </c>
      <c r="K619" s="2" t="str">
        <f>raw_order_lines!K619</f>
        <v>正常交付</v>
      </c>
      <c r="L619" s="2" t="str">
        <f>raw_order_lines!L619</f>
        <v>true</v>
      </c>
      <c r="M619" s="2" t="str">
        <f>INDEX(dim_products!$B$2:$B$21,MATCH($E619,dim_products!$A$2:$A$21,0))</f>
        <v>青椒</v>
      </c>
      <c r="N619" s="2" t="str">
        <f>INDEX(dim_products!$C$2:$C$21,MATCH($E619,dim_products!$A$2:$A$21,0))</f>
        <v>散装鲜菜</v>
      </c>
      <c r="O619" s="2" t="str">
        <f>INDEX(dim_customers!$B$2:$B$7,MATCH($C619,dim_customers!$A$2:$A$7,0))</f>
        <v>模拟_田畔饭店</v>
      </c>
      <c r="P619" s="6">
        <f>INT((ROUND(raw_order_lines!H619*10,0)*ROUND(raw_order_lines!J619*100,0)+5)/10)/100</f>
        <v>43.05</v>
      </c>
      <c r="Q619" s="6">
        <f>INT((ROUND(raw_order_lines!I619*10,0)*ROUND(raw_order_lines!J619*100,0)+5)/10)/100</f>
        <v>0</v>
      </c>
      <c r="R619" s="6">
        <f t="shared" si="27"/>
        <v>43.05</v>
      </c>
      <c r="S619" s="2" t="str">
        <f>IF(OR(ROUND(raw_order_lines!I619*10,0)&gt;ROUND(raw_order_lines!H619*10,0),ROUND(raw_order_lines!H619*10,0)&gt;ROUND(raw_order_lines!G619*10,0),ROUND(raw_order_lines!G619*10,0)&lt;=0),"数量关系异常","")</f>
        <v/>
      </c>
      <c r="T619" s="2" t="str">
        <f>IF($F619&lt;&gt;INDEX(dim_products!$D$2:$D$21,MATCH($E619,dim_products!$A$2:$A$21,0)),"单位不一致","")</f>
        <v/>
      </c>
      <c r="U619" s="2" t="str">
        <f>IF(OR(ROUND(raw_order_lines!J619*100,0)&lt;ROUND(INDEX(dim_products!$F$2:$F$21,MATCH($E619,dim_products!$A$2:$A$21,0))*100,0),ROUND(raw_order_lines!J619*100,0)&gt;ROUND(INDEX(dim_products!$G$2:$G$21,MATCH($E619,dim_products!$A$2:$A$21,0))*100,0)),"单价越界","")</f>
        <v/>
      </c>
      <c r="V619" s="2" t="str">
        <f t="shared" si="28"/>
        <v/>
      </c>
      <c r="W619" s="2" t="str">
        <f t="shared" si="29"/>
        <v>通过</v>
      </c>
    </row>
    <row r="620" spans="1:23" ht="15">
      <c r="A620" s="2" t="str">
        <f>raw_order_lines!A620</f>
        <v>SIM-20260919-C004</v>
      </c>
      <c r="B620" s="2">
        <f>raw_order_lines!B620</f>
        <v>3</v>
      </c>
      <c r="C620" s="2" t="str">
        <f>raw_order_lines!C620</f>
        <v>C004</v>
      </c>
      <c r="D620" s="3">
        <f>raw_order_lines!D620</f>
        <v>46284</v>
      </c>
      <c r="E620" s="2" t="str">
        <f>raw_order_lines!E620</f>
        <v>P004</v>
      </c>
      <c r="F620" s="2" t="str">
        <f>raw_order_lines!F620</f>
        <v>公斤</v>
      </c>
      <c r="G620" s="4">
        <f>raw_order_lines!G620</f>
        <v>11.1</v>
      </c>
      <c r="H620" s="4">
        <f>raw_order_lines!H620</f>
        <v>11.1</v>
      </c>
      <c r="I620" s="4">
        <f>raw_order_lines!I620</f>
        <v>0</v>
      </c>
      <c r="J620" s="5">
        <f>raw_order_lines!J620</f>
        <v>2.6</v>
      </c>
      <c r="K620" s="2" t="str">
        <f>raw_order_lines!K620</f>
        <v>正常交付</v>
      </c>
      <c r="L620" s="2" t="str">
        <f>raw_order_lines!L620</f>
        <v>true</v>
      </c>
      <c r="M620" s="2" t="str">
        <f>INDEX(dim_products!$B$2:$B$21,MATCH($E620,dim_products!$A$2:$A$21,0))</f>
        <v>冬瓜</v>
      </c>
      <c r="N620" s="2" t="str">
        <f>INDEX(dim_products!$C$2:$C$21,MATCH($E620,dim_products!$A$2:$A$21,0))</f>
        <v>散装鲜菜</v>
      </c>
      <c r="O620" s="2" t="str">
        <f>INDEX(dim_customers!$B$2:$B$7,MATCH($C620,dim_customers!$A$2:$A$7,0))</f>
        <v>模拟_田畔饭店</v>
      </c>
      <c r="P620" s="6">
        <f>INT((ROUND(raw_order_lines!H620*10,0)*ROUND(raw_order_lines!J620*100,0)+5)/10)/100</f>
        <v>28.86</v>
      </c>
      <c r="Q620" s="6">
        <f>INT((ROUND(raw_order_lines!I620*10,0)*ROUND(raw_order_lines!J620*100,0)+5)/10)/100</f>
        <v>0</v>
      </c>
      <c r="R620" s="6">
        <f t="shared" si="27"/>
        <v>28.86</v>
      </c>
      <c r="S620" s="2" t="str">
        <f>IF(OR(ROUND(raw_order_lines!I620*10,0)&gt;ROUND(raw_order_lines!H620*10,0),ROUND(raw_order_lines!H620*10,0)&gt;ROUND(raw_order_lines!G620*10,0),ROUND(raw_order_lines!G620*10,0)&lt;=0),"数量关系异常","")</f>
        <v/>
      </c>
      <c r="T620" s="2" t="str">
        <f>IF($F620&lt;&gt;INDEX(dim_products!$D$2:$D$21,MATCH($E620,dim_products!$A$2:$A$21,0)),"单位不一致","")</f>
        <v/>
      </c>
      <c r="U620" s="2" t="str">
        <f>IF(OR(ROUND(raw_order_lines!J620*100,0)&lt;ROUND(INDEX(dim_products!$F$2:$F$21,MATCH($E620,dim_products!$A$2:$A$21,0))*100,0),ROUND(raw_order_lines!J620*100,0)&gt;ROUND(INDEX(dim_products!$G$2:$G$21,MATCH($E620,dim_products!$A$2:$A$21,0))*100,0)),"单价越界","")</f>
        <v/>
      </c>
      <c r="V620" s="2" t="str">
        <f t="shared" si="28"/>
        <v/>
      </c>
      <c r="W620" s="2" t="str">
        <f t="shared" si="29"/>
        <v>通过</v>
      </c>
    </row>
    <row r="621" spans="1:23" ht="15">
      <c r="A621" s="2" t="str">
        <f>raw_order_lines!A621</f>
        <v>SIM-20260919-C004</v>
      </c>
      <c r="B621" s="2">
        <f>raw_order_lines!B621</f>
        <v>4</v>
      </c>
      <c r="C621" s="2" t="str">
        <f>raw_order_lines!C621</f>
        <v>C004</v>
      </c>
      <c r="D621" s="3">
        <f>raw_order_lines!D621</f>
        <v>46284</v>
      </c>
      <c r="E621" s="2" t="str">
        <f>raw_order_lines!E621</f>
        <v>P002</v>
      </c>
      <c r="F621" s="2" t="str">
        <f>raw_order_lines!F621</f>
        <v>公斤</v>
      </c>
      <c r="G621" s="4">
        <f>raw_order_lines!G621</f>
        <v>8.1999999999999993</v>
      </c>
      <c r="H621" s="4">
        <f>raw_order_lines!H621</f>
        <v>8.1999999999999993</v>
      </c>
      <c r="I621" s="4">
        <f>raw_order_lines!I621</f>
        <v>0</v>
      </c>
      <c r="J621" s="5">
        <f>raw_order_lines!J621</f>
        <v>2.7</v>
      </c>
      <c r="K621" s="2" t="str">
        <f>raw_order_lines!K621</f>
        <v>正常交付</v>
      </c>
      <c r="L621" s="2" t="str">
        <f>raw_order_lines!L621</f>
        <v>true</v>
      </c>
      <c r="M621" s="2" t="str">
        <f>INDEX(dim_products!$B$2:$B$21,MATCH($E621,dim_products!$A$2:$A$21,0))</f>
        <v>白萝卜</v>
      </c>
      <c r="N621" s="2" t="str">
        <f>INDEX(dim_products!$C$2:$C$21,MATCH($E621,dim_products!$A$2:$A$21,0))</f>
        <v>散装鲜菜</v>
      </c>
      <c r="O621" s="2" t="str">
        <f>INDEX(dim_customers!$B$2:$B$7,MATCH($C621,dim_customers!$A$2:$A$7,0))</f>
        <v>模拟_田畔饭店</v>
      </c>
      <c r="P621" s="6">
        <f>INT((ROUND(raw_order_lines!H621*10,0)*ROUND(raw_order_lines!J621*100,0)+5)/10)/100</f>
        <v>22.14</v>
      </c>
      <c r="Q621" s="6">
        <f>INT((ROUND(raw_order_lines!I621*10,0)*ROUND(raw_order_lines!J621*100,0)+5)/10)/100</f>
        <v>0</v>
      </c>
      <c r="R621" s="6">
        <f t="shared" si="27"/>
        <v>22.14</v>
      </c>
      <c r="S621" s="2" t="str">
        <f>IF(OR(ROUND(raw_order_lines!I621*10,0)&gt;ROUND(raw_order_lines!H621*10,0),ROUND(raw_order_lines!H621*10,0)&gt;ROUND(raw_order_lines!G621*10,0),ROUND(raw_order_lines!G621*10,0)&lt;=0),"数量关系异常","")</f>
        <v/>
      </c>
      <c r="T621" s="2" t="str">
        <f>IF($F621&lt;&gt;INDEX(dim_products!$D$2:$D$21,MATCH($E621,dim_products!$A$2:$A$21,0)),"单位不一致","")</f>
        <v/>
      </c>
      <c r="U621" s="2" t="str">
        <f>IF(OR(ROUND(raw_order_lines!J621*100,0)&lt;ROUND(INDEX(dim_products!$F$2:$F$21,MATCH($E621,dim_products!$A$2:$A$21,0))*100,0),ROUND(raw_order_lines!J621*100,0)&gt;ROUND(INDEX(dim_products!$G$2:$G$21,MATCH($E621,dim_products!$A$2:$A$21,0))*100,0)),"单价越界","")</f>
        <v/>
      </c>
      <c r="V621" s="2" t="str">
        <f t="shared" si="28"/>
        <v/>
      </c>
      <c r="W621" s="2" t="str">
        <f t="shared" si="29"/>
        <v>通过</v>
      </c>
    </row>
    <row r="622" spans="1:23" ht="15">
      <c r="A622" s="2" t="str">
        <f>raw_order_lines!A622</f>
        <v>SIM-20260919-C004</v>
      </c>
      <c r="B622" s="2">
        <f>raw_order_lines!B622</f>
        <v>5</v>
      </c>
      <c r="C622" s="2" t="str">
        <f>raw_order_lines!C622</f>
        <v>C004</v>
      </c>
      <c r="D622" s="3">
        <f>raw_order_lines!D622</f>
        <v>46284</v>
      </c>
      <c r="E622" s="2" t="str">
        <f>raw_order_lines!E622</f>
        <v>P009</v>
      </c>
      <c r="F622" s="2" t="str">
        <f>raw_order_lines!F622</f>
        <v>公斤</v>
      </c>
      <c r="G622" s="4">
        <f>raw_order_lines!G622</f>
        <v>6.7</v>
      </c>
      <c r="H622" s="4">
        <f>raw_order_lines!H622</f>
        <v>6.7</v>
      </c>
      <c r="I622" s="4">
        <f>raw_order_lines!I622</f>
        <v>0</v>
      </c>
      <c r="J622" s="5">
        <f>raw_order_lines!J622</f>
        <v>4.8</v>
      </c>
      <c r="K622" s="2" t="str">
        <f>raw_order_lines!K622</f>
        <v>正常交付</v>
      </c>
      <c r="L622" s="2" t="str">
        <f>raw_order_lines!L622</f>
        <v>true</v>
      </c>
      <c r="M622" s="2" t="str">
        <f>INDEX(dim_products!$B$2:$B$21,MATCH($E622,dim_products!$A$2:$A$21,0))</f>
        <v>西红柿</v>
      </c>
      <c r="N622" s="2" t="str">
        <f>INDEX(dim_products!$C$2:$C$21,MATCH($E622,dim_products!$A$2:$A$21,0))</f>
        <v>散装鲜菜</v>
      </c>
      <c r="O622" s="2" t="str">
        <f>INDEX(dim_customers!$B$2:$B$7,MATCH($C622,dim_customers!$A$2:$A$7,0))</f>
        <v>模拟_田畔饭店</v>
      </c>
      <c r="P622" s="6">
        <f>INT((ROUND(raw_order_lines!H622*10,0)*ROUND(raw_order_lines!J622*100,0)+5)/10)/100</f>
        <v>32.159999999999997</v>
      </c>
      <c r="Q622" s="6">
        <f>INT((ROUND(raw_order_lines!I622*10,0)*ROUND(raw_order_lines!J622*100,0)+5)/10)/100</f>
        <v>0</v>
      </c>
      <c r="R622" s="6">
        <f t="shared" si="27"/>
        <v>32.159999999999997</v>
      </c>
      <c r="S622" s="2" t="str">
        <f>IF(OR(ROUND(raw_order_lines!I622*10,0)&gt;ROUND(raw_order_lines!H622*10,0),ROUND(raw_order_lines!H622*10,0)&gt;ROUND(raw_order_lines!G622*10,0),ROUND(raw_order_lines!G622*10,0)&lt;=0),"数量关系异常","")</f>
        <v/>
      </c>
      <c r="T622" s="2" t="str">
        <f>IF($F622&lt;&gt;INDEX(dim_products!$D$2:$D$21,MATCH($E622,dim_products!$A$2:$A$21,0)),"单位不一致","")</f>
        <v/>
      </c>
      <c r="U622" s="2" t="str">
        <f>IF(OR(ROUND(raw_order_lines!J622*100,0)&lt;ROUND(INDEX(dim_products!$F$2:$F$21,MATCH($E622,dim_products!$A$2:$A$21,0))*100,0),ROUND(raw_order_lines!J622*100,0)&gt;ROUND(INDEX(dim_products!$G$2:$G$21,MATCH($E622,dim_products!$A$2:$A$21,0))*100,0)),"单价越界","")</f>
        <v/>
      </c>
      <c r="V622" s="2" t="str">
        <f t="shared" si="28"/>
        <v/>
      </c>
      <c r="W622" s="2" t="str">
        <f t="shared" si="29"/>
        <v>通过</v>
      </c>
    </row>
    <row r="623" spans="1:23" ht="15">
      <c r="A623" s="2" t="str">
        <f>raw_order_lines!A623</f>
        <v>SIM-20260919-C004</v>
      </c>
      <c r="B623" s="2">
        <f>raw_order_lines!B623</f>
        <v>6</v>
      </c>
      <c r="C623" s="2" t="str">
        <f>raw_order_lines!C623</f>
        <v>C004</v>
      </c>
      <c r="D623" s="3">
        <f>raw_order_lines!D623</f>
        <v>46284</v>
      </c>
      <c r="E623" s="2" t="str">
        <f>raw_order_lines!E623</f>
        <v>P003</v>
      </c>
      <c r="F623" s="2" t="str">
        <f>raw_order_lines!F623</f>
        <v>公斤</v>
      </c>
      <c r="G623" s="4">
        <f>raw_order_lines!G623</f>
        <v>5.2</v>
      </c>
      <c r="H623" s="4">
        <f>raw_order_lines!H623</f>
        <v>5.2</v>
      </c>
      <c r="I623" s="4">
        <f>raw_order_lines!I623</f>
        <v>0</v>
      </c>
      <c r="J623" s="5">
        <f>raw_order_lines!J623</f>
        <v>3.5</v>
      </c>
      <c r="K623" s="2" t="str">
        <f>raw_order_lines!K623</f>
        <v>正常交付</v>
      </c>
      <c r="L623" s="2" t="str">
        <f>raw_order_lines!L623</f>
        <v>true</v>
      </c>
      <c r="M623" s="2" t="str">
        <f>INDEX(dim_products!$B$2:$B$21,MATCH($E623,dim_products!$A$2:$A$21,0))</f>
        <v>包菜</v>
      </c>
      <c r="N623" s="2" t="str">
        <f>INDEX(dim_products!$C$2:$C$21,MATCH($E623,dim_products!$A$2:$A$21,0))</f>
        <v>散装鲜菜</v>
      </c>
      <c r="O623" s="2" t="str">
        <f>INDEX(dim_customers!$B$2:$B$7,MATCH($C623,dim_customers!$A$2:$A$7,0))</f>
        <v>模拟_田畔饭店</v>
      </c>
      <c r="P623" s="6">
        <f>INT((ROUND(raw_order_lines!H623*10,0)*ROUND(raw_order_lines!J623*100,0)+5)/10)/100</f>
        <v>18.2</v>
      </c>
      <c r="Q623" s="6">
        <f>INT((ROUND(raw_order_lines!I623*10,0)*ROUND(raw_order_lines!J623*100,0)+5)/10)/100</f>
        <v>0</v>
      </c>
      <c r="R623" s="6">
        <f t="shared" si="27"/>
        <v>18.2</v>
      </c>
      <c r="S623" s="2" t="str">
        <f>IF(OR(ROUND(raw_order_lines!I623*10,0)&gt;ROUND(raw_order_lines!H623*10,0),ROUND(raw_order_lines!H623*10,0)&gt;ROUND(raw_order_lines!G623*10,0),ROUND(raw_order_lines!G623*10,0)&lt;=0),"数量关系异常","")</f>
        <v/>
      </c>
      <c r="T623" s="2" t="str">
        <f>IF($F623&lt;&gt;INDEX(dim_products!$D$2:$D$21,MATCH($E623,dim_products!$A$2:$A$21,0)),"单位不一致","")</f>
        <v/>
      </c>
      <c r="U623" s="2" t="str">
        <f>IF(OR(ROUND(raw_order_lines!J623*100,0)&lt;ROUND(INDEX(dim_products!$F$2:$F$21,MATCH($E623,dim_products!$A$2:$A$21,0))*100,0),ROUND(raw_order_lines!J623*100,0)&gt;ROUND(INDEX(dim_products!$G$2:$G$21,MATCH($E623,dim_products!$A$2:$A$21,0))*100,0)),"单价越界","")</f>
        <v/>
      </c>
      <c r="V623" s="2" t="str">
        <f t="shared" si="28"/>
        <v/>
      </c>
      <c r="W623" s="2" t="str">
        <f t="shared" si="29"/>
        <v>通过</v>
      </c>
    </row>
    <row r="624" spans="1:23" ht="15">
      <c r="A624" s="2" t="str">
        <f>raw_order_lines!A624</f>
        <v>SIM-20260919-C004</v>
      </c>
      <c r="B624" s="2">
        <f>raw_order_lines!B624</f>
        <v>7</v>
      </c>
      <c r="C624" s="2" t="str">
        <f>raw_order_lines!C624</f>
        <v>C004</v>
      </c>
      <c r="D624" s="3">
        <f>raw_order_lines!D624</f>
        <v>46284</v>
      </c>
      <c r="E624" s="2" t="str">
        <f>raw_order_lines!E624</f>
        <v>P016</v>
      </c>
      <c r="F624" s="2" t="str">
        <f>raw_order_lines!F624</f>
        <v>公斤</v>
      </c>
      <c r="G624" s="4">
        <f>raw_order_lines!G624</f>
        <v>5</v>
      </c>
      <c r="H624" s="4">
        <f>raw_order_lines!H624</f>
        <v>5</v>
      </c>
      <c r="I624" s="4">
        <f>raw_order_lines!I624</f>
        <v>0</v>
      </c>
      <c r="J624" s="5">
        <f>raw_order_lines!J624</f>
        <v>10.199999999999999</v>
      </c>
      <c r="K624" s="2" t="str">
        <f>raw_order_lines!K624</f>
        <v>正常交付</v>
      </c>
      <c r="L624" s="2" t="str">
        <f>raw_order_lines!L624</f>
        <v>true</v>
      </c>
      <c r="M624" s="2" t="str">
        <f>INDEX(dim_products!$B$2:$B$21,MATCH($E624,dim_products!$A$2:$A$21,0))</f>
        <v>鸡蛋</v>
      </c>
      <c r="N624" s="2" t="str">
        <f>INDEX(dim_products!$C$2:$C$21,MATCH($E624,dim_products!$A$2:$A$21,0))</f>
        <v>普通鲜鸡蛋按净重</v>
      </c>
      <c r="O624" s="2" t="str">
        <f>INDEX(dim_customers!$B$2:$B$7,MATCH($C624,dim_customers!$A$2:$A$7,0))</f>
        <v>模拟_田畔饭店</v>
      </c>
      <c r="P624" s="6">
        <f>INT((ROUND(raw_order_lines!H624*10,0)*ROUND(raw_order_lines!J624*100,0)+5)/10)/100</f>
        <v>51</v>
      </c>
      <c r="Q624" s="6">
        <f>INT((ROUND(raw_order_lines!I624*10,0)*ROUND(raw_order_lines!J624*100,0)+5)/10)/100</f>
        <v>0</v>
      </c>
      <c r="R624" s="6">
        <f t="shared" si="27"/>
        <v>51</v>
      </c>
      <c r="S624" s="2" t="str">
        <f>IF(OR(ROUND(raw_order_lines!I624*10,0)&gt;ROUND(raw_order_lines!H624*10,0),ROUND(raw_order_lines!H624*10,0)&gt;ROUND(raw_order_lines!G624*10,0),ROUND(raw_order_lines!G624*10,0)&lt;=0),"数量关系异常","")</f>
        <v/>
      </c>
      <c r="T624" s="2" t="str">
        <f>IF($F624&lt;&gt;INDEX(dim_products!$D$2:$D$21,MATCH($E624,dim_products!$A$2:$A$21,0)),"单位不一致","")</f>
        <v/>
      </c>
      <c r="U624" s="2" t="str">
        <f>IF(OR(ROUND(raw_order_lines!J624*100,0)&lt;ROUND(INDEX(dim_products!$F$2:$F$21,MATCH($E624,dim_products!$A$2:$A$21,0))*100,0),ROUND(raw_order_lines!J624*100,0)&gt;ROUND(INDEX(dim_products!$G$2:$G$21,MATCH($E624,dim_products!$A$2:$A$21,0))*100,0)),"单价越界","")</f>
        <v/>
      </c>
      <c r="V624" s="2" t="str">
        <f t="shared" si="28"/>
        <v/>
      </c>
      <c r="W624" s="2" t="str">
        <f t="shared" si="29"/>
        <v>通过</v>
      </c>
    </row>
    <row r="625" spans="1:23" ht="15">
      <c r="A625" s="2" t="str">
        <f>raw_order_lines!A625</f>
        <v>SIM-20260919-C006</v>
      </c>
      <c r="B625" s="2">
        <f>raw_order_lines!B625</f>
        <v>1</v>
      </c>
      <c r="C625" s="2" t="str">
        <f>raw_order_lines!C625</f>
        <v>C006</v>
      </c>
      <c r="D625" s="3">
        <f>raw_order_lines!D625</f>
        <v>46284</v>
      </c>
      <c r="E625" s="2" t="str">
        <f>raw_order_lines!E625</f>
        <v>P012</v>
      </c>
      <c r="F625" s="2" t="str">
        <f>raw_order_lines!F625</f>
        <v>公斤</v>
      </c>
      <c r="G625" s="4">
        <f>raw_order_lines!G625</f>
        <v>9.9</v>
      </c>
      <c r="H625" s="4">
        <f>raw_order_lines!H625</f>
        <v>9.9</v>
      </c>
      <c r="I625" s="4">
        <f>raw_order_lines!I625</f>
        <v>0</v>
      </c>
      <c r="J625" s="5">
        <f>raw_order_lines!J625</f>
        <v>5.2</v>
      </c>
      <c r="K625" s="2" t="str">
        <f>raw_order_lines!K625</f>
        <v>正常交付</v>
      </c>
      <c r="L625" s="2" t="str">
        <f>raw_order_lines!L625</f>
        <v>true</v>
      </c>
      <c r="M625" s="2" t="str">
        <f>INDEX(dim_products!$B$2:$B$21,MATCH($E625,dim_products!$A$2:$A$21,0))</f>
        <v>小白菜</v>
      </c>
      <c r="N625" s="2" t="str">
        <f>INDEX(dim_products!$C$2:$C$21,MATCH($E625,dim_products!$A$2:$A$21,0))</f>
        <v>散装鲜菜</v>
      </c>
      <c r="O625" s="2" t="str">
        <f>INDEX(dim_customers!$B$2:$B$7,MATCH($C625,dim_customers!$A$2:$A$7,0))</f>
        <v>模拟_溪桥医院食堂</v>
      </c>
      <c r="P625" s="6">
        <f>INT((ROUND(raw_order_lines!H625*10,0)*ROUND(raw_order_lines!J625*100,0)+5)/10)/100</f>
        <v>51.48</v>
      </c>
      <c r="Q625" s="6">
        <f>INT((ROUND(raw_order_lines!I625*10,0)*ROUND(raw_order_lines!J625*100,0)+5)/10)/100</f>
        <v>0</v>
      </c>
      <c r="R625" s="6">
        <f t="shared" si="27"/>
        <v>51.48</v>
      </c>
      <c r="S625" s="2" t="str">
        <f>IF(OR(ROUND(raw_order_lines!I625*10,0)&gt;ROUND(raw_order_lines!H625*10,0),ROUND(raw_order_lines!H625*10,0)&gt;ROUND(raw_order_lines!G625*10,0),ROUND(raw_order_lines!G625*10,0)&lt;=0),"数量关系异常","")</f>
        <v/>
      </c>
      <c r="T625" s="2" t="str">
        <f>IF($F625&lt;&gt;INDEX(dim_products!$D$2:$D$21,MATCH($E625,dim_products!$A$2:$A$21,0)),"单位不一致","")</f>
        <v/>
      </c>
      <c r="U625" s="2" t="str">
        <f>IF(OR(ROUND(raw_order_lines!J625*100,0)&lt;ROUND(INDEX(dim_products!$F$2:$F$21,MATCH($E625,dim_products!$A$2:$A$21,0))*100,0),ROUND(raw_order_lines!J625*100,0)&gt;ROUND(INDEX(dim_products!$G$2:$G$21,MATCH($E625,dim_products!$A$2:$A$21,0))*100,0)),"单价越界","")</f>
        <v/>
      </c>
      <c r="V625" s="2" t="str">
        <f t="shared" si="28"/>
        <v/>
      </c>
      <c r="W625" s="2" t="str">
        <f t="shared" si="29"/>
        <v>通过</v>
      </c>
    </row>
    <row r="626" spans="1:23" ht="15">
      <c r="A626" s="2" t="str">
        <f>raw_order_lines!A626</f>
        <v>SIM-20260919-C006</v>
      </c>
      <c r="B626" s="2">
        <f>raw_order_lines!B626</f>
        <v>2</v>
      </c>
      <c r="C626" s="2" t="str">
        <f>raw_order_lines!C626</f>
        <v>C006</v>
      </c>
      <c r="D626" s="3">
        <f>raw_order_lines!D626</f>
        <v>46284</v>
      </c>
      <c r="E626" s="2" t="str">
        <f>raw_order_lines!E626</f>
        <v>P006</v>
      </c>
      <c r="F626" s="2" t="str">
        <f>raw_order_lines!F626</f>
        <v>公斤</v>
      </c>
      <c r="G626" s="4">
        <f>raw_order_lines!G626</f>
        <v>8.1</v>
      </c>
      <c r="H626" s="4">
        <f>raw_order_lines!H626</f>
        <v>7.6</v>
      </c>
      <c r="I626" s="4">
        <f>raw_order_lines!I626</f>
        <v>0</v>
      </c>
      <c r="J626" s="5">
        <f>raw_order_lines!J626</f>
        <v>4.8</v>
      </c>
      <c r="K626" s="2" t="str">
        <f>raw_order_lines!K626</f>
        <v>到货不足；按实际交付计费</v>
      </c>
      <c r="L626" s="2" t="str">
        <f>raw_order_lines!L626</f>
        <v>true</v>
      </c>
      <c r="M626" s="2" t="str">
        <f>INDEX(dim_products!$B$2:$B$21,MATCH($E626,dim_products!$A$2:$A$21,0))</f>
        <v>茄子</v>
      </c>
      <c r="N626" s="2" t="str">
        <f>INDEX(dim_products!$C$2:$C$21,MATCH($E626,dim_products!$A$2:$A$21,0))</f>
        <v>散装鲜菜</v>
      </c>
      <c r="O626" s="2" t="str">
        <f>INDEX(dim_customers!$B$2:$B$7,MATCH($C626,dim_customers!$A$2:$A$7,0))</f>
        <v>模拟_溪桥医院食堂</v>
      </c>
      <c r="P626" s="6">
        <f>INT((ROUND(raw_order_lines!H626*10,0)*ROUND(raw_order_lines!J626*100,0)+5)/10)/100</f>
        <v>36.479999999999997</v>
      </c>
      <c r="Q626" s="6">
        <f>INT((ROUND(raw_order_lines!I626*10,0)*ROUND(raw_order_lines!J626*100,0)+5)/10)/100</f>
        <v>0</v>
      </c>
      <c r="R626" s="6">
        <f t="shared" si="27"/>
        <v>36.479999999999997</v>
      </c>
      <c r="S626" s="2" t="str">
        <f>IF(OR(ROUND(raw_order_lines!I626*10,0)&gt;ROUND(raw_order_lines!H626*10,0),ROUND(raw_order_lines!H626*10,0)&gt;ROUND(raw_order_lines!G626*10,0),ROUND(raw_order_lines!G626*10,0)&lt;=0),"数量关系异常","")</f>
        <v/>
      </c>
      <c r="T626" s="2" t="str">
        <f>IF($F626&lt;&gt;INDEX(dim_products!$D$2:$D$21,MATCH($E626,dim_products!$A$2:$A$21,0)),"单位不一致","")</f>
        <v/>
      </c>
      <c r="U626" s="2" t="str">
        <f>IF(OR(ROUND(raw_order_lines!J626*100,0)&lt;ROUND(INDEX(dim_products!$F$2:$F$21,MATCH($E626,dim_products!$A$2:$A$21,0))*100,0),ROUND(raw_order_lines!J626*100,0)&gt;ROUND(INDEX(dim_products!$G$2:$G$21,MATCH($E626,dim_products!$A$2:$A$21,0))*100,0)),"单价越界","")</f>
        <v/>
      </c>
      <c r="V626" s="2" t="str">
        <f t="shared" si="28"/>
        <v/>
      </c>
      <c r="W626" s="2" t="str">
        <f t="shared" si="29"/>
        <v>通过</v>
      </c>
    </row>
    <row r="627" spans="1:23" ht="15">
      <c r="A627" s="2" t="str">
        <f>raw_order_lines!A627</f>
        <v>SIM-20260919-C006</v>
      </c>
      <c r="B627" s="2">
        <f>raw_order_lines!B627</f>
        <v>3</v>
      </c>
      <c r="C627" s="2" t="str">
        <f>raw_order_lines!C627</f>
        <v>C006</v>
      </c>
      <c r="D627" s="3">
        <f>raw_order_lines!D627</f>
        <v>46284</v>
      </c>
      <c r="E627" s="2" t="str">
        <f>raw_order_lines!E627</f>
        <v>P008</v>
      </c>
      <c r="F627" s="2" t="str">
        <f>raw_order_lines!F627</f>
        <v>公斤</v>
      </c>
      <c r="G627" s="4">
        <f>raw_order_lines!G627</f>
        <v>11.7</v>
      </c>
      <c r="H627" s="4">
        <f>raw_order_lines!H627</f>
        <v>11.7</v>
      </c>
      <c r="I627" s="4">
        <f>raw_order_lines!I627</f>
        <v>0</v>
      </c>
      <c r="J627" s="5">
        <f>raw_order_lines!J627</f>
        <v>4.4000000000000004</v>
      </c>
      <c r="K627" s="2" t="str">
        <f>raw_order_lines!K627</f>
        <v>正常交付</v>
      </c>
      <c r="L627" s="2" t="str">
        <f>raw_order_lines!L627</f>
        <v>true</v>
      </c>
      <c r="M627" s="2" t="str">
        <f>INDEX(dim_products!$B$2:$B$21,MATCH($E627,dim_products!$A$2:$A$21,0))</f>
        <v>黄瓜</v>
      </c>
      <c r="N627" s="2" t="str">
        <f>INDEX(dim_products!$C$2:$C$21,MATCH($E627,dim_products!$A$2:$A$21,0))</f>
        <v>散装鲜菜</v>
      </c>
      <c r="O627" s="2" t="str">
        <f>INDEX(dim_customers!$B$2:$B$7,MATCH($C627,dim_customers!$A$2:$A$7,0))</f>
        <v>模拟_溪桥医院食堂</v>
      </c>
      <c r="P627" s="6">
        <f>INT((ROUND(raw_order_lines!H627*10,0)*ROUND(raw_order_lines!J627*100,0)+5)/10)/100</f>
        <v>51.48</v>
      </c>
      <c r="Q627" s="6">
        <f>INT((ROUND(raw_order_lines!I627*10,0)*ROUND(raw_order_lines!J627*100,0)+5)/10)/100</f>
        <v>0</v>
      </c>
      <c r="R627" s="6">
        <f t="shared" si="27"/>
        <v>51.48</v>
      </c>
      <c r="S627" s="2" t="str">
        <f>IF(OR(ROUND(raw_order_lines!I627*10,0)&gt;ROUND(raw_order_lines!H627*10,0),ROUND(raw_order_lines!H627*10,0)&gt;ROUND(raw_order_lines!G627*10,0),ROUND(raw_order_lines!G627*10,0)&lt;=0),"数量关系异常","")</f>
        <v/>
      </c>
      <c r="T627" s="2" t="str">
        <f>IF($F627&lt;&gt;INDEX(dim_products!$D$2:$D$21,MATCH($E627,dim_products!$A$2:$A$21,0)),"单位不一致","")</f>
        <v/>
      </c>
      <c r="U627" s="2" t="str">
        <f>IF(OR(ROUND(raw_order_lines!J627*100,0)&lt;ROUND(INDEX(dim_products!$F$2:$F$21,MATCH($E627,dim_products!$A$2:$A$21,0))*100,0),ROUND(raw_order_lines!J627*100,0)&gt;ROUND(INDEX(dim_products!$G$2:$G$21,MATCH($E627,dim_products!$A$2:$A$21,0))*100,0)),"单价越界","")</f>
        <v/>
      </c>
      <c r="V627" s="2" t="str">
        <f t="shared" si="28"/>
        <v/>
      </c>
      <c r="W627" s="2" t="str">
        <f t="shared" si="29"/>
        <v>通过</v>
      </c>
    </row>
    <row r="628" spans="1:23" ht="15">
      <c r="A628" s="2" t="str">
        <f>raw_order_lines!A628</f>
        <v>SIM-20260919-C006</v>
      </c>
      <c r="B628" s="2">
        <f>raw_order_lines!B628</f>
        <v>4</v>
      </c>
      <c r="C628" s="2" t="str">
        <f>raw_order_lines!C628</f>
        <v>C006</v>
      </c>
      <c r="D628" s="3">
        <f>raw_order_lines!D628</f>
        <v>46284</v>
      </c>
      <c r="E628" s="2" t="str">
        <f>raw_order_lines!E628</f>
        <v>P002</v>
      </c>
      <c r="F628" s="2" t="str">
        <f>raw_order_lines!F628</f>
        <v>公斤</v>
      </c>
      <c r="G628" s="4">
        <f>raw_order_lines!G628</f>
        <v>6.3</v>
      </c>
      <c r="H628" s="4">
        <f>raw_order_lines!H628</f>
        <v>6.3</v>
      </c>
      <c r="I628" s="4">
        <f>raw_order_lines!I628</f>
        <v>0</v>
      </c>
      <c r="J628" s="5">
        <f>raw_order_lines!J628</f>
        <v>2.7</v>
      </c>
      <c r="K628" s="2" t="str">
        <f>raw_order_lines!K628</f>
        <v>正常交付</v>
      </c>
      <c r="L628" s="2" t="str">
        <f>raw_order_lines!L628</f>
        <v>true</v>
      </c>
      <c r="M628" s="2" t="str">
        <f>INDEX(dim_products!$B$2:$B$21,MATCH($E628,dim_products!$A$2:$A$21,0))</f>
        <v>白萝卜</v>
      </c>
      <c r="N628" s="2" t="str">
        <f>INDEX(dim_products!$C$2:$C$21,MATCH($E628,dim_products!$A$2:$A$21,0))</f>
        <v>散装鲜菜</v>
      </c>
      <c r="O628" s="2" t="str">
        <f>INDEX(dim_customers!$B$2:$B$7,MATCH($C628,dim_customers!$A$2:$A$7,0))</f>
        <v>模拟_溪桥医院食堂</v>
      </c>
      <c r="P628" s="6">
        <f>INT((ROUND(raw_order_lines!H628*10,0)*ROUND(raw_order_lines!J628*100,0)+5)/10)/100</f>
        <v>17.010000000000002</v>
      </c>
      <c r="Q628" s="6">
        <f>INT((ROUND(raw_order_lines!I628*10,0)*ROUND(raw_order_lines!J628*100,0)+5)/10)/100</f>
        <v>0</v>
      </c>
      <c r="R628" s="6">
        <f t="shared" si="27"/>
        <v>17.010000000000002</v>
      </c>
      <c r="S628" s="2" t="str">
        <f>IF(OR(ROUND(raw_order_lines!I628*10,0)&gt;ROUND(raw_order_lines!H628*10,0),ROUND(raw_order_lines!H628*10,0)&gt;ROUND(raw_order_lines!G628*10,0),ROUND(raw_order_lines!G628*10,0)&lt;=0),"数量关系异常","")</f>
        <v/>
      </c>
      <c r="T628" s="2" t="str">
        <f>IF($F628&lt;&gt;INDEX(dim_products!$D$2:$D$21,MATCH($E628,dim_products!$A$2:$A$21,0)),"单位不一致","")</f>
        <v/>
      </c>
      <c r="U628" s="2" t="str">
        <f>IF(OR(ROUND(raw_order_lines!J628*100,0)&lt;ROUND(INDEX(dim_products!$F$2:$F$21,MATCH($E628,dim_products!$A$2:$A$21,0))*100,0),ROUND(raw_order_lines!J628*100,0)&gt;ROUND(INDEX(dim_products!$G$2:$G$21,MATCH($E628,dim_products!$A$2:$A$21,0))*100,0)),"单价越界","")</f>
        <v/>
      </c>
      <c r="V628" s="2" t="str">
        <f t="shared" si="28"/>
        <v/>
      </c>
      <c r="W628" s="2" t="str">
        <f t="shared" si="29"/>
        <v>通过</v>
      </c>
    </row>
    <row r="629" spans="1:23" ht="15">
      <c r="A629" s="2" t="str">
        <f>raw_order_lines!A629</f>
        <v>SIM-20260919-C006</v>
      </c>
      <c r="B629" s="2">
        <f>raw_order_lines!B629</f>
        <v>5</v>
      </c>
      <c r="C629" s="2" t="str">
        <f>raw_order_lines!C629</f>
        <v>C006</v>
      </c>
      <c r="D629" s="3">
        <f>raw_order_lines!D629</f>
        <v>46284</v>
      </c>
      <c r="E629" s="2" t="str">
        <f>raw_order_lines!E629</f>
        <v>P003</v>
      </c>
      <c r="F629" s="2" t="str">
        <f>raw_order_lines!F629</f>
        <v>公斤</v>
      </c>
      <c r="G629" s="4">
        <f>raw_order_lines!G629</f>
        <v>6.3</v>
      </c>
      <c r="H629" s="4">
        <f>raw_order_lines!H629</f>
        <v>6.3</v>
      </c>
      <c r="I629" s="4">
        <f>raw_order_lines!I629</f>
        <v>0</v>
      </c>
      <c r="J629" s="5">
        <f>raw_order_lines!J629</f>
        <v>3.5</v>
      </c>
      <c r="K629" s="2" t="str">
        <f>raw_order_lines!K629</f>
        <v>正常交付</v>
      </c>
      <c r="L629" s="2" t="str">
        <f>raw_order_lines!L629</f>
        <v>true</v>
      </c>
      <c r="M629" s="2" t="str">
        <f>INDEX(dim_products!$B$2:$B$21,MATCH($E629,dim_products!$A$2:$A$21,0))</f>
        <v>包菜</v>
      </c>
      <c r="N629" s="2" t="str">
        <f>INDEX(dim_products!$C$2:$C$21,MATCH($E629,dim_products!$A$2:$A$21,0))</f>
        <v>散装鲜菜</v>
      </c>
      <c r="O629" s="2" t="str">
        <f>INDEX(dim_customers!$B$2:$B$7,MATCH($C629,dim_customers!$A$2:$A$7,0))</f>
        <v>模拟_溪桥医院食堂</v>
      </c>
      <c r="P629" s="6">
        <f>INT((ROUND(raw_order_lines!H629*10,0)*ROUND(raw_order_lines!J629*100,0)+5)/10)/100</f>
        <v>22.05</v>
      </c>
      <c r="Q629" s="6">
        <f>INT((ROUND(raw_order_lines!I629*10,0)*ROUND(raw_order_lines!J629*100,0)+5)/10)/100</f>
        <v>0</v>
      </c>
      <c r="R629" s="6">
        <f t="shared" si="27"/>
        <v>22.05</v>
      </c>
      <c r="S629" s="2" t="str">
        <f>IF(OR(ROUND(raw_order_lines!I629*10,0)&gt;ROUND(raw_order_lines!H629*10,0),ROUND(raw_order_lines!H629*10,0)&gt;ROUND(raw_order_lines!G629*10,0),ROUND(raw_order_lines!G629*10,0)&lt;=0),"数量关系异常","")</f>
        <v/>
      </c>
      <c r="T629" s="2" t="str">
        <f>IF($F629&lt;&gt;INDEX(dim_products!$D$2:$D$21,MATCH($E629,dim_products!$A$2:$A$21,0)),"单位不一致","")</f>
        <v/>
      </c>
      <c r="U629" s="2" t="str">
        <f>IF(OR(ROUND(raw_order_lines!J629*100,0)&lt;ROUND(INDEX(dim_products!$F$2:$F$21,MATCH($E629,dim_products!$A$2:$A$21,0))*100,0),ROUND(raw_order_lines!J629*100,0)&gt;ROUND(INDEX(dim_products!$G$2:$G$21,MATCH($E629,dim_products!$A$2:$A$21,0))*100,0)),"单价越界","")</f>
        <v/>
      </c>
      <c r="V629" s="2" t="str">
        <f t="shared" si="28"/>
        <v/>
      </c>
      <c r="W629" s="2" t="str">
        <f t="shared" si="29"/>
        <v>通过</v>
      </c>
    </row>
    <row r="630" spans="1:23" ht="15">
      <c r="A630" s="2" t="str">
        <f>raw_order_lines!A630</f>
        <v>SIM-20260919-C006</v>
      </c>
      <c r="B630" s="2">
        <f>raw_order_lines!B630</f>
        <v>6</v>
      </c>
      <c r="C630" s="2" t="str">
        <f>raw_order_lines!C630</f>
        <v>C006</v>
      </c>
      <c r="D630" s="3">
        <f>raw_order_lines!D630</f>
        <v>46284</v>
      </c>
      <c r="E630" s="2" t="str">
        <f>raw_order_lines!E630</f>
        <v>P005</v>
      </c>
      <c r="F630" s="2" t="str">
        <f>raw_order_lines!F630</f>
        <v>公斤</v>
      </c>
      <c r="G630" s="4">
        <f>raw_order_lines!G630</f>
        <v>9.9</v>
      </c>
      <c r="H630" s="4">
        <f>raw_order_lines!H630</f>
        <v>9.9</v>
      </c>
      <c r="I630" s="4">
        <f>raw_order_lines!I630</f>
        <v>0</v>
      </c>
      <c r="J630" s="5">
        <f>raw_order_lines!J630</f>
        <v>3.2</v>
      </c>
      <c r="K630" s="2" t="str">
        <f>raw_order_lines!K630</f>
        <v>正常交付</v>
      </c>
      <c r="L630" s="2" t="str">
        <f>raw_order_lines!L630</f>
        <v>true</v>
      </c>
      <c r="M630" s="2" t="str">
        <f>INDEX(dim_products!$B$2:$B$21,MATCH($E630,dim_products!$A$2:$A$21,0))</f>
        <v>南瓜</v>
      </c>
      <c r="N630" s="2" t="str">
        <f>INDEX(dim_products!$C$2:$C$21,MATCH($E630,dim_products!$A$2:$A$21,0))</f>
        <v>散装鲜菜</v>
      </c>
      <c r="O630" s="2" t="str">
        <f>INDEX(dim_customers!$B$2:$B$7,MATCH($C630,dim_customers!$A$2:$A$7,0))</f>
        <v>模拟_溪桥医院食堂</v>
      </c>
      <c r="P630" s="6">
        <f>INT((ROUND(raw_order_lines!H630*10,0)*ROUND(raw_order_lines!J630*100,0)+5)/10)/100</f>
        <v>31.68</v>
      </c>
      <c r="Q630" s="6">
        <f>INT((ROUND(raw_order_lines!I630*10,0)*ROUND(raw_order_lines!J630*100,0)+5)/10)/100</f>
        <v>0</v>
      </c>
      <c r="R630" s="6">
        <f t="shared" si="27"/>
        <v>31.68</v>
      </c>
      <c r="S630" s="2" t="str">
        <f>IF(OR(ROUND(raw_order_lines!I630*10,0)&gt;ROUND(raw_order_lines!H630*10,0),ROUND(raw_order_lines!H630*10,0)&gt;ROUND(raw_order_lines!G630*10,0),ROUND(raw_order_lines!G630*10,0)&lt;=0),"数量关系异常","")</f>
        <v/>
      </c>
      <c r="T630" s="2" t="str">
        <f>IF($F630&lt;&gt;INDEX(dim_products!$D$2:$D$21,MATCH($E630,dim_products!$A$2:$A$21,0)),"单位不一致","")</f>
        <v/>
      </c>
      <c r="U630" s="2" t="str">
        <f>IF(OR(ROUND(raw_order_lines!J630*100,0)&lt;ROUND(INDEX(dim_products!$F$2:$F$21,MATCH($E630,dim_products!$A$2:$A$21,0))*100,0),ROUND(raw_order_lines!J630*100,0)&gt;ROUND(INDEX(dim_products!$G$2:$G$21,MATCH($E630,dim_products!$A$2:$A$21,0))*100,0)),"单价越界","")</f>
        <v/>
      </c>
      <c r="V630" s="2" t="str">
        <f t="shared" si="28"/>
        <v/>
      </c>
      <c r="W630" s="2" t="str">
        <f t="shared" si="29"/>
        <v>通过</v>
      </c>
    </row>
    <row r="631" spans="1:23" ht="15">
      <c r="A631" s="2" t="str">
        <f>raw_order_lines!A631</f>
        <v>SIM-20260919-C006</v>
      </c>
      <c r="B631" s="2">
        <f>raw_order_lines!B631</f>
        <v>7</v>
      </c>
      <c r="C631" s="2" t="str">
        <f>raw_order_lines!C631</f>
        <v>C006</v>
      </c>
      <c r="D631" s="3">
        <f>raw_order_lines!D631</f>
        <v>46284</v>
      </c>
      <c r="E631" s="2" t="str">
        <f>raw_order_lines!E631</f>
        <v>P016</v>
      </c>
      <c r="F631" s="2" t="str">
        <f>raw_order_lines!F631</f>
        <v>公斤</v>
      </c>
      <c r="G631" s="4">
        <f>raw_order_lines!G631</f>
        <v>9</v>
      </c>
      <c r="H631" s="4">
        <f>raw_order_lines!H631</f>
        <v>9</v>
      </c>
      <c r="I631" s="4">
        <f>raw_order_lines!I631</f>
        <v>0</v>
      </c>
      <c r="J631" s="5">
        <f>raw_order_lines!J631</f>
        <v>10.199999999999999</v>
      </c>
      <c r="K631" s="2" t="str">
        <f>raw_order_lines!K631</f>
        <v>正常交付</v>
      </c>
      <c r="L631" s="2" t="str">
        <f>raw_order_lines!L631</f>
        <v>true</v>
      </c>
      <c r="M631" s="2" t="str">
        <f>INDEX(dim_products!$B$2:$B$21,MATCH($E631,dim_products!$A$2:$A$21,0))</f>
        <v>鸡蛋</v>
      </c>
      <c r="N631" s="2" t="str">
        <f>INDEX(dim_products!$C$2:$C$21,MATCH($E631,dim_products!$A$2:$A$21,0))</f>
        <v>普通鲜鸡蛋按净重</v>
      </c>
      <c r="O631" s="2" t="str">
        <f>INDEX(dim_customers!$B$2:$B$7,MATCH($C631,dim_customers!$A$2:$A$7,0))</f>
        <v>模拟_溪桥医院食堂</v>
      </c>
      <c r="P631" s="6">
        <f>INT((ROUND(raw_order_lines!H631*10,0)*ROUND(raw_order_lines!J631*100,0)+5)/10)/100</f>
        <v>91.8</v>
      </c>
      <c r="Q631" s="6">
        <f>INT((ROUND(raw_order_lines!I631*10,0)*ROUND(raw_order_lines!J631*100,0)+5)/10)/100</f>
        <v>0</v>
      </c>
      <c r="R631" s="6">
        <f t="shared" si="27"/>
        <v>91.8</v>
      </c>
      <c r="S631" s="2" t="str">
        <f>IF(OR(ROUND(raw_order_lines!I631*10,0)&gt;ROUND(raw_order_lines!H631*10,0),ROUND(raw_order_lines!H631*10,0)&gt;ROUND(raw_order_lines!G631*10,0),ROUND(raw_order_lines!G631*10,0)&lt;=0),"数量关系异常","")</f>
        <v/>
      </c>
      <c r="T631" s="2" t="str">
        <f>IF($F631&lt;&gt;INDEX(dim_products!$D$2:$D$21,MATCH($E631,dim_products!$A$2:$A$21,0)),"单位不一致","")</f>
        <v/>
      </c>
      <c r="U631" s="2" t="str">
        <f>IF(OR(ROUND(raw_order_lines!J631*100,0)&lt;ROUND(INDEX(dim_products!$F$2:$F$21,MATCH($E631,dim_products!$A$2:$A$21,0))*100,0),ROUND(raw_order_lines!J631*100,0)&gt;ROUND(INDEX(dim_products!$G$2:$G$21,MATCH($E631,dim_products!$A$2:$A$21,0))*100,0)),"单价越界","")</f>
        <v/>
      </c>
      <c r="V631" s="2" t="str">
        <f t="shared" si="28"/>
        <v/>
      </c>
      <c r="W631" s="2" t="str">
        <f t="shared" si="29"/>
        <v>通过</v>
      </c>
    </row>
    <row r="632" spans="1:23" ht="15">
      <c r="A632" s="2" t="str">
        <f>raw_order_lines!A632</f>
        <v>SIM-20260919-C006</v>
      </c>
      <c r="B632" s="2">
        <f>raw_order_lines!B632</f>
        <v>8</v>
      </c>
      <c r="C632" s="2" t="str">
        <f>raw_order_lines!C632</f>
        <v>C006</v>
      </c>
      <c r="D632" s="3">
        <f>raw_order_lines!D632</f>
        <v>46284</v>
      </c>
      <c r="E632" s="2" t="str">
        <f>raw_order_lines!E632</f>
        <v>P015</v>
      </c>
      <c r="F632" s="2" t="str">
        <f>raw_order_lines!F632</f>
        <v>公斤</v>
      </c>
      <c r="G632" s="4">
        <f>raw_order_lines!G632</f>
        <v>1</v>
      </c>
      <c r="H632" s="4">
        <f>raw_order_lines!H632</f>
        <v>0.5</v>
      </c>
      <c r="I632" s="4">
        <f>raw_order_lines!I632</f>
        <v>0</v>
      </c>
      <c r="J632" s="5">
        <f>raw_order_lines!J632</f>
        <v>7.3</v>
      </c>
      <c r="K632" s="2" t="str">
        <f>raw_order_lines!K632</f>
        <v>到货不足；按实际交付计费</v>
      </c>
      <c r="L632" s="2" t="str">
        <f>raw_order_lines!L632</f>
        <v>true</v>
      </c>
      <c r="M632" s="2" t="str">
        <f>INDEX(dim_products!$B$2:$B$21,MATCH($E632,dim_products!$A$2:$A$21,0))</f>
        <v>小葱</v>
      </c>
      <c r="N632" s="2" t="str">
        <f>INDEX(dim_products!$C$2:$C$21,MATCH($E632,dim_products!$A$2:$A$21,0))</f>
        <v>散装鲜菜</v>
      </c>
      <c r="O632" s="2" t="str">
        <f>INDEX(dim_customers!$B$2:$B$7,MATCH($C632,dim_customers!$A$2:$A$7,0))</f>
        <v>模拟_溪桥医院食堂</v>
      </c>
      <c r="P632" s="6">
        <f>INT((ROUND(raw_order_lines!H632*10,0)*ROUND(raw_order_lines!J632*100,0)+5)/10)/100</f>
        <v>3.65</v>
      </c>
      <c r="Q632" s="6">
        <f>INT((ROUND(raw_order_lines!I632*10,0)*ROUND(raw_order_lines!J632*100,0)+5)/10)/100</f>
        <v>0</v>
      </c>
      <c r="R632" s="6">
        <f t="shared" si="27"/>
        <v>3.65</v>
      </c>
      <c r="S632" s="2" t="str">
        <f>IF(OR(ROUND(raw_order_lines!I632*10,0)&gt;ROUND(raw_order_lines!H632*10,0),ROUND(raw_order_lines!H632*10,0)&gt;ROUND(raw_order_lines!G632*10,0),ROUND(raw_order_lines!G632*10,0)&lt;=0),"数量关系异常","")</f>
        <v/>
      </c>
      <c r="T632" s="2" t="str">
        <f>IF($F632&lt;&gt;INDEX(dim_products!$D$2:$D$21,MATCH($E632,dim_products!$A$2:$A$21,0)),"单位不一致","")</f>
        <v/>
      </c>
      <c r="U632" s="2" t="str">
        <f>IF(OR(ROUND(raw_order_lines!J632*100,0)&lt;ROUND(INDEX(dim_products!$F$2:$F$21,MATCH($E632,dim_products!$A$2:$A$21,0))*100,0),ROUND(raw_order_lines!J632*100,0)&gt;ROUND(INDEX(dim_products!$G$2:$G$21,MATCH($E632,dim_products!$A$2:$A$21,0))*100,0)),"单价越界","")</f>
        <v/>
      </c>
      <c r="V632" s="2" t="str">
        <f t="shared" si="28"/>
        <v/>
      </c>
      <c r="W632" s="2" t="str">
        <f t="shared" si="29"/>
        <v>通过</v>
      </c>
    </row>
    <row r="633" spans="1:23" ht="15">
      <c r="A633" s="2" t="str">
        <f>raw_order_lines!A633</f>
        <v>SIM-20260920-C002</v>
      </c>
      <c r="B633" s="2">
        <f>raw_order_lines!B633</f>
        <v>1</v>
      </c>
      <c r="C633" s="2" t="str">
        <f>raw_order_lines!C633</f>
        <v>C002</v>
      </c>
      <c r="D633" s="3">
        <f>raw_order_lines!D633</f>
        <v>46285</v>
      </c>
      <c r="E633" s="2" t="str">
        <f>raw_order_lines!E633</f>
        <v>P012</v>
      </c>
      <c r="F633" s="2" t="str">
        <f>raw_order_lines!F633</f>
        <v>公斤</v>
      </c>
      <c r="G633" s="4">
        <f>raw_order_lines!G633</f>
        <v>7.7</v>
      </c>
      <c r="H633" s="4">
        <f>raw_order_lines!H633</f>
        <v>7.7</v>
      </c>
      <c r="I633" s="4">
        <f>raw_order_lines!I633</f>
        <v>0</v>
      </c>
      <c r="J633" s="5">
        <f>raw_order_lines!J633</f>
        <v>5.2</v>
      </c>
      <c r="K633" s="2" t="str">
        <f>raw_order_lines!K633</f>
        <v>正常交付</v>
      </c>
      <c r="L633" s="2" t="str">
        <f>raw_order_lines!L633</f>
        <v>true</v>
      </c>
      <c r="M633" s="2" t="str">
        <f>INDEX(dim_products!$B$2:$B$21,MATCH($E633,dim_products!$A$2:$A$21,0))</f>
        <v>小白菜</v>
      </c>
      <c r="N633" s="2" t="str">
        <f>INDEX(dim_products!$C$2:$C$21,MATCH($E633,dim_products!$A$2:$A$21,0))</f>
        <v>散装鲜菜</v>
      </c>
      <c r="O633" s="2" t="str">
        <f>INDEX(dim_customers!$B$2:$B$7,MATCH($C633,dim_customers!$A$2:$A$7,0))</f>
        <v>模拟_桥头家常菜馆</v>
      </c>
      <c r="P633" s="6">
        <f>INT((ROUND(raw_order_lines!H633*10,0)*ROUND(raw_order_lines!J633*100,0)+5)/10)/100</f>
        <v>40.04</v>
      </c>
      <c r="Q633" s="6">
        <f>INT((ROUND(raw_order_lines!I633*10,0)*ROUND(raw_order_lines!J633*100,0)+5)/10)/100</f>
        <v>0</v>
      </c>
      <c r="R633" s="6">
        <f t="shared" si="27"/>
        <v>40.04</v>
      </c>
      <c r="S633" s="2" t="str">
        <f>IF(OR(ROUND(raw_order_lines!I633*10,0)&gt;ROUND(raw_order_lines!H633*10,0),ROUND(raw_order_lines!H633*10,0)&gt;ROUND(raw_order_lines!G633*10,0),ROUND(raw_order_lines!G633*10,0)&lt;=0),"数量关系异常","")</f>
        <v/>
      </c>
      <c r="T633" s="2" t="str">
        <f>IF($F633&lt;&gt;INDEX(dim_products!$D$2:$D$21,MATCH($E633,dim_products!$A$2:$A$21,0)),"单位不一致","")</f>
        <v/>
      </c>
      <c r="U633" s="2" t="str">
        <f>IF(OR(ROUND(raw_order_lines!J633*100,0)&lt;ROUND(INDEX(dim_products!$F$2:$F$21,MATCH($E633,dim_products!$A$2:$A$21,0))*100,0),ROUND(raw_order_lines!J633*100,0)&gt;ROUND(INDEX(dim_products!$G$2:$G$21,MATCH($E633,dim_products!$A$2:$A$21,0))*100,0)),"单价越界","")</f>
        <v/>
      </c>
      <c r="V633" s="2" t="str">
        <f t="shared" si="28"/>
        <v/>
      </c>
      <c r="W633" s="2" t="str">
        <f t="shared" si="29"/>
        <v>通过</v>
      </c>
    </row>
    <row r="634" spans="1:23" ht="15">
      <c r="A634" s="2" t="str">
        <f>raw_order_lines!A634</f>
        <v>SIM-20260920-C002</v>
      </c>
      <c r="B634" s="2">
        <f>raw_order_lines!B634</f>
        <v>2</v>
      </c>
      <c r="C634" s="2" t="str">
        <f>raw_order_lines!C634</f>
        <v>C002</v>
      </c>
      <c r="D634" s="3">
        <f>raw_order_lines!D634</f>
        <v>46285</v>
      </c>
      <c r="E634" s="2" t="str">
        <f>raw_order_lines!E634</f>
        <v>P014</v>
      </c>
      <c r="F634" s="2" t="str">
        <f>raw_order_lines!F634</f>
        <v>公斤</v>
      </c>
      <c r="G634" s="4">
        <f>raw_order_lines!G634</f>
        <v>7.7</v>
      </c>
      <c r="H634" s="4">
        <f>raw_order_lines!H634</f>
        <v>7.7</v>
      </c>
      <c r="I634" s="4">
        <f>raw_order_lines!I634</f>
        <v>0</v>
      </c>
      <c r="J634" s="5">
        <f>raw_order_lines!J634</f>
        <v>5</v>
      </c>
      <c r="K634" s="2" t="str">
        <f>raw_order_lines!K634</f>
        <v>正常交付</v>
      </c>
      <c r="L634" s="2" t="str">
        <f>raw_order_lines!L634</f>
        <v>true</v>
      </c>
      <c r="M634" s="2" t="str">
        <f>INDEX(dim_products!$B$2:$B$21,MATCH($E634,dim_products!$A$2:$A$21,0))</f>
        <v>丝瓜</v>
      </c>
      <c r="N634" s="2" t="str">
        <f>INDEX(dim_products!$C$2:$C$21,MATCH($E634,dim_products!$A$2:$A$21,0))</f>
        <v>散装鲜菜</v>
      </c>
      <c r="O634" s="2" t="str">
        <f>INDEX(dim_customers!$B$2:$B$7,MATCH($C634,dim_customers!$A$2:$A$7,0))</f>
        <v>模拟_桥头家常菜馆</v>
      </c>
      <c r="P634" s="6">
        <f>INT((ROUND(raw_order_lines!H634*10,0)*ROUND(raw_order_lines!J634*100,0)+5)/10)/100</f>
        <v>38.5</v>
      </c>
      <c r="Q634" s="6">
        <f>INT((ROUND(raw_order_lines!I634*10,0)*ROUND(raw_order_lines!J634*100,0)+5)/10)/100</f>
        <v>0</v>
      </c>
      <c r="R634" s="6">
        <f t="shared" si="27"/>
        <v>38.5</v>
      </c>
      <c r="S634" s="2" t="str">
        <f>IF(OR(ROUND(raw_order_lines!I634*10,0)&gt;ROUND(raw_order_lines!H634*10,0),ROUND(raw_order_lines!H634*10,0)&gt;ROUND(raw_order_lines!G634*10,0),ROUND(raw_order_lines!G634*10,0)&lt;=0),"数量关系异常","")</f>
        <v/>
      </c>
      <c r="T634" s="2" t="str">
        <f>IF($F634&lt;&gt;INDEX(dim_products!$D$2:$D$21,MATCH($E634,dim_products!$A$2:$A$21,0)),"单位不一致","")</f>
        <v/>
      </c>
      <c r="U634" s="2" t="str">
        <f>IF(OR(ROUND(raw_order_lines!J634*100,0)&lt;ROUND(INDEX(dim_products!$F$2:$F$21,MATCH($E634,dim_products!$A$2:$A$21,0))*100,0),ROUND(raw_order_lines!J634*100,0)&gt;ROUND(INDEX(dim_products!$G$2:$G$21,MATCH($E634,dim_products!$A$2:$A$21,0))*100,0)),"单价越界","")</f>
        <v/>
      </c>
      <c r="V634" s="2" t="str">
        <f t="shared" si="28"/>
        <v/>
      </c>
      <c r="W634" s="2" t="str">
        <f t="shared" si="29"/>
        <v>通过</v>
      </c>
    </row>
    <row r="635" spans="1:23" ht="15">
      <c r="A635" s="2" t="str">
        <f>raw_order_lines!A635</f>
        <v>SIM-20260920-C002</v>
      </c>
      <c r="B635" s="2">
        <f>raw_order_lines!B635</f>
        <v>3</v>
      </c>
      <c r="C635" s="2" t="str">
        <f>raw_order_lines!C635</f>
        <v>C002</v>
      </c>
      <c r="D635" s="3">
        <f>raw_order_lines!D635</f>
        <v>46285</v>
      </c>
      <c r="E635" s="2" t="str">
        <f>raw_order_lines!E635</f>
        <v>P005</v>
      </c>
      <c r="F635" s="2" t="str">
        <f>raw_order_lines!F635</f>
        <v>公斤</v>
      </c>
      <c r="G635" s="4">
        <f>raw_order_lines!G635</f>
        <v>8.3000000000000007</v>
      </c>
      <c r="H635" s="4">
        <f>raw_order_lines!H635</f>
        <v>8</v>
      </c>
      <c r="I635" s="4">
        <f>raw_order_lines!I635</f>
        <v>0</v>
      </c>
      <c r="J635" s="5">
        <f>raw_order_lines!J635</f>
        <v>3.2</v>
      </c>
      <c r="K635" s="2" t="str">
        <f>raw_order_lines!K635</f>
        <v>到货不足；按实际交付计费</v>
      </c>
      <c r="L635" s="2" t="str">
        <f>raw_order_lines!L635</f>
        <v>true</v>
      </c>
      <c r="M635" s="2" t="str">
        <f>INDEX(dim_products!$B$2:$B$21,MATCH($E635,dim_products!$A$2:$A$21,0))</f>
        <v>南瓜</v>
      </c>
      <c r="N635" s="2" t="str">
        <f>INDEX(dim_products!$C$2:$C$21,MATCH($E635,dim_products!$A$2:$A$21,0))</f>
        <v>散装鲜菜</v>
      </c>
      <c r="O635" s="2" t="str">
        <f>INDEX(dim_customers!$B$2:$B$7,MATCH($C635,dim_customers!$A$2:$A$7,0))</f>
        <v>模拟_桥头家常菜馆</v>
      </c>
      <c r="P635" s="6">
        <f>INT((ROUND(raw_order_lines!H635*10,0)*ROUND(raw_order_lines!J635*100,0)+5)/10)/100</f>
        <v>25.6</v>
      </c>
      <c r="Q635" s="6">
        <f>INT((ROUND(raw_order_lines!I635*10,0)*ROUND(raw_order_lines!J635*100,0)+5)/10)/100</f>
        <v>0</v>
      </c>
      <c r="R635" s="6">
        <f t="shared" si="27"/>
        <v>25.6</v>
      </c>
      <c r="S635" s="2" t="str">
        <f>IF(OR(ROUND(raw_order_lines!I635*10,0)&gt;ROUND(raw_order_lines!H635*10,0),ROUND(raw_order_lines!H635*10,0)&gt;ROUND(raw_order_lines!G635*10,0),ROUND(raw_order_lines!G635*10,0)&lt;=0),"数量关系异常","")</f>
        <v/>
      </c>
      <c r="T635" s="2" t="str">
        <f>IF($F635&lt;&gt;INDEX(dim_products!$D$2:$D$21,MATCH($E635,dim_products!$A$2:$A$21,0)),"单位不一致","")</f>
        <v/>
      </c>
      <c r="U635" s="2" t="str">
        <f>IF(OR(ROUND(raw_order_lines!J635*100,0)&lt;ROUND(INDEX(dim_products!$F$2:$F$21,MATCH($E635,dim_products!$A$2:$A$21,0))*100,0),ROUND(raw_order_lines!J635*100,0)&gt;ROUND(INDEX(dim_products!$G$2:$G$21,MATCH($E635,dim_products!$A$2:$A$21,0))*100,0)),"单价越界","")</f>
        <v/>
      </c>
      <c r="V635" s="2" t="str">
        <f t="shared" si="28"/>
        <v/>
      </c>
      <c r="W635" s="2" t="str">
        <f t="shared" si="29"/>
        <v>通过</v>
      </c>
    </row>
    <row r="636" spans="1:23" ht="15">
      <c r="A636" s="2" t="str">
        <f>raw_order_lines!A636</f>
        <v>SIM-20260920-C002</v>
      </c>
      <c r="B636" s="2">
        <f>raw_order_lines!B636</f>
        <v>4</v>
      </c>
      <c r="C636" s="2" t="str">
        <f>raw_order_lines!C636</f>
        <v>C002</v>
      </c>
      <c r="D636" s="3">
        <f>raw_order_lines!D636</f>
        <v>46285</v>
      </c>
      <c r="E636" s="2" t="str">
        <f>raw_order_lines!E636</f>
        <v>P004</v>
      </c>
      <c r="F636" s="2" t="str">
        <f>raw_order_lines!F636</f>
        <v>公斤</v>
      </c>
      <c r="G636" s="4">
        <f>raw_order_lines!G636</f>
        <v>8.3000000000000007</v>
      </c>
      <c r="H636" s="4">
        <f>raw_order_lines!H636</f>
        <v>8.3000000000000007</v>
      </c>
      <c r="I636" s="4">
        <f>raw_order_lines!I636</f>
        <v>0</v>
      </c>
      <c r="J636" s="5">
        <f>raw_order_lines!J636</f>
        <v>2.6</v>
      </c>
      <c r="K636" s="2" t="str">
        <f>raw_order_lines!K636</f>
        <v>正常交付</v>
      </c>
      <c r="L636" s="2" t="str">
        <f>raw_order_lines!L636</f>
        <v>true</v>
      </c>
      <c r="M636" s="2" t="str">
        <f>INDEX(dim_products!$B$2:$B$21,MATCH($E636,dim_products!$A$2:$A$21,0))</f>
        <v>冬瓜</v>
      </c>
      <c r="N636" s="2" t="str">
        <f>INDEX(dim_products!$C$2:$C$21,MATCH($E636,dim_products!$A$2:$A$21,0))</f>
        <v>散装鲜菜</v>
      </c>
      <c r="O636" s="2" t="str">
        <f>INDEX(dim_customers!$B$2:$B$7,MATCH($C636,dim_customers!$A$2:$A$7,0))</f>
        <v>模拟_桥头家常菜馆</v>
      </c>
      <c r="P636" s="6">
        <f>INT((ROUND(raw_order_lines!H636*10,0)*ROUND(raw_order_lines!J636*100,0)+5)/10)/100</f>
        <v>21.58</v>
      </c>
      <c r="Q636" s="6">
        <f>INT((ROUND(raw_order_lines!I636*10,0)*ROUND(raw_order_lines!J636*100,0)+5)/10)/100</f>
        <v>0</v>
      </c>
      <c r="R636" s="6">
        <f t="shared" si="27"/>
        <v>21.58</v>
      </c>
      <c r="S636" s="2" t="str">
        <f>IF(OR(ROUND(raw_order_lines!I636*10,0)&gt;ROUND(raw_order_lines!H636*10,0),ROUND(raw_order_lines!H636*10,0)&gt;ROUND(raw_order_lines!G636*10,0),ROUND(raw_order_lines!G636*10,0)&lt;=0),"数量关系异常","")</f>
        <v/>
      </c>
      <c r="T636" s="2" t="str">
        <f>IF($F636&lt;&gt;INDEX(dim_products!$D$2:$D$21,MATCH($E636,dim_products!$A$2:$A$21,0)),"单位不一致","")</f>
        <v/>
      </c>
      <c r="U636" s="2" t="str">
        <f>IF(OR(ROUND(raw_order_lines!J636*100,0)&lt;ROUND(INDEX(dim_products!$F$2:$F$21,MATCH($E636,dim_products!$A$2:$A$21,0))*100,0),ROUND(raw_order_lines!J636*100,0)&gt;ROUND(INDEX(dim_products!$G$2:$G$21,MATCH($E636,dim_products!$A$2:$A$21,0))*100,0)),"单价越界","")</f>
        <v/>
      </c>
      <c r="V636" s="2" t="str">
        <f t="shared" si="28"/>
        <v/>
      </c>
      <c r="W636" s="2" t="str">
        <f t="shared" si="29"/>
        <v>通过</v>
      </c>
    </row>
    <row r="637" spans="1:23" ht="15">
      <c r="A637" s="2" t="str">
        <f>raw_order_lines!A637</f>
        <v>SIM-20260920-C002</v>
      </c>
      <c r="B637" s="2">
        <f>raw_order_lines!B637</f>
        <v>5</v>
      </c>
      <c r="C637" s="2" t="str">
        <f>raw_order_lines!C637</f>
        <v>C002</v>
      </c>
      <c r="D637" s="3">
        <f>raw_order_lines!D637</f>
        <v>46285</v>
      </c>
      <c r="E637" s="2" t="str">
        <f>raw_order_lines!E637</f>
        <v>P003</v>
      </c>
      <c r="F637" s="2" t="str">
        <f>raw_order_lines!F637</f>
        <v>公斤</v>
      </c>
      <c r="G637" s="4">
        <f>raw_order_lines!G637</f>
        <v>6.1</v>
      </c>
      <c r="H637" s="4">
        <f>raw_order_lines!H637</f>
        <v>6.1</v>
      </c>
      <c r="I637" s="4">
        <f>raw_order_lines!I637</f>
        <v>0</v>
      </c>
      <c r="J637" s="5">
        <f>raw_order_lines!J637</f>
        <v>3.5</v>
      </c>
      <c r="K637" s="2" t="str">
        <f>raw_order_lines!K637</f>
        <v>正常交付</v>
      </c>
      <c r="L637" s="2" t="str">
        <f>raw_order_lines!L637</f>
        <v>true</v>
      </c>
      <c r="M637" s="2" t="str">
        <f>INDEX(dim_products!$B$2:$B$21,MATCH($E637,dim_products!$A$2:$A$21,0))</f>
        <v>包菜</v>
      </c>
      <c r="N637" s="2" t="str">
        <f>INDEX(dim_products!$C$2:$C$21,MATCH($E637,dim_products!$A$2:$A$21,0))</f>
        <v>散装鲜菜</v>
      </c>
      <c r="O637" s="2" t="str">
        <f>INDEX(dim_customers!$B$2:$B$7,MATCH($C637,dim_customers!$A$2:$A$7,0))</f>
        <v>模拟_桥头家常菜馆</v>
      </c>
      <c r="P637" s="6">
        <f>INT((ROUND(raw_order_lines!H637*10,0)*ROUND(raw_order_lines!J637*100,0)+5)/10)/100</f>
        <v>21.35</v>
      </c>
      <c r="Q637" s="6">
        <f>INT((ROUND(raw_order_lines!I637*10,0)*ROUND(raw_order_lines!J637*100,0)+5)/10)/100</f>
        <v>0</v>
      </c>
      <c r="R637" s="6">
        <f t="shared" si="27"/>
        <v>21.35</v>
      </c>
      <c r="S637" s="2" t="str">
        <f>IF(OR(ROUND(raw_order_lines!I637*10,0)&gt;ROUND(raw_order_lines!H637*10,0),ROUND(raw_order_lines!H637*10,0)&gt;ROUND(raw_order_lines!G637*10,0),ROUND(raw_order_lines!G637*10,0)&lt;=0),"数量关系异常","")</f>
        <v/>
      </c>
      <c r="T637" s="2" t="str">
        <f>IF($F637&lt;&gt;INDEX(dim_products!$D$2:$D$21,MATCH($E637,dim_products!$A$2:$A$21,0)),"单位不一致","")</f>
        <v/>
      </c>
      <c r="U637" s="2" t="str">
        <f>IF(OR(ROUND(raw_order_lines!J637*100,0)&lt;ROUND(INDEX(dim_products!$F$2:$F$21,MATCH($E637,dim_products!$A$2:$A$21,0))*100,0),ROUND(raw_order_lines!J637*100,0)&gt;ROUND(INDEX(dim_products!$G$2:$G$21,MATCH($E637,dim_products!$A$2:$A$21,0))*100,0)),"单价越界","")</f>
        <v/>
      </c>
      <c r="V637" s="2" t="str">
        <f t="shared" si="28"/>
        <v/>
      </c>
      <c r="W637" s="2" t="str">
        <f t="shared" si="29"/>
        <v>通过</v>
      </c>
    </row>
    <row r="638" spans="1:23" ht="15">
      <c r="A638" s="2" t="str">
        <f>raw_order_lines!A638</f>
        <v>SIM-20260920-C005</v>
      </c>
      <c r="B638" s="2">
        <f>raw_order_lines!B638</f>
        <v>1</v>
      </c>
      <c r="C638" s="2" t="str">
        <f>raw_order_lines!C638</f>
        <v>C005</v>
      </c>
      <c r="D638" s="3">
        <f>raw_order_lines!D638</f>
        <v>46285</v>
      </c>
      <c r="E638" s="2" t="str">
        <f>raw_order_lines!E638</f>
        <v>P011</v>
      </c>
      <c r="F638" s="2" t="str">
        <f>raw_order_lines!F638</f>
        <v>公斤</v>
      </c>
      <c r="G638" s="4">
        <f>raw_order_lines!G638</f>
        <v>14.7</v>
      </c>
      <c r="H638" s="4">
        <f>raw_order_lines!H638</f>
        <v>14.7</v>
      </c>
      <c r="I638" s="4">
        <f>raw_order_lines!I638</f>
        <v>0</v>
      </c>
      <c r="J638" s="5">
        <f>raw_order_lines!J638</f>
        <v>4.3</v>
      </c>
      <c r="K638" s="2" t="str">
        <f>raw_order_lines!K638</f>
        <v>正常交付</v>
      </c>
      <c r="L638" s="2" t="str">
        <f>raw_order_lines!L638</f>
        <v>true</v>
      </c>
      <c r="M638" s="2" t="str">
        <f>INDEX(dim_products!$B$2:$B$21,MATCH($E638,dim_products!$A$2:$A$21,0))</f>
        <v>红薯叶</v>
      </c>
      <c r="N638" s="2" t="str">
        <f>INDEX(dim_products!$C$2:$C$21,MATCH($E638,dim_products!$A$2:$A$21,0))</f>
        <v>散装鲜菜</v>
      </c>
      <c r="O638" s="2" t="str">
        <f>INDEX(dim_customers!$B$2:$B$7,MATCH($C638,dim_customers!$A$2:$A$7,0))</f>
        <v>模拟_青禾小学食堂</v>
      </c>
      <c r="P638" s="6">
        <f>INT((ROUND(raw_order_lines!H638*10,0)*ROUND(raw_order_lines!J638*100,0)+5)/10)/100</f>
        <v>63.21</v>
      </c>
      <c r="Q638" s="6">
        <f>INT((ROUND(raw_order_lines!I638*10,0)*ROUND(raw_order_lines!J638*100,0)+5)/10)/100</f>
        <v>0</v>
      </c>
      <c r="R638" s="6">
        <f t="shared" si="27"/>
        <v>63.21</v>
      </c>
      <c r="S638" s="2" t="str">
        <f>IF(OR(ROUND(raw_order_lines!I638*10,0)&gt;ROUND(raw_order_lines!H638*10,0),ROUND(raw_order_lines!H638*10,0)&gt;ROUND(raw_order_lines!G638*10,0),ROUND(raw_order_lines!G638*10,0)&lt;=0),"数量关系异常","")</f>
        <v/>
      </c>
      <c r="T638" s="2" t="str">
        <f>IF($F638&lt;&gt;INDEX(dim_products!$D$2:$D$21,MATCH($E638,dim_products!$A$2:$A$21,0)),"单位不一致","")</f>
        <v/>
      </c>
      <c r="U638" s="2" t="str">
        <f>IF(OR(ROUND(raw_order_lines!J638*100,0)&lt;ROUND(INDEX(dim_products!$F$2:$F$21,MATCH($E638,dim_products!$A$2:$A$21,0))*100,0),ROUND(raw_order_lines!J638*100,0)&gt;ROUND(INDEX(dim_products!$G$2:$G$21,MATCH($E638,dim_products!$A$2:$A$21,0))*100,0)),"单价越界","")</f>
        <v/>
      </c>
      <c r="V638" s="2" t="str">
        <f t="shared" si="28"/>
        <v/>
      </c>
      <c r="W638" s="2" t="str">
        <f t="shared" si="29"/>
        <v>通过</v>
      </c>
    </row>
    <row r="639" spans="1:23" ht="15">
      <c r="A639" s="2" t="str">
        <f>raw_order_lines!A639</f>
        <v>SIM-20260920-C005</v>
      </c>
      <c r="B639" s="2">
        <f>raw_order_lines!B639</f>
        <v>2</v>
      </c>
      <c r="C639" s="2" t="str">
        <f>raw_order_lines!C639</f>
        <v>C005</v>
      </c>
      <c r="D639" s="3">
        <f>raw_order_lines!D639</f>
        <v>46285</v>
      </c>
      <c r="E639" s="2" t="str">
        <f>raw_order_lines!E639</f>
        <v>P008</v>
      </c>
      <c r="F639" s="2" t="str">
        <f>raw_order_lines!F639</f>
        <v>公斤</v>
      </c>
      <c r="G639" s="4">
        <f>raw_order_lines!G639</f>
        <v>13.8</v>
      </c>
      <c r="H639" s="4">
        <f>raw_order_lines!H639</f>
        <v>13.8</v>
      </c>
      <c r="I639" s="4">
        <f>raw_order_lines!I639</f>
        <v>0</v>
      </c>
      <c r="J639" s="5">
        <f>raw_order_lines!J639</f>
        <v>4.4000000000000004</v>
      </c>
      <c r="K639" s="2" t="str">
        <f>raw_order_lines!K639</f>
        <v>正常交付</v>
      </c>
      <c r="L639" s="2" t="str">
        <f>raw_order_lines!L639</f>
        <v>true</v>
      </c>
      <c r="M639" s="2" t="str">
        <f>INDEX(dim_products!$B$2:$B$21,MATCH($E639,dim_products!$A$2:$A$21,0))</f>
        <v>黄瓜</v>
      </c>
      <c r="N639" s="2" t="str">
        <f>INDEX(dim_products!$C$2:$C$21,MATCH($E639,dim_products!$A$2:$A$21,0))</f>
        <v>散装鲜菜</v>
      </c>
      <c r="O639" s="2" t="str">
        <f>INDEX(dim_customers!$B$2:$B$7,MATCH($C639,dim_customers!$A$2:$A$7,0))</f>
        <v>模拟_青禾小学食堂</v>
      </c>
      <c r="P639" s="6">
        <f>INT((ROUND(raw_order_lines!H639*10,0)*ROUND(raw_order_lines!J639*100,0)+5)/10)/100</f>
        <v>60.72</v>
      </c>
      <c r="Q639" s="6">
        <f>INT((ROUND(raw_order_lines!I639*10,0)*ROUND(raw_order_lines!J639*100,0)+5)/10)/100</f>
        <v>0</v>
      </c>
      <c r="R639" s="6">
        <f t="shared" si="27"/>
        <v>60.72</v>
      </c>
      <c r="S639" s="2" t="str">
        <f>IF(OR(ROUND(raw_order_lines!I639*10,0)&gt;ROUND(raw_order_lines!H639*10,0),ROUND(raw_order_lines!H639*10,0)&gt;ROUND(raw_order_lines!G639*10,0),ROUND(raw_order_lines!G639*10,0)&lt;=0),"数量关系异常","")</f>
        <v/>
      </c>
      <c r="T639" s="2" t="str">
        <f>IF($F639&lt;&gt;INDEX(dim_products!$D$2:$D$21,MATCH($E639,dim_products!$A$2:$A$21,0)),"单位不一致","")</f>
        <v/>
      </c>
      <c r="U639" s="2" t="str">
        <f>IF(OR(ROUND(raw_order_lines!J639*100,0)&lt;ROUND(INDEX(dim_products!$F$2:$F$21,MATCH($E639,dim_products!$A$2:$A$21,0))*100,0),ROUND(raw_order_lines!J639*100,0)&gt;ROUND(INDEX(dim_products!$G$2:$G$21,MATCH($E639,dim_products!$A$2:$A$21,0))*100,0)),"单价越界","")</f>
        <v/>
      </c>
      <c r="V639" s="2" t="str">
        <f t="shared" si="28"/>
        <v/>
      </c>
      <c r="W639" s="2" t="str">
        <f t="shared" si="29"/>
        <v>通过</v>
      </c>
    </row>
    <row r="640" spans="1:23" ht="15">
      <c r="A640" s="2" t="str">
        <f>raw_order_lines!A640</f>
        <v>SIM-20260920-C005</v>
      </c>
      <c r="B640" s="2">
        <f>raw_order_lines!B640</f>
        <v>3</v>
      </c>
      <c r="C640" s="2" t="str">
        <f>raw_order_lines!C640</f>
        <v>C005</v>
      </c>
      <c r="D640" s="3">
        <f>raw_order_lines!D640</f>
        <v>46285</v>
      </c>
      <c r="E640" s="2" t="str">
        <f>raw_order_lines!E640</f>
        <v>P013</v>
      </c>
      <c r="F640" s="2" t="str">
        <f>raw_order_lines!F640</f>
        <v>公斤</v>
      </c>
      <c r="G640" s="4">
        <f>raw_order_lines!G640</f>
        <v>6.9</v>
      </c>
      <c r="H640" s="4">
        <f>raw_order_lines!H640</f>
        <v>6.9</v>
      </c>
      <c r="I640" s="4">
        <f>raw_order_lines!I640</f>
        <v>0</v>
      </c>
      <c r="J640" s="5">
        <f>raw_order_lines!J640</f>
        <v>6</v>
      </c>
      <c r="K640" s="2" t="str">
        <f>raw_order_lines!K640</f>
        <v>正常交付</v>
      </c>
      <c r="L640" s="2" t="str">
        <f>raw_order_lines!L640</f>
        <v>true</v>
      </c>
      <c r="M640" s="2" t="str">
        <f>INDEX(dim_products!$B$2:$B$21,MATCH($E640,dim_products!$A$2:$A$21,0))</f>
        <v>豇豆</v>
      </c>
      <c r="N640" s="2" t="str">
        <f>INDEX(dim_products!$C$2:$C$21,MATCH($E640,dim_products!$A$2:$A$21,0))</f>
        <v>散装鲜菜</v>
      </c>
      <c r="O640" s="2" t="str">
        <f>INDEX(dim_customers!$B$2:$B$7,MATCH($C640,dim_customers!$A$2:$A$7,0))</f>
        <v>模拟_青禾小学食堂</v>
      </c>
      <c r="P640" s="6">
        <f>INT((ROUND(raw_order_lines!H640*10,0)*ROUND(raw_order_lines!J640*100,0)+5)/10)/100</f>
        <v>41.4</v>
      </c>
      <c r="Q640" s="6">
        <f>INT((ROUND(raw_order_lines!I640*10,0)*ROUND(raw_order_lines!J640*100,0)+5)/10)/100</f>
        <v>0</v>
      </c>
      <c r="R640" s="6">
        <f t="shared" si="27"/>
        <v>41.4</v>
      </c>
      <c r="S640" s="2" t="str">
        <f>IF(OR(ROUND(raw_order_lines!I640*10,0)&gt;ROUND(raw_order_lines!H640*10,0),ROUND(raw_order_lines!H640*10,0)&gt;ROUND(raw_order_lines!G640*10,0),ROUND(raw_order_lines!G640*10,0)&lt;=0),"数量关系异常","")</f>
        <v/>
      </c>
      <c r="T640" s="2" t="str">
        <f>IF($F640&lt;&gt;INDEX(dim_products!$D$2:$D$21,MATCH($E640,dim_products!$A$2:$A$21,0)),"单位不一致","")</f>
        <v/>
      </c>
      <c r="U640" s="2" t="str">
        <f>IF(OR(ROUND(raw_order_lines!J640*100,0)&lt;ROUND(INDEX(dim_products!$F$2:$F$21,MATCH($E640,dim_products!$A$2:$A$21,0))*100,0),ROUND(raw_order_lines!J640*100,0)&gt;ROUND(INDEX(dim_products!$G$2:$G$21,MATCH($E640,dim_products!$A$2:$A$21,0))*100,0)),"单价越界","")</f>
        <v/>
      </c>
      <c r="V640" s="2" t="str">
        <f t="shared" si="28"/>
        <v/>
      </c>
      <c r="W640" s="2" t="str">
        <f t="shared" si="29"/>
        <v>通过</v>
      </c>
    </row>
    <row r="641" spans="1:23" ht="15">
      <c r="A641" s="2" t="str">
        <f>raw_order_lines!A641</f>
        <v>SIM-20260920-C005</v>
      </c>
      <c r="B641" s="2">
        <f>raw_order_lines!B641</f>
        <v>4</v>
      </c>
      <c r="C641" s="2" t="str">
        <f>raw_order_lines!C641</f>
        <v>C005</v>
      </c>
      <c r="D641" s="3">
        <f>raw_order_lines!D641</f>
        <v>46285</v>
      </c>
      <c r="E641" s="2" t="str">
        <f>raw_order_lines!E641</f>
        <v>P007</v>
      </c>
      <c r="F641" s="2" t="str">
        <f>raw_order_lines!F641</f>
        <v>公斤</v>
      </c>
      <c r="G641" s="4">
        <f>raw_order_lines!G641</f>
        <v>15.7</v>
      </c>
      <c r="H641" s="4">
        <f>raw_order_lines!H641</f>
        <v>15.7</v>
      </c>
      <c r="I641" s="4">
        <f>raw_order_lines!I641</f>
        <v>0</v>
      </c>
      <c r="J641" s="5">
        <f>raw_order_lines!J641</f>
        <v>5.25</v>
      </c>
      <c r="K641" s="2" t="str">
        <f>raw_order_lines!K641</f>
        <v>正常交付</v>
      </c>
      <c r="L641" s="2" t="str">
        <f>raw_order_lines!L641</f>
        <v>true</v>
      </c>
      <c r="M641" s="2" t="str">
        <f>INDEX(dim_products!$B$2:$B$21,MATCH($E641,dim_products!$A$2:$A$21,0))</f>
        <v>青椒</v>
      </c>
      <c r="N641" s="2" t="str">
        <f>INDEX(dim_products!$C$2:$C$21,MATCH($E641,dim_products!$A$2:$A$21,0))</f>
        <v>散装鲜菜</v>
      </c>
      <c r="O641" s="2" t="str">
        <f>INDEX(dim_customers!$B$2:$B$7,MATCH($C641,dim_customers!$A$2:$A$7,0))</f>
        <v>模拟_青禾小学食堂</v>
      </c>
      <c r="P641" s="6">
        <f>INT((ROUND(raw_order_lines!H641*10,0)*ROUND(raw_order_lines!J641*100,0)+5)/10)/100</f>
        <v>82.43</v>
      </c>
      <c r="Q641" s="6">
        <f>INT((ROUND(raw_order_lines!I641*10,0)*ROUND(raw_order_lines!J641*100,0)+5)/10)/100</f>
        <v>0</v>
      </c>
      <c r="R641" s="6">
        <f t="shared" si="27"/>
        <v>82.43</v>
      </c>
      <c r="S641" s="2" t="str">
        <f>IF(OR(ROUND(raw_order_lines!I641*10,0)&gt;ROUND(raw_order_lines!H641*10,0),ROUND(raw_order_lines!H641*10,0)&gt;ROUND(raw_order_lines!G641*10,0),ROUND(raw_order_lines!G641*10,0)&lt;=0),"数量关系异常","")</f>
        <v/>
      </c>
      <c r="T641" s="2" t="str">
        <f>IF($F641&lt;&gt;INDEX(dim_products!$D$2:$D$21,MATCH($E641,dim_products!$A$2:$A$21,0)),"单位不一致","")</f>
        <v/>
      </c>
      <c r="U641" s="2" t="str">
        <f>IF(OR(ROUND(raw_order_lines!J641*100,0)&lt;ROUND(INDEX(dim_products!$F$2:$F$21,MATCH($E641,dim_products!$A$2:$A$21,0))*100,0),ROUND(raw_order_lines!J641*100,0)&gt;ROUND(INDEX(dim_products!$G$2:$G$21,MATCH($E641,dim_products!$A$2:$A$21,0))*100,0)),"单价越界","")</f>
        <v/>
      </c>
      <c r="V641" s="2" t="str">
        <f t="shared" si="28"/>
        <v/>
      </c>
      <c r="W641" s="2" t="str">
        <f t="shared" si="29"/>
        <v>通过</v>
      </c>
    </row>
    <row r="642" spans="1:23" ht="15">
      <c r="A642" s="2" t="str">
        <f>raw_order_lines!A642</f>
        <v>SIM-20260920-C005</v>
      </c>
      <c r="B642" s="2">
        <f>raw_order_lines!B642</f>
        <v>5</v>
      </c>
      <c r="C642" s="2" t="str">
        <f>raw_order_lines!C642</f>
        <v>C005</v>
      </c>
      <c r="D642" s="3">
        <f>raw_order_lines!D642</f>
        <v>46285</v>
      </c>
      <c r="E642" s="2" t="str">
        <f>raw_order_lines!E642</f>
        <v>P009</v>
      </c>
      <c r="F642" s="2" t="str">
        <f>raw_order_lines!F642</f>
        <v>公斤</v>
      </c>
      <c r="G642" s="4">
        <f>raw_order_lines!G642</f>
        <v>10.8</v>
      </c>
      <c r="H642" s="4">
        <f>raw_order_lines!H642</f>
        <v>10.8</v>
      </c>
      <c r="I642" s="4">
        <f>raw_order_lines!I642</f>
        <v>0</v>
      </c>
      <c r="J642" s="5">
        <f>raw_order_lines!J642</f>
        <v>4.8</v>
      </c>
      <c r="K642" s="2" t="str">
        <f>raw_order_lines!K642</f>
        <v>正常交付</v>
      </c>
      <c r="L642" s="2" t="str">
        <f>raw_order_lines!L642</f>
        <v>true</v>
      </c>
      <c r="M642" s="2" t="str">
        <f>INDEX(dim_products!$B$2:$B$21,MATCH($E642,dim_products!$A$2:$A$21,0))</f>
        <v>西红柿</v>
      </c>
      <c r="N642" s="2" t="str">
        <f>INDEX(dim_products!$C$2:$C$21,MATCH($E642,dim_products!$A$2:$A$21,0))</f>
        <v>散装鲜菜</v>
      </c>
      <c r="O642" s="2" t="str">
        <f>INDEX(dim_customers!$B$2:$B$7,MATCH($C642,dim_customers!$A$2:$A$7,0))</f>
        <v>模拟_青禾小学食堂</v>
      </c>
      <c r="P642" s="6">
        <f>INT((ROUND(raw_order_lines!H642*10,0)*ROUND(raw_order_lines!J642*100,0)+5)/10)/100</f>
        <v>51.84</v>
      </c>
      <c r="Q642" s="6">
        <f>INT((ROUND(raw_order_lines!I642*10,0)*ROUND(raw_order_lines!J642*100,0)+5)/10)/100</f>
        <v>0</v>
      </c>
      <c r="R642" s="6">
        <f t="shared" ref="R642:R705" si="30">$P642-$Q642</f>
        <v>51.84</v>
      </c>
      <c r="S642" s="2" t="str">
        <f>IF(OR(ROUND(raw_order_lines!I642*10,0)&gt;ROUND(raw_order_lines!H642*10,0),ROUND(raw_order_lines!H642*10,0)&gt;ROUND(raw_order_lines!G642*10,0),ROUND(raw_order_lines!G642*10,0)&lt;=0),"数量关系异常","")</f>
        <v/>
      </c>
      <c r="T642" s="2" t="str">
        <f>IF($F642&lt;&gt;INDEX(dim_products!$D$2:$D$21,MATCH($E642,dim_products!$A$2:$A$21,0)),"单位不一致","")</f>
        <v/>
      </c>
      <c r="U642" s="2" t="str">
        <f>IF(OR(ROUND(raw_order_lines!J642*100,0)&lt;ROUND(INDEX(dim_products!$F$2:$F$21,MATCH($E642,dim_products!$A$2:$A$21,0))*100,0),ROUND(raw_order_lines!J642*100,0)&gt;ROUND(INDEX(dim_products!$G$2:$G$21,MATCH($E642,dim_products!$A$2:$A$21,0))*100,0)),"单价越界","")</f>
        <v/>
      </c>
      <c r="V642" s="2" t="str">
        <f t="shared" ref="V642:V705" si="31">IF(COUNTIFS($A$2:$A$967,$A642,$B$2:$B$967,$B642)&gt;1,"主键重复","")</f>
        <v/>
      </c>
      <c r="W642" s="2" t="str">
        <f t="shared" ref="W642:W705" si="32">IF(COUNTIF($S642:$T642,"?*")+COUNTIF($V642:$V642,"?*")&gt;0,"阻断",IF(COUNTIF($U642:$U642,"?*")&gt;0,"提示","通过"))</f>
        <v>通过</v>
      </c>
    </row>
    <row r="643" spans="1:23" ht="15">
      <c r="A643" s="2" t="str">
        <f>raw_order_lines!A643</f>
        <v>SIM-20260920-C005</v>
      </c>
      <c r="B643" s="2">
        <f>raw_order_lines!B643</f>
        <v>6</v>
      </c>
      <c r="C643" s="2" t="str">
        <f>raw_order_lines!C643</f>
        <v>C005</v>
      </c>
      <c r="D643" s="3">
        <f>raw_order_lines!D643</f>
        <v>46285</v>
      </c>
      <c r="E643" s="2" t="str">
        <f>raw_order_lines!E643</f>
        <v>P014</v>
      </c>
      <c r="F643" s="2" t="str">
        <f>raw_order_lines!F643</f>
        <v>公斤</v>
      </c>
      <c r="G643" s="4">
        <f>raw_order_lines!G643</f>
        <v>6.9</v>
      </c>
      <c r="H643" s="4">
        <f>raw_order_lines!H643</f>
        <v>6.9</v>
      </c>
      <c r="I643" s="4">
        <f>raw_order_lines!I643</f>
        <v>0</v>
      </c>
      <c r="J643" s="5">
        <f>raw_order_lines!J643</f>
        <v>5</v>
      </c>
      <c r="K643" s="2" t="str">
        <f>raw_order_lines!K643</f>
        <v>正常交付</v>
      </c>
      <c r="L643" s="2" t="str">
        <f>raw_order_lines!L643</f>
        <v>true</v>
      </c>
      <c r="M643" s="2" t="str">
        <f>INDEX(dim_products!$B$2:$B$21,MATCH($E643,dim_products!$A$2:$A$21,0))</f>
        <v>丝瓜</v>
      </c>
      <c r="N643" s="2" t="str">
        <f>INDEX(dim_products!$C$2:$C$21,MATCH($E643,dim_products!$A$2:$A$21,0))</f>
        <v>散装鲜菜</v>
      </c>
      <c r="O643" s="2" t="str">
        <f>INDEX(dim_customers!$B$2:$B$7,MATCH($C643,dim_customers!$A$2:$A$7,0))</f>
        <v>模拟_青禾小学食堂</v>
      </c>
      <c r="P643" s="6">
        <f>INT((ROUND(raw_order_lines!H643*10,0)*ROUND(raw_order_lines!J643*100,0)+5)/10)/100</f>
        <v>34.5</v>
      </c>
      <c r="Q643" s="6">
        <f>INT((ROUND(raw_order_lines!I643*10,0)*ROUND(raw_order_lines!J643*100,0)+5)/10)/100</f>
        <v>0</v>
      </c>
      <c r="R643" s="6">
        <f t="shared" si="30"/>
        <v>34.5</v>
      </c>
      <c r="S643" s="2" t="str">
        <f>IF(OR(ROUND(raw_order_lines!I643*10,0)&gt;ROUND(raw_order_lines!H643*10,0),ROUND(raw_order_lines!H643*10,0)&gt;ROUND(raw_order_lines!G643*10,0),ROUND(raw_order_lines!G643*10,0)&lt;=0),"数量关系异常","")</f>
        <v/>
      </c>
      <c r="T643" s="2" t="str">
        <f>IF($F643&lt;&gt;INDEX(dim_products!$D$2:$D$21,MATCH($E643,dim_products!$A$2:$A$21,0)),"单位不一致","")</f>
        <v/>
      </c>
      <c r="U643" s="2" t="str">
        <f>IF(OR(ROUND(raw_order_lines!J643*100,0)&lt;ROUND(INDEX(dim_products!$F$2:$F$21,MATCH($E643,dim_products!$A$2:$A$21,0))*100,0),ROUND(raw_order_lines!J643*100,0)&gt;ROUND(INDEX(dim_products!$G$2:$G$21,MATCH($E643,dim_products!$A$2:$A$21,0))*100,0)),"单价越界","")</f>
        <v/>
      </c>
      <c r="V643" s="2" t="str">
        <f t="shared" si="31"/>
        <v/>
      </c>
      <c r="W643" s="2" t="str">
        <f t="shared" si="32"/>
        <v>通过</v>
      </c>
    </row>
    <row r="644" spans="1:23" ht="15">
      <c r="A644" s="2" t="str">
        <f>raw_order_lines!A644</f>
        <v>SIM-20260920-C005</v>
      </c>
      <c r="B644" s="2">
        <f>raw_order_lines!B644</f>
        <v>7</v>
      </c>
      <c r="C644" s="2" t="str">
        <f>raw_order_lines!C644</f>
        <v>C005</v>
      </c>
      <c r="D644" s="3">
        <f>raw_order_lines!D644</f>
        <v>46285</v>
      </c>
      <c r="E644" s="2" t="str">
        <f>raw_order_lines!E644</f>
        <v>P016</v>
      </c>
      <c r="F644" s="2" t="str">
        <f>raw_order_lines!F644</f>
        <v>公斤</v>
      </c>
      <c r="G644" s="4">
        <f>raw_order_lines!G644</f>
        <v>12</v>
      </c>
      <c r="H644" s="4">
        <f>raw_order_lines!H644</f>
        <v>12</v>
      </c>
      <c r="I644" s="4">
        <f>raw_order_lines!I644</f>
        <v>0</v>
      </c>
      <c r="J644" s="5">
        <f>raw_order_lines!J644</f>
        <v>10.199999999999999</v>
      </c>
      <c r="K644" s="2" t="str">
        <f>raw_order_lines!K644</f>
        <v>正常交付</v>
      </c>
      <c r="L644" s="2" t="str">
        <f>raw_order_lines!L644</f>
        <v>true</v>
      </c>
      <c r="M644" s="2" t="str">
        <f>INDEX(dim_products!$B$2:$B$21,MATCH($E644,dim_products!$A$2:$A$21,0))</f>
        <v>鸡蛋</v>
      </c>
      <c r="N644" s="2" t="str">
        <f>INDEX(dim_products!$C$2:$C$21,MATCH($E644,dim_products!$A$2:$A$21,0))</f>
        <v>普通鲜鸡蛋按净重</v>
      </c>
      <c r="O644" s="2" t="str">
        <f>INDEX(dim_customers!$B$2:$B$7,MATCH($C644,dim_customers!$A$2:$A$7,0))</f>
        <v>模拟_青禾小学食堂</v>
      </c>
      <c r="P644" s="6">
        <f>INT((ROUND(raw_order_lines!H644*10,0)*ROUND(raw_order_lines!J644*100,0)+5)/10)/100</f>
        <v>122.4</v>
      </c>
      <c r="Q644" s="6">
        <f>INT((ROUND(raw_order_lines!I644*10,0)*ROUND(raw_order_lines!J644*100,0)+5)/10)/100</f>
        <v>0</v>
      </c>
      <c r="R644" s="6">
        <f t="shared" si="30"/>
        <v>122.4</v>
      </c>
      <c r="S644" s="2" t="str">
        <f>IF(OR(ROUND(raw_order_lines!I644*10,0)&gt;ROUND(raw_order_lines!H644*10,0),ROUND(raw_order_lines!H644*10,0)&gt;ROUND(raw_order_lines!G644*10,0),ROUND(raw_order_lines!G644*10,0)&lt;=0),"数量关系异常","")</f>
        <v/>
      </c>
      <c r="T644" s="2" t="str">
        <f>IF($F644&lt;&gt;INDEX(dim_products!$D$2:$D$21,MATCH($E644,dim_products!$A$2:$A$21,0)),"单位不一致","")</f>
        <v/>
      </c>
      <c r="U644" s="2" t="str">
        <f>IF(OR(ROUND(raw_order_lines!J644*100,0)&lt;ROUND(INDEX(dim_products!$F$2:$F$21,MATCH($E644,dim_products!$A$2:$A$21,0))*100,0),ROUND(raw_order_lines!J644*100,0)&gt;ROUND(INDEX(dim_products!$G$2:$G$21,MATCH($E644,dim_products!$A$2:$A$21,0))*100,0)),"单价越界","")</f>
        <v/>
      </c>
      <c r="V644" s="2" t="str">
        <f t="shared" si="31"/>
        <v/>
      </c>
      <c r="W644" s="2" t="str">
        <f t="shared" si="32"/>
        <v>通过</v>
      </c>
    </row>
    <row r="645" spans="1:23" ht="15">
      <c r="A645" s="2" t="str">
        <f>raw_order_lines!A645</f>
        <v>SIM-20260920-C006</v>
      </c>
      <c r="B645" s="2">
        <f>raw_order_lines!B645</f>
        <v>1</v>
      </c>
      <c r="C645" s="2" t="str">
        <f>raw_order_lines!C645</f>
        <v>C006</v>
      </c>
      <c r="D645" s="3">
        <f>raw_order_lines!D645</f>
        <v>46285</v>
      </c>
      <c r="E645" s="2" t="str">
        <f>raw_order_lines!E645</f>
        <v>P012</v>
      </c>
      <c r="F645" s="2" t="str">
        <f>raw_order_lines!F645</f>
        <v>公斤</v>
      </c>
      <c r="G645" s="4">
        <f>raw_order_lines!G645</f>
        <v>10.9</v>
      </c>
      <c r="H645" s="4">
        <f>raw_order_lines!H645</f>
        <v>10.9</v>
      </c>
      <c r="I645" s="4">
        <f>raw_order_lines!I645</f>
        <v>0.2</v>
      </c>
      <c r="J645" s="5">
        <f>raw_order_lines!J645</f>
        <v>5.2</v>
      </c>
      <c r="K645" s="2" t="str">
        <f>raw_order_lines!K645</f>
        <v>正常交付；签收时挑出黄叶退回</v>
      </c>
      <c r="L645" s="2" t="str">
        <f>raw_order_lines!L645</f>
        <v>true</v>
      </c>
      <c r="M645" s="2" t="str">
        <f>INDEX(dim_products!$B$2:$B$21,MATCH($E645,dim_products!$A$2:$A$21,0))</f>
        <v>小白菜</v>
      </c>
      <c r="N645" s="2" t="str">
        <f>INDEX(dim_products!$C$2:$C$21,MATCH($E645,dim_products!$A$2:$A$21,0))</f>
        <v>散装鲜菜</v>
      </c>
      <c r="O645" s="2" t="str">
        <f>INDEX(dim_customers!$B$2:$B$7,MATCH($C645,dim_customers!$A$2:$A$7,0))</f>
        <v>模拟_溪桥医院食堂</v>
      </c>
      <c r="P645" s="6">
        <f>INT((ROUND(raw_order_lines!H645*10,0)*ROUND(raw_order_lines!J645*100,0)+5)/10)/100</f>
        <v>56.68</v>
      </c>
      <c r="Q645" s="6">
        <f>INT((ROUND(raw_order_lines!I645*10,0)*ROUND(raw_order_lines!J645*100,0)+5)/10)/100</f>
        <v>1.04</v>
      </c>
      <c r="R645" s="6">
        <f t="shared" si="30"/>
        <v>55.64</v>
      </c>
      <c r="S645" s="2" t="str">
        <f>IF(OR(ROUND(raw_order_lines!I645*10,0)&gt;ROUND(raw_order_lines!H645*10,0),ROUND(raw_order_lines!H645*10,0)&gt;ROUND(raw_order_lines!G645*10,0),ROUND(raw_order_lines!G645*10,0)&lt;=0),"数量关系异常","")</f>
        <v/>
      </c>
      <c r="T645" s="2" t="str">
        <f>IF($F645&lt;&gt;INDEX(dim_products!$D$2:$D$21,MATCH($E645,dim_products!$A$2:$A$21,0)),"单位不一致","")</f>
        <v/>
      </c>
      <c r="U645" s="2" t="str">
        <f>IF(OR(ROUND(raw_order_lines!J645*100,0)&lt;ROUND(INDEX(dim_products!$F$2:$F$21,MATCH($E645,dim_products!$A$2:$A$21,0))*100,0),ROUND(raw_order_lines!J645*100,0)&gt;ROUND(INDEX(dim_products!$G$2:$G$21,MATCH($E645,dim_products!$A$2:$A$21,0))*100,0)),"单价越界","")</f>
        <v/>
      </c>
      <c r="V645" s="2" t="str">
        <f t="shared" si="31"/>
        <v/>
      </c>
      <c r="W645" s="2" t="str">
        <f t="shared" si="32"/>
        <v>通过</v>
      </c>
    </row>
    <row r="646" spans="1:23" ht="15">
      <c r="A646" s="2" t="str">
        <f>raw_order_lines!A646</f>
        <v>SIM-20260920-C006</v>
      </c>
      <c r="B646" s="2">
        <f>raw_order_lines!B646</f>
        <v>2</v>
      </c>
      <c r="C646" s="2" t="str">
        <f>raw_order_lines!C646</f>
        <v>C006</v>
      </c>
      <c r="D646" s="3">
        <f>raw_order_lines!D646</f>
        <v>46285</v>
      </c>
      <c r="E646" s="2" t="str">
        <f>raw_order_lines!E646</f>
        <v>P005</v>
      </c>
      <c r="F646" s="2" t="str">
        <f>raw_order_lines!F646</f>
        <v>公斤</v>
      </c>
      <c r="G646" s="4">
        <f>raw_order_lines!G646</f>
        <v>9.5</v>
      </c>
      <c r="H646" s="4">
        <f>raw_order_lines!H646</f>
        <v>9.5</v>
      </c>
      <c r="I646" s="4">
        <f>raw_order_lines!I646</f>
        <v>0</v>
      </c>
      <c r="J646" s="5">
        <f>raw_order_lines!J646</f>
        <v>3.2</v>
      </c>
      <c r="K646" s="2" t="str">
        <f>raw_order_lines!K646</f>
        <v>正常交付</v>
      </c>
      <c r="L646" s="2" t="str">
        <f>raw_order_lines!L646</f>
        <v>true</v>
      </c>
      <c r="M646" s="2" t="str">
        <f>INDEX(dim_products!$B$2:$B$21,MATCH($E646,dim_products!$A$2:$A$21,0))</f>
        <v>南瓜</v>
      </c>
      <c r="N646" s="2" t="str">
        <f>INDEX(dim_products!$C$2:$C$21,MATCH($E646,dim_products!$A$2:$A$21,0))</f>
        <v>散装鲜菜</v>
      </c>
      <c r="O646" s="2" t="str">
        <f>INDEX(dim_customers!$B$2:$B$7,MATCH($C646,dim_customers!$A$2:$A$7,0))</f>
        <v>模拟_溪桥医院食堂</v>
      </c>
      <c r="P646" s="6">
        <f>INT((ROUND(raw_order_lines!H646*10,0)*ROUND(raw_order_lines!J646*100,0)+5)/10)/100</f>
        <v>30.4</v>
      </c>
      <c r="Q646" s="6">
        <f>INT((ROUND(raw_order_lines!I646*10,0)*ROUND(raw_order_lines!J646*100,0)+5)/10)/100</f>
        <v>0</v>
      </c>
      <c r="R646" s="6">
        <f t="shared" si="30"/>
        <v>30.4</v>
      </c>
      <c r="S646" s="2" t="str">
        <f>IF(OR(ROUND(raw_order_lines!I646*10,0)&gt;ROUND(raw_order_lines!H646*10,0),ROUND(raw_order_lines!H646*10,0)&gt;ROUND(raw_order_lines!G646*10,0),ROUND(raw_order_lines!G646*10,0)&lt;=0),"数量关系异常","")</f>
        <v/>
      </c>
      <c r="T646" s="2" t="str">
        <f>IF($F646&lt;&gt;INDEX(dim_products!$D$2:$D$21,MATCH($E646,dim_products!$A$2:$A$21,0)),"单位不一致","")</f>
        <v/>
      </c>
      <c r="U646" s="2" t="str">
        <f>IF(OR(ROUND(raw_order_lines!J646*100,0)&lt;ROUND(INDEX(dim_products!$F$2:$F$21,MATCH($E646,dim_products!$A$2:$A$21,0))*100,0),ROUND(raw_order_lines!J646*100,0)&gt;ROUND(INDEX(dim_products!$G$2:$G$21,MATCH($E646,dim_products!$A$2:$A$21,0))*100,0)),"单价越界","")</f>
        <v/>
      </c>
      <c r="V646" s="2" t="str">
        <f t="shared" si="31"/>
        <v/>
      </c>
      <c r="W646" s="2" t="str">
        <f t="shared" si="32"/>
        <v>通过</v>
      </c>
    </row>
    <row r="647" spans="1:23" ht="15">
      <c r="A647" s="2" t="str">
        <f>raw_order_lines!A647</f>
        <v>SIM-20260920-C006</v>
      </c>
      <c r="B647" s="2">
        <f>raw_order_lines!B647</f>
        <v>3</v>
      </c>
      <c r="C647" s="2" t="str">
        <f>raw_order_lines!C647</f>
        <v>C006</v>
      </c>
      <c r="D647" s="3">
        <f>raw_order_lines!D647</f>
        <v>46285</v>
      </c>
      <c r="E647" s="2" t="str">
        <f>raw_order_lines!E647</f>
        <v>P001</v>
      </c>
      <c r="F647" s="2" t="str">
        <f>raw_order_lines!F647</f>
        <v>公斤</v>
      </c>
      <c r="G647" s="4">
        <f>raw_order_lines!G647</f>
        <v>8.1999999999999993</v>
      </c>
      <c r="H647" s="4">
        <f>raw_order_lines!H647</f>
        <v>8.1999999999999993</v>
      </c>
      <c r="I647" s="4">
        <f>raw_order_lines!I647</f>
        <v>0</v>
      </c>
      <c r="J647" s="5">
        <f>raw_order_lines!J647</f>
        <v>3.4</v>
      </c>
      <c r="K647" s="2" t="str">
        <f>raw_order_lines!K647</f>
        <v>正常交付</v>
      </c>
      <c r="L647" s="2" t="str">
        <f>raw_order_lines!L647</f>
        <v>true</v>
      </c>
      <c r="M647" s="2" t="str">
        <f>INDEX(dim_products!$B$2:$B$21,MATCH($E647,dim_products!$A$2:$A$21,0))</f>
        <v>土豆</v>
      </c>
      <c r="N647" s="2" t="str">
        <f>INDEX(dim_products!$C$2:$C$21,MATCH($E647,dim_products!$A$2:$A$21,0))</f>
        <v>散装鲜菜</v>
      </c>
      <c r="O647" s="2" t="str">
        <f>INDEX(dim_customers!$B$2:$B$7,MATCH($C647,dim_customers!$A$2:$A$7,0))</f>
        <v>模拟_溪桥医院食堂</v>
      </c>
      <c r="P647" s="6">
        <f>INT((ROUND(raw_order_lines!H647*10,0)*ROUND(raw_order_lines!J647*100,0)+5)/10)/100</f>
        <v>27.88</v>
      </c>
      <c r="Q647" s="6">
        <f>INT((ROUND(raw_order_lines!I647*10,0)*ROUND(raw_order_lines!J647*100,0)+5)/10)/100</f>
        <v>0</v>
      </c>
      <c r="R647" s="6">
        <f t="shared" si="30"/>
        <v>27.88</v>
      </c>
      <c r="S647" s="2" t="str">
        <f>IF(OR(ROUND(raw_order_lines!I647*10,0)&gt;ROUND(raw_order_lines!H647*10,0),ROUND(raw_order_lines!H647*10,0)&gt;ROUND(raw_order_lines!G647*10,0),ROUND(raw_order_lines!G647*10,0)&lt;=0),"数量关系异常","")</f>
        <v/>
      </c>
      <c r="T647" s="2" t="str">
        <f>IF($F647&lt;&gt;INDEX(dim_products!$D$2:$D$21,MATCH($E647,dim_products!$A$2:$A$21,0)),"单位不一致","")</f>
        <v/>
      </c>
      <c r="U647" s="2" t="str">
        <f>IF(OR(ROUND(raw_order_lines!J647*100,0)&lt;ROUND(INDEX(dim_products!$F$2:$F$21,MATCH($E647,dim_products!$A$2:$A$21,0))*100,0),ROUND(raw_order_lines!J647*100,0)&gt;ROUND(INDEX(dim_products!$G$2:$G$21,MATCH($E647,dim_products!$A$2:$A$21,0))*100,0)),"单价越界","")</f>
        <v/>
      </c>
      <c r="V647" s="2" t="str">
        <f t="shared" si="31"/>
        <v/>
      </c>
      <c r="W647" s="2" t="str">
        <f t="shared" si="32"/>
        <v>通过</v>
      </c>
    </row>
    <row r="648" spans="1:23" ht="15">
      <c r="A648" s="2" t="str">
        <f>raw_order_lines!A648</f>
        <v>SIM-20260920-C006</v>
      </c>
      <c r="B648" s="2">
        <f>raw_order_lines!B648</f>
        <v>4</v>
      </c>
      <c r="C648" s="2" t="str">
        <f>raw_order_lines!C648</f>
        <v>C006</v>
      </c>
      <c r="D648" s="3">
        <f>raw_order_lines!D648</f>
        <v>46285</v>
      </c>
      <c r="E648" s="2" t="str">
        <f>raw_order_lines!E648</f>
        <v>P009</v>
      </c>
      <c r="F648" s="2" t="str">
        <f>raw_order_lines!F648</f>
        <v>公斤</v>
      </c>
      <c r="G648" s="4">
        <f>raw_order_lines!G648</f>
        <v>8.1999999999999993</v>
      </c>
      <c r="H648" s="4">
        <f>raw_order_lines!H648</f>
        <v>8.1999999999999993</v>
      </c>
      <c r="I648" s="4">
        <f>raw_order_lines!I648</f>
        <v>0</v>
      </c>
      <c r="J648" s="5">
        <f>raw_order_lines!J648</f>
        <v>4.8</v>
      </c>
      <c r="K648" s="2" t="str">
        <f>raw_order_lines!K648</f>
        <v>正常交付</v>
      </c>
      <c r="L648" s="2" t="str">
        <f>raw_order_lines!L648</f>
        <v>true</v>
      </c>
      <c r="M648" s="2" t="str">
        <f>INDEX(dim_products!$B$2:$B$21,MATCH($E648,dim_products!$A$2:$A$21,0))</f>
        <v>西红柿</v>
      </c>
      <c r="N648" s="2" t="str">
        <f>INDEX(dim_products!$C$2:$C$21,MATCH($E648,dim_products!$A$2:$A$21,0))</f>
        <v>散装鲜菜</v>
      </c>
      <c r="O648" s="2" t="str">
        <f>INDEX(dim_customers!$B$2:$B$7,MATCH($C648,dim_customers!$A$2:$A$7,0))</f>
        <v>模拟_溪桥医院食堂</v>
      </c>
      <c r="P648" s="6">
        <f>INT((ROUND(raw_order_lines!H648*10,0)*ROUND(raw_order_lines!J648*100,0)+5)/10)/100</f>
        <v>39.36</v>
      </c>
      <c r="Q648" s="6">
        <f>INT((ROUND(raw_order_lines!I648*10,0)*ROUND(raw_order_lines!J648*100,0)+5)/10)/100</f>
        <v>0</v>
      </c>
      <c r="R648" s="6">
        <f t="shared" si="30"/>
        <v>39.36</v>
      </c>
      <c r="S648" s="2" t="str">
        <f>IF(OR(ROUND(raw_order_lines!I648*10,0)&gt;ROUND(raw_order_lines!H648*10,0),ROUND(raw_order_lines!H648*10,0)&gt;ROUND(raw_order_lines!G648*10,0),ROUND(raw_order_lines!G648*10,0)&lt;=0),"数量关系异常","")</f>
        <v/>
      </c>
      <c r="T648" s="2" t="str">
        <f>IF($F648&lt;&gt;INDEX(dim_products!$D$2:$D$21,MATCH($E648,dim_products!$A$2:$A$21,0)),"单位不一致","")</f>
        <v/>
      </c>
      <c r="U648" s="2" t="str">
        <f>IF(OR(ROUND(raw_order_lines!J648*100,0)&lt;ROUND(INDEX(dim_products!$F$2:$F$21,MATCH($E648,dim_products!$A$2:$A$21,0))*100,0),ROUND(raw_order_lines!J648*100,0)&gt;ROUND(INDEX(dim_products!$G$2:$G$21,MATCH($E648,dim_products!$A$2:$A$21,0))*100,0)),"单价越界","")</f>
        <v/>
      </c>
      <c r="V648" s="2" t="str">
        <f t="shared" si="31"/>
        <v/>
      </c>
      <c r="W648" s="2" t="str">
        <f t="shared" si="32"/>
        <v>通过</v>
      </c>
    </row>
    <row r="649" spans="1:23" ht="15">
      <c r="A649" s="2" t="str">
        <f>raw_order_lines!A649</f>
        <v>SIM-20260920-C006</v>
      </c>
      <c r="B649" s="2">
        <f>raw_order_lines!B649</f>
        <v>5</v>
      </c>
      <c r="C649" s="2" t="str">
        <f>raw_order_lines!C649</f>
        <v>C006</v>
      </c>
      <c r="D649" s="3">
        <f>raw_order_lines!D649</f>
        <v>46285</v>
      </c>
      <c r="E649" s="2" t="str">
        <f>raw_order_lines!E649</f>
        <v>P006</v>
      </c>
      <c r="F649" s="2" t="str">
        <f>raw_order_lines!F649</f>
        <v>公斤</v>
      </c>
      <c r="G649" s="4">
        <f>raw_order_lines!G649</f>
        <v>8.1999999999999993</v>
      </c>
      <c r="H649" s="4">
        <f>raw_order_lines!H649</f>
        <v>8.1999999999999993</v>
      </c>
      <c r="I649" s="4">
        <f>raw_order_lines!I649</f>
        <v>0</v>
      </c>
      <c r="J649" s="5">
        <f>raw_order_lines!J649</f>
        <v>4.8</v>
      </c>
      <c r="K649" s="2" t="str">
        <f>raw_order_lines!K649</f>
        <v>正常交付</v>
      </c>
      <c r="L649" s="2" t="str">
        <f>raw_order_lines!L649</f>
        <v>true</v>
      </c>
      <c r="M649" s="2" t="str">
        <f>INDEX(dim_products!$B$2:$B$21,MATCH($E649,dim_products!$A$2:$A$21,0))</f>
        <v>茄子</v>
      </c>
      <c r="N649" s="2" t="str">
        <f>INDEX(dim_products!$C$2:$C$21,MATCH($E649,dim_products!$A$2:$A$21,0))</f>
        <v>散装鲜菜</v>
      </c>
      <c r="O649" s="2" t="str">
        <f>INDEX(dim_customers!$B$2:$B$7,MATCH($C649,dim_customers!$A$2:$A$7,0))</f>
        <v>模拟_溪桥医院食堂</v>
      </c>
      <c r="P649" s="6">
        <f>INT((ROUND(raw_order_lines!H649*10,0)*ROUND(raw_order_lines!J649*100,0)+5)/10)/100</f>
        <v>39.36</v>
      </c>
      <c r="Q649" s="6">
        <f>INT((ROUND(raw_order_lines!I649*10,0)*ROUND(raw_order_lines!J649*100,0)+5)/10)/100</f>
        <v>0</v>
      </c>
      <c r="R649" s="6">
        <f t="shared" si="30"/>
        <v>39.36</v>
      </c>
      <c r="S649" s="2" t="str">
        <f>IF(OR(ROUND(raw_order_lines!I649*10,0)&gt;ROUND(raw_order_lines!H649*10,0),ROUND(raw_order_lines!H649*10,0)&gt;ROUND(raw_order_lines!G649*10,0),ROUND(raw_order_lines!G649*10,0)&lt;=0),"数量关系异常","")</f>
        <v/>
      </c>
      <c r="T649" s="2" t="str">
        <f>IF($F649&lt;&gt;INDEX(dim_products!$D$2:$D$21,MATCH($E649,dim_products!$A$2:$A$21,0)),"单位不一致","")</f>
        <v/>
      </c>
      <c r="U649" s="2" t="str">
        <f>IF(OR(ROUND(raw_order_lines!J649*100,0)&lt;ROUND(INDEX(dim_products!$F$2:$F$21,MATCH($E649,dim_products!$A$2:$A$21,0))*100,0),ROUND(raw_order_lines!J649*100,0)&gt;ROUND(INDEX(dim_products!$G$2:$G$21,MATCH($E649,dim_products!$A$2:$A$21,0))*100,0)),"单价越界","")</f>
        <v/>
      </c>
      <c r="V649" s="2" t="str">
        <f t="shared" si="31"/>
        <v/>
      </c>
      <c r="W649" s="2" t="str">
        <f t="shared" si="32"/>
        <v>通过</v>
      </c>
    </row>
    <row r="650" spans="1:23" ht="15">
      <c r="A650" s="2" t="str">
        <f>raw_order_lines!A650</f>
        <v>SIM-20260920-C006</v>
      </c>
      <c r="B650" s="2">
        <f>raw_order_lines!B650</f>
        <v>6</v>
      </c>
      <c r="C650" s="2" t="str">
        <f>raw_order_lines!C650</f>
        <v>C006</v>
      </c>
      <c r="D650" s="3">
        <f>raw_order_lines!D650</f>
        <v>46285</v>
      </c>
      <c r="E650" s="2" t="str">
        <f>raw_order_lines!E650</f>
        <v>P008</v>
      </c>
      <c r="F650" s="2" t="str">
        <f>raw_order_lines!F650</f>
        <v>公斤</v>
      </c>
      <c r="G650" s="4">
        <f>raw_order_lines!G650</f>
        <v>7.5</v>
      </c>
      <c r="H650" s="4">
        <f>raw_order_lines!H650</f>
        <v>7.5</v>
      </c>
      <c r="I650" s="4">
        <f>raw_order_lines!I650</f>
        <v>0</v>
      </c>
      <c r="J650" s="5">
        <f>raw_order_lines!J650</f>
        <v>4.4000000000000004</v>
      </c>
      <c r="K650" s="2" t="str">
        <f>raw_order_lines!K650</f>
        <v>正常交付</v>
      </c>
      <c r="L650" s="2" t="str">
        <f>raw_order_lines!L650</f>
        <v>true</v>
      </c>
      <c r="M650" s="2" t="str">
        <f>INDEX(dim_products!$B$2:$B$21,MATCH($E650,dim_products!$A$2:$A$21,0))</f>
        <v>黄瓜</v>
      </c>
      <c r="N650" s="2" t="str">
        <f>INDEX(dim_products!$C$2:$C$21,MATCH($E650,dim_products!$A$2:$A$21,0))</f>
        <v>散装鲜菜</v>
      </c>
      <c r="O650" s="2" t="str">
        <f>INDEX(dim_customers!$B$2:$B$7,MATCH($C650,dim_customers!$A$2:$A$7,0))</f>
        <v>模拟_溪桥医院食堂</v>
      </c>
      <c r="P650" s="6">
        <f>INT((ROUND(raw_order_lines!H650*10,0)*ROUND(raw_order_lines!J650*100,0)+5)/10)/100</f>
        <v>33</v>
      </c>
      <c r="Q650" s="6">
        <f>INT((ROUND(raw_order_lines!I650*10,0)*ROUND(raw_order_lines!J650*100,0)+5)/10)/100</f>
        <v>0</v>
      </c>
      <c r="R650" s="6">
        <f t="shared" si="30"/>
        <v>33</v>
      </c>
      <c r="S650" s="2" t="str">
        <f>IF(OR(ROUND(raw_order_lines!I650*10,0)&gt;ROUND(raw_order_lines!H650*10,0),ROUND(raw_order_lines!H650*10,0)&gt;ROUND(raw_order_lines!G650*10,0),ROUND(raw_order_lines!G650*10,0)&lt;=0),"数量关系异常","")</f>
        <v/>
      </c>
      <c r="T650" s="2" t="str">
        <f>IF($F650&lt;&gt;INDEX(dim_products!$D$2:$D$21,MATCH($E650,dim_products!$A$2:$A$21,0)),"单位不一致","")</f>
        <v/>
      </c>
      <c r="U650" s="2" t="str">
        <f>IF(OR(ROUND(raw_order_lines!J650*100,0)&lt;ROUND(INDEX(dim_products!$F$2:$F$21,MATCH($E650,dim_products!$A$2:$A$21,0))*100,0),ROUND(raw_order_lines!J650*100,0)&gt;ROUND(INDEX(dim_products!$G$2:$G$21,MATCH($E650,dim_products!$A$2:$A$21,0))*100,0)),"单价越界","")</f>
        <v/>
      </c>
      <c r="V650" s="2" t="str">
        <f t="shared" si="31"/>
        <v/>
      </c>
      <c r="W650" s="2" t="str">
        <f t="shared" si="32"/>
        <v>通过</v>
      </c>
    </row>
    <row r="651" spans="1:23" ht="15">
      <c r="A651" s="2" t="str">
        <f>raw_order_lines!A651</f>
        <v>SIM-20260921-C001</v>
      </c>
      <c r="B651" s="2">
        <f>raw_order_lines!B651</f>
        <v>1</v>
      </c>
      <c r="C651" s="2" t="str">
        <f>raw_order_lines!C651</f>
        <v>C001</v>
      </c>
      <c r="D651" s="3">
        <f>raw_order_lines!D651</f>
        <v>46286</v>
      </c>
      <c r="E651" s="2" t="str">
        <f>raw_order_lines!E651</f>
        <v>P010</v>
      </c>
      <c r="F651" s="2" t="str">
        <f>raw_order_lines!F651</f>
        <v>公斤</v>
      </c>
      <c r="G651" s="4">
        <f>raw_order_lines!G651</f>
        <v>2.2000000000000002</v>
      </c>
      <c r="H651" s="4">
        <f>raw_order_lines!H651</f>
        <v>1.7</v>
      </c>
      <c r="I651" s="4">
        <f>raw_order_lines!I651</f>
        <v>0.2</v>
      </c>
      <c r="J651" s="5">
        <f>raw_order_lines!J651</f>
        <v>4.5</v>
      </c>
      <c r="K651" s="2" t="str">
        <f>raw_order_lines!K651</f>
        <v>到货不足；按实际交付计费；签收时挑出黄叶退回</v>
      </c>
      <c r="L651" s="2" t="str">
        <f>raw_order_lines!L651</f>
        <v>true</v>
      </c>
      <c r="M651" s="2" t="str">
        <f>INDEX(dim_products!$B$2:$B$21,MATCH($E651,dim_products!$A$2:$A$21,0))</f>
        <v>空心菜</v>
      </c>
      <c r="N651" s="2" t="str">
        <f>INDEX(dim_products!$C$2:$C$21,MATCH($E651,dim_products!$A$2:$A$21,0))</f>
        <v>散装鲜菜</v>
      </c>
      <c r="O651" s="2" t="str">
        <f>INDEX(dim_customers!$B$2:$B$7,MATCH($C651,dim_customers!$A$2:$A$7,0))</f>
        <v>模拟_榕树下粉面店</v>
      </c>
      <c r="P651" s="6">
        <f>INT((ROUND(raw_order_lines!H651*10,0)*ROUND(raw_order_lines!J651*100,0)+5)/10)/100</f>
        <v>7.65</v>
      </c>
      <c r="Q651" s="6">
        <f>INT((ROUND(raw_order_lines!I651*10,0)*ROUND(raw_order_lines!J651*100,0)+5)/10)/100</f>
        <v>0.9</v>
      </c>
      <c r="R651" s="6">
        <f t="shared" si="30"/>
        <v>6.75</v>
      </c>
      <c r="S651" s="2" t="str">
        <f>IF(OR(ROUND(raw_order_lines!I651*10,0)&gt;ROUND(raw_order_lines!H651*10,0),ROUND(raw_order_lines!H651*10,0)&gt;ROUND(raw_order_lines!G651*10,0),ROUND(raw_order_lines!G651*10,0)&lt;=0),"数量关系异常","")</f>
        <v/>
      </c>
      <c r="T651" s="2" t="str">
        <f>IF($F651&lt;&gt;INDEX(dim_products!$D$2:$D$21,MATCH($E651,dim_products!$A$2:$A$21,0)),"单位不一致","")</f>
        <v/>
      </c>
      <c r="U651" s="2" t="str">
        <f>IF(OR(ROUND(raw_order_lines!J651*100,0)&lt;ROUND(INDEX(dim_products!$F$2:$F$21,MATCH($E651,dim_products!$A$2:$A$21,0))*100,0),ROUND(raw_order_lines!J651*100,0)&gt;ROUND(INDEX(dim_products!$G$2:$G$21,MATCH($E651,dim_products!$A$2:$A$21,0))*100,0)),"单价越界","")</f>
        <v/>
      </c>
      <c r="V651" s="2" t="str">
        <f t="shared" si="31"/>
        <v/>
      </c>
      <c r="W651" s="2" t="str">
        <f t="shared" si="32"/>
        <v>通过</v>
      </c>
    </row>
    <row r="652" spans="1:23" ht="15">
      <c r="A652" s="2" t="str">
        <f>raw_order_lines!A652</f>
        <v>SIM-20260921-C001</v>
      </c>
      <c r="B652" s="2">
        <f>raw_order_lines!B652</f>
        <v>2</v>
      </c>
      <c r="C652" s="2" t="str">
        <f>raw_order_lines!C652</f>
        <v>C001</v>
      </c>
      <c r="D652" s="3">
        <f>raw_order_lines!D652</f>
        <v>46286</v>
      </c>
      <c r="E652" s="2" t="str">
        <f>raw_order_lines!E652</f>
        <v>P004</v>
      </c>
      <c r="F652" s="2" t="str">
        <f>raw_order_lines!F652</f>
        <v>公斤</v>
      </c>
      <c r="G652" s="4">
        <f>raw_order_lines!G652</f>
        <v>3.2</v>
      </c>
      <c r="H652" s="4">
        <f>raw_order_lines!H652</f>
        <v>3.2</v>
      </c>
      <c r="I652" s="4">
        <f>raw_order_lines!I652</f>
        <v>0</v>
      </c>
      <c r="J652" s="5">
        <f>raw_order_lines!J652</f>
        <v>2.6</v>
      </c>
      <c r="K652" s="2" t="str">
        <f>raw_order_lines!K652</f>
        <v>正常交付</v>
      </c>
      <c r="L652" s="2" t="str">
        <f>raw_order_lines!L652</f>
        <v>true</v>
      </c>
      <c r="M652" s="2" t="str">
        <f>INDEX(dim_products!$B$2:$B$21,MATCH($E652,dim_products!$A$2:$A$21,0))</f>
        <v>冬瓜</v>
      </c>
      <c r="N652" s="2" t="str">
        <f>INDEX(dim_products!$C$2:$C$21,MATCH($E652,dim_products!$A$2:$A$21,0))</f>
        <v>散装鲜菜</v>
      </c>
      <c r="O652" s="2" t="str">
        <f>INDEX(dim_customers!$B$2:$B$7,MATCH($C652,dim_customers!$A$2:$A$7,0))</f>
        <v>模拟_榕树下粉面店</v>
      </c>
      <c r="P652" s="6">
        <f>INT((ROUND(raw_order_lines!H652*10,0)*ROUND(raw_order_lines!J652*100,0)+5)/10)/100</f>
        <v>8.32</v>
      </c>
      <c r="Q652" s="6">
        <f>INT((ROUND(raw_order_lines!I652*10,0)*ROUND(raw_order_lines!J652*100,0)+5)/10)/100</f>
        <v>0</v>
      </c>
      <c r="R652" s="6">
        <f t="shared" si="30"/>
        <v>8.32</v>
      </c>
      <c r="S652" s="2" t="str">
        <f>IF(OR(ROUND(raw_order_lines!I652*10,0)&gt;ROUND(raw_order_lines!H652*10,0),ROUND(raw_order_lines!H652*10,0)&gt;ROUND(raw_order_lines!G652*10,0),ROUND(raw_order_lines!G652*10,0)&lt;=0),"数量关系异常","")</f>
        <v/>
      </c>
      <c r="T652" s="2" t="str">
        <f>IF($F652&lt;&gt;INDEX(dim_products!$D$2:$D$21,MATCH($E652,dim_products!$A$2:$A$21,0)),"单位不一致","")</f>
        <v/>
      </c>
      <c r="U652" s="2" t="str">
        <f>IF(OR(ROUND(raw_order_lines!J652*100,0)&lt;ROUND(INDEX(dim_products!$F$2:$F$21,MATCH($E652,dim_products!$A$2:$A$21,0))*100,0),ROUND(raw_order_lines!J652*100,0)&gt;ROUND(INDEX(dim_products!$G$2:$G$21,MATCH($E652,dim_products!$A$2:$A$21,0))*100,0)),"单价越界","")</f>
        <v/>
      </c>
      <c r="V652" s="2" t="str">
        <f t="shared" si="31"/>
        <v/>
      </c>
      <c r="W652" s="2" t="str">
        <f t="shared" si="32"/>
        <v>通过</v>
      </c>
    </row>
    <row r="653" spans="1:23" ht="15">
      <c r="A653" s="2" t="str">
        <f>raw_order_lines!A653</f>
        <v>SIM-20260921-C001</v>
      </c>
      <c r="B653" s="2">
        <f>raw_order_lines!B653</f>
        <v>3</v>
      </c>
      <c r="C653" s="2" t="str">
        <f>raw_order_lines!C653</f>
        <v>C001</v>
      </c>
      <c r="D653" s="3">
        <f>raw_order_lines!D653</f>
        <v>46286</v>
      </c>
      <c r="E653" s="2" t="str">
        <f>raw_order_lines!E653</f>
        <v>P008</v>
      </c>
      <c r="F653" s="2" t="str">
        <f>raw_order_lines!F653</f>
        <v>公斤</v>
      </c>
      <c r="G653" s="4">
        <f>raw_order_lines!G653</f>
        <v>3.5</v>
      </c>
      <c r="H653" s="4">
        <f>raw_order_lines!H653</f>
        <v>3.5</v>
      </c>
      <c r="I653" s="4">
        <f>raw_order_lines!I653</f>
        <v>0</v>
      </c>
      <c r="J653" s="5">
        <f>raw_order_lines!J653</f>
        <v>4.4000000000000004</v>
      </c>
      <c r="K653" s="2" t="str">
        <f>raw_order_lines!K653</f>
        <v>正常交付</v>
      </c>
      <c r="L653" s="2" t="str">
        <f>raw_order_lines!L653</f>
        <v>true</v>
      </c>
      <c r="M653" s="2" t="str">
        <f>INDEX(dim_products!$B$2:$B$21,MATCH($E653,dim_products!$A$2:$A$21,0))</f>
        <v>黄瓜</v>
      </c>
      <c r="N653" s="2" t="str">
        <f>INDEX(dim_products!$C$2:$C$21,MATCH($E653,dim_products!$A$2:$A$21,0))</f>
        <v>散装鲜菜</v>
      </c>
      <c r="O653" s="2" t="str">
        <f>INDEX(dim_customers!$B$2:$B$7,MATCH($C653,dim_customers!$A$2:$A$7,0))</f>
        <v>模拟_榕树下粉面店</v>
      </c>
      <c r="P653" s="6">
        <f>INT((ROUND(raw_order_lines!H653*10,0)*ROUND(raw_order_lines!J653*100,0)+5)/10)/100</f>
        <v>15.4</v>
      </c>
      <c r="Q653" s="6">
        <f>INT((ROUND(raw_order_lines!I653*10,0)*ROUND(raw_order_lines!J653*100,0)+5)/10)/100</f>
        <v>0</v>
      </c>
      <c r="R653" s="6">
        <f t="shared" si="30"/>
        <v>15.4</v>
      </c>
      <c r="S653" s="2" t="str">
        <f>IF(OR(ROUND(raw_order_lines!I653*10,0)&gt;ROUND(raw_order_lines!H653*10,0),ROUND(raw_order_lines!H653*10,0)&gt;ROUND(raw_order_lines!G653*10,0),ROUND(raw_order_lines!G653*10,0)&lt;=0),"数量关系异常","")</f>
        <v/>
      </c>
      <c r="T653" s="2" t="str">
        <f>IF($F653&lt;&gt;INDEX(dim_products!$D$2:$D$21,MATCH($E653,dim_products!$A$2:$A$21,0)),"单位不一致","")</f>
        <v/>
      </c>
      <c r="U653" s="2" t="str">
        <f>IF(OR(ROUND(raw_order_lines!J653*100,0)&lt;ROUND(INDEX(dim_products!$F$2:$F$21,MATCH($E653,dim_products!$A$2:$A$21,0))*100,0),ROUND(raw_order_lines!J653*100,0)&gt;ROUND(INDEX(dim_products!$G$2:$G$21,MATCH($E653,dim_products!$A$2:$A$21,0))*100,0)),"单价越界","")</f>
        <v/>
      </c>
      <c r="V653" s="2" t="str">
        <f t="shared" si="31"/>
        <v/>
      </c>
      <c r="W653" s="2" t="str">
        <f t="shared" si="32"/>
        <v>通过</v>
      </c>
    </row>
    <row r="654" spans="1:23" ht="15">
      <c r="A654" s="2" t="str">
        <f>raw_order_lines!A654</f>
        <v>SIM-20260921-C001</v>
      </c>
      <c r="B654" s="2">
        <f>raw_order_lines!B654</f>
        <v>4</v>
      </c>
      <c r="C654" s="2" t="str">
        <f>raw_order_lines!C654</f>
        <v>C001</v>
      </c>
      <c r="D654" s="3">
        <f>raw_order_lines!D654</f>
        <v>46286</v>
      </c>
      <c r="E654" s="2" t="str">
        <f>raw_order_lines!E654</f>
        <v>P009</v>
      </c>
      <c r="F654" s="2" t="str">
        <f>raw_order_lines!F654</f>
        <v>公斤</v>
      </c>
      <c r="G654" s="4">
        <f>raw_order_lines!G654</f>
        <v>2.9</v>
      </c>
      <c r="H654" s="4">
        <f>raw_order_lines!H654</f>
        <v>2.9</v>
      </c>
      <c r="I654" s="4">
        <f>raw_order_lines!I654</f>
        <v>0</v>
      </c>
      <c r="J654" s="5">
        <f>raw_order_lines!J654</f>
        <v>4.8</v>
      </c>
      <c r="K654" s="2" t="str">
        <f>raw_order_lines!K654</f>
        <v>正常交付</v>
      </c>
      <c r="L654" s="2" t="str">
        <f>raw_order_lines!L654</f>
        <v>true</v>
      </c>
      <c r="M654" s="2" t="str">
        <f>INDEX(dim_products!$B$2:$B$21,MATCH($E654,dim_products!$A$2:$A$21,0))</f>
        <v>西红柿</v>
      </c>
      <c r="N654" s="2" t="str">
        <f>INDEX(dim_products!$C$2:$C$21,MATCH($E654,dim_products!$A$2:$A$21,0))</f>
        <v>散装鲜菜</v>
      </c>
      <c r="O654" s="2" t="str">
        <f>INDEX(dim_customers!$B$2:$B$7,MATCH($C654,dim_customers!$A$2:$A$7,0))</f>
        <v>模拟_榕树下粉面店</v>
      </c>
      <c r="P654" s="6">
        <f>INT((ROUND(raw_order_lines!H654*10,0)*ROUND(raw_order_lines!J654*100,0)+5)/10)/100</f>
        <v>13.92</v>
      </c>
      <c r="Q654" s="6">
        <f>INT((ROUND(raw_order_lines!I654*10,0)*ROUND(raw_order_lines!J654*100,0)+5)/10)/100</f>
        <v>0</v>
      </c>
      <c r="R654" s="6">
        <f t="shared" si="30"/>
        <v>13.92</v>
      </c>
      <c r="S654" s="2" t="str">
        <f>IF(OR(ROUND(raw_order_lines!I654*10,0)&gt;ROUND(raw_order_lines!H654*10,0),ROUND(raw_order_lines!H654*10,0)&gt;ROUND(raw_order_lines!G654*10,0),ROUND(raw_order_lines!G654*10,0)&lt;=0),"数量关系异常","")</f>
        <v/>
      </c>
      <c r="T654" s="2" t="str">
        <f>IF($F654&lt;&gt;INDEX(dim_products!$D$2:$D$21,MATCH($E654,dim_products!$A$2:$A$21,0)),"单位不一致","")</f>
        <v/>
      </c>
      <c r="U654" s="2" t="str">
        <f>IF(OR(ROUND(raw_order_lines!J654*100,0)&lt;ROUND(INDEX(dim_products!$F$2:$F$21,MATCH($E654,dim_products!$A$2:$A$21,0))*100,0),ROUND(raw_order_lines!J654*100,0)&gt;ROUND(INDEX(dim_products!$G$2:$G$21,MATCH($E654,dim_products!$A$2:$A$21,0))*100,0)),"单价越界","")</f>
        <v/>
      </c>
      <c r="V654" s="2" t="str">
        <f t="shared" si="31"/>
        <v/>
      </c>
      <c r="W654" s="2" t="str">
        <f t="shared" si="32"/>
        <v>通过</v>
      </c>
    </row>
    <row r="655" spans="1:23" ht="15">
      <c r="A655" s="2" t="str">
        <f>raw_order_lines!A655</f>
        <v>SIM-20260921-C003</v>
      </c>
      <c r="B655" s="2">
        <f>raw_order_lines!B655</f>
        <v>1</v>
      </c>
      <c r="C655" s="2" t="str">
        <f>raw_order_lines!C655</f>
        <v>C003</v>
      </c>
      <c r="D655" s="3">
        <f>raw_order_lines!D655</f>
        <v>46286</v>
      </c>
      <c r="E655" s="2" t="str">
        <f>raw_order_lines!E655</f>
        <v>P011</v>
      </c>
      <c r="F655" s="2" t="str">
        <f>raw_order_lines!F655</f>
        <v>公斤</v>
      </c>
      <c r="G655" s="4">
        <f>raw_order_lines!G655</f>
        <v>6.5</v>
      </c>
      <c r="H655" s="4">
        <f>raw_order_lines!H655</f>
        <v>6.5</v>
      </c>
      <c r="I655" s="4">
        <f>raw_order_lines!I655</f>
        <v>0</v>
      </c>
      <c r="J655" s="5">
        <f>raw_order_lines!J655</f>
        <v>4.3</v>
      </c>
      <c r="K655" s="2" t="str">
        <f>raw_order_lines!K655</f>
        <v>正常交付</v>
      </c>
      <c r="L655" s="2" t="str">
        <f>raw_order_lines!L655</f>
        <v>true</v>
      </c>
      <c r="M655" s="2" t="str">
        <f>INDEX(dim_products!$B$2:$B$21,MATCH($E655,dim_products!$A$2:$A$21,0))</f>
        <v>红薯叶</v>
      </c>
      <c r="N655" s="2" t="str">
        <f>INDEX(dim_products!$C$2:$C$21,MATCH($E655,dim_products!$A$2:$A$21,0))</f>
        <v>散装鲜菜</v>
      </c>
      <c r="O655" s="2" t="str">
        <f>INDEX(dim_customers!$B$2:$B$7,MATCH($C655,dim_customers!$A$2:$A$7,0))</f>
        <v>模拟_兴街快餐店</v>
      </c>
      <c r="P655" s="6">
        <f>INT((ROUND(raw_order_lines!H655*10,0)*ROUND(raw_order_lines!J655*100,0)+5)/10)/100</f>
        <v>27.95</v>
      </c>
      <c r="Q655" s="6">
        <f>INT((ROUND(raw_order_lines!I655*10,0)*ROUND(raw_order_lines!J655*100,0)+5)/10)/100</f>
        <v>0</v>
      </c>
      <c r="R655" s="6">
        <f t="shared" si="30"/>
        <v>27.95</v>
      </c>
      <c r="S655" s="2" t="str">
        <f>IF(OR(ROUND(raw_order_lines!I655*10,0)&gt;ROUND(raw_order_lines!H655*10,0),ROUND(raw_order_lines!H655*10,0)&gt;ROUND(raw_order_lines!G655*10,0),ROUND(raw_order_lines!G655*10,0)&lt;=0),"数量关系异常","")</f>
        <v/>
      </c>
      <c r="T655" s="2" t="str">
        <f>IF($F655&lt;&gt;INDEX(dim_products!$D$2:$D$21,MATCH($E655,dim_products!$A$2:$A$21,0)),"单位不一致","")</f>
        <v/>
      </c>
      <c r="U655" s="2" t="str">
        <f>IF(OR(ROUND(raw_order_lines!J655*100,0)&lt;ROUND(INDEX(dim_products!$F$2:$F$21,MATCH($E655,dim_products!$A$2:$A$21,0))*100,0),ROUND(raw_order_lines!J655*100,0)&gt;ROUND(INDEX(dim_products!$G$2:$G$21,MATCH($E655,dim_products!$A$2:$A$21,0))*100,0)),"单价越界","")</f>
        <v/>
      </c>
      <c r="V655" s="2" t="str">
        <f t="shared" si="31"/>
        <v/>
      </c>
      <c r="W655" s="2" t="str">
        <f t="shared" si="32"/>
        <v>通过</v>
      </c>
    </row>
    <row r="656" spans="1:23" ht="15">
      <c r="A656" s="2" t="str">
        <f>raw_order_lines!A656</f>
        <v>SIM-20260921-C003</v>
      </c>
      <c r="B656" s="2">
        <f>raw_order_lines!B656</f>
        <v>2</v>
      </c>
      <c r="C656" s="2" t="str">
        <f>raw_order_lines!C656</f>
        <v>C003</v>
      </c>
      <c r="D656" s="3">
        <f>raw_order_lines!D656</f>
        <v>46286</v>
      </c>
      <c r="E656" s="2" t="str">
        <f>raw_order_lines!E656</f>
        <v>P003</v>
      </c>
      <c r="F656" s="2" t="str">
        <f>raw_order_lines!F656</f>
        <v>公斤</v>
      </c>
      <c r="G656" s="4">
        <f>raw_order_lines!G656</f>
        <v>4.5999999999999996</v>
      </c>
      <c r="H656" s="4">
        <f>raw_order_lines!H656</f>
        <v>4.5999999999999996</v>
      </c>
      <c r="I656" s="4">
        <f>raw_order_lines!I656</f>
        <v>0</v>
      </c>
      <c r="J656" s="5">
        <f>raw_order_lines!J656</f>
        <v>3.5</v>
      </c>
      <c r="K656" s="2" t="str">
        <f>raw_order_lines!K656</f>
        <v>正常交付</v>
      </c>
      <c r="L656" s="2" t="str">
        <f>raw_order_lines!L656</f>
        <v>true</v>
      </c>
      <c r="M656" s="2" t="str">
        <f>INDEX(dim_products!$B$2:$B$21,MATCH($E656,dim_products!$A$2:$A$21,0))</f>
        <v>包菜</v>
      </c>
      <c r="N656" s="2" t="str">
        <f>INDEX(dim_products!$C$2:$C$21,MATCH($E656,dim_products!$A$2:$A$21,0))</f>
        <v>散装鲜菜</v>
      </c>
      <c r="O656" s="2" t="str">
        <f>INDEX(dim_customers!$B$2:$B$7,MATCH($C656,dim_customers!$A$2:$A$7,0))</f>
        <v>模拟_兴街快餐店</v>
      </c>
      <c r="P656" s="6">
        <f>INT((ROUND(raw_order_lines!H656*10,0)*ROUND(raw_order_lines!J656*100,0)+5)/10)/100</f>
        <v>16.100000000000001</v>
      </c>
      <c r="Q656" s="6">
        <f>INT((ROUND(raw_order_lines!I656*10,0)*ROUND(raw_order_lines!J656*100,0)+5)/10)/100</f>
        <v>0</v>
      </c>
      <c r="R656" s="6">
        <f t="shared" si="30"/>
        <v>16.100000000000001</v>
      </c>
      <c r="S656" s="2" t="str">
        <f>IF(OR(ROUND(raw_order_lines!I656*10,0)&gt;ROUND(raw_order_lines!H656*10,0),ROUND(raw_order_lines!H656*10,0)&gt;ROUND(raw_order_lines!G656*10,0),ROUND(raw_order_lines!G656*10,0)&lt;=0),"数量关系异常","")</f>
        <v/>
      </c>
      <c r="T656" s="2" t="str">
        <f>IF($F656&lt;&gt;INDEX(dim_products!$D$2:$D$21,MATCH($E656,dim_products!$A$2:$A$21,0)),"单位不一致","")</f>
        <v/>
      </c>
      <c r="U656" s="2" t="str">
        <f>IF(OR(ROUND(raw_order_lines!J656*100,0)&lt;ROUND(INDEX(dim_products!$F$2:$F$21,MATCH($E656,dim_products!$A$2:$A$21,0))*100,0),ROUND(raw_order_lines!J656*100,0)&gt;ROUND(INDEX(dim_products!$G$2:$G$21,MATCH($E656,dim_products!$A$2:$A$21,0))*100,0)),"单价越界","")</f>
        <v/>
      </c>
      <c r="V656" s="2" t="str">
        <f t="shared" si="31"/>
        <v/>
      </c>
      <c r="W656" s="2" t="str">
        <f t="shared" si="32"/>
        <v>通过</v>
      </c>
    </row>
    <row r="657" spans="1:23" ht="15">
      <c r="A657" s="2" t="str">
        <f>raw_order_lines!A657</f>
        <v>SIM-20260921-C003</v>
      </c>
      <c r="B657" s="2">
        <f>raw_order_lines!B657</f>
        <v>3</v>
      </c>
      <c r="C657" s="2" t="str">
        <f>raw_order_lines!C657</f>
        <v>C003</v>
      </c>
      <c r="D657" s="3">
        <f>raw_order_lines!D657</f>
        <v>46286</v>
      </c>
      <c r="E657" s="2" t="str">
        <f>raw_order_lines!E657</f>
        <v>P002</v>
      </c>
      <c r="F657" s="2" t="str">
        <f>raw_order_lines!F657</f>
        <v>公斤</v>
      </c>
      <c r="G657" s="4">
        <f>raw_order_lines!G657</f>
        <v>4.5999999999999996</v>
      </c>
      <c r="H657" s="4">
        <f>raw_order_lines!H657</f>
        <v>4.0999999999999996</v>
      </c>
      <c r="I657" s="4">
        <f>raw_order_lines!I657</f>
        <v>0</v>
      </c>
      <c r="J657" s="5">
        <f>raw_order_lines!J657</f>
        <v>2.7</v>
      </c>
      <c r="K657" s="2" t="str">
        <f>raw_order_lines!K657</f>
        <v>到货不足；按实际交付计费</v>
      </c>
      <c r="L657" s="2" t="str">
        <f>raw_order_lines!L657</f>
        <v>true</v>
      </c>
      <c r="M657" s="2" t="str">
        <f>INDEX(dim_products!$B$2:$B$21,MATCH($E657,dim_products!$A$2:$A$21,0))</f>
        <v>白萝卜</v>
      </c>
      <c r="N657" s="2" t="str">
        <f>INDEX(dim_products!$C$2:$C$21,MATCH($E657,dim_products!$A$2:$A$21,0))</f>
        <v>散装鲜菜</v>
      </c>
      <c r="O657" s="2" t="str">
        <f>INDEX(dim_customers!$B$2:$B$7,MATCH($C657,dim_customers!$A$2:$A$7,0))</f>
        <v>模拟_兴街快餐店</v>
      </c>
      <c r="P657" s="6">
        <f>INT((ROUND(raw_order_lines!H657*10,0)*ROUND(raw_order_lines!J657*100,0)+5)/10)/100</f>
        <v>11.07</v>
      </c>
      <c r="Q657" s="6">
        <f>INT((ROUND(raw_order_lines!I657*10,0)*ROUND(raw_order_lines!J657*100,0)+5)/10)/100</f>
        <v>0</v>
      </c>
      <c r="R657" s="6">
        <f t="shared" si="30"/>
        <v>11.07</v>
      </c>
      <c r="S657" s="2" t="str">
        <f>IF(OR(ROUND(raw_order_lines!I657*10,0)&gt;ROUND(raw_order_lines!H657*10,0),ROUND(raw_order_lines!H657*10,0)&gt;ROUND(raw_order_lines!G657*10,0),ROUND(raw_order_lines!G657*10,0)&lt;=0),"数量关系异常","")</f>
        <v/>
      </c>
      <c r="T657" s="2" t="str">
        <f>IF($F657&lt;&gt;INDEX(dim_products!$D$2:$D$21,MATCH($E657,dim_products!$A$2:$A$21,0)),"单位不一致","")</f>
        <v/>
      </c>
      <c r="U657" s="2" t="str">
        <f>IF(OR(ROUND(raw_order_lines!J657*100,0)&lt;ROUND(INDEX(dim_products!$F$2:$F$21,MATCH($E657,dim_products!$A$2:$A$21,0))*100,0),ROUND(raw_order_lines!J657*100,0)&gt;ROUND(INDEX(dim_products!$G$2:$G$21,MATCH($E657,dim_products!$A$2:$A$21,0))*100,0)),"单价越界","")</f>
        <v/>
      </c>
      <c r="V657" s="2" t="str">
        <f t="shared" si="31"/>
        <v/>
      </c>
      <c r="W657" s="2" t="str">
        <f t="shared" si="32"/>
        <v>通过</v>
      </c>
    </row>
    <row r="658" spans="1:23" ht="15">
      <c r="A658" s="2" t="str">
        <f>raw_order_lines!A658</f>
        <v>SIM-20260921-C003</v>
      </c>
      <c r="B658" s="2">
        <f>raw_order_lines!B658</f>
        <v>4</v>
      </c>
      <c r="C658" s="2" t="str">
        <f>raw_order_lines!C658</f>
        <v>C003</v>
      </c>
      <c r="D658" s="3">
        <f>raw_order_lines!D658</f>
        <v>46286</v>
      </c>
      <c r="E658" s="2" t="str">
        <f>raw_order_lines!E658</f>
        <v>P001</v>
      </c>
      <c r="F658" s="2" t="str">
        <f>raw_order_lines!F658</f>
        <v>公斤</v>
      </c>
      <c r="G658" s="4">
        <f>raw_order_lines!G658</f>
        <v>8.5</v>
      </c>
      <c r="H658" s="4">
        <f>raw_order_lines!H658</f>
        <v>8.3000000000000007</v>
      </c>
      <c r="I658" s="4">
        <f>raw_order_lines!I658</f>
        <v>0</v>
      </c>
      <c r="J658" s="5">
        <f>raw_order_lines!J658</f>
        <v>3.4</v>
      </c>
      <c r="K658" s="2" t="str">
        <f>raw_order_lines!K658</f>
        <v>到货不足；按实际交付计费</v>
      </c>
      <c r="L658" s="2" t="str">
        <f>raw_order_lines!L658</f>
        <v>true</v>
      </c>
      <c r="M658" s="2" t="str">
        <f>INDEX(dim_products!$B$2:$B$21,MATCH($E658,dim_products!$A$2:$A$21,0))</f>
        <v>土豆</v>
      </c>
      <c r="N658" s="2" t="str">
        <f>INDEX(dim_products!$C$2:$C$21,MATCH($E658,dim_products!$A$2:$A$21,0))</f>
        <v>散装鲜菜</v>
      </c>
      <c r="O658" s="2" t="str">
        <f>INDEX(dim_customers!$B$2:$B$7,MATCH($C658,dim_customers!$A$2:$A$7,0))</f>
        <v>模拟_兴街快餐店</v>
      </c>
      <c r="P658" s="6">
        <f>INT((ROUND(raw_order_lines!H658*10,0)*ROUND(raw_order_lines!J658*100,0)+5)/10)/100</f>
        <v>28.22</v>
      </c>
      <c r="Q658" s="6">
        <f>INT((ROUND(raw_order_lines!I658*10,0)*ROUND(raw_order_lines!J658*100,0)+5)/10)/100</f>
        <v>0</v>
      </c>
      <c r="R658" s="6">
        <f t="shared" si="30"/>
        <v>28.22</v>
      </c>
      <c r="S658" s="2" t="str">
        <f>IF(OR(ROUND(raw_order_lines!I658*10,0)&gt;ROUND(raw_order_lines!H658*10,0),ROUND(raw_order_lines!H658*10,0)&gt;ROUND(raw_order_lines!G658*10,0),ROUND(raw_order_lines!G658*10,0)&lt;=0),"数量关系异常","")</f>
        <v/>
      </c>
      <c r="T658" s="2" t="str">
        <f>IF($F658&lt;&gt;INDEX(dim_products!$D$2:$D$21,MATCH($E658,dim_products!$A$2:$A$21,0)),"单位不一致","")</f>
        <v/>
      </c>
      <c r="U658" s="2" t="str">
        <f>IF(OR(ROUND(raw_order_lines!J658*100,0)&lt;ROUND(INDEX(dim_products!$F$2:$F$21,MATCH($E658,dim_products!$A$2:$A$21,0))*100,0),ROUND(raw_order_lines!J658*100,0)&gt;ROUND(INDEX(dim_products!$G$2:$G$21,MATCH($E658,dim_products!$A$2:$A$21,0))*100,0)),"单价越界","")</f>
        <v/>
      </c>
      <c r="V658" s="2" t="str">
        <f t="shared" si="31"/>
        <v/>
      </c>
      <c r="W658" s="2" t="str">
        <f t="shared" si="32"/>
        <v>通过</v>
      </c>
    </row>
    <row r="659" spans="1:23" ht="15">
      <c r="A659" s="2" t="str">
        <f>raw_order_lines!A659</f>
        <v>SIM-20260921-C003</v>
      </c>
      <c r="B659" s="2">
        <f>raw_order_lines!B659</f>
        <v>5</v>
      </c>
      <c r="C659" s="2" t="str">
        <f>raw_order_lines!C659</f>
        <v>C003</v>
      </c>
      <c r="D659" s="3">
        <f>raw_order_lines!D659</f>
        <v>46286</v>
      </c>
      <c r="E659" s="2" t="str">
        <f>raw_order_lines!E659</f>
        <v>P004</v>
      </c>
      <c r="F659" s="2" t="str">
        <f>raw_order_lines!F659</f>
        <v>公斤</v>
      </c>
      <c r="G659" s="4">
        <f>raw_order_lines!G659</f>
        <v>5.2</v>
      </c>
      <c r="H659" s="4">
        <f>raw_order_lines!H659</f>
        <v>5.2</v>
      </c>
      <c r="I659" s="4">
        <f>raw_order_lines!I659</f>
        <v>0</v>
      </c>
      <c r="J659" s="5">
        <f>raw_order_lines!J659</f>
        <v>2.6</v>
      </c>
      <c r="K659" s="2" t="str">
        <f>raw_order_lines!K659</f>
        <v>正常交付</v>
      </c>
      <c r="L659" s="2" t="str">
        <f>raw_order_lines!L659</f>
        <v>true</v>
      </c>
      <c r="M659" s="2" t="str">
        <f>INDEX(dim_products!$B$2:$B$21,MATCH($E659,dim_products!$A$2:$A$21,0))</f>
        <v>冬瓜</v>
      </c>
      <c r="N659" s="2" t="str">
        <f>INDEX(dim_products!$C$2:$C$21,MATCH($E659,dim_products!$A$2:$A$21,0))</f>
        <v>散装鲜菜</v>
      </c>
      <c r="O659" s="2" t="str">
        <f>INDEX(dim_customers!$B$2:$B$7,MATCH($C659,dim_customers!$A$2:$A$7,0))</f>
        <v>模拟_兴街快餐店</v>
      </c>
      <c r="P659" s="6">
        <f>INT((ROUND(raw_order_lines!H659*10,0)*ROUND(raw_order_lines!J659*100,0)+5)/10)/100</f>
        <v>13.52</v>
      </c>
      <c r="Q659" s="6">
        <f>INT((ROUND(raw_order_lines!I659*10,0)*ROUND(raw_order_lines!J659*100,0)+5)/10)/100</f>
        <v>0</v>
      </c>
      <c r="R659" s="6">
        <f t="shared" si="30"/>
        <v>13.52</v>
      </c>
      <c r="S659" s="2" t="str">
        <f>IF(OR(ROUND(raw_order_lines!I659*10,0)&gt;ROUND(raw_order_lines!H659*10,0),ROUND(raw_order_lines!H659*10,0)&gt;ROUND(raw_order_lines!G659*10,0),ROUND(raw_order_lines!G659*10,0)&lt;=0),"数量关系异常","")</f>
        <v/>
      </c>
      <c r="T659" s="2" t="str">
        <f>IF($F659&lt;&gt;INDEX(dim_products!$D$2:$D$21,MATCH($E659,dim_products!$A$2:$A$21,0)),"单位不一致","")</f>
        <v/>
      </c>
      <c r="U659" s="2" t="str">
        <f>IF(OR(ROUND(raw_order_lines!J659*100,0)&lt;ROUND(INDEX(dim_products!$F$2:$F$21,MATCH($E659,dim_products!$A$2:$A$21,0))*100,0),ROUND(raw_order_lines!J659*100,0)&gt;ROUND(INDEX(dim_products!$G$2:$G$21,MATCH($E659,dim_products!$A$2:$A$21,0))*100,0)),"单价越界","")</f>
        <v/>
      </c>
      <c r="V659" s="2" t="str">
        <f t="shared" si="31"/>
        <v/>
      </c>
      <c r="W659" s="2" t="str">
        <f t="shared" si="32"/>
        <v>通过</v>
      </c>
    </row>
    <row r="660" spans="1:23" ht="15">
      <c r="A660" s="2" t="str">
        <f>raw_order_lines!A660</f>
        <v>SIM-20260921-C003</v>
      </c>
      <c r="B660" s="2">
        <f>raw_order_lines!B660</f>
        <v>6</v>
      </c>
      <c r="C660" s="2" t="str">
        <f>raw_order_lines!C660</f>
        <v>C003</v>
      </c>
      <c r="D660" s="3">
        <f>raw_order_lines!D660</f>
        <v>46286</v>
      </c>
      <c r="E660" s="2" t="str">
        <f>raw_order_lines!E660</f>
        <v>P008</v>
      </c>
      <c r="F660" s="2" t="str">
        <f>raw_order_lines!F660</f>
        <v>公斤</v>
      </c>
      <c r="G660" s="4">
        <f>raw_order_lines!G660</f>
        <v>8.5</v>
      </c>
      <c r="H660" s="4">
        <f>raw_order_lines!H660</f>
        <v>8.5</v>
      </c>
      <c r="I660" s="4">
        <f>raw_order_lines!I660</f>
        <v>0</v>
      </c>
      <c r="J660" s="5">
        <f>raw_order_lines!J660</f>
        <v>4.4000000000000004</v>
      </c>
      <c r="K660" s="2" t="str">
        <f>raw_order_lines!K660</f>
        <v>正常交付</v>
      </c>
      <c r="L660" s="2" t="str">
        <f>raw_order_lines!L660</f>
        <v>true</v>
      </c>
      <c r="M660" s="2" t="str">
        <f>INDEX(dim_products!$B$2:$B$21,MATCH($E660,dim_products!$A$2:$A$21,0))</f>
        <v>黄瓜</v>
      </c>
      <c r="N660" s="2" t="str">
        <f>INDEX(dim_products!$C$2:$C$21,MATCH($E660,dim_products!$A$2:$A$21,0))</f>
        <v>散装鲜菜</v>
      </c>
      <c r="O660" s="2" t="str">
        <f>INDEX(dim_customers!$B$2:$B$7,MATCH($C660,dim_customers!$A$2:$A$7,0))</f>
        <v>模拟_兴街快餐店</v>
      </c>
      <c r="P660" s="6">
        <f>INT((ROUND(raw_order_lines!H660*10,0)*ROUND(raw_order_lines!J660*100,0)+5)/10)/100</f>
        <v>37.4</v>
      </c>
      <c r="Q660" s="6">
        <f>INT((ROUND(raw_order_lines!I660*10,0)*ROUND(raw_order_lines!J660*100,0)+5)/10)/100</f>
        <v>0</v>
      </c>
      <c r="R660" s="6">
        <f t="shared" si="30"/>
        <v>37.4</v>
      </c>
      <c r="S660" s="2" t="str">
        <f>IF(OR(ROUND(raw_order_lines!I660*10,0)&gt;ROUND(raw_order_lines!H660*10,0),ROUND(raw_order_lines!H660*10,0)&gt;ROUND(raw_order_lines!G660*10,0),ROUND(raw_order_lines!G660*10,0)&lt;=0),"数量关系异常","")</f>
        <v/>
      </c>
      <c r="T660" s="2" t="str">
        <f>IF($F660&lt;&gt;INDEX(dim_products!$D$2:$D$21,MATCH($E660,dim_products!$A$2:$A$21,0)),"单位不一致","")</f>
        <v/>
      </c>
      <c r="U660" s="2" t="str">
        <f>IF(OR(ROUND(raw_order_lines!J660*100,0)&lt;ROUND(INDEX(dim_products!$F$2:$F$21,MATCH($E660,dim_products!$A$2:$A$21,0))*100,0),ROUND(raw_order_lines!J660*100,0)&gt;ROUND(INDEX(dim_products!$G$2:$G$21,MATCH($E660,dim_products!$A$2:$A$21,0))*100,0)),"单价越界","")</f>
        <v/>
      </c>
      <c r="V660" s="2" t="str">
        <f t="shared" si="31"/>
        <v/>
      </c>
      <c r="W660" s="2" t="str">
        <f t="shared" si="32"/>
        <v>通过</v>
      </c>
    </row>
    <row r="661" spans="1:23" ht="15">
      <c r="A661" s="2" t="str">
        <f>raw_order_lines!A661</f>
        <v>SIM-20260921-C005</v>
      </c>
      <c r="B661" s="2">
        <f>raw_order_lines!B661</f>
        <v>1</v>
      </c>
      <c r="C661" s="2" t="str">
        <f>raw_order_lines!C661</f>
        <v>C005</v>
      </c>
      <c r="D661" s="3">
        <f>raw_order_lines!D661</f>
        <v>46286</v>
      </c>
      <c r="E661" s="2" t="str">
        <f>raw_order_lines!E661</f>
        <v>P010</v>
      </c>
      <c r="F661" s="2" t="str">
        <f>raw_order_lines!F661</f>
        <v>公斤</v>
      </c>
      <c r="G661" s="4">
        <f>raw_order_lines!G661</f>
        <v>15.2</v>
      </c>
      <c r="H661" s="4">
        <f>raw_order_lines!H661</f>
        <v>15.2</v>
      </c>
      <c r="I661" s="4">
        <f>raw_order_lines!I661</f>
        <v>0</v>
      </c>
      <c r="J661" s="5">
        <f>raw_order_lines!J661</f>
        <v>4.5</v>
      </c>
      <c r="K661" s="2" t="str">
        <f>raw_order_lines!K661</f>
        <v>正常交付</v>
      </c>
      <c r="L661" s="2" t="str">
        <f>raw_order_lines!L661</f>
        <v>true</v>
      </c>
      <c r="M661" s="2" t="str">
        <f>INDEX(dim_products!$B$2:$B$21,MATCH($E661,dim_products!$A$2:$A$21,0))</f>
        <v>空心菜</v>
      </c>
      <c r="N661" s="2" t="str">
        <f>INDEX(dim_products!$C$2:$C$21,MATCH($E661,dim_products!$A$2:$A$21,0))</f>
        <v>散装鲜菜</v>
      </c>
      <c r="O661" s="2" t="str">
        <f>INDEX(dim_customers!$B$2:$B$7,MATCH($C661,dim_customers!$A$2:$A$7,0))</f>
        <v>模拟_青禾小学食堂</v>
      </c>
      <c r="P661" s="6">
        <f>INT((ROUND(raw_order_lines!H661*10,0)*ROUND(raw_order_lines!J661*100,0)+5)/10)/100</f>
        <v>68.400000000000006</v>
      </c>
      <c r="Q661" s="6">
        <f>INT((ROUND(raw_order_lines!I661*10,0)*ROUND(raw_order_lines!J661*100,0)+5)/10)/100</f>
        <v>0</v>
      </c>
      <c r="R661" s="6">
        <f t="shared" si="30"/>
        <v>68.400000000000006</v>
      </c>
      <c r="S661" s="2" t="str">
        <f>IF(OR(ROUND(raw_order_lines!I661*10,0)&gt;ROUND(raw_order_lines!H661*10,0),ROUND(raw_order_lines!H661*10,0)&gt;ROUND(raw_order_lines!G661*10,0),ROUND(raw_order_lines!G661*10,0)&lt;=0),"数量关系异常","")</f>
        <v/>
      </c>
      <c r="T661" s="2" t="str">
        <f>IF($F661&lt;&gt;INDEX(dim_products!$D$2:$D$21,MATCH($E661,dim_products!$A$2:$A$21,0)),"单位不一致","")</f>
        <v/>
      </c>
      <c r="U661" s="2" t="str">
        <f>IF(OR(ROUND(raw_order_lines!J661*100,0)&lt;ROUND(INDEX(dim_products!$F$2:$F$21,MATCH($E661,dim_products!$A$2:$A$21,0))*100,0),ROUND(raw_order_lines!J661*100,0)&gt;ROUND(INDEX(dim_products!$G$2:$G$21,MATCH($E661,dim_products!$A$2:$A$21,0))*100,0)),"单价越界","")</f>
        <v/>
      </c>
      <c r="V661" s="2" t="str">
        <f t="shared" si="31"/>
        <v/>
      </c>
      <c r="W661" s="2" t="str">
        <f t="shared" si="32"/>
        <v>通过</v>
      </c>
    </row>
    <row r="662" spans="1:23" ht="15">
      <c r="A662" s="2" t="str">
        <f>raw_order_lines!A662</f>
        <v>SIM-20260921-C005</v>
      </c>
      <c r="B662" s="2">
        <f>raw_order_lines!B662</f>
        <v>2</v>
      </c>
      <c r="C662" s="2" t="str">
        <f>raw_order_lines!C662</f>
        <v>C005</v>
      </c>
      <c r="D662" s="3">
        <f>raw_order_lines!D662</f>
        <v>46286</v>
      </c>
      <c r="E662" s="2" t="str">
        <f>raw_order_lines!E662</f>
        <v>P004</v>
      </c>
      <c r="F662" s="2" t="str">
        <f>raw_order_lines!F662</f>
        <v>公斤</v>
      </c>
      <c r="G662" s="4">
        <f>raw_order_lines!G662</f>
        <v>15.2</v>
      </c>
      <c r="H662" s="4">
        <f>raw_order_lines!H662</f>
        <v>15.2</v>
      </c>
      <c r="I662" s="4">
        <f>raw_order_lines!I662</f>
        <v>0</v>
      </c>
      <c r="J662" s="5">
        <f>raw_order_lines!J662</f>
        <v>2.6</v>
      </c>
      <c r="K662" s="2" t="str">
        <f>raw_order_lines!K662</f>
        <v>正常交付</v>
      </c>
      <c r="L662" s="2" t="str">
        <f>raw_order_lines!L662</f>
        <v>true</v>
      </c>
      <c r="M662" s="2" t="str">
        <f>INDEX(dim_products!$B$2:$B$21,MATCH($E662,dim_products!$A$2:$A$21,0))</f>
        <v>冬瓜</v>
      </c>
      <c r="N662" s="2" t="str">
        <f>INDEX(dim_products!$C$2:$C$21,MATCH($E662,dim_products!$A$2:$A$21,0))</f>
        <v>散装鲜菜</v>
      </c>
      <c r="O662" s="2" t="str">
        <f>INDEX(dim_customers!$B$2:$B$7,MATCH($C662,dim_customers!$A$2:$A$7,0))</f>
        <v>模拟_青禾小学食堂</v>
      </c>
      <c r="P662" s="6">
        <f>INT((ROUND(raw_order_lines!H662*10,0)*ROUND(raw_order_lines!J662*100,0)+5)/10)/100</f>
        <v>39.520000000000003</v>
      </c>
      <c r="Q662" s="6">
        <f>INT((ROUND(raw_order_lines!I662*10,0)*ROUND(raw_order_lines!J662*100,0)+5)/10)/100</f>
        <v>0</v>
      </c>
      <c r="R662" s="6">
        <f t="shared" si="30"/>
        <v>39.520000000000003</v>
      </c>
      <c r="S662" s="2" t="str">
        <f>IF(OR(ROUND(raw_order_lines!I662*10,0)&gt;ROUND(raw_order_lines!H662*10,0),ROUND(raw_order_lines!H662*10,0)&gt;ROUND(raw_order_lines!G662*10,0),ROUND(raw_order_lines!G662*10,0)&lt;=0),"数量关系异常","")</f>
        <v/>
      </c>
      <c r="T662" s="2" t="str">
        <f>IF($F662&lt;&gt;INDEX(dim_products!$D$2:$D$21,MATCH($E662,dim_products!$A$2:$A$21,0)),"单位不一致","")</f>
        <v/>
      </c>
      <c r="U662" s="2" t="str">
        <f>IF(OR(ROUND(raw_order_lines!J662*100,0)&lt;ROUND(INDEX(dim_products!$F$2:$F$21,MATCH($E662,dim_products!$A$2:$A$21,0))*100,0),ROUND(raw_order_lines!J662*100,0)&gt;ROUND(INDEX(dim_products!$G$2:$G$21,MATCH($E662,dim_products!$A$2:$A$21,0))*100,0)),"单价越界","")</f>
        <v/>
      </c>
      <c r="V662" s="2" t="str">
        <f t="shared" si="31"/>
        <v/>
      </c>
      <c r="W662" s="2" t="str">
        <f t="shared" si="32"/>
        <v>通过</v>
      </c>
    </row>
    <row r="663" spans="1:23" ht="15">
      <c r="A663" s="2" t="str">
        <f>raw_order_lines!A663</f>
        <v>SIM-20260921-C005</v>
      </c>
      <c r="B663" s="2">
        <f>raw_order_lines!B663</f>
        <v>3</v>
      </c>
      <c r="C663" s="2" t="str">
        <f>raw_order_lines!C663</f>
        <v>C005</v>
      </c>
      <c r="D663" s="3">
        <f>raw_order_lines!D663</f>
        <v>46286</v>
      </c>
      <c r="E663" s="2" t="str">
        <f>raw_order_lines!E663</f>
        <v>P014</v>
      </c>
      <c r="F663" s="2" t="str">
        <f>raw_order_lines!F663</f>
        <v>公斤</v>
      </c>
      <c r="G663" s="4">
        <f>raw_order_lines!G663</f>
        <v>12.3</v>
      </c>
      <c r="H663" s="4">
        <f>raw_order_lines!H663</f>
        <v>12.3</v>
      </c>
      <c r="I663" s="4">
        <f>raw_order_lines!I663</f>
        <v>0</v>
      </c>
      <c r="J663" s="5">
        <f>raw_order_lines!J663</f>
        <v>5</v>
      </c>
      <c r="K663" s="2" t="str">
        <f>raw_order_lines!K663</f>
        <v>正常交付</v>
      </c>
      <c r="L663" s="2" t="str">
        <f>raw_order_lines!L663</f>
        <v>true</v>
      </c>
      <c r="M663" s="2" t="str">
        <f>INDEX(dim_products!$B$2:$B$21,MATCH($E663,dim_products!$A$2:$A$21,0))</f>
        <v>丝瓜</v>
      </c>
      <c r="N663" s="2" t="str">
        <f>INDEX(dim_products!$C$2:$C$21,MATCH($E663,dim_products!$A$2:$A$21,0))</f>
        <v>散装鲜菜</v>
      </c>
      <c r="O663" s="2" t="str">
        <f>INDEX(dim_customers!$B$2:$B$7,MATCH($C663,dim_customers!$A$2:$A$7,0))</f>
        <v>模拟_青禾小学食堂</v>
      </c>
      <c r="P663" s="6">
        <f>INT((ROUND(raw_order_lines!H663*10,0)*ROUND(raw_order_lines!J663*100,0)+5)/10)/100</f>
        <v>61.5</v>
      </c>
      <c r="Q663" s="6">
        <f>INT((ROUND(raw_order_lines!I663*10,0)*ROUND(raw_order_lines!J663*100,0)+5)/10)/100</f>
        <v>0</v>
      </c>
      <c r="R663" s="6">
        <f t="shared" si="30"/>
        <v>61.5</v>
      </c>
      <c r="S663" s="2" t="str">
        <f>IF(OR(ROUND(raw_order_lines!I663*10,0)&gt;ROUND(raw_order_lines!H663*10,0),ROUND(raw_order_lines!H663*10,0)&gt;ROUND(raw_order_lines!G663*10,0),ROUND(raw_order_lines!G663*10,0)&lt;=0),"数量关系异常","")</f>
        <v/>
      </c>
      <c r="T663" s="2" t="str">
        <f>IF($F663&lt;&gt;INDEX(dim_products!$D$2:$D$21,MATCH($E663,dim_products!$A$2:$A$21,0)),"单位不一致","")</f>
        <v/>
      </c>
      <c r="U663" s="2" t="str">
        <f>IF(OR(ROUND(raw_order_lines!J663*100,0)&lt;ROUND(INDEX(dim_products!$F$2:$F$21,MATCH($E663,dim_products!$A$2:$A$21,0))*100,0),ROUND(raw_order_lines!J663*100,0)&gt;ROUND(INDEX(dim_products!$G$2:$G$21,MATCH($E663,dim_products!$A$2:$A$21,0))*100,0)),"单价越界","")</f>
        <v/>
      </c>
      <c r="V663" s="2" t="str">
        <f t="shared" si="31"/>
        <v/>
      </c>
      <c r="W663" s="2" t="str">
        <f t="shared" si="32"/>
        <v>通过</v>
      </c>
    </row>
    <row r="664" spans="1:23" ht="15">
      <c r="A664" s="2" t="str">
        <f>raw_order_lines!A664</f>
        <v>SIM-20260921-C005</v>
      </c>
      <c r="B664" s="2">
        <f>raw_order_lines!B664</f>
        <v>4</v>
      </c>
      <c r="C664" s="2" t="str">
        <f>raw_order_lines!C664</f>
        <v>C005</v>
      </c>
      <c r="D664" s="3">
        <f>raw_order_lines!D664</f>
        <v>46286</v>
      </c>
      <c r="E664" s="2" t="str">
        <f>raw_order_lines!E664</f>
        <v>P005</v>
      </c>
      <c r="F664" s="2" t="str">
        <f>raw_order_lines!F664</f>
        <v>公斤</v>
      </c>
      <c r="G664" s="4">
        <f>raw_order_lines!G664</f>
        <v>6.6</v>
      </c>
      <c r="H664" s="4">
        <f>raw_order_lines!H664</f>
        <v>6.6</v>
      </c>
      <c r="I664" s="4">
        <f>raw_order_lines!I664</f>
        <v>0</v>
      </c>
      <c r="J664" s="5">
        <f>raw_order_lines!J664</f>
        <v>3.2</v>
      </c>
      <c r="K664" s="2" t="str">
        <f>raw_order_lines!K664</f>
        <v>正常交付</v>
      </c>
      <c r="L664" s="2" t="str">
        <f>raw_order_lines!L664</f>
        <v>true</v>
      </c>
      <c r="M664" s="2" t="str">
        <f>INDEX(dim_products!$B$2:$B$21,MATCH($E664,dim_products!$A$2:$A$21,0))</f>
        <v>南瓜</v>
      </c>
      <c r="N664" s="2" t="str">
        <f>INDEX(dim_products!$C$2:$C$21,MATCH($E664,dim_products!$A$2:$A$21,0))</f>
        <v>散装鲜菜</v>
      </c>
      <c r="O664" s="2" t="str">
        <f>INDEX(dim_customers!$B$2:$B$7,MATCH($C664,dim_customers!$A$2:$A$7,0))</f>
        <v>模拟_青禾小学食堂</v>
      </c>
      <c r="P664" s="6">
        <f>INT((ROUND(raw_order_lines!H664*10,0)*ROUND(raw_order_lines!J664*100,0)+5)/10)/100</f>
        <v>21.12</v>
      </c>
      <c r="Q664" s="6">
        <f>INT((ROUND(raw_order_lines!I664*10,0)*ROUND(raw_order_lines!J664*100,0)+5)/10)/100</f>
        <v>0</v>
      </c>
      <c r="R664" s="6">
        <f t="shared" si="30"/>
        <v>21.12</v>
      </c>
      <c r="S664" s="2" t="str">
        <f>IF(OR(ROUND(raw_order_lines!I664*10,0)&gt;ROUND(raw_order_lines!H664*10,0),ROUND(raw_order_lines!H664*10,0)&gt;ROUND(raw_order_lines!G664*10,0),ROUND(raw_order_lines!G664*10,0)&lt;=0),"数量关系异常","")</f>
        <v/>
      </c>
      <c r="T664" s="2" t="str">
        <f>IF($F664&lt;&gt;INDEX(dim_products!$D$2:$D$21,MATCH($E664,dim_products!$A$2:$A$21,0)),"单位不一致","")</f>
        <v/>
      </c>
      <c r="U664" s="2" t="str">
        <f>IF(OR(ROUND(raw_order_lines!J664*100,0)&lt;ROUND(INDEX(dim_products!$F$2:$F$21,MATCH($E664,dim_products!$A$2:$A$21,0))*100,0),ROUND(raw_order_lines!J664*100,0)&gt;ROUND(INDEX(dim_products!$G$2:$G$21,MATCH($E664,dim_products!$A$2:$A$21,0))*100,0)),"单价越界","")</f>
        <v/>
      </c>
      <c r="V664" s="2" t="str">
        <f t="shared" si="31"/>
        <v/>
      </c>
      <c r="W664" s="2" t="str">
        <f t="shared" si="32"/>
        <v>通过</v>
      </c>
    </row>
    <row r="665" spans="1:23" ht="15">
      <c r="A665" s="2" t="str">
        <f>raw_order_lines!A665</f>
        <v>SIM-20260921-C005</v>
      </c>
      <c r="B665" s="2">
        <f>raw_order_lines!B665</f>
        <v>5</v>
      </c>
      <c r="C665" s="2" t="str">
        <f>raw_order_lines!C665</f>
        <v>C005</v>
      </c>
      <c r="D665" s="3">
        <f>raw_order_lines!D665</f>
        <v>46286</v>
      </c>
      <c r="E665" s="2" t="str">
        <f>raw_order_lines!E665</f>
        <v>P009</v>
      </c>
      <c r="F665" s="2" t="str">
        <f>raw_order_lines!F665</f>
        <v>公斤</v>
      </c>
      <c r="G665" s="4">
        <f>raw_order_lines!G665</f>
        <v>8.5</v>
      </c>
      <c r="H665" s="4">
        <f>raw_order_lines!H665</f>
        <v>8.5</v>
      </c>
      <c r="I665" s="4">
        <f>raw_order_lines!I665</f>
        <v>0</v>
      </c>
      <c r="J665" s="5">
        <f>raw_order_lines!J665</f>
        <v>4.8</v>
      </c>
      <c r="K665" s="2" t="str">
        <f>raw_order_lines!K665</f>
        <v>正常交付</v>
      </c>
      <c r="L665" s="2" t="str">
        <f>raw_order_lines!L665</f>
        <v>true</v>
      </c>
      <c r="M665" s="2" t="str">
        <f>INDEX(dim_products!$B$2:$B$21,MATCH($E665,dim_products!$A$2:$A$21,0))</f>
        <v>西红柿</v>
      </c>
      <c r="N665" s="2" t="str">
        <f>INDEX(dim_products!$C$2:$C$21,MATCH($E665,dim_products!$A$2:$A$21,0))</f>
        <v>散装鲜菜</v>
      </c>
      <c r="O665" s="2" t="str">
        <f>INDEX(dim_customers!$B$2:$B$7,MATCH($C665,dim_customers!$A$2:$A$7,0))</f>
        <v>模拟_青禾小学食堂</v>
      </c>
      <c r="P665" s="6">
        <f>INT((ROUND(raw_order_lines!H665*10,0)*ROUND(raw_order_lines!J665*100,0)+5)/10)/100</f>
        <v>40.799999999999997</v>
      </c>
      <c r="Q665" s="6">
        <f>INT((ROUND(raw_order_lines!I665*10,0)*ROUND(raw_order_lines!J665*100,0)+5)/10)/100</f>
        <v>0</v>
      </c>
      <c r="R665" s="6">
        <f t="shared" si="30"/>
        <v>40.799999999999997</v>
      </c>
      <c r="S665" s="2" t="str">
        <f>IF(OR(ROUND(raw_order_lines!I665*10,0)&gt;ROUND(raw_order_lines!H665*10,0),ROUND(raw_order_lines!H665*10,0)&gt;ROUND(raw_order_lines!G665*10,0),ROUND(raw_order_lines!G665*10,0)&lt;=0),"数量关系异常","")</f>
        <v/>
      </c>
      <c r="T665" s="2" t="str">
        <f>IF($F665&lt;&gt;INDEX(dim_products!$D$2:$D$21,MATCH($E665,dim_products!$A$2:$A$21,0)),"单位不一致","")</f>
        <v/>
      </c>
      <c r="U665" s="2" t="str">
        <f>IF(OR(ROUND(raw_order_lines!J665*100,0)&lt;ROUND(INDEX(dim_products!$F$2:$F$21,MATCH($E665,dim_products!$A$2:$A$21,0))*100,0),ROUND(raw_order_lines!J665*100,0)&gt;ROUND(INDEX(dim_products!$G$2:$G$21,MATCH($E665,dim_products!$A$2:$A$21,0))*100,0)),"单价越界","")</f>
        <v/>
      </c>
      <c r="V665" s="2" t="str">
        <f t="shared" si="31"/>
        <v/>
      </c>
      <c r="W665" s="2" t="str">
        <f t="shared" si="32"/>
        <v>通过</v>
      </c>
    </row>
    <row r="666" spans="1:23" ht="15">
      <c r="A666" s="2" t="str">
        <f>raw_order_lines!A666</f>
        <v>SIM-20260921-C005</v>
      </c>
      <c r="B666" s="2">
        <f>raw_order_lines!B666</f>
        <v>6</v>
      </c>
      <c r="C666" s="2" t="str">
        <f>raw_order_lines!C666</f>
        <v>C005</v>
      </c>
      <c r="D666" s="3">
        <f>raw_order_lines!D666</f>
        <v>46286</v>
      </c>
      <c r="E666" s="2" t="str">
        <f>raw_order_lines!E666</f>
        <v>P001</v>
      </c>
      <c r="F666" s="2" t="str">
        <f>raw_order_lines!F666</f>
        <v>公斤</v>
      </c>
      <c r="G666" s="4">
        <f>raw_order_lines!G666</f>
        <v>8.5</v>
      </c>
      <c r="H666" s="4">
        <f>raw_order_lines!H666</f>
        <v>8.5</v>
      </c>
      <c r="I666" s="4">
        <f>raw_order_lines!I666</f>
        <v>0</v>
      </c>
      <c r="J666" s="5">
        <f>raw_order_lines!J666</f>
        <v>3.4</v>
      </c>
      <c r="K666" s="2" t="str">
        <f>raw_order_lines!K666</f>
        <v>正常交付</v>
      </c>
      <c r="L666" s="2" t="str">
        <f>raw_order_lines!L666</f>
        <v>true</v>
      </c>
      <c r="M666" s="2" t="str">
        <f>INDEX(dim_products!$B$2:$B$21,MATCH($E666,dim_products!$A$2:$A$21,0))</f>
        <v>土豆</v>
      </c>
      <c r="N666" s="2" t="str">
        <f>INDEX(dim_products!$C$2:$C$21,MATCH($E666,dim_products!$A$2:$A$21,0))</f>
        <v>散装鲜菜</v>
      </c>
      <c r="O666" s="2" t="str">
        <f>INDEX(dim_customers!$B$2:$B$7,MATCH($C666,dim_customers!$A$2:$A$7,0))</f>
        <v>模拟_青禾小学食堂</v>
      </c>
      <c r="P666" s="6">
        <f>INT((ROUND(raw_order_lines!H666*10,0)*ROUND(raw_order_lines!J666*100,0)+5)/10)/100</f>
        <v>28.9</v>
      </c>
      <c r="Q666" s="6">
        <f>INT((ROUND(raw_order_lines!I666*10,0)*ROUND(raw_order_lines!J666*100,0)+5)/10)/100</f>
        <v>0</v>
      </c>
      <c r="R666" s="6">
        <f t="shared" si="30"/>
        <v>28.9</v>
      </c>
      <c r="S666" s="2" t="str">
        <f>IF(OR(ROUND(raw_order_lines!I666*10,0)&gt;ROUND(raw_order_lines!H666*10,0),ROUND(raw_order_lines!H666*10,0)&gt;ROUND(raw_order_lines!G666*10,0),ROUND(raw_order_lines!G666*10,0)&lt;=0),"数量关系异常","")</f>
        <v/>
      </c>
      <c r="T666" s="2" t="str">
        <f>IF($F666&lt;&gt;INDEX(dim_products!$D$2:$D$21,MATCH($E666,dim_products!$A$2:$A$21,0)),"单位不一致","")</f>
        <v/>
      </c>
      <c r="U666" s="2" t="str">
        <f>IF(OR(ROUND(raw_order_lines!J666*100,0)&lt;ROUND(INDEX(dim_products!$F$2:$F$21,MATCH($E666,dim_products!$A$2:$A$21,0))*100,0),ROUND(raw_order_lines!J666*100,0)&gt;ROUND(INDEX(dim_products!$G$2:$G$21,MATCH($E666,dim_products!$A$2:$A$21,0))*100,0)),"单价越界","")</f>
        <v/>
      </c>
      <c r="V666" s="2" t="str">
        <f t="shared" si="31"/>
        <v/>
      </c>
      <c r="W666" s="2" t="str">
        <f t="shared" si="32"/>
        <v>通过</v>
      </c>
    </row>
    <row r="667" spans="1:23" ht="15">
      <c r="A667" s="2" t="str">
        <f>raw_order_lines!A667</f>
        <v>SIM-20260921-C005</v>
      </c>
      <c r="B667" s="2">
        <f>raw_order_lines!B667</f>
        <v>7</v>
      </c>
      <c r="C667" s="2" t="str">
        <f>raw_order_lines!C667</f>
        <v>C005</v>
      </c>
      <c r="D667" s="3">
        <f>raw_order_lines!D667</f>
        <v>46286</v>
      </c>
      <c r="E667" s="2" t="str">
        <f>raw_order_lines!E667</f>
        <v>P015</v>
      </c>
      <c r="F667" s="2" t="str">
        <f>raw_order_lines!F667</f>
        <v>公斤</v>
      </c>
      <c r="G667" s="4">
        <f>raw_order_lines!G667</f>
        <v>1</v>
      </c>
      <c r="H667" s="4">
        <f>raw_order_lines!H667</f>
        <v>1</v>
      </c>
      <c r="I667" s="4">
        <f>raw_order_lines!I667</f>
        <v>0</v>
      </c>
      <c r="J667" s="5">
        <f>raw_order_lines!J667</f>
        <v>7.3</v>
      </c>
      <c r="K667" s="2" t="str">
        <f>raw_order_lines!K667</f>
        <v>正常交付</v>
      </c>
      <c r="L667" s="2" t="str">
        <f>raw_order_lines!L667</f>
        <v>true</v>
      </c>
      <c r="M667" s="2" t="str">
        <f>INDEX(dim_products!$B$2:$B$21,MATCH($E667,dim_products!$A$2:$A$21,0))</f>
        <v>小葱</v>
      </c>
      <c r="N667" s="2" t="str">
        <f>INDEX(dim_products!$C$2:$C$21,MATCH($E667,dim_products!$A$2:$A$21,0))</f>
        <v>散装鲜菜</v>
      </c>
      <c r="O667" s="2" t="str">
        <f>INDEX(dim_customers!$B$2:$B$7,MATCH($C667,dim_customers!$A$2:$A$7,0))</f>
        <v>模拟_青禾小学食堂</v>
      </c>
      <c r="P667" s="6">
        <f>INT((ROUND(raw_order_lines!H667*10,0)*ROUND(raw_order_lines!J667*100,0)+5)/10)/100</f>
        <v>7.3</v>
      </c>
      <c r="Q667" s="6">
        <f>INT((ROUND(raw_order_lines!I667*10,0)*ROUND(raw_order_lines!J667*100,0)+5)/10)/100</f>
        <v>0</v>
      </c>
      <c r="R667" s="6">
        <f t="shared" si="30"/>
        <v>7.3</v>
      </c>
      <c r="S667" s="2" t="str">
        <f>IF(OR(ROUND(raw_order_lines!I667*10,0)&gt;ROUND(raw_order_lines!H667*10,0),ROUND(raw_order_lines!H667*10,0)&gt;ROUND(raw_order_lines!G667*10,0),ROUND(raw_order_lines!G667*10,0)&lt;=0),"数量关系异常","")</f>
        <v/>
      </c>
      <c r="T667" s="2" t="str">
        <f>IF($F667&lt;&gt;INDEX(dim_products!$D$2:$D$21,MATCH($E667,dim_products!$A$2:$A$21,0)),"单位不一致","")</f>
        <v/>
      </c>
      <c r="U667" s="2" t="str">
        <f>IF(OR(ROUND(raw_order_lines!J667*100,0)&lt;ROUND(INDEX(dim_products!$F$2:$F$21,MATCH($E667,dim_products!$A$2:$A$21,0))*100,0),ROUND(raw_order_lines!J667*100,0)&gt;ROUND(INDEX(dim_products!$G$2:$G$21,MATCH($E667,dim_products!$A$2:$A$21,0))*100,0)),"单价越界","")</f>
        <v/>
      </c>
      <c r="V667" s="2" t="str">
        <f t="shared" si="31"/>
        <v/>
      </c>
      <c r="W667" s="2" t="str">
        <f t="shared" si="32"/>
        <v>通过</v>
      </c>
    </row>
    <row r="668" spans="1:23" ht="15">
      <c r="A668" s="2" t="str">
        <f>raw_order_lines!A668</f>
        <v>SIM-20260921-C005</v>
      </c>
      <c r="B668" s="2">
        <f>raw_order_lines!B668</f>
        <v>8</v>
      </c>
      <c r="C668" s="2" t="str">
        <f>raw_order_lines!C668</f>
        <v>C005</v>
      </c>
      <c r="D668" s="3">
        <f>raw_order_lines!D668</f>
        <v>46286</v>
      </c>
      <c r="E668" s="2" t="str">
        <f>raw_order_lines!E668</f>
        <v>P017</v>
      </c>
      <c r="F668" s="2" t="str">
        <f>raw_order_lines!F668</f>
        <v>袋</v>
      </c>
      <c r="G668" s="4">
        <f>raw_order_lines!G668</f>
        <v>6</v>
      </c>
      <c r="H668" s="4">
        <f>raw_order_lines!H668</f>
        <v>6</v>
      </c>
      <c r="I668" s="4">
        <f>raw_order_lines!I668</f>
        <v>0</v>
      </c>
      <c r="J668" s="5">
        <f>raw_order_lines!J668</f>
        <v>119</v>
      </c>
      <c r="K668" s="2" t="str">
        <f>raw_order_lines!K668</f>
        <v>正常交付</v>
      </c>
      <c r="L668" s="2" t="str">
        <f>raw_order_lines!L668</f>
        <v>true</v>
      </c>
      <c r="M668" s="2" t="str">
        <f>INDEX(dim_products!$B$2:$B$21,MATCH($E668,dim_products!$A$2:$A$21,0))</f>
        <v>籼米</v>
      </c>
      <c r="N668" s="2" t="str">
        <f>INDEX(dim_products!$C$2:$C$21,MATCH($E668,dim_products!$A$2:$A$21,0))</f>
        <v>25公斤/袋普通籼米</v>
      </c>
      <c r="O668" s="2" t="str">
        <f>INDEX(dim_customers!$B$2:$B$7,MATCH($C668,dim_customers!$A$2:$A$7,0))</f>
        <v>模拟_青禾小学食堂</v>
      </c>
      <c r="P668" s="6">
        <f>INT((ROUND(raw_order_lines!H668*10,0)*ROUND(raw_order_lines!J668*100,0)+5)/10)/100</f>
        <v>714</v>
      </c>
      <c r="Q668" s="6">
        <f>INT((ROUND(raw_order_lines!I668*10,0)*ROUND(raw_order_lines!J668*100,0)+5)/10)/100</f>
        <v>0</v>
      </c>
      <c r="R668" s="6">
        <f t="shared" si="30"/>
        <v>714</v>
      </c>
      <c r="S668" s="2" t="str">
        <f>IF(OR(ROUND(raw_order_lines!I668*10,0)&gt;ROUND(raw_order_lines!H668*10,0),ROUND(raw_order_lines!H668*10,0)&gt;ROUND(raw_order_lines!G668*10,0),ROUND(raw_order_lines!G668*10,0)&lt;=0),"数量关系异常","")</f>
        <v/>
      </c>
      <c r="T668" s="2" t="str">
        <f>IF($F668&lt;&gt;INDEX(dim_products!$D$2:$D$21,MATCH($E668,dim_products!$A$2:$A$21,0)),"单位不一致","")</f>
        <v/>
      </c>
      <c r="U668" s="2" t="str">
        <f>IF(OR(ROUND(raw_order_lines!J668*100,0)&lt;ROUND(INDEX(dim_products!$F$2:$F$21,MATCH($E668,dim_products!$A$2:$A$21,0))*100,0),ROUND(raw_order_lines!J668*100,0)&gt;ROUND(INDEX(dim_products!$G$2:$G$21,MATCH($E668,dim_products!$A$2:$A$21,0))*100,0)),"单价越界","")</f>
        <v/>
      </c>
      <c r="V668" s="2" t="str">
        <f t="shared" si="31"/>
        <v/>
      </c>
      <c r="W668" s="2" t="str">
        <f t="shared" si="32"/>
        <v>通过</v>
      </c>
    </row>
    <row r="669" spans="1:23" ht="15">
      <c r="A669" s="2" t="str">
        <f>raw_order_lines!A669</f>
        <v>SIM-20260921-C005</v>
      </c>
      <c r="B669" s="2">
        <f>raw_order_lines!B669</f>
        <v>9</v>
      </c>
      <c r="C669" s="2" t="str">
        <f>raw_order_lines!C669</f>
        <v>C005</v>
      </c>
      <c r="D669" s="3">
        <f>raw_order_lines!D669</f>
        <v>46286</v>
      </c>
      <c r="E669" s="2" t="str">
        <f>raw_order_lines!E669</f>
        <v>P020</v>
      </c>
      <c r="F669" s="2" t="str">
        <f>raw_order_lines!F669</f>
        <v>桶</v>
      </c>
      <c r="G669" s="4">
        <f>raw_order_lines!G669</f>
        <v>2</v>
      </c>
      <c r="H669" s="4">
        <f>raw_order_lines!H669</f>
        <v>2</v>
      </c>
      <c r="I669" s="4">
        <f>raw_order_lines!I669</f>
        <v>0</v>
      </c>
      <c r="J669" s="5">
        <f>raw_order_lines!J669</f>
        <v>55</v>
      </c>
      <c r="K669" s="2" t="str">
        <f>raw_order_lines!K669</f>
        <v>正常交付</v>
      </c>
      <c r="L669" s="2" t="str">
        <f>raw_order_lines!L669</f>
        <v>true</v>
      </c>
      <c r="M669" s="2" t="str">
        <f>INDEX(dim_products!$B$2:$B$21,MATCH($E669,dim_products!$A$2:$A$21,0))</f>
        <v>大豆油</v>
      </c>
      <c r="N669" s="2" t="str">
        <f>INDEX(dim_products!$C$2:$C$21,MATCH($E669,dim_products!$A$2:$A$21,0))</f>
        <v>5升/桶普通大豆油</v>
      </c>
      <c r="O669" s="2" t="str">
        <f>INDEX(dim_customers!$B$2:$B$7,MATCH($C669,dim_customers!$A$2:$A$7,0))</f>
        <v>模拟_青禾小学食堂</v>
      </c>
      <c r="P669" s="6">
        <f>INT((ROUND(raw_order_lines!H669*10,0)*ROUND(raw_order_lines!J669*100,0)+5)/10)/100</f>
        <v>110</v>
      </c>
      <c r="Q669" s="6">
        <f>INT((ROUND(raw_order_lines!I669*10,0)*ROUND(raw_order_lines!J669*100,0)+5)/10)/100</f>
        <v>0</v>
      </c>
      <c r="R669" s="6">
        <f t="shared" si="30"/>
        <v>110</v>
      </c>
      <c r="S669" s="2" t="str">
        <f>IF(OR(ROUND(raw_order_lines!I669*10,0)&gt;ROUND(raw_order_lines!H669*10,0),ROUND(raw_order_lines!H669*10,0)&gt;ROUND(raw_order_lines!G669*10,0),ROUND(raw_order_lines!G669*10,0)&lt;=0),"数量关系异常","")</f>
        <v/>
      </c>
      <c r="T669" s="2" t="str">
        <f>IF($F669&lt;&gt;INDEX(dim_products!$D$2:$D$21,MATCH($E669,dim_products!$A$2:$A$21,0)),"单位不一致","")</f>
        <v/>
      </c>
      <c r="U669" s="2" t="str">
        <f>IF(OR(ROUND(raw_order_lines!J669*100,0)&lt;ROUND(INDEX(dim_products!$F$2:$F$21,MATCH($E669,dim_products!$A$2:$A$21,0))*100,0),ROUND(raw_order_lines!J669*100,0)&gt;ROUND(INDEX(dim_products!$G$2:$G$21,MATCH($E669,dim_products!$A$2:$A$21,0))*100,0)),"单价越界","")</f>
        <v/>
      </c>
      <c r="V669" s="2" t="str">
        <f t="shared" si="31"/>
        <v/>
      </c>
      <c r="W669" s="2" t="str">
        <f t="shared" si="32"/>
        <v>通过</v>
      </c>
    </row>
    <row r="670" spans="1:23" ht="15">
      <c r="A670" s="2" t="str">
        <f>raw_order_lines!A670</f>
        <v>SIM-20260921-C006</v>
      </c>
      <c r="B670" s="2">
        <f>raw_order_lines!B670</f>
        <v>1</v>
      </c>
      <c r="C670" s="2" t="str">
        <f>raw_order_lines!C670</f>
        <v>C006</v>
      </c>
      <c r="D670" s="3">
        <f>raw_order_lines!D670</f>
        <v>46286</v>
      </c>
      <c r="E670" s="2" t="str">
        <f>raw_order_lines!E670</f>
        <v>P011</v>
      </c>
      <c r="F670" s="2" t="str">
        <f>raw_order_lines!F670</f>
        <v>公斤</v>
      </c>
      <c r="G670" s="4">
        <f>raw_order_lines!G670</f>
        <v>12.1</v>
      </c>
      <c r="H670" s="4">
        <f>raw_order_lines!H670</f>
        <v>12.1</v>
      </c>
      <c r="I670" s="4">
        <f>raw_order_lines!I670</f>
        <v>0</v>
      </c>
      <c r="J670" s="5">
        <f>raw_order_lines!J670</f>
        <v>4.3</v>
      </c>
      <c r="K670" s="2" t="str">
        <f>raw_order_lines!K670</f>
        <v>正常交付</v>
      </c>
      <c r="L670" s="2" t="str">
        <f>raw_order_lines!L670</f>
        <v>true</v>
      </c>
      <c r="M670" s="2" t="str">
        <f>INDEX(dim_products!$B$2:$B$21,MATCH($E670,dim_products!$A$2:$A$21,0))</f>
        <v>红薯叶</v>
      </c>
      <c r="N670" s="2" t="str">
        <f>INDEX(dim_products!$C$2:$C$21,MATCH($E670,dim_products!$A$2:$A$21,0))</f>
        <v>散装鲜菜</v>
      </c>
      <c r="O670" s="2" t="str">
        <f>INDEX(dim_customers!$B$2:$B$7,MATCH($C670,dim_customers!$A$2:$A$7,0))</f>
        <v>模拟_溪桥医院食堂</v>
      </c>
      <c r="P670" s="6">
        <f>INT((ROUND(raw_order_lines!H670*10,0)*ROUND(raw_order_lines!J670*100,0)+5)/10)/100</f>
        <v>52.03</v>
      </c>
      <c r="Q670" s="6">
        <f>INT((ROUND(raw_order_lines!I670*10,0)*ROUND(raw_order_lines!J670*100,0)+5)/10)/100</f>
        <v>0</v>
      </c>
      <c r="R670" s="6">
        <f t="shared" si="30"/>
        <v>52.03</v>
      </c>
      <c r="S670" s="2" t="str">
        <f>IF(OR(ROUND(raw_order_lines!I670*10,0)&gt;ROUND(raw_order_lines!H670*10,0),ROUND(raw_order_lines!H670*10,0)&gt;ROUND(raw_order_lines!G670*10,0),ROUND(raw_order_lines!G670*10,0)&lt;=0),"数量关系异常","")</f>
        <v/>
      </c>
      <c r="T670" s="2" t="str">
        <f>IF($F670&lt;&gt;INDEX(dim_products!$D$2:$D$21,MATCH($E670,dim_products!$A$2:$A$21,0)),"单位不一致","")</f>
        <v/>
      </c>
      <c r="U670" s="2" t="str">
        <f>IF(OR(ROUND(raw_order_lines!J670*100,0)&lt;ROUND(INDEX(dim_products!$F$2:$F$21,MATCH($E670,dim_products!$A$2:$A$21,0))*100,0),ROUND(raw_order_lines!J670*100,0)&gt;ROUND(INDEX(dim_products!$G$2:$G$21,MATCH($E670,dim_products!$A$2:$A$21,0))*100,0)),"单价越界","")</f>
        <v/>
      </c>
      <c r="V670" s="2" t="str">
        <f t="shared" si="31"/>
        <v/>
      </c>
      <c r="W670" s="2" t="str">
        <f t="shared" si="32"/>
        <v>通过</v>
      </c>
    </row>
    <row r="671" spans="1:23" ht="15">
      <c r="A671" s="2" t="str">
        <f>raw_order_lines!A671</f>
        <v>SIM-20260921-C006</v>
      </c>
      <c r="B671" s="2">
        <f>raw_order_lines!B671</f>
        <v>2</v>
      </c>
      <c r="C671" s="2" t="str">
        <f>raw_order_lines!C671</f>
        <v>C006</v>
      </c>
      <c r="D671" s="3">
        <f>raw_order_lines!D671</f>
        <v>46286</v>
      </c>
      <c r="E671" s="2" t="str">
        <f>raw_order_lines!E671</f>
        <v>P001</v>
      </c>
      <c r="F671" s="2" t="str">
        <f>raw_order_lines!F671</f>
        <v>公斤</v>
      </c>
      <c r="G671" s="4">
        <f>raw_order_lines!G671</f>
        <v>11.3</v>
      </c>
      <c r="H671" s="4">
        <f>raw_order_lines!H671</f>
        <v>11.3</v>
      </c>
      <c r="I671" s="4">
        <f>raw_order_lines!I671</f>
        <v>0</v>
      </c>
      <c r="J671" s="5">
        <f>raw_order_lines!J671</f>
        <v>3.4</v>
      </c>
      <c r="K671" s="2" t="str">
        <f>raw_order_lines!K671</f>
        <v>正常交付</v>
      </c>
      <c r="L671" s="2" t="str">
        <f>raw_order_lines!L671</f>
        <v>true</v>
      </c>
      <c r="M671" s="2" t="str">
        <f>INDEX(dim_products!$B$2:$B$21,MATCH($E671,dim_products!$A$2:$A$21,0))</f>
        <v>土豆</v>
      </c>
      <c r="N671" s="2" t="str">
        <f>INDEX(dim_products!$C$2:$C$21,MATCH($E671,dim_products!$A$2:$A$21,0))</f>
        <v>散装鲜菜</v>
      </c>
      <c r="O671" s="2" t="str">
        <f>INDEX(dim_customers!$B$2:$B$7,MATCH($C671,dim_customers!$A$2:$A$7,0))</f>
        <v>模拟_溪桥医院食堂</v>
      </c>
      <c r="P671" s="6">
        <f>INT((ROUND(raw_order_lines!H671*10,0)*ROUND(raw_order_lines!J671*100,0)+5)/10)/100</f>
        <v>38.42</v>
      </c>
      <c r="Q671" s="6">
        <f>INT((ROUND(raw_order_lines!I671*10,0)*ROUND(raw_order_lines!J671*100,0)+5)/10)/100</f>
        <v>0</v>
      </c>
      <c r="R671" s="6">
        <f t="shared" si="30"/>
        <v>38.42</v>
      </c>
      <c r="S671" s="2" t="str">
        <f>IF(OR(ROUND(raw_order_lines!I671*10,0)&gt;ROUND(raw_order_lines!H671*10,0),ROUND(raw_order_lines!H671*10,0)&gt;ROUND(raw_order_lines!G671*10,0),ROUND(raw_order_lines!G671*10,0)&lt;=0),"数量关系异常","")</f>
        <v/>
      </c>
      <c r="T671" s="2" t="str">
        <f>IF($F671&lt;&gt;INDEX(dim_products!$D$2:$D$21,MATCH($E671,dim_products!$A$2:$A$21,0)),"单位不一致","")</f>
        <v/>
      </c>
      <c r="U671" s="2" t="str">
        <f>IF(OR(ROUND(raw_order_lines!J671*100,0)&lt;ROUND(INDEX(dim_products!$F$2:$F$21,MATCH($E671,dim_products!$A$2:$A$21,0))*100,0),ROUND(raw_order_lines!J671*100,0)&gt;ROUND(INDEX(dim_products!$G$2:$G$21,MATCH($E671,dim_products!$A$2:$A$21,0))*100,0)),"单价越界","")</f>
        <v/>
      </c>
      <c r="V671" s="2" t="str">
        <f t="shared" si="31"/>
        <v/>
      </c>
      <c r="W671" s="2" t="str">
        <f t="shared" si="32"/>
        <v>通过</v>
      </c>
    </row>
    <row r="672" spans="1:23" ht="15">
      <c r="A672" s="2" t="str">
        <f>raw_order_lines!A672</f>
        <v>SIM-20260921-C006</v>
      </c>
      <c r="B672" s="2">
        <f>raw_order_lines!B672</f>
        <v>3</v>
      </c>
      <c r="C672" s="2" t="str">
        <f>raw_order_lines!C672</f>
        <v>C006</v>
      </c>
      <c r="D672" s="3">
        <f>raw_order_lines!D672</f>
        <v>46286</v>
      </c>
      <c r="E672" s="2" t="str">
        <f>raw_order_lines!E672</f>
        <v>P009</v>
      </c>
      <c r="F672" s="2" t="str">
        <f>raw_order_lines!F672</f>
        <v>公斤</v>
      </c>
      <c r="G672" s="4">
        <f>raw_order_lines!G672</f>
        <v>5.6</v>
      </c>
      <c r="H672" s="4">
        <f>raw_order_lines!H672</f>
        <v>5.6</v>
      </c>
      <c r="I672" s="4">
        <f>raw_order_lines!I672</f>
        <v>0</v>
      </c>
      <c r="J672" s="5">
        <f>raw_order_lines!J672</f>
        <v>4.8</v>
      </c>
      <c r="K672" s="2" t="str">
        <f>raw_order_lines!K672</f>
        <v>正常交付</v>
      </c>
      <c r="L672" s="2" t="str">
        <f>raw_order_lines!L672</f>
        <v>true</v>
      </c>
      <c r="M672" s="2" t="str">
        <f>INDEX(dim_products!$B$2:$B$21,MATCH($E672,dim_products!$A$2:$A$21,0))</f>
        <v>西红柿</v>
      </c>
      <c r="N672" s="2" t="str">
        <f>INDEX(dim_products!$C$2:$C$21,MATCH($E672,dim_products!$A$2:$A$21,0))</f>
        <v>散装鲜菜</v>
      </c>
      <c r="O672" s="2" t="str">
        <f>INDEX(dim_customers!$B$2:$B$7,MATCH($C672,dim_customers!$A$2:$A$7,0))</f>
        <v>模拟_溪桥医院食堂</v>
      </c>
      <c r="P672" s="6">
        <f>INT((ROUND(raw_order_lines!H672*10,0)*ROUND(raw_order_lines!J672*100,0)+5)/10)/100</f>
        <v>26.88</v>
      </c>
      <c r="Q672" s="6">
        <f>INT((ROUND(raw_order_lines!I672*10,0)*ROUND(raw_order_lines!J672*100,0)+5)/10)/100</f>
        <v>0</v>
      </c>
      <c r="R672" s="6">
        <f t="shared" si="30"/>
        <v>26.88</v>
      </c>
      <c r="S672" s="2" t="str">
        <f>IF(OR(ROUND(raw_order_lines!I672*10,0)&gt;ROUND(raw_order_lines!H672*10,0),ROUND(raw_order_lines!H672*10,0)&gt;ROUND(raw_order_lines!G672*10,0),ROUND(raw_order_lines!G672*10,0)&lt;=0),"数量关系异常","")</f>
        <v/>
      </c>
      <c r="T672" s="2" t="str">
        <f>IF($F672&lt;&gt;INDEX(dim_products!$D$2:$D$21,MATCH($E672,dim_products!$A$2:$A$21,0)),"单位不一致","")</f>
        <v/>
      </c>
      <c r="U672" s="2" t="str">
        <f>IF(OR(ROUND(raw_order_lines!J672*100,0)&lt;ROUND(INDEX(dim_products!$F$2:$F$21,MATCH($E672,dim_products!$A$2:$A$21,0))*100,0),ROUND(raw_order_lines!J672*100,0)&gt;ROUND(INDEX(dim_products!$G$2:$G$21,MATCH($E672,dim_products!$A$2:$A$21,0))*100,0)),"单价越界","")</f>
        <v/>
      </c>
      <c r="V672" s="2" t="str">
        <f t="shared" si="31"/>
        <v/>
      </c>
      <c r="W672" s="2" t="str">
        <f t="shared" si="32"/>
        <v>通过</v>
      </c>
    </row>
    <row r="673" spans="1:23" ht="15">
      <c r="A673" s="2" t="str">
        <f>raw_order_lines!A673</f>
        <v>SIM-20260921-C006</v>
      </c>
      <c r="B673" s="2">
        <f>raw_order_lines!B673</f>
        <v>4</v>
      </c>
      <c r="C673" s="2" t="str">
        <f>raw_order_lines!C673</f>
        <v>C006</v>
      </c>
      <c r="D673" s="3">
        <f>raw_order_lines!D673</f>
        <v>46286</v>
      </c>
      <c r="E673" s="2" t="str">
        <f>raw_order_lines!E673</f>
        <v>P013</v>
      </c>
      <c r="F673" s="2" t="str">
        <f>raw_order_lines!F673</f>
        <v>公斤</v>
      </c>
      <c r="G673" s="4">
        <f>raw_order_lines!G673</f>
        <v>5.6</v>
      </c>
      <c r="H673" s="4">
        <f>raw_order_lines!H673</f>
        <v>5.6</v>
      </c>
      <c r="I673" s="4">
        <f>raw_order_lines!I673</f>
        <v>0</v>
      </c>
      <c r="J673" s="5">
        <f>raw_order_lines!J673</f>
        <v>6</v>
      </c>
      <c r="K673" s="2" t="str">
        <f>raw_order_lines!K673</f>
        <v>正常交付</v>
      </c>
      <c r="L673" s="2" t="str">
        <f>raw_order_lines!L673</f>
        <v>true</v>
      </c>
      <c r="M673" s="2" t="str">
        <f>INDEX(dim_products!$B$2:$B$21,MATCH($E673,dim_products!$A$2:$A$21,0))</f>
        <v>豇豆</v>
      </c>
      <c r="N673" s="2" t="str">
        <f>INDEX(dim_products!$C$2:$C$21,MATCH($E673,dim_products!$A$2:$A$21,0))</f>
        <v>散装鲜菜</v>
      </c>
      <c r="O673" s="2" t="str">
        <f>INDEX(dim_customers!$B$2:$B$7,MATCH($C673,dim_customers!$A$2:$A$7,0))</f>
        <v>模拟_溪桥医院食堂</v>
      </c>
      <c r="P673" s="6">
        <f>INT((ROUND(raw_order_lines!H673*10,0)*ROUND(raw_order_lines!J673*100,0)+5)/10)/100</f>
        <v>33.6</v>
      </c>
      <c r="Q673" s="6">
        <f>INT((ROUND(raw_order_lines!I673*10,0)*ROUND(raw_order_lines!J673*100,0)+5)/10)/100</f>
        <v>0</v>
      </c>
      <c r="R673" s="6">
        <f t="shared" si="30"/>
        <v>33.6</v>
      </c>
      <c r="S673" s="2" t="str">
        <f>IF(OR(ROUND(raw_order_lines!I673*10,0)&gt;ROUND(raw_order_lines!H673*10,0),ROUND(raw_order_lines!H673*10,0)&gt;ROUND(raw_order_lines!G673*10,0),ROUND(raw_order_lines!G673*10,0)&lt;=0),"数量关系异常","")</f>
        <v/>
      </c>
      <c r="T673" s="2" t="str">
        <f>IF($F673&lt;&gt;INDEX(dim_products!$D$2:$D$21,MATCH($E673,dim_products!$A$2:$A$21,0)),"单位不一致","")</f>
        <v/>
      </c>
      <c r="U673" s="2" t="str">
        <f>IF(OR(ROUND(raw_order_lines!J673*100,0)&lt;ROUND(INDEX(dim_products!$F$2:$F$21,MATCH($E673,dim_products!$A$2:$A$21,0))*100,0),ROUND(raw_order_lines!J673*100,0)&gt;ROUND(INDEX(dim_products!$G$2:$G$21,MATCH($E673,dim_products!$A$2:$A$21,0))*100,0)),"单价越界","")</f>
        <v/>
      </c>
      <c r="V673" s="2" t="str">
        <f t="shared" si="31"/>
        <v/>
      </c>
      <c r="W673" s="2" t="str">
        <f t="shared" si="32"/>
        <v>通过</v>
      </c>
    </row>
    <row r="674" spans="1:23" ht="15">
      <c r="A674" s="2" t="str">
        <f>raw_order_lines!A674</f>
        <v>SIM-20260921-C006</v>
      </c>
      <c r="B674" s="2">
        <f>raw_order_lines!B674</f>
        <v>5</v>
      </c>
      <c r="C674" s="2" t="str">
        <f>raw_order_lines!C674</f>
        <v>C006</v>
      </c>
      <c r="D674" s="3">
        <f>raw_order_lines!D674</f>
        <v>46286</v>
      </c>
      <c r="E674" s="2" t="str">
        <f>raw_order_lines!E674</f>
        <v>P007</v>
      </c>
      <c r="F674" s="2" t="str">
        <f>raw_order_lines!F674</f>
        <v>公斤</v>
      </c>
      <c r="G674" s="4">
        <f>raw_order_lines!G674</f>
        <v>7.2</v>
      </c>
      <c r="H674" s="4">
        <f>raw_order_lines!H674</f>
        <v>7.2</v>
      </c>
      <c r="I674" s="4">
        <f>raw_order_lines!I674</f>
        <v>0</v>
      </c>
      <c r="J674" s="5">
        <f>raw_order_lines!J674</f>
        <v>5.25</v>
      </c>
      <c r="K674" s="2" t="str">
        <f>raw_order_lines!K674</f>
        <v>正常交付</v>
      </c>
      <c r="L674" s="2" t="str">
        <f>raw_order_lines!L674</f>
        <v>true</v>
      </c>
      <c r="M674" s="2" t="str">
        <f>INDEX(dim_products!$B$2:$B$21,MATCH($E674,dim_products!$A$2:$A$21,0))</f>
        <v>青椒</v>
      </c>
      <c r="N674" s="2" t="str">
        <f>INDEX(dim_products!$C$2:$C$21,MATCH($E674,dim_products!$A$2:$A$21,0))</f>
        <v>散装鲜菜</v>
      </c>
      <c r="O674" s="2" t="str">
        <f>INDEX(dim_customers!$B$2:$B$7,MATCH($C674,dim_customers!$A$2:$A$7,0))</f>
        <v>模拟_溪桥医院食堂</v>
      </c>
      <c r="P674" s="6">
        <f>INT((ROUND(raw_order_lines!H674*10,0)*ROUND(raw_order_lines!J674*100,0)+5)/10)/100</f>
        <v>37.799999999999997</v>
      </c>
      <c r="Q674" s="6">
        <f>INT((ROUND(raw_order_lines!I674*10,0)*ROUND(raw_order_lines!J674*100,0)+5)/10)/100</f>
        <v>0</v>
      </c>
      <c r="R674" s="6">
        <f t="shared" si="30"/>
        <v>37.799999999999997</v>
      </c>
      <c r="S674" s="2" t="str">
        <f>IF(OR(ROUND(raw_order_lines!I674*10,0)&gt;ROUND(raw_order_lines!H674*10,0),ROUND(raw_order_lines!H674*10,0)&gt;ROUND(raw_order_lines!G674*10,0),ROUND(raw_order_lines!G674*10,0)&lt;=0),"数量关系异常","")</f>
        <v/>
      </c>
      <c r="T674" s="2" t="str">
        <f>IF($F674&lt;&gt;INDEX(dim_products!$D$2:$D$21,MATCH($E674,dim_products!$A$2:$A$21,0)),"单位不一致","")</f>
        <v/>
      </c>
      <c r="U674" s="2" t="str">
        <f>IF(OR(ROUND(raw_order_lines!J674*100,0)&lt;ROUND(INDEX(dim_products!$F$2:$F$21,MATCH($E674,dim_products!$A$2:$A$21,0))*100,0),ROUND(raw_order_lines!J674*100,0)&gt;ROUND(INDEX(dim_products!$G$2:$G$21,MATCH($E674,dim_products!$A$2:$A$21,0))*100,0)),"单价越界","")</f>
        <v/>
      </c>
      <c r="V674" s="2" t="str">
        <f t="shared" si="31"/>
        <v/>
      </c>
      <c r="W674" s="2" t="str">
        <f t="shared" si="32"/>
        <v>通过</v>
      </c>
    </row>
    <row r="675" spans="1:23" ht="15">
      <c r="A675" s="2" t="str">
        <f>raw_order_lines!A675</f>
        <v>SIM-20260921-C006</v>
      </c>
      <c r="B675" s="2">
        <f>raw_order_lines!B675</f>
        <v>6</v>
      </c>
      <c r="C675" s="2" t="str">
        <f>raw_order_lines!C675</f>
        <v>C006</v>
      </c>
      <c r="D675" s="3">
        <f>raw_order_lines!D675</f>
        <v>46286</v>
      </c>
      <c r="E675" s="2" t="str">
        <f>raw_order_lines!E675</f>
        <v>P002</v>
      </c>
      <c r="F675" s="2" t="str">
        <f>raw_order_lines!F675</f>
        <v>公斤</v>
      </c>
      <c r="G675" s="4">
        <f>raw_order_lines!G675</f>
        <v>5.6</v>
      </c>
      <c r="H675" s="4">
        <f>raw_order_lines!H675</f>
        <v>5.6</v>
      </c>
      <c r="I675" s="4">
        <f>raw_order_lines!I675</f>
        <v>0</v>
      </c>
      <c r="J675" s="5">
        <f>raw_order_lines!J675</f>
        <v>2.7</v>
      </c>
      <c r="K675" s="2" t="str">
        <f>raw_order_lines!K675</f>
        <v>正常交付</v>
      </c>
      <c r="L675" s="2" t="str">
        <f>raw_order_lines!L675</f>
        <v>true</v>
      </c>
      <c r="M675" s="2" t="str">
        <f>INDEX(dim_products!$B$2:$B$21,MATCH($E675,dim_products!$A$2:$A$21,0))</f>
        <v>白萝卜</v>
      </c>
      <c r="N675" s="2" t="str">
        <f>INDEX(dim_products!$C$2:$C$21,MATCH($E675,dim_products!$A$2:$A$21,0))</f>
        <v>散装鲜菜</v>
      </c>
      <c r="O675" s="2" t="str">
        <f>INDEX(dim_customers!$B$2:$B$7,MATCH($C675,dim_customers!$A$2:$A$7,0))</f>
        <v>模拟_溪桥医院食堂</v>
      </c>
      <c r="P675" s="6">
        <f>INT((ROUND(raw_order_lines!H675*10,0)*ROUND(raw_order_lines!J675*100,0)+5)/10)/100</f>
        <v>15.12</v>
      </c>
      <c r="Q675" s="6">
        <f>INT((ROUND(raw_order_lines!I675*10,0)*ROUND(raw_order_lines!J675*100,0)+5)/10)/100</f>
        <v>0</v>
      </c>
      <c r="R675" s="6">
        <f t="shared" si="30"/>
        <v>15.12</v>
      </c>
      <c r="S675" s="2" t="str">
        <f>IF(OR(ROUND(raw_order_lines!I675*10,0)&gt;ROUND(raw_order_lines!H675*10,0),ROUND(raw_order_lines!H675*10,0)&gt;ROUND(raw_order_lines!G675*10,0),ROUND(raw_order_lines!G675*10,0)&lt;=0),"数量关系异常","")</f>
        <v/>
      </c>
      <c r="T675" s="2" t="str">
        <f>IF($F675&lt;&gt;INDEX(dim_products!$D$2:$D$21,MATCH($E675,dim_products!$A$2:$A$21,0)),"单位不一致","")</f>
        <v/>
      </c>
      <c r="U675" s="2" t="str">
        <f>IF(OR(ROUND(raw_order_lines!J675*100,0)&lt;ROUND(INDEX(dim_products!$F$2:$F$21,MATCH($E675,dim_products!$A$2:$A$21,0))*100,0),ROUND(raw_order_lines!J675*100,0)&gt;ROUND(INDEX(dim_products!$G$2:$G$21,MATCH($E675,dim_products!$A$2:$A$21,0))*100,0)),"单价越界","")</f>
        <v/>
      </c>
      <c r="V675" s="2" t="str">
        <f t="shared" si="31"/>
        <v/>
      </c>
      <c r="W675" s="2" t="str">
        <f t="shared" si="32"/>
        <v>通过</v>
      </c>
    </row>
    <row r="676" spans="1:23" ht="15">
      <c r="A676" s="2" t="str">
        <f>raw_order_lines!A676</f>
        <v>SIM-20260921-C006</v>
      </c>
      <c r="B676" s="2">
        <f>raw_order_lines!B676</f>
        <v>7</v>
      </c>
      <c r="C676" s="2" t="str">
        <f>raw_order_lines!C676</f>
        <v>C006</v>
      </c>
      <c r="D676" s="3">
        <f>raw_order_lines!D676</f>
        <v>46286</v>
      </c>
      <c r="E676" s="2" t="str">
        <f>raw_order_lines!E676</f>
        <v>P016</v>
      </c>
      <c r="F676" s="2" t="str">
        <f>raw_order_lines!F676</f>
        <v>公斤</v>
      </c>
      <c r="G676" s="4">
        <f>raw_order_lines!G676</f>
        <v>9</v>
      </c>
      <c r="H676" s="4">
        <f>raw_order_lines!H676</f>
        <v>9</v>
      </c>
      <c r="I676" s="4">
        <f>raw_order_lines!I676</f>
        <v>0.1</v>
      </c>
      <c r="J676" s="5">
        <f>raw_order_lines!J676</f>
        <v>10.199999999999999</v>
      </c>
      <c r="K676" s="2" t="str">
        <f>raw_order_lines!K676</f>
        <v>正常交付；签收时破损退回</v>
      </c>
      <c r="L676" s="2" t="str">
        <f>raw_order_lines!L676</f>
        <v>true</v>
      </c>
      <c r="M676" s="2" t="str">
        <f>INDEX(dim_products!$B$2:$B$21,MATCH($E676,dim_products!$A$2:$A$21,0))</f>
        <v>鸡蛋</v>
      </c>
      <c r="N676" s="2" t="str">
        <f>INDEX(dim_products!$C$2:$C$21,MATCH($E676,dim_products!$A$2:$A$21,0))</f>
        <v>普通鲜鸡蛋按净重</v>
      </c>
      <c r="O676" s="2" t="str">
        <f>INDEX(dim_customers!$B$2:$B$7,MATCH($C676,dim_customers!$A$2:$A$7,0))</f>
        <v>模拟_溪桥医院食堂</v>
      </c>
      <c r="P676" s="6">
        <f>INT((ROUND(raw_order_lines!H676*10,0)*ROUND(raw_order_lines!J676*100,0)+5)/10)/100</f>
        <v>91.8</v>
      </c>
      <c r="Q676" s="6">
        <f>INT((ROUND(raw_order_lines!I676*10,0)*ROUND(raw_order_lines!J676*100,0)+5)/10)/100</f>
        <v>1.02</v>
      </c>
      <c r="R676" s="6">
        <f t="shared" si="30"/>
        <v>90.78</v>
      </c>
      <c r="S676" s="2" t="str">
        <f>IF(OR(ROUND(raw_order_lines!I676*10,0)&gt;ROUND(raw_order_lines!H676*10,0),ROUND(raw_order_lines!H676*10,0)&gt;ROUND(raw_order_lines!G676*10,0),ROUND(raw_order_lines!G676*10,0)&lt;=0),"数量关系异常","")</f>
        <v/>
      </c>
      <c r="T676" s="2" t="str">
        <f>IF($F676&lt;&gt;INDEX(dim_products!$D$2:$D$21,MATCH($E676,dim_products!$A$2:$A$21,0)),"单位不一致","")</f>
        <v/>
      </c>
      <c r="U676" s="2" t="str">
        <f>IF(OR(ROUND(raw_order_lines!J676*100,0)&lt;ROUND(INDEX(dim_products!$F$2:$F$21,MATCH($E676,dim_products!$A$2:$A$21,0))*100,0),ROUND(raw_order_lines!J676*100,0)&gt;ROUND(INDEX(dim_products!$G$2:$G$21,MATCH($E676,dim_products!$A$2:$A$21,0))*100,0)),"单价越界","")</f>
        <v/>
      </c>
      <c r="V676" s="2" t="str">
        <f t="shared" si="31"/>
        <v/>
      </c>
      <c r="W676" s="2" t="str">
        <f t="shared" si="32"/>
        <v>通过</v>
      </c>
    </row>
    <row r="677" spans="1:23" ht="15">
      <c r="A677" s="2" t="str">
        <f>raw_order_lines!A677</f>
        <v>SIM-20260921-C006</v>
      </c>
      <c r="B677" s="2">
        <f>raw_order_lines!B677</f>
        <v>8</v>
      </c>
      <c r="C677" s="2" t="str">
        <f>raw_order_lines!C677</f>
        <v>C006</v>
      </c>
      <c r="D677" s="3">
        <f>raw_order_lines!D677</f>
        <v>46286</v>
      </c>
      <c r="E677" s="2" t="str">
        <f>raw_order_lines!E677</f>
        <v>P017</v>
      </c>
      <c r="F677" s="2" t="str">
        <f>raw_order_lines!F677</f>
        <v>袋</v>
      </c>
      <c r="G677" s="4">
        <f>raw_order_lines!G677</f>
        <v>4</v>
      </c>
      <c r="H677" s="4">
        <f>raw_order_lines!H677</f>
        <v>4</v>
      </c>
      <c r="I677" s="4">
        <f>raw_order_lines!I677</f>
        <v>0</v>
      </c>
      <c r="J677" s="5">
        <f>raw_order_lines!J677</f>
        <v>119</v>
      </c>
      <c r="K677" s="2" t="str">
        <f>raw_order_lines!K677</f>
        <v>正常交付</v>
      </c>
      <c r="L677" s="2" t="str">
        <f>raw_order_lines!L677</f>
        <v>true</v>
      </c>
      <c r="M677" s="2" t="str">
        <f>INDEX(dim_products!$B$2:$B$21,MATCH($E677,dim_products!$A$2:$A$21,0))</f>
        <v>籼米</v>
      </c>
      <c r="N677" s="2" t="str">
        <f>INDEX(dim_products!$C$2:$C$21,MATCH($E677,dim_products!$A$2:$A$21,0))</f>
        <v>25公斤/袋普通籼米</v>
      </c>
      <c r="O677" s="2" t="str">
        <f>INDEX(dim_customers!$B$2:$B$7,MATCH($C677,dim_customers!$A$2:$A$7,0))</f>
        <v>模拟_溪桥医院食堂</v>
      </c>
      <c r="P677" s="6">
        <f>INT((ROUND(raw_order_lines!H677*10,0)*ROUND(raw_order_lines!J677*100,0)+5)/10)/100</f>
        <v>476</v>
      </c>
      <c r="Q677" s="6">
        <f>INT((ROUND(raw_order_lines!I677*10,0)*ROUND(raw_order_lines!J677*100,0)+5)/10)/100</f>
        <v>0</v>
      </c>
      <c r="R677" s="6">
        <f t="shared" si="30"/>
        <v>476</v>
      </c>
      <c r="S677" s="2" t="str">
        <f>IF(OR(ROUND(raw_order_lines!I677*10,0)&gt;ROUND(raw_order_lines!H677*10,0),ROUND(raw_order_lines!H677*10,0)&gt;ROUND(raw_order_lines!G677*10,0),ROUND(raw_order_lines!G677*10,0)&lt;=0),"数量关系异常","")</f>
        <v/>
      </c>
      <c r="T677" s="2" t="str">
        <f>IF($F677&lt;&gt;INDEX(dim_products!$D$2:$D$21,MATCH($E677,dim_products!$A$2:$A$21,0)),"单位不一致","")</f>
        <v/>
      </c>
      <c r="U677" s="2" t="str">
        <f>IF(OR(ROUND(raw_order_lines!J677*100,0)&lt;ROUND(INDEX(dim_products!$F$2:$F$21,MATCH($E677,dim_products!$A$2:$A$21,0))*100,0),ROUND(raw_order_lines!J677*100,0)&gt;ROUND(INDEX(dim_products!$G$2:$G$21,MATCH($E677,dim_products!$A$2:$A$21,0))*100,0)),"单价越界","")</f>
        <v/>
      </c>
      <c r="V677" s="2" t="str">
        <f t="shared" si="31"/>
        <v/>
      </c>
      <c r="W677" s="2" t="str">
        <f t="shared" si="32"/>
        <v>通过</v>
      </c>
    </row>
    <row r="678" spans="1:23" ht="15">
      <c r="A678" s="2" t="str">
        <f>raw_order_lines!A678</f>
        <v>SIM-20260921-C006</v>
      </c>
      <c r="B678" s="2">
        <f>raw_order_lines!B678</f>
        <v>9</v>
      </c>
      <c r="C678" s="2" t="str">
        <f>raw_order_lines!C678</f>
        <v>C006</v>
      </c>
      <c r="D678" s="3">
        <f>raw_order_lines!D678</f>
        <v>46286</v>
      </c>
      <c r="E678" s="2" t="str">
        <f>raw_order_lines!E678</f>
        <v>P020</v>
      </c>
      <c r="F678" s="2" t="str">
        <f>raw_order_lines!F678</f>
        <v>桶</v>
      </c>
      <c r="G678" s="4">
        <f>raw_order_lines!G678</f>
        <v>2</v>
      </c>
      <c r="H678" s="4">
        <f>raw_order_lines!H678</f>
        <v>2</v>
      </c>
      <c r="I678" s="4">
        <f>raw_order_lines!I678</f>
        <v>0</v>
      </c>
      <c r="J678" s="5">
        <f>raw_order_lines!J678</f>
        <v>55</v>
      </c>
      <c r="K678" s="2" t="str">
        <f>raw_order_lines!K678</f>
        <v>正常交付</v>
      </c>
      <c r="L678" s="2" t="str">
        <f>raw_order_lines!L678</f>
        <v>true</v>
      </c>
      <c r="M678" s="2" t="str">
        <f>INDEX(dim_products!$B$2:$B$21,MATCH($E678,dim_products!$A$2:$A$21,0))</f>
        <v>大豆油</v>
      </c>
      <c r="N678" s="2" t="str">
        <f>INDEX(dim_products!$C$2:$C$21,MATCH($E678,dim_products!$A$2:$A$21,0))</f>
        <v>5升/桶普通大豆油</v>
      </c>
      <c r="O678" s="2" t="str">
        <f>INDEX(dim_customers!$B$2:$B$7,MATCH($C678,dim_customers!$A$2:$A$7,0))</f>
        <v>模拟_溪桥医院食堂</v>
      </c>
      <c r="P678" s="6">
        <f>INT((ROUND(raw_order_lines!H678*10,0)*ROUND(raw_order_lines!J678*100,0)+5)/10)/100</f>
        <v>110</v>
      </c>
      <c r="Q678" s="6">
        <f>INT((ROUND(raw_order_lines!I678*10,0)*ROUND(raw_order_lines!J678*100,0)+5)/10)/100</f>
        <v>0</v>
      </c>
      <c r="R678" s="6">
        <f t="shared" si="30"/>
        <v>110</v>
      </c>
      <c r="S678" s="2" t="str">
        <f>IF(OR(ROUND(raw_order_lines!I678*10,0)&gt;ROUND(raw_order_lines!H678*10,0),ROUND(raw_order_lines!H678*10,0)&gt;ROUND(raw_order_lines!G678*10,0),ROUND(raw_order_lines!G678*10,0)&lt;=0),"数量关系异常","")</f>
        <v/>
      </c>
      <c r="T678" s="2" t="str">
        <f>IF($F678&lt;&gt;INDEX(dim_products!$D$2:$D$21,MATCH($E678,dim_products!$A$2:$A$21,0)),"单位不一致","")</f>
        <v/>
      </c>
      <c r="U678" s="2" t="str">
        <f>IF(OR(ROUND(raw_order_lines!J678*100,0)&lt;ROUND(INDEX(dim_products!$F$2:$F$21,MATCH($E678,dim_products!$A$2:$A$21,0))*100,0),ROUND(raw_order_lines!J678*100,0)&gt;ROUND(INDEX(dim_products!$G$2:$G$21,MATCH($E678,dim_products!$A$2:$A$21,0))*100,0)),"单价越界","")</f>
        <v/>
      </c>
      <c r="V678" s="2" t="str">
        <f t="shared" si="31"/>
        <v/>
      </c>
      <c r="W678" s="2" t="str">
        <f t="shared" si="32"/>
        <v>通过</v>
      </c>
    </row>
    <row r="679" spans="1:23" ht="15">
      <c r="A679" s="2" t="str">
        <f>raw_order_lines!A679</f>
        <v>SIM-20260922-C001</v>
      </c>
      <c r="B679" s="2">
        <f>raw_order_lines!B679</f>
        <v>1</v>
      </c>
      <c r="C679" s="2" t="str">
        <f>raw_order_lines!C679</f>
        <v>C001</v>
      </c>
      <c r="D679" s="3">
        <f>raw_order_lines!D679</f>
        <v>46287</v>
      </c>
      <c r="E679" s="2" t="str">
        <f>raw_order_lines!E679</f>
        <v>P011</v>
      </c>
      <c r="F679" s="2" t="str">
        <f>raw_order_lines!F679</f>
        <v>公斤</v>
      </c>
      <c r="G679" s="4">
        <f>raw_order_lines!G679</f>
        <v>2.9</v>
      </c>
      <c r="H679" s="4">
        <f>raw_order_lines!H679</f>
        <v>2.9</v>
      </c>
      <c r="I679" s="4">
        <f>raw_order_lines!I679</f>
        <v>0</v>
      </c>
      <c r="J679" s="5">
        <f>raw_order_lines!J679</f>
        <v>4.8</v>
      </c>
      <c r="K679" s="2" t="str">
        <f>raw_order_lines!K679</f>
        <v>正常交付</v>
      </c>
      <c r="L679" s="2" t="str">
        <f>raw_order_lines!L679</f>
        <v>true</v>
      </c>
      <c r="M679" s="2" t="str">
        <f>INDEX(dim_products!$B$2:$B$21,MATCH($E679,dim_products!$A$2:$A$21,0))</f>
        <v>红薯叶</v>
      </c>
      <c r="N679" s="2" t="str">
        <f>INDEX(dim_products!$C$2:$C$21,MATCH($E679,dim_products!$A$2:$A$21,0))</f>
        <v>散装鲜菜</v>
      </c>
      <c r="O679" s="2" t="str">
        <f>INDEX(dim_customers!$B$2:$B$7,MATCH($C679,dim_customers!$A$2:$A$7,0))</f>
        <v>模拟_榕树下粉面店</v>
      </c>
      <c r="P679" s="6">
        <f>INT((ROUND(raw_order_lines!H679*10,0)*ROUND(raw_order_lines!J679*100,0)+5)/10)/100</f>
        <v>13.92</v>
      </c>
      <c r="Q679" s="6">
        <f>INT((ROUND(raw_order_lines!I679*10,0)*ROUND(raw_order_lines!J679*100,0)+5)/10)/100</f>
        <v>0</v>
      </c>
      <c r="R679" s="6">
        <f t="shared" si="30"/>
        <v>13.92</v>
      </c>
      <c r="S679" s="2" t="str">
        <f>IF(OR(ROUND(raw_order_lines!I679*10,0)&gt;ROUND(raw_order_lines!H679*10,0),ROUND(raw_order_lines!H679*10,0)&gt;ROUND(raw_order_lines!G679*10,0),ROUND(raw_order_lines!G679*10,0)&lt;=0),"数量关系异常","")</f>
        <v/>
      </c>
      <c r="T679" s="2" t="str">
        <f>IF($F679&lt;&gt;INDEX(dim_products!$D$2:$D$21,MATCH($E679,dim_products!$A$2:$A$21,0)),"单位不一致","")</f>
        <v/>
      </c>
      <c r="U679" s="2" t="str">
        <f>IF(OR(ROUND(raw_order_lines!J679*100,0)&lt;ROUND(INDEX(dim_products!$F$2:$F$21,MATCH($E679,dim_products!$A$2:$A$21,0))*100,0),ROUND(raw_order_lines!J679*100,0)&gt;ROUND(INDEX(dim_products!$G$2:$G$21,MATCH($E679,dim_products!$A$2:$A$21,0))*100,0)),"单价越界","")</f>
        <v/>
      </c>
      <c r="V679" s="2" t="str">
        <f t="shared" si="31"/>
        <v/>
      </c>
      <c r="W679" s="2" t="str">
        <f t="shared" si="32"/>
        <v>通过</v>
      </c>
    </row>
    <row r="680" spans="1:23" ht="15">
      <c r="A680" s="2" t="str">
        <f>raw_order_lines!A680</f>
        <v>SIM-20260922-C001</v>
      </c>
      <c r="B680" s="2">
        <f>raw_order_lines!B680</f>
        <v>2</v>
      </c>
      <c r="C680" s="2" t="str">
        <f>raw_order_lines!C680</f>
        <v>C001</v>
      </c>
      <c r="D680" s="3">
        <f>raw_order_lines!D680</f>
        <v>46287</v>
      </c>
      <c r="E680" s="2" t="str">
        <f>raw_order_lines!E680</f>
        <v>P002</v>
      </c>
      <c r="F680" s="2" t="str">
        <f>raw_order_lines!F680</f>
        <v>公斤</v>
      </c>
      <c r="G680" s="4">
        <f>raw_order_lines!G680</f>
        <v>2.9</v>
      </c>
      <c r="H680" s="4">
        <f>raw_order_lines!H680</f>
        <v>2.9</v>
      </c>
      <c r="I680" s="4">
        <f>raw_order_lines!I680</f>
        <v>0</v>
      </c>
      <c r="J680" s="5">
        <f>raw_order_lines!J680</f>
        <v>2.5</v>
      </c>
      <c r="K680" s="2" t="str">
        <f>raw_order_lines!K680</f>
        <v>正常交付</v>
      </c>
      <c r="L680" s="2" t="str">
        <f>raw_order_lines!L680</f>
        <v>true</v>
      </c>
      <c r="M680" s="2" t="str">
        <f>INDEX(dim_products!$B$2:$B$21,MATCH($E680,dim_products!$A$2:$A$21,0))</f>
        <v>白萝卜</v>
      </c>
      <c r="N680" s="2" t="str">
        <f>INDEX(dim_products!$C$2:$C$21,MATCH($E680,dim_products!$A$2:$A$21,0))</f>
        <v>散装鲜菜</v>
      </c>
      <c r="O680" s="2" t="str">
        <f>INDEX(dim_customers!$B$2:$B$7,MATCH($C680,dim_customers!$A$2:$A$7,0))</f>
        <v>模拟_榕树下粉面店</v>
      </c>
      <c r="P680" s="6">
        <f>INT((ROUND(raw_order_lines!H680*10,0)*ROUND(raw_order_lines!J680*100,0)+5)/10)/100</f>
        <v>7.25</v>
      </c>
      <c r="Q680" s="6">
        <f>INT((ROUND(raw_order_lines!I680*10,0)*ROUND(raw_order_lines!J680*100,0)+5)/10)/100</f>
        <v>0</v>
      </c>
      <c r="R680" s="6">
        <f t="shared" si="30"/>
        <v>7.25</v>
      </c>
      <c r="S680" s="2" t="str">
        <f>IF(OR(ROUND(raw_order_lines!I680*10,0)&gt;ROUND(raw_order_lines!H680*10,0),ROUND(raw_order_lines!H680*10,0)&gt;ROUND(raw_order_lines!G680*10,0),ROUND(raw_order_lines!G680*10,0)&lt;=0),"数量关系异常","")</f>
        <v/>
      </c>
      <c r="T680" s="2" t="str">
        <f>IF($F680&lt;&gt;INDEX(dim_products!$D$2:$D$21,MATCH($E680,dim_products!$A$2:$A$21,0)),"单位不一致","")</f>
        <v/>
      </c>
      <c r="U680" s="2" t="str">
        <f>IF(OR(ROUND(raw_order_lines!J680*100,0)&lt;ROUND(INDEX(dim_products!$F$2:$F$21,MATCH($E680,dim_products!$A$2:$A$21,0))*100,0),ROUND(raw_order_lines!J680*100,0)&gt;ROUND(INDEX(dim_products!$G$2:$G$21,MATCH($E680,dim_products!$A$2:$A$21,0))*100,0)),"单价越界","")</f>
        <v/>
      </c>
      <c r="V680" s="2" t="str">
        <f t="shared" si="31"/>
        <v/>
      </c>
      <c r="W680" s="2" t="str">
        <f t="shared" si="32"/>
        <v>通过</v>
      </c>
    </row>
    <row r="681" spans="1:23" ht="15">
      <c r="A681" s="2" t="str">
        <f>raw_order_lines!A681</f>
        <v>SIM-20260922-C001</v>
      </c>
      <c r="B681" s="2">
        <f>raw_order_lines!B681</f>
        <v>3</v>
      </c>
      <c r="C681" s="2" t="str">
        <f>raw_order_lines!C681</f>
        <v>C001</v>
      </c>
      <c r="D681" s="3">
        <f>raw_order_lines!D681</f>
        <v>46287</v>
      </c>
      <c r="E681" s="2" t="str">
        <f>raw_order_lines!E681</f>
        <v>P014</v>
      </c>
      <c r="F681" s="2" t="str">
        <f>raw_order_lines!F681</f>
        <v>公斤</v>
      </c>
      <c r="G681" s="4">
        <f>raw_order_lines!G681</f>
        <v>4.2</v>
      </c>
      <c r="H681" s="4">
        <f>raw_order_lines!H681</f>
        <v>4.2</v>
      </c>
      <c r="I681" s="4">
        <f>raw_order_lines!I681</f>
        <v>0</v>
      </c>
      <c r="J681" s="5">
        <f>raw_order_lines!J681</f>
        <v>4.9000000000000004</v>
      </c>
      <c r="K681" s="2" t="str">
        <f>raw_order_lines!K681</f>
        <v>正常交付</v>
      </c>
      <c r="L681" s="2" t="str">
        <f>raw_order_lines!L681</f>
        <v>true</v>
      </c>
      <c r="M681" s="2" t="str">
        <f>INDEX(dim_products!$B$2:$B$21,MATCH($E681,dim_products!$A$2:$A$21,0))</f>
        <v>丝瓜</v>
      </c>
      <c r="N681" s="2" t="str">
        <f>INDEX(dim_products!$C$2:$C$21,MATCH($E681,dim_products!$A$2:$A$21,0))</f>
        <v>散装鲜菜</v>
      </c>
      <c r="O681" s="2" t="str">
        <f>INDEX(dim_customers!$B$2:$B$7,MATCH($C681,dim_customers!$A$2:$A$7,0))</f>
        <v>模拟_榕树下粉面店</v>
      </c>
      <c r="P681" s="6">
        <f>INT((ROUND(raw_order_lines!H681*10,0)*ROUND(raw_order_lines!J681*100,0)+5)/10)/100</f>
        <v>20.58</v>
      </c>
      <c r="Q681" s="6">
        <f>INT((ROUND(raw_order_lines!I681*10,0)*ROUND(raw_order_lines!J681*100,0)+5)/10)/100</f>
        <v>0</v>
      </c>
      <c r="R681" s="6">
        <f t="shared" si="30"/>
        <v>20.58</v>
      </c>
      <c r="S681" s="2" t="str">
        <f>IF(OR(ROUND(raw_order_lines!I681*10,0)&gt;ROUND(raw_order_lines!H681*10,0),ROUND(raw_order_lines!H681*10,0)&gt;ROUND(raw_order_lines!G681*10,0),ROUND(raw_order_lines!G681*10,0)&lt;=0),"数量关系异常","")</f>
        <v/>
      </c>
      <c r="T681" s="2" t="str">
        <f>IF($F681&lt;&gt;INDEX(dim_products!$D$2:$D$21,MATCH($E681,dim_products!$A$2:$A$21,0)),"单位不一致","")</f>
        <v/>
      </c>
      <c r="U681" s="2" t="str">
        <f>IF(OR(ROUND(raw_order_lines!J681*100,0)&lt;ROUND(INDEX(dim_products!$F$2:$F$21,MATCH($E681,dim_products!$A$2:$A$21,0))*100,0),ROUND(raw_order_lines!J681*100,0)&gt;ROUND(INDEX(dim_products!$G$2:$G$21,MATCH($E681,dim_products!$A$2:$A$21,0))*100,0)),"单价越界","")</f>
        <v/>
      </c>
      <c r="V681" s="2" t="str">
        <f t="shared" si="31"/>
        <v/>
      </c>
      <c r="W681" s="2" t="str">
        <f t="shared" si="32"/>
        <v>通过</v>
      </c>
    </row>
    <row r="682" spans="1:23" ht="15">
      <c r="A682" s="2" t="str">
        <f>raw_order_lines!A682</f>
        <v>SIM-20260922-C001</v>
      </c>
      <c r="B682" s="2">
        <f>raw_order_lines!B682</f>
        <v>4</v>
      </c>
      <c r="C682" s="2" t="str">
        <f>raw_order_lines!C682</f>
        <v>C001</v>
      </c>
      <c r="D682" s="3">
        <f>raw_order_lines!D682</f>
        <v>46287</v>
      </c>
      <c r="E682" s="2" t="str">
        <f>raw_order_lines!E682</f>
        <v>P005</v>
      </c>
      <c r="F682" s="2" t="str">
        <f>raw_order_lines!F682</f>
        <v>公斤</v>
      </c>
      <c r="G682" s="4">
        <f>raw_order_lines!G682</f>
        <v>3.2</v>
      </c>
      <c r="H682" s="4">
        <f>raw_order_lines!H682</f>
        <v>3.2</v>
      </c>
      <c r="I682" s="4">
        <f>raw_order_lines!I682</f>
        <v>0</v>
      </c>
      <c r="J682" s="5">
        <f>raw_order_lines!J682</f>
        <v>2.7</v>
      </c>
      <c r="K682" s="2" t="str">
        <f>raw_order_lines!K682</f>
        <v>正常交付</v>
      </c>
      <c r="L682" s="2" t="str">
        <f>raw_order_lines!L682</f>
        <v>true</v>
      </c>
      <c r="M682" s="2" t="str">
        <f>INDEX(dim_products!$B$2:$B$21,MATCH($E682,dim_products!$A$2:$A$21,0))</f>
        <v>南瓜</v>
      </c>
      <c r="N682" s="2" t="str">
        <f>INDEX(dim_products!$C$2:$C$21,MATCH($E682,dim_products!$A$2:$A$21,0))</f>
        <v>散装鲜菜</v>
      </c>
      <c r="O682" s="2" t="str">
        <f>INDEX(dim_customers!$B$2:$B$7,MATCH($C682,dim_customers!$A$2:$A$7,0))</f>
        <v>模拟_榕树下粉面店</v>
      </c>
      <c r="P682" s="6">
        <f>INT((ROUND(raw_order_lines!H682*10,0)*ROUND(raw_order_lines!J682*100,0)+5)/10)/100</f>
        <v>8.64</v>
      </c>
      <c r="Q682" s="6">
        <f>INT((ROUND(raw_order_lines!I682*10,0)*ROUND(raw_order_lines!J682*100,0)+5)/10)/100</f>
        <v>0</v>
      </c>
      <c r="R682" s="6">
        <f t="shared" si="30"/>
        <v>8.64</v>
      </c>
      <c r="S682" s="2" t="str">
        <f>IF(OR(ROUND(raw_order_lines!I682*10,0)&gt;ROUND(raw_order_lines!H682*10,0),ROUND(raw_order_lines!H682*10,0)&gt;ROUND(raw_order_lines!G682*10,0),ROUND(raw_order_lines!G682*10,0)&lt;=0),"数量关系异常","")</f>
        <v/>
      </c>
      <c r="T682" s="2" t="str">
        <f>IF($F682&lt;&gt;INDEX(dim_products!$D$2:$D$21,MATCH($E682,dim_products!$A$2:$A$21,0)),"单位不一致","")</f>
        <v/>
      </c>
      <c r="U682" s="2" t="str">
        <f>IF(OR(ROUND(raw_order_lines!J682*100,0)&lt;ROUND(INDEX(dim_products!$F$2:$F$21,MATCH($E682,dim_products!$A$2:$A$21,0))*100,0),ROUND(raw_order_lines!J682*100,0)&gt;ROUND(INDEX(dim_products!$G$2:$G$21,MATCH($E682,dim_products!$A$2:$A$21,0))*100,0)),"单价越界","")</f>
        <v/>
      </c>
      <c r="V682" s="2" t="str">
        <f t="shared" si="31"/>
        <v/>
      </c>
      <c r="W682" s="2" t="str">
        <f t="shared" si="32"/>
        <v>通过</v>
      </c>
    </row>
    <row r="683" spans="1:23" ht="15">
      <c r="A683" s="2" t="str">
        <f>raw_order_lines!A683</f>
        <v>SIM-20260922-C001</v>
      </c>
      <c r="B683" s="2">
        <f>raw_order_lines!B683</f>
        <v>5</v>
      </c>
      <c r="C683" s="2" t="str">
        <f>raw_order_lines!C683</f>
        <v>C001</v>
      </c>
      <c r="D683" s="3">
        <f>raw_order_lines!D683</f>
        <v>46287</v>
      </c>
      <c r="E683" s="2" t="str">
        <f>raw_order_lines!E683</f>
        <v>P016</v>
      </c>
      <c r="F683" s="2" t="str">
        <f>raw_order_lines!F683</f>
        <v>公斤</v>
      </c>
      <c r="G683" s="4">
        <f>raw_order_lines!G683</f>
        <v>3</v>
      </c>
      <c r="H683" s="4">
        <f>raw_order_lines!H683</f>
        <v>3</v>
      </c>
      <c r="I683" s="4">
        <f>raw_order_lines!I683</f>
        <v>0</v>
      </c>
      <c r="J683" s="5">
        <f>raw_order_lines!J683</f>
        <v>10.4</v>
      </c>
      <c r="K683" s="2" t="str">
        <f>raw_order_lines!K683</f>
        <v>正常交付</v>
      </c>
      <c r="L683" s="2" t="str">
        <f>raw_order_lines!L683</f>
        <v>true</v>
      </c>
      <c r="M683" s="2" t="str">
        <f>INDEX(dim_products!$B$2:$B$21,MATCH($E683,dim_products!$A$2:$A$21,0))</f>
        <v>鸡蛋</v>
      </c>
      <c r="N683" s="2" t="str">
        <f>INDEX(dim_products!$C$2:$C$21,MATCH($E683,dim_products!$A$2:$A$21,0))</f>
        <v>普通鲜鸡蛋按净重</v>
      </c>
      <c r="O683" s="2" t="str">
        <f>INDEX(dim_customers!$B$2:$B$7,MATCH($C683,dim_customers!$A$2:$A$7,0))</f>
        <v>模拟_榕树下粉面店</v>
      </c>
      <c r="P683" s="6">
        <f>INT((ROUND(raw_order_lines!H683*10,0)*ROUND(raw_order_lines!J683*100,0)+5)/10)/100</f>
        <v>31.2</v>
      </c>
      <c r="Q683" s="6">
        <f>INT((ROUND(raw_order_lines!I683*10,0)*ROUND(raw_order_lines!J683*100,0)+5)/10)/100</f>
        <v>0</v>
      </c>
      <c r="R683" s="6">
        <f t="shared" si="30"/>
        <v>31.2</v>
      </c>
      <c r="S683" s="2" t="str">
        <f>IF(OR(ROUND(raw_order_lines!I683*10,0)&gt;ROUND(raw_order_lines!H683*10,0),ROUND(raw_order_lines!H683*10,0)&gt;ROUND(raw_order_lines!G683*10,0),ROUND(raw_order_lines!G683*10,0)&lt;=0),"数量关系异常","")</f>
        <v/>
      </c>
      <c r="T683" s="2" t="str">
        <f>IF($F683&lt;&gt;INDEX(dim_products!$D$2:$D$21,MATCH($E683,dim_products!$A$2:$A$21,0)),"单位不一致","")</f>
        <v/>
      </c>
      <c r="U683" s="2" t="str">
        <f>IF(OR(ROUND(raw_order_lines!J683*100,0)&lt;ROUND(INDEX(dim_products!$F$2:$F$21,MATCH($E683,dim_products!$A$2:$A$21,0))*100,0),ROUND(raw_order_lines!J683*100,0)&gt;ROUND(INDEX(dim_products!$G$2:$G$21,MATCH($E683,dim_products!$A$2:$A$21,0))*100,0)),"单价越界","")</f>
        <v/>
      </c>
      <c r="V683" s="2" t="str">
        <f t="shared" si="31"/>
        <v/>
      </c>
      <c r="W683" s="2" t="str">
        <f t="shared" si="32"/>
        <v>通过</v>
      </c>
    </row>
    <row r="684" spans="1:23" ht="15">
      <c r="A684" s="2" t="str">
        <f>raw_order_lines!A684</f>
        <v>SIM-20260922-C001</v>
      </c>
      <c r="B684" s="2">
        <f>raw_order_lines!B684</f>
        <v>6</v>
      </c>
      <c r="C684" s="2" t="str">
        <f>raw_order_lines!C684</f>
        <v>C001</v>
      </c>
      <c r="D684" s="3">
        <f>raw_order_lines!D684</f>
        <v>46287</v>
      </c>
      <c r="E684" s="2" t="str">
        <f>raw_order_lines!E684</f>
        <v>P015</v>
      </c>
      <c r="F684" s="2" t="str">
        <f>raw_order_lines!F684</f>
        <v>公斤</v>
      </c>
      <c r="G684" s="4">
        <f>raw_order_lines!G684</f>
        <v>0.5</v>
      </c>
      <c r="H684" s="4">
        <f>raw_order_lines!H684</f>
        <v>0.5</v>
      </c>
      <c r="I684" s="4">
        <f>raw_order_lines!I684</f>
        <v>0</v>
      </c>
      <c r="J684" s="5">
        <f>raw_order_lines!J684</f>
        <v>7.8</v>
      </c>
      <c r="K684" s="2" t="str">
        <f>raw_order_lines!K684</f>
        <v>正常交付</v>
      </c>
      <c r="L684" s="2" t="str">
        <f>raw_order_lines!L684</f>
        <v>true</v>
      </c>
      <c r="M684" s="2" t="str">
        <f>INDEX(dim_products!$B$2:$B$21,MATCH($E684,dim_products!$A$2:$A$21,0))</f>
        <v>小葱</v>
      </c>
      <c r="N684" s="2" t="str">
        <f>INDEX(dim_products!$C$2:$C$21,MATCH($E684,dim_products!$A$2:$A$21,0))</f>
        <v>散装鲜菜</v>
      </c>
      <c r="O684" s="2" t="str">
        <f>INDEX(dim_customers!$B$2:$B$7,MATCH($C684,dim_customers!$A$2:$A$7,0))</f>
        <v>模拟_榕树下粉面店</v>
      </c>
      <c r="P684" s="6">
        <f>INT((ROUND(raw_order_lines!H684*10,0)*ROUND(raw_order_lines!J684*100,0)+5)/10)/100</f>
        <v>3.9</v>
      </c>
      <c r="Q684" s="6">
        <f>INT((ROUND(raw_order_lines!I684*10,0)*ROUND(raw_order_lines!J684*100,0)+5)/10)/100</f>
        <v>0</v>
      </c>
      <c r="R684" s="6">
        <f t="shared" si="30"/>
        <v>3.9</v>
      </c>
      <c r="S684" s="2" t="str">
        <f>IF(OR(ROUND(raw_order_lines!I684*10,0)&gt;ROUND(raw_order_lines!H684*10,0),ROUND(raw_order_lines!H684*10,0)&gt;ROUND(raw_order_lines!G684*10,0),ROUND(raw_order_lines!G684*10,0)&lt;=0),"数量关系异常","")</f>
        <v/>
      </c>
      <c r="T684" s="2" t="str">
        <f>IF($F684&lt;&gt;INDEX(dim_products!$D$2:$D$21,MATCH($E684,dim_products!$A$2:$A$21,0)),"单位不一致","")</f>
        <v/>
      </c>
      <c r="U684" s="2" t="str">
        <f>IF(OR(ROUND(raw_order_lines!J684*100,0)&lt;ROUND(INDEX(dim_products!$F$2:$F$21,MATCH($E684,dim_products!$A$2:$A$21,0))*100,0),ROUND(raw_order_lines!J684*100,0)&gt;ROUND(INDEX(dim_products!$G$2:$G$21,MATCH($E684,dim_products!$A$2:$A$21,0))*100,0)),"单价越界","")</f>
        <v/>
      </c>
      <c r="V684" s="2" t="str">
        <f t="shared" si="31"/>
        <v/>
      </c>
      <c r="W684" s="2" t="str">
        <f t="shared" si="32"/>
        <v>通过</v>
      </c>
    </row>
    <row r="685" spans="1:23" ht="15">
      <c r="A685" s="2" t="str">
        <f>raw_order_lines!A685</f>
        <v>SIM-20260922-C002</v>
      </c>
      <c r="B685" s="2">
        <f>raw_order_lines!B685</f>
        <v>1</v>
      </c>
      <c r="C685" s="2" t="str">
        <f>raw_order_lines!C685</f>
        <v>C002</v>
      </c>
      <c r="D685" s="3">
        <f>raw_order_lines!D685</f>
        <v>46287</v>
      </c>
      <c r="E685" s="2" t="str">
        <f>raw_order_lines!E685</f>
        <v>P011</v>
      </c>
      <c r="F685" s="2" t="str">
        <f>raw_order_lines!F685</f>
        <v>公斤</v>
      </c>
      <c r="G685" s="4">
        <f>raw_order_lines!G685</f>
        <v>4.5999999999999996</v>
      </c>
      <c r="H685" s="4">
        <f>raw_order_lines!H685</f>
        <v>4.5999999999999996</v>
      </c>
      <c r="I685" s="4">
        <f>raw_order_lines!I685</f>
        <v>0.3</v>
      </c>
      <c r="J685" s="5">
        <f>raw_order_lines!J685</f>
        <v>4.8</v>
      </c>
      <c r="K685" s="2" t="str">
        <f>raw_order_lines!K685</f>
        <v>正常交付；签收时挑出黄叶退回</v>
      </c>
      <c r="L685" s="2" t="str">
        <f>raw_order_lines!L685</f>
        <v>true</v>
      </c>
      <c r="M685" s="2" t="str">
        <f>INDEX(dim_products!$B$2:$B$21,MATCH($E685,dim_products!$A$2:$A$21,0))</f>
        <v>红薯叶</v>
      </c>
      <c r="N685" s="2" t="str">
        <f>INDEX(dim_products!$C$2:$C$21,MATCH($E685,dim_products!$A$2:$A$21,0))</f>
        <v>散装鲜菜</v>
      </c>
      <c r="O685" s="2" t="str">
        <f>INDEX(dim_customers!$B$2:$B$7,MATCH($C685,dim_customers!$A$2:$A$7,0))</f>
        <v>模拟_桥头家常菜馆</v>
      </c>
      <c r="P685" s="6">
        <f>INT((ROUND(raw_order_lines!H685*10,0)*ROUND(raw_order_lines!J685*100,0)+5)/10)/100</f>
        <v>22.08</v>
      </c>
      <c r="Q685" s="6">
        <f>INT((ROUND(raw_order_lines!I685*10,0)*ROUND(raw_order_lines!J685*100,0)+5)/10)/100</f>
        <v>1.44</v>
      </c>
      <c r="R685" s="6">
        <f t="shared" si="30"/>
        <v>20.639999999999997</v>
      </c>
      <c r="S685" s="2" t="str">
        <f>IF(OR(ROUND(raw_order_lines!I685*10,0)&gt;ROUND(raw_order_lines!H685*10,0),ROUND(raw_order_lines!H685*10,0)&gt;ROUND(raw_order_lines!G685*10,0),ROUND(raw_order_lines!G685*10,0)&lt;=0),"数量关系异常","")</f>
        <v/>
      </c>
      <c r="T685" s="2" t="str">
        <f>IF($F685&lt;&gt;INDEX(dim_products!$D$2:$D$21,MATCH($E685,dim_products!$A$2:$A$21,0)),"单位不一致","")</f>
        <v/>
      </c>
      <c r="U685" s="2" t="str">
        <f>IF(OR(ROUND(raw_order_lines!J685*100,0)&lt;ROUND(INDEX(dim_products!$F$2:$F$21,MATCH($E685,dim_products!$A$2:$A$21,0))*100,0),ROUND(raw_order_lines!J685*100,0)&gt;ROUND(INDEX(dim_products!$G$2:$G$21,MATCH($E685,dim_products!$A$2:$A$21,0))*100,0)),"单价越界","")</f>
        <v/>
      </c>
      <c r="V685" s="2" t="str">
        <f t="shared" si="31"/>
        <v/>
      </c>
      <c r="W685" s="2" t="str">
        <f t="shared" si="32"/>
        <v>通过</v>
      </c>
    </row>
    <row r="686" spans="1:23" ht="15">
      <c r="A686" s="2" t="str">
        <f>raw_order_lines!A686</f>
        <v>SIM-20260922-C002</v>
      </c>
      <c r="B686" s="2">
        <f>raw_order_lines!B686</f>
        <v>2</v>
      </c>
      <c r="C686" s="2" t="str">
        <f>raw_order_lines!C686</f>
        <v>C002</v>
      </c>
      <c r="D686" s="3">
        <f>raw_order_lines!D686</f>
        <v>46287</v>
      </c>
      <c r="E686" s="2" t="str">
        <f>raw_order_lines!E686</f>
        <v>P008</v>
      </c>
      <c r="F686" s="2" t="str">
        <f>raw_order_lines!F686</f>
        <v>公斤</v>
      </c>
      <c r="G686" s="4">
        <f>raw_order_lines!G686</f>
        <v>7.2</v>
      </c>
      <c r="H686" s="4">
        <f>raw_order_lines!H686</f>
        <v>7.2</v>
      </c>
      <c r="I686" s="4">
        <f>raw_order_lines!I686</f>
        <v>0</v>
      </c>
      <c r="J686" s="5">
        <f>raw_order_lines!J686</f>
        <v>3.9</v>
      </c>
      <c r="K686" s="2" t="str">
        <f>raw_order_lines!K686</f>
        <v>正常交付</v>
      </c>
      <c r="L686" s="2" t="str">
        <f>raw_order_lines!L686</f>
        <v>true</v>
      </c>
      <c r="M686" s="2" t="str">
        <f>INDEX(dim_products!$B$2:$B$21,MATCH($E686,dim_products!$A$2:$A$21,0))</f>
        <v>黄瓜</v>
      </c>
      <c r="N686" s="2" t="str">
        <f>INDEX(dim_products!$C$2:$C$21,MATCH($E686,dim_products!$A$2:$A$21,0))</f>
        <v>散装鲜菜</v>
      </c>
      <c r="O686" s="2" t="str">
        <f>INDEX(dim_customers!$B$2:$B$7,MATCH($C686,dim_customers!$A$2:$A$7,0))</f>
        <v>模拟_桥头家常菜馆</v>
      </c>
      <c r="P686" s="6">
        <f>INT((ROUND(raw_order_lines!H686*10,0)*ROUND(raw_order_lines!J686*100,0)+5)/10)/100</f>
        <v>28.08</v>
      </c>
      <c r="Q686" s="6">
        <f>INT((ROUND(raw_order_lines!I686*10,0)*ROUND(raw_order_lines!J686*100,0)+5)/10)/100</f>
        <v>0</v>
      </c>
      <c r="R686" s="6">
        <f t="shared" si="30"/>
        <v>28.08</v>
      </c>
      <c r="S686" s="2" t="str">
        <f>IF(OR(ROUND(raw_order_lines!I686*10,0)&gt;ROUND(raw_order_lines!H686*10,0),ROUND(raw_order_lines!H686*10,0)&gt;ROUND(raw_order_lines!G686*10,0),ROUND(raw_order_lines!G686*10,0)&lt;=0),"数量关系异常","")</f>
        <v/>
      </c>
      <c r="T686" s="2" t="str">
        <f>IF($F686&lt;&gt;INDEX(dim_products!$D$2:$D$21,MATCH($E686,dim_products!$A$2:$A$21,0)),"单位不一致","")</f>
        <v/>
      </c>
      <c r="U686" s="2" t="str">
        <f>IF(OR(ROUND(raw_order_lines!J686*100,0)&lt;ROUND(INDEX(dim_products!$F$2:$F$21,MATCH($E686,dim_products!$A$2:$A$21,0))*100,0),ROUND(raw_order_lines!J686*100,0)&gt;ROUND(INDEX(dim_products!$G$2:$G$21,MATCH($E686,dim_products!$A$2:$A$21,0))*100,0)),"单价越界","")</f>
        <v/>
      </c>
      <c r="V686" s="2" t="str">
        <f t="shared" si="31"/>
        <v/>
      </c>
      <c r="W686" s="2" t="str">
        <f t="shared" si="32"/>
        <v>通过</v>
      </c>
    </row>
    <row r="687" spans="1:23" ht="15">
      <c r="A687" s="2" t="str">
        <f>raw_order_lines!A687</f>
        <v>SIM-20260922-C002</v>
      </c>
      <c r="B687" s="2">
        <f>raw_order_lines!B687</f>
        <v>3</v>
      </c>
      <c r="C687" s="2" t="str">
        <f>raw_order_lines!C687</f>
        <v>C002</v>
      </c>
      <c r="D687" s="3">
        <f>raw_order_lines!D687</f>
        <v>46287</v>
      </c>
      <c r="E687" s="2" t="str">
        <f>raw_order_lines!E687</f>
        <v>P014</v>
      </c>
      <c r="F687" s="2" t="str">
        <f>raw_order_lines!F687</f>
        <v>公斤</v>
      </c>
      <c r="G687" s="4">
        <f>raw_order_lines!G687</f>
        <v>8.1999999999999993</v>
      </c>
      <c r="H687" s="4">
        <f>raw_order_lines!H687</f>
        <v>8.1999999999999993</v>
      </c>
      <c r="I687" s="4">
        <f>raw_order_lines!I687</f>
        <v>0</v>
      </c>
      <c r="J687" s="5">
        <f>raw_order_lines!J687</f>
        <v>4.9000000000000004</v>
      </c>
      <c r="K687" s="2" t="str">
        <f>raw_order_lines!K687</f>
        <v>正常交付</v>
      </c>
      <c r="L687" s="2" t="str">
        <f>raw_order_lines!L687</f>
        <v>true</v>
      </c>
      <c r="M687" s="2" t="str">
        <f>INDEX(dim_products!$B$2:$B$21,MATCH($E687,dim_products!$A$2:$A$21,0))</f>
        <v>丝瓜</v>
      </c>
      <c r="N687" s="2" t="str">
        <f>INDEX(dim_products!$C$2:$C$21,MATCH($E687,dim_products!$A$2:$A$21,0))</f>
        <v>散装鲜菜</v>
      </c>
      <c r="O687" s="2" t="str">
        <f>INDEX(dim_customers!$B$2:$B$7,MATCH($C687,dim_customers!$A$2:$A$7,0))</f>
        <v>模拟_桥头家常菜馆</v>
      </c>
      <c r="P687" s="6">
        <f>INT((ROUND(raw_order_lines!H687*10,0)*ROUND(raw_order_lines!J687*100,0)+5)/10)/100</f>
        <v>40.18</v>
      </c>
      <c r="Q687" s="6">
        <f>INT((ROUND(raw_order_lines!I687*10,0)*ROUND(raw_order_lines!J687*100,0)+5)/10)/100</f>
        <v>0</v>
      </c>
      <c r="R687" s="6">
        <f t="shared" si="30"/>
        <v>40.18</v>
      </c>
      <c r="S687" s="2" t="str">
        <f>IF(OR(ROUND(raw_order_lines!I687*10,0)&gt;ROUND(raw_order_lines!H687*10,0),ROUND(raw_order_lines!H687*10,0)&gt;ROUND(raw_order_lines!G687*10,0),ROUND(raw_order_lines!G687*10,0)&lt;=0),"数量关系异常","")</f>
        <v/>
      </c>
      <c r="T687" s="2" t="str">
        <f>IF($F687&lt;&gt;INDEX(dim_products!$D$2:$D$21,MATCH($E687,dim_products!$A$2:$A$21,0)),"单位不一致","")</f>
        <v/>
      </c>
      <c r="U687" s="2" t="str">
        <f>IF(OR(ROUND(raw_order_lines!J687*100,0)&lt;ROUND(INDEX(dim_products!$F$2:$F$21,MATCH($E687,dim_products!$A$2:$A$21,0))*100,0),ROUND(raw_order_lines!J687*100,0)&gt;ROUND(INDEX(dim_products!$G$2:$G$21,MATCH($E687,dim_products!$A$2:$A$21,0))*100,0)),"单价越界","")</f>
        <v/>
      </c>
      <c r="V687" s="2" t="str">
        <f t="shared" si="31"/>
        <v/>
      </c>
      <c r="W687" s="2" t="str">
        <f t="shared" si="32"/>
        <v>通过</v>
      </c>
    </row>
    <row r="688" spans="1:23" ht="15">
      <c r="A688" s="2" t="str">
        <f>raw_order_lines!A688</f>
        <v>SIM-20260922-C002</v>
      </c>
      <c r="B688" s="2">
        <f>raw_order_lines!B688</f>
        <v>4</v>
      </c>
      <c r="C688" s="2" t="str">
        <f>raw_order_lines!C688</f>
        <v>C002</v>
      </c>
      <c r="D688" s="3">
        <f>raw_order_lines!D688</f>
        <v>46287</v>
      </c>
      <c r="E688" s="2" t="str">
        <f>raw_order_lines!E688</f>
        <v>P005</v>
      </c>
      <c r="F688" s="2" t="str">
        <f>raw_order_lines!F688</f>
        <v>公斤</v>
      </c>
      <c r="G688" s="4">
        <f>raw_order_lines!G688</f>
        <v>4.0999999999999996</v>
      </c>
      <c r="H688" s="4">
        <f>raw_order_lines!H688</f>
        <v>4.0999999999999996</v>
      </c>
      <c r="I688" s="4">
        <f>raw_order_lines!I688</f>
        <v>0</v>
      </c>
      <c r="J688" s="5">
        <f>raw_order_lines!J688</f>
        <v>2.7</v>
      </c>
      <c r="K688" s="2" t="str">
        <f>raw_order_lines!K688</f>
        <v>正常交付</v>
      </c>
      <c r="L688" s="2" t="str">
        <f>raw_order_lines!L688</f>
        <v>true</v>
      </c>
      <c r="M688" s="2" t="str">
        <f>INDEX(dim_products!$B$2:$B$21,MATCH($E688,dim_products!$A$2:$A$21,0))</f>
        <v>南瓜</v>
      </c>
      <c r="N688" s="2" t="str">
        <f>INDEX(dim_products!$C$2:$C$21,MATCH($E688,dim_products!$A$2:$A$21,0))</f>
        <v>散装鲜菜</v>
      </c>
      <c r="O688" s="2" t="str">
        <f>INDEX(dim_customers!$B$2:$B$7,MATCH($C688,dim_customers!$A$2:$A$7,0))</f>
        <v>模拟_桥头家常菜馆</v>
      </c>
      <c r="P688" s="6">
        <f>INT((ROUND(raw_order_lines!H688*10,0)*ROUND(raw_order_lines!J688*100,0)+5)/10)/100</f>
        <v>11.07</v>
      </c>
      <c r="Q688" s="6">
        <f>INT((ROUND(raw_order_lines!I688*10,0)*ROUND(raw_order_lines!J688*100,0)+5)/10)/100</f>
        <v>0</v>
      </c>
      <c r="R688" s="6">
        <f t="shared" si="30"/>
        <v>11.07</v>
      </c>
      <c r="S688" s="2" t="str">
        <f>IF(OR(ROUND(raw_order_lines!I688*10,0)&gt;ROUND(raw_order_lines!H688*10,0),ROUND(raw_order_lines!H688*10,0)&gt;ROUND(raw_order_lines!G688*10,0),ROUND(raw_order_lines!G688*10,0)&lt;=0),"数量关系异常","")</f>
        <v/>
      </c>
      <c r="T688" s="2" t="str">
        <f>IF($F688&lt;&gt;INDEX(dim_products!$D$2:$D$21,MATCH($E688,dim_products!$A$2:$A$21,0)),"单位不一致","")</f>
        <v/>
      </c>
      <c r="U688" s="2" t="str">
        <f>IF(OR(ROUND(raw_order_lines!J688*100,0)&lt;ROUND(INDEX(dim_products!$F$2:$F$21,MATCH($E688,dim_products!$A$2:$A$21,0))*100,0),ROUND(raw_order_lines!J688*100,0)&gt;ROUND(INDEX(dim_products!$G$2:$G$21,MATCH($E688,dim_products!$A$2:$A$21,0))*100,0)),"单价越界","")</f>
        <v/>
      </c>
      <c r="V688" s="2" t="str">
        <f t="shared" si="31"/>
        <v/>
      </c>
      <c r="W688" s="2" t="str">
        <f t="shared" si="32"/>
        <v>通过</v>
      </c>
    </row>
    <row r="689" spans="1:23" ht="15">
      <c r="A689" s="2" t="str">
        <f>raw_order_lines!A689</f>
        <v>SIM-20260922-C002</v>
      </c>
      <c r="B689" s="2">
        <f>raw_order_lines!B689</f>
        <v>5</v>
      </c>
      <c r="C689" s="2" t="str">
        <f>raw_order_lines!C689</f>
        <v>C002</v>
      </c>
      <c r="D689" s="3">
        <f>raw_order_lines!D689</f>
        <v>46287</v>
      </c>
      <c r="E689" s="2" t="str">
        <f>raw_order_lines!E689</f>
        <v>P001</v>
      </c>
      <c r="F689" s="2" t="str">
        <f>raw_order_lines!F689</f>
        <v>公斤</v>
      </c>
      <c r="G689" s="4">
        <f>raw_order_lines!G689</f>
        <v>3.6</v>
      </c>
      <c r="H689" s="4">
        <f>raw_order_lines!H689</f>
        <v>3.6</v>
      </c>
      <c r="I689" s="4">
        <f>raw_order_lines!I689</f>
        <v>0</v>
      </c>
      <c r="J689" s="5">
        <f>raw_order_lines!J689</f>
        <v>3.5</v>
      </c>
      <c r="K689" s="2" t="str">
        <f>raw_order_lines!K689</f>
        <v>正常交付</v>
      </c>
      <c r="L689" s="2" t="str">
        <f>raw_order_lines!L689</f>
        <v>true</v>
      </c>
      <c r="M689" s="2" t="str">
        <f>INDEX(dim_products!$B$2:$B$21,MATCH($E689,dim_products!$A$2:$A$21,0))</f>
        <v>土豆</v>
      </c>
      <c r="N689" s="2" t="str">
        <f>INDEX(dim_products!$C$2:$C$21,MATCH($E689,dim_products!$A$2:$A$21,0))</f>
        <v>散装鲜菜</v>
      </c>
      <c r="O689" s="2" t="str">
        <f>INDEX(dim_customers!$B$2:$B$7,MATCH($C689,dim_customers!$A$2:$A$7,0))</f>
        <v>模拟_桥头家常菜馆</v>
      </c>
      <c r="P689" s="6">
        <f>INT((ROUND(raw_order_lines!H689*10,0)*ROUND(raw_order_lines!J689*100,0)+5)/10)/100</f>
        <v>12.6</v>
      </c>
      <c r="Q689" s="6">
        <f>INT((ROUND(raw_order_lines!I689*10,0)*ROUND(raw_order_lines!J689*100,0)+5)/10)/100</f>
        <v>0</v>
      </c>
      <c r="R689" s="6">
        <f t="shared" si="30"/>
        <v>12.6</v>
      </c>
      <c r="S689" s="2" t="str">
        <f>IF(OR(ROUND(raw_order_lines!I689*10,0)&gt;ROUND(raw_order_lines!H689*10,0),ROUND(raw_order_lines!H689*10,0)&gt;ROUND(raw_order_lines!G689*10,0),ROUND(raw_order_lines!G689*10,0)&lt;=0),"数量关系异常","")</f>
        <v/>
      </c>
      <c r="T689" s="2" t="str">
        <f>IF($F689&lt;&gt;INDEX(dim_products!$D$2:$D$21,MATCH($E689,dim_products!$A$2:$A$21,0)),"单位不一致","")</f>
        <v/>
      </c>
      <c r="U689" s="2" t="str">
        <f>IF(OR(ROUND(raw_order_lines!J689*100,0)&lt;ROUND(INDEX(dim_products!$F$2:$F$21,MATCH($E689,dim_products!$A$2:$A$21,0))*100,0),ROUND(raw_order_lines!J689*100,0)&gt;ROUND(INDEX(dim_products!$G$2:$G$21,MATCH($E689,dim_products!$A$2:$A$21,0))*100,0)),"单价越界","")</f>
        <v/>
      </c>
      <c r="V689" s="2" t="str">
        <f t="shared" si="31"/>
        <v/>
      </c>
      <c r="W689" s="2" t="str">
        <f t="shared" si="32"/>
        <v>通过</v>
      </c>
    </row>
    <row r="690" spans="1:23" ht="15">
      <c r="A690" s="2" t="str">
        <f>raw_order_lines!A690</f>
        <v>SIM-20260922-C002</v>
      </c>
      <c r="B690" s="2">
        <f>raw_order_lines!B690</f>
        <v>6</v>
      </c>
      <c r="C690" s="2" t="str">
        <f>raw_order_lines!C690</f>
        <v>C002</v>
      </c>
      <c r="D690" s="3">
        <f>raw_order_lines!D690</f>
        <v>46287</v>
      </c>
      <c r="E690" s="2" t="str">
        <f>raw_order_lines!E690</f>
        <v>P016</v>
      </c>
      <c r="F690" s="2" t="str">
        <f>raw_order_lines!F690</f>
        <v>公斤</v>
      </c>
      <c r="G690" s="4">
        <f>raw_order_lines!G690</f>
        <v>4</v>
      </c>
      <c r="H690" s="4">
        <f>raw_order_lines!H690</f>
        <v>4</v>
      </c>
      <c r="I690" s="4">
        <f>raw_order_lines!I690</f>
        <v>0</v>
      </c>
      <c r="J690" s="5">
        <f>raw_order_lines!J690</f>
        <v>10.4</v>
      </c>
      <c r="K690" s="2" t="str">
        <f>raw_order_lines!K690</f>
        <v>正常交付</v>
      </c>
      <c r="L690" s="2" t="str">
        <f>raw_order_lines!L690</f>
        <v>true</v>
      </c>
      <c r="M690" s="2" t="str">
        <f>INDEX(dim_products!$B$2:$B$21,MATCH($E690,dim_products!$A$2:$A$21,0))</f>
        <v>鸡蛋</v>
      </c>
      <c r="N690" s="2" t="str">
        <f>INDEX(dim_products!$C$2:$C$21,MATCH($E690,dim_products!$A$2:$A$21,0))</f>
        <v>普通鲜鸡蛋按净重</v>
      </c>
      <c r="O690" s="2" t="str">
        <f>INDEX(dim_customers!$B$2:$B$7,MATCH($C690,dim_customers!$A$2:$A$7,0))</f>
        <v>模拟_桥头家常菜馆</v>
      </c>
      <c r="P690" s="6">
        <f>INT((ROUND(raw_order_lines!H690*10,0)*ROUND(raw_order_lines!J690*100,0)+5)/10)/100</f>
        <v>41.6</v>
      </c>
      <c r="Q690" s="6">
        <f>INT((ROUND(raw_order_lines!I690*10,0)*ROUND(raw_order_lines!J690*100,0)+5)/10)/100</f>
        <v>0</v>
      </c>
      <c r="R690" s="6">
        <f t="shared" si="30"/>
        <v>41.6</v>
      </c>
      <c r="S690" s="2" t="str">
        <f>IF(OR(ROUND(raw_order_lines!I690*10,0)&gt;ROUND(raw_order_lines!H690*10,0),ROUND(raw_order_lines!H690*10,0)&gt;ROUND(raw_order_lines!G690*10,0),ROUND(raw_order_lines!G690*10,0)&lt;=0),"数量关系异常","")</f>
        <v/>
      </c>
      <c r="T690" s="2" t="str">
        <f>IF($F690&lt;&gt;INDEX(dim_products!$D$2:$D$21,MATCH($E690,dim_products!$A$2:$A$21,0)),"单位不一致","")</f>
        <v/>
      </c>
      <c r="U690" s="2" t="str">
        <f>IF(OR(ROUND(raw_order_lines!J690*100,0)&lt;ROUND(INDEX(dim_products!$F$2:$F$21,MATCH($E690,dim_products!$A$2:$A$21,0))*100,0),ROUND(raw_order_lines!J690*100,0)&gt;ROUND(INDEX(dim_products!$G$2:$G$21,MATCH($E690,dim_products!$A$2:$A$21,0))*100,0)),"单价越界","")</f>
        <v/>
      </c>
      <c r="V690" s="2" t="str">
        <f t="shared" si="31"/>
        <v/>
      </c>
      <c r="W690" s="2" t="str">
        <f t="shared" si="32"/>
        <v>通过</v>
      </c>
    </row>
    <row r="691" spans="1:23" ht="15">
      <c r="A691" s="2" t="str">
        <f>raw_order_lines!A691</f>
        <v>SIM-20260922-C002</v>
      </c>
      <c r="B691" s="2">
        <f>raw_order_lines!B691</f>
        <v>7</v>
      </c>
      <c r="C691" s="2" t="str">
        <f>raw_order_lines!C691</f>
        <v>C002</v>
      </c>
      <c r="D691" s="3">
        <f>raw_order_lines!D691</f>
        <v>46287</v>
      </c>
      <c r="E691" s="2" t="str">
        <f>raw_order_lines!E691</f>
        <v>P015</v>
      </c>
      <c r="F691" s="2" t="str">
        <f>raw_order_lines!F691</f>
        <v>公斤</v>
      </c>
      <c r="G691" s="4">
        <f>raw_order_lines!G691</f>
        <v>1</v>
      </c>
      <c r="H691" s="4">
        <f>raw_order_lines!H691</f>
        <v>1</v>
      </c>
      <c r="I691" s="4">
        <f>raw_order_lines!I691</f>
        <v>0</v>
      </c>
      <c r="J691" s="5">
        <f>raw_order_lines!J691</f>
        <v>7.8</v>
      </c>
      <c r="K691" s="2" t="str">
        <f>raw_order_lines!K691</f>
        <v>正常交付</v>
      </c>
      <c r="L691" s="2" t="str">
        <f>raw_order_lines!L691</f>
        <v>true</v>
      </c>
      <c r="M691" s="2" t="str">
        <f>INDEX(dim_products!$B$2:$B$21,MATCH($E691,dim_products!$A$2:$A$21,0))</f>
        <v>小葱</v>
      </c>
      <c r="N691" s="2" t="str">
        <f>INDEX(dim_products!$C$2:$C$21,MATCH($E691,dim_products!$A$2:$A$21,0))</f>
        <v>散装鲜菜</v>
      </c>
      <c r="O691" s="2" t="str">
        <f>INDEX(dim_customers!$B$2:$B$7,MATCH($C691,dim_customers!$A$2:$A$7,0))</f>
        <v>模拟_桥头家常菜馆</v>
      </c>
      <c r="P691" s="6">
        <f>INT((ROUND(raw_order_lines!H691*10,0)*ROUND(raw_order_lines!J691*100,0)+5)/10)/100</f>
        <v>7.8</v>
      </c>
      <c r="Q691" s="6">
        <f>INT((ROUND(raw_order_lines!I691*10,0)*ROUND(raw_order_lines!J691*100,0)+5)/10)/100</f>
        <v>0</v>
      </c>
      <c r="R691" s="6">
        <f t="shared" si="30"/>
        <v>7.8</v>
      </c>
      <c r="S691" s="2" t="str">
        <f>IF(OR(ROUND(raw_order_lines!I691*10,0)&gt;ROUND(raw_order_lines!H691*10,0),ROUND(raw_order_lines!H691*10,0)&gt;ROUND(raw_order_lines!G691*10,0),ROUND(raw_order_lines!G691*10,0)&lt;=0),"数量关系异常","")</f>
        <v/>
      </c>
      <c r="T691" s="2" t="str">
        <f>IF($F691&lt;&gt;INDEX(dim_products!$D$2:$D$21,MATCH($E691,dim_products!$A$2:$A$21,0)),"单位不一致","")</f>
        <v/>
      </c>
      <c r="U691" s="2" t="str">
        <f>IF(OR(ROUND(raw_order_lines!J691*100,0)&lt;ROUND(INDEX(dim_products!$F$2:$F$21,MATCH($E691,dim_products!$A$2:$A$21,0))*100,0),ROUND(raw_order_lines!J691*100,0)&gt;ROUND(INDEX(dim_products!$G$2:$G$21,MATCH($E691,dim_products!$A$2:$A$21,0))*100,0)),"单价越界","")</f>
        <v/>
      </c>
      <c r="V691" s="2" t="str">
        <f t="shared" si="31"/>
        <v/>
      </c>
      <c r="W691" s="2" t="str">
        <f t="shared" si="32"/>
        <v>通过</v>
      </c>
    </row>
    <row r="692" spans="1:23" ht="15">
      <c r="A692" s="2" t="str">
        <f>raw_order_lines!A692</f>
        <v>SIM-20260922-C003</v>
      </c>
      <c r="B692" s="2">
        <f>raw_order_lines!B692</f>
        <v>1</v>
      </c>
      <c r="C692" s="2" t="str">
        <f>raw_order_lines!C692</f>
        <v>C003</v>
      </c>
      <c r="D692" s="3">
        <f>raw_order_lines!D692</f>
        <v>46287</v>
      </c>
      <c r="E692" s="2" t="str">
        <f>raw_order_lines!E692</f>
        <v>P012</v>
      </c>
      <c r="F692" s="2" t="str">
        <f>raw_order_lines!F692</f>
        <v>公斤</v>
      </c>
      <c r="G692" s="4">
        <f>raw_order_lines!G692</f>
        <v>9.9</v>
      </c>
      <c r="H692" s="4">
        <f>raw_order_lines!H692</f>
        <v>9.9</v>
      </c>
      <c r="I692" s="4">
        <f>raw_order_lines!I692</f>
        <v>0</v>
      </c>
      <c r="J692" s="5">
        <f>raw_order_lines!J692</f>
        <v>5</v>
      </c>
      <c r="K692" s="2" t="str">
        <f>raw_order_lines!K692</f>
        <v>正常交付</v>
      </c>
      <c r="L692" s="2" t="str">
        <f>raw_order_lines!L692</f>
        <v>true</v>
      </c>
      <c r="M692" s="2" t="str">
        <f>INDEX(dim_products!$B$2:$B$21,MATCH($E692,dim_products!$A$2:$A$21,0))</f>
        <v>小白菜</v>
      </c>
      <c r="N692" s="2" t="str">
        <f>INDEX(dim_products!$C$2:$C$21,MATCH($E692,dim_products!$A$2:$A$21,0))</f>
        <v>散装鲜菜</v>
      </c>
      <c r="O692" s="2" t="str">
        <f>INDEX(dim_customers!$B$2:$B$7,MATCH($C692,dim_customers!$A$2:$A$7,0))</f>
        <v>模拟_兴街快餐店</v>
      </c>
      <c r="P692" s="6">
        <f>INT((ROUND(raw_order_lines!H692*10,0)*ROUND(raw_order_lines!J692*100,0)+5)/10)/100</f>
        <v>49.5</v>
      </c>
      <c r="Q692" s="6">
        <f>INT((ROUND(raw_order_lines!I692*10,0)*ROUND(raw_order_lines!J692*100,0)+5)/10)/100</f>
        <v>0</v>
      </c>
      <c r="R692" s="6">
        <f t="shared" si="30"/>
        <v>49.5</v>
      </c>
      <c r="S692" s="2" t="str">
        <f>IF(OR(ROUND(raw_order_lines!I692*10,0)&gt;ROUND(raw_order_lines!H692*10,0),ROUND(raw_order_lines!H692*10,0)&gt;ROUND(raw_order_lines!G692*10,0),ROUND(raw_order_lines!G692*10,0)&lt;=0),"数量关系异常","")</f>
        <v/>
      </c>
      <c r="T692" s="2" t="str">
        <f>IF($F692&lt;&gt;INDEX(dim_products!$D$2:$D$21,MATCH($E692,dim_products!$A$2:$A$21,0)),"单位不一致","")</f>
        <v/>
      </c>
      <c r="U692" s="2" t="str">
        <f>IF(OR(ROUND(raw_order_lines!J692*100,0)&lt;ROUND(INDEX(dim_products!$F$2:$F$21,MATCH($E692,dim_products!$A$2:$A$21,0))*100,0),ROUND(raw_order_lines!J692*100,0)&gt;ROUND(INDEX(dim_products!$G$2:$G$21,MATCH($E692,dim_products!$A$2:$A$21,0))*100,0)),"单价越界","")</f>
        <v/>
      </c>
      <c r="V692" s="2" t="str">
        <f t="shared" si="31"/>
        <v/>
      </c>
      <c r="W692" s="2" t="str">
        <f t="shared" si="32"/>
        <v>通过</v>
      </c>
    </row>
    <row r="693" spans="1:23" ht="15">
      <c r="A693" s="2" t="str">
        <f>raw_order_lines!A693</f>
        <v>SIM-20260922-C003</v>
      </c>
      <c r="B693" s="2">
        <f>raw_order_lines!B693</f>
        <v>2</v>
      </c>
      <c r="C693" s="2" t="str">
        <f>raw_order_lines!C693</f>
        <v>C003</v>
      </c>
      <c r="D693" s="3">
        <f>raw_order_lines!D693</f>
        <v>46287</v>
      </c>
      <c r="E693" s="2" t="str">
        <f>raw_order_lines!E693</f>
        <v>P014</v>
      </c>
      <c r="F693" s="2" t="str">
        <f>raw_order_lines!F693</f>
        <v>公斤</v>
      </c>
      <c r="G693" s="4">
        <f>raw_order_lines!G693</f>
        <v>6</v>
      </c>
      <c r="H693" s="4">
        <f>raw_order_lines!H693</f>
        <v>6</v>
      </c>
      <c r="I693" s="4">
        <f>raw_order_lines!I693</f>
        <v>0</v>
      </c>
      <c r="J693" s="5">
        <f>raw_order_lines!J693</f>
        <v>4.9000000000000004</v>
      </c>
      <c r="K693" s="2" t="str">
        <f>raw_order_lines!K693</f>
        <v>正常交付</v>
      </c>
      <c r="L693" s="2" t="str">
        <f>raw_order_lines!L693</f>
        <v>true</v>
      </c>
      <c r="M693" s="2" t="str">
        <f>INDEX(dim_products!$B$2:$B$21,MATCH($E693,dim_products!$A$2:$A$21,0))</f>
        <v>丝瓜</v>
      </c>
      <c r="N693" s="2" t="str">
        <f>INDEX(dim_products!$C$2:$C$21,MATCH($E693,dim_products!$A$2:$A$21,0))</f>
        <v>散装鲜菜</v>
      </c>
      <c r="O693" s="2" t="str">
        <f>INDEX(dim_customers!$B$2:$B$7,MATCH($C693,dim_customers!$A$2:$A$7,0))</f>
        <v>模拟_兴街快餐店</v>
      </c>
      <c r="P693" s="6">
        <f>INT((ROUND(raw_order_lines!H693*10,0)*ROUND(raw_order_lines!J693*100,0)+5)/10)/100</f>
        <v>29.4</v>
      </c>
      <c r="Q693" s="6">
        <f>INT((ROUND(raw_order_lines!I693*10,0)*ROUND(raw_order_lines!J693*100,0)+5)/10)/100</f>
        <v>0</v>
      </c>
      <c r="R693" s="6">
        <f t="shared" si="30"/>
        <v>29.4</v>
      </c>
      <c r="S693" s="2" t="str">
        <f>IF(OR(ROUND(raw_order_lines!I693*10,0)&gt;ROUND(raw_order_lines!H693*10,0),ROUND(raw_order_lines!H693*10,0)&gt;ROUND(raw_order_lines!G693*10,0),ROUND(raw_order_lines!G693*10,0)&lt;=0),"数量关系异常","")</f>
        <v/>
      </c>
      <c r="T693" s="2" t="str">
        <f>IF($F693&lt;&gt;INDEX(dim_products!$D$2:$D$21,MATCH($E693,dim_products!$A$2:$A$21,0)),"单位不一致","")</f>
        <v/>
      </c>
      <c r="U693" s="2" t="str">
        <f>IF(OR(ROUND(raw_order_lines!J693*100,0)&lt;ROUND(INDEX(dim_products!$F$2:$F$21,MATCH($E693,dim_products!$A$2:$A$21,0))*100,0),ROUND(raw_order_lines!J693*100,0)&gt;ROUND(INDEX(dim_products!$G$2:$G$21,MATCH($E693,dim_products!$A$2:$A$21,0))*100,0)),"单价越界","")</f>
        <v/>
      </c>
      <c r="V693" s="2" t="str">
        <f t="shared" si="31"/>
        <v/>
      </c>
      <c r="W693" s="2" t="str">
        <f t="shared" si="32"/>
        <v>通过</v>
      </c>
    </row>
    <row r="694" spans="1:23" ht="15">
      <c r="A694" s="2" t="str">
        <f>raw_order_lines!A694</f>
        <v>SIM-20260922-C003</v>
      </c>
      <c r="B694" s="2">
        <f>raw_order_lines!B694</f>
        <v>3</v>
      </c>
      <c r="C694" s="2" t="str">
        <f>raw_order_lines!C694</f>
        <v>C003</v>
      </c>
      <c r="D694" s="3">
        <f>raw_order_lines!D694</f>
        <v>46287</v>
      </c>
      <c r="E694" s="2" t="str">
        <f>raw_order_lines!E694</f>
        <v>P009</v>
      </c>
      <c r="F694" s="2" t="str">
        <f>raw_order_lines!F694</f>
        <v>公斤</v>
      </c>
      <c r="G694" s="4">
        <f>raw_order_lines!G694</f>
        <v>8.6</v>
      </c>
      <c r="H694" s="4">
        <f>raw_order_lines!H694</f>
        <v>8.6</v>
      </c>
      <c r="I694" s="4">
        <f>raw_order_lines!I694</f>
        <v>0</v>
      </c>
      <c r="J694" s="5">
        <f>raw_order_lines!J694</f>
        <v>4.9000000000000004</v>
      </c>
      <c r="K694" s="2" t="str">
        <f>raw_order_lines!K694</f>
        <v>正常交付</v>
      </c>
      <c r="L694" s="2" t="str">
        <f>raw_order_lines!L694</f>
        <v>true</v>
      </c>
      <c r="M694" s="2" t="str">
        <f>INDEX(dim_products!$B$2:$B$21,MATCH($E694,dim_products!$A$2:$A$21,0))</f>
        <v>西红柿</v>
      </c>
      <c r="N694" s="2" t="str">
        <f>INDEX(dim_products!$C$2:$C$21,MATCH($E694,dim_products!$A$2:$A$21,0))</f>
        <v>散装鲜菜</v>
      </c>
      <c r="O694" s="2" t="str">
        <f>INDEX(dim_customers!$B$2:$B$7,MATCH($C694,dim_customers!$A$2:$A$7,0))</f>
        <v>模拟_兴街快餐店</v>
      </c>
      <c r="P694" s="6">
        <f>INT((ROUND(raw_order_lines!H694*10,0)*ROUND(raw_order_lines!J694*100,0)+5)/10)/100</f>
        <v>42.14</v>
      </c>
      <c r="Q694" s="6">
        <f>INT((ROUND(raw_order_lines!I694*10,0)*ROUND(raw_order_lines!J694*100,0)+5)/10)/100</f>
        <v>0</v>
      </c>
      <c r="R694" s="6">
        <f t="shared" si="30"/>
        <v>42.14</v>
      </c>
      <c r="S694" s="2" t="str">
        <f>IF(OR(ROUND(raw_order_lines!I694*10,0)&gt;ROUND(raw_order_lines!H694*10,0),ROUND(raw_order_lines!H694*10,0)&gt;ROUND(raw_order_lines!G694*10,0),ROUND(raw_order_lines!G694*10,0)&lt;=0),"数量关系异常","")</f>
        <v/>
      </c>
      <c r="T694" s="2" t="str">
        <f>IF($F694&lt;&gt;INDEX(dim_products!$D$2:$D$21,MATCH($E694,dim_products!$A$2:$A$21,0)),"单位不一致","")</f>
        <v/>
      </c>
      <c r="U694" s="2" t="str">
        <f>IF(OR(ROUND(raw_order_lines!J694*100,0)&lt;ROUND(INDEX(dim_products!$F$2:$F$21,MATCH($E694,dim_products!$A$2:$A$21,0))*100,0),ROUND(raw_order_lines!J694*100,0)&gt;ROUND(INDEX(dim_products!$G$2:$G$21,MATCH($E694,dim_products!$A$2:$A$21,0))*100,0)),"单价越界","")</f>
        <v/>
      </c>
      <c r="V694" s="2" t="str">
        <f t="shared" si="31"/>
        <v/>
      </c>
      <c r="W694" s="2" t="str">
        <f t="shared" si="32"/>
        <v>通过</v>
      </c>
    </row>
    <row r="695" spans="1:23" ht="15">
      <c r="A695" s="2" t="str">
        <f>raw_order_lines!A695</f>
        <v>SIM-20260922-C003</v>
      </c>
      <c r="B695" s="2">
        <f>raw_order_lines!B695</f>
        <v>4</v>
      </c>
      <c r="C695" s="2" t="str">
        <f>raw_order_lines!C695</f>
        <v>C003</v>
      </c>
      <c r="D695" s="3">
        <f>raw_order_lines!D695</f>
        <v>46287</v>
      </c>
      <c r="E695" s="2" t="str">
        <f>raw_order_lines!E695</f>
        <v>P005</v>
      </c>
      <c r="F695" s="2" t="str">
        <f>raw_order_lines!F695</f>
        <v>公斤</v>
      </c>
      <c r="G695" s="4">
        <f>raw_order_lines!G695</f>
        <v>8.6</v>
      </c>
      <c r="H695" s="4">
        <f>raw_order_lines!H695</f>
        <v>8.6</v>
      </c>
      <c r="I695" s="4">
        <f>raw_order_lines!I695</f>
        <v>0</v>
      </c>
      <c r="J695" s="5">
        <f>raw_order_lines!J695</f>
        <v>2.7</v>
      </c>
      <c r="K695" s="2" t="str">
        <f>raw_order_lines!K695</f>
        <v>正常交付</v>
      </c>
      <c r="L695" s="2" t="str">
        <f>raw_order_lines!L695</f>
        <v>true</v>
      </c>
      <c r="M695" s="2" t="str">
        <f>INDEX(dim_products!$B$2:$B$21,MATCH($E695,dim_products!$A$2:$A$21,0))</f>
        <v>南瓜</v>
      </c>
      <c r="N695" s="2" t="str">
        <f>INDEX(dim_products!$C$2:$C$21,MATCH($E695,dim_products!$A$2:$A$21,0))</f>
        <v>散装鲜菜</v>
      </c>
      <c r="O695" s="2" t="str">
        <f>INDEX(dim_customers!$B$2:$B$7,MATCH($C695,dim_customers!$A$2:$A$7,0))</f>
        <v>模拟_兴街快餐店</v>
      </c>
      <c r="P695" s="6">
        <f>INT((ROUND(raw_order_lines!H695*10,0)*ROUND(raw_order_lines!J695*100,0)+5)/10)/100</f>
        <v>23.22</v>
      </c>
      <c r="Q695" s="6">
        <f>INT((ROUND(raw_order_lines!I695*10,0)*ROUND(raw_order_lines!J695*100,0)+5)/10)/100</f>
        <v>0</v>
      </c>
      <c r="R695" s="6">
        <f t="shared" si="30"/>
        <v>23.22</v>
      </c>
      <c r="S695" s="2" t="str">
        <f>IF(OR(ROUND(raw_order_lines!I695*10,0)&gt;ROUND(raw_order_lines!H695*10,0),ROUND(raw_order_lines!H695*10,0)&gt;ROUND(raw_order_lines!G695*10,0),ROUND(raw_order_lines!G695*10,0)&lt;=0),"数量关系异常","")</f>
        <v/>
      </c>
      <c r="T695" s="2" t="str">
        <f>IF($F695&lt;&gt;INDEX(dim_products!$D$2:$D$21,MATCH($E695,dim_products!$A$2:$A$21,0)),"单位不一致","")</f>
        <v/>
      </c>
      <c r="U695" s="2" t="str">
        <f>IF(OR(ROUND(raw_order_lines!J695*100,0)&lt;ROUND(INDEX(dim_products!$F$2:$F$21,MATCH($E695,dim_products!$A$2:$A$21,0))*100,0),ROUND(raw_order_lines!J695*100,0)&gt;ROUND(INDEX(dim_products!$G$2:$G$21,MATCH($E695,dim_products!$A$2:$A$21,0))*100,0)),"单价越界","")</f>
        <v/>
      </c>
      <c r="V695" s="2" t="str">
        <f t="shared" si="31"/>
        <v/>
      </c>
      <c r="W695" s="2" t="str">
        <f t="shared" si="32"/>
        <v>通过</v>
      </c>
    </row>
    <row r="696" spans="1:23" ht="15">
      <c r="A696" s="2" t="str">
        <f>raw_order_lines!A696</f>
        <v>SIM-20260922-C003</v>
      </c>
      <c r="B696" s="2">
        <f>raw_order_lines!B696</f>
        <v>5</v>
      </c>
      <c r="C696" s="2" t="str">
        <f>raw_order_lines!C696</f>
        <v>C003</v>
      </c>
      <c r="D696" s="3">
        <f>raw_order_lines!D696</f>
        <v>46287</v>
      </c>
      <c r="E696" s="2" t="str">
        <f>raw_order_lines!E696</f>
        <v>P002</v>
      </c>
      <c r="F696" s="2" t="str">
        <f>raw_order_lines!F696</f>
        <v>公斤</v>
      </c>
      <c r="G696" s="4">
        <f>raw_order_lines!G696</f>
        <v>6.6</v>
      </c>
      <c r="H696" s="4">
        <f>raw_order_lines!H696</f>
        <v>6.3</v>
      </c>
      <c r="I696" s="4">
        <f>raw_order_lines!I696</f>
        <v>0</v>
      </c>
      <c r="J696" s="5">
        <f>raw_order_lines!J696</f>
        <v>2.5</v>
      </c>
      <c r="K696" s="2" t="str">
        <f>raw_order_lines!K696</f>
        <v>到货不足；按实际交付计费</v>
      </c>
      <c r="L696" s="2" t="str">
        <f>raw_order_lines!L696</f>
        <v>true</v>
      </c>
      <c r="M696" s="2" t="str">
        <f>INDEX(dim_products!$B$2:$B$21,MATCH($E696,dim_products!$A$2:$A$21,0))</f>
        <v>白萝卜</v>
      </c>
      <c r="N696" s="2" t="str">
        <f>INDEX(dim_products!$C$2:$C$21,MATCH($E696,dim_products!$A$2:$A$21,0))</f>
        <v>散装鲜菜</v>
      </c>
      <c r="O696" s="2" t="str">
        <f>INDEX(dim_customers!$B$2:$B$7,MATCH($C696,dim_customers!$A$2:$A$7,0))</f>
        <v>模拟_兴街快餐店</v>
      </c>
      <c r="P696" s="6">
        <f>INT((ROUND(raw_order_lines!H696*10,0)*ROUND(raw_order_lines!J696*100,0)+5)/10)/100</f>
        <v>15.75</v>
      </c>
      <c r="Q696" s="6">
        <f>INT((ROUND(raw_order_lines!I696*10,0)*ROUND(raw_order_lines!J696*100,0)+5)/10)/100</f>
        <v>0</v>
      </c>
      <c r="R696" s="6">
        <f t="shared" si="30"/>
        <v>15.75</v>
      </c>
      <c r="S696" s="2" t="str">
        <f>IF(OR(ROUND(raw_order_lines!I696*10,0)&gt;ROUND(raw_order_lines!H696*10,0),ROUND(raw_order_lines!H696*10,0)&gt;ROUND(raw_order_lines!G696*10,0),ROUND(raw_order_lines!G696*10,0)&lt;=0),"数量关系异常","")</f>
        <v/>
      </c>
      <c r="T696" s="2" t="str">
        <f>IF($F696&lt;&gt;INDEX(dim_products!$D$2:$D$21,MATCH($E696,dim_products!$A$2:$A$21,0)),"单位不一致","")</f>
        <v/>
      </c>
      <c r="U696" s="2" t="str">
        <f>IF(OR(ROUND(raw_order_lines!J696*100,0)&lt;ROUND(INDEX(dim_products!$F$2:$F$21,MATCH($E696,dim_products!$A$2:$A$21,0))*100,0),ROUND(raw_order_lines!J696*100,0)&gt;ROUND(INDEX(dim_products!$G$2:$G$21,MATCH($E696,dim_products!$A$2:$A$21,0))*100,0)),"单价越界","")</f>
        <v/>
      </c>
      <c r="V696" s="2" t="str">
        <f t="shared" si="31"/>
        <v/>
      </c>
      <c r="W696" s="2" t="str">
        <f t="shared" si="32"/>
        <v>通过</v>
      </c>
    </row>
    <row r="697" spans="1:23" ht="15">
      <c r="A697" s="2" t="str">
        <f>raw_order_lines!A697</f>
        <v>SIM-20260922-C003</v>
      </c>
      <c r="B697" s="2">
        <f>raw_order_lines!B697</f>
        <v>6</v>
      </c>
      <c r="C697" s="2" t="str">
        <f>raw_order_lines!C697</f>
        <v>C003</v>
      </c>
      <c r="D697" s="3">
        <f>raw_order_lines!D697</f>
        <v>46287</v>
      </c>
      <c r="E697" s="2" t="str">
        <f>raw_order_lines!E697</f>
        <v>P006</v>
      </c>
      <c r="F697" s="2" t="str">
        <f>raw_order_lines!F697</f>
        <v>公斤</v>
      </c>
      <c r="G697" s="4">
        <f>raw_order_lines!G697</f>
        <v>7.3</v>
      </c>
      <c r="H697" s="4">
        <f>raw_order_lines!H697</f>
        <v>7.3</v>
      </c>
      <c r="I697" s="4">
        <f>raw_order_lines!I697</f>
        <v>0</v>
      </c>
      <c r="J697" s="5">
        <f>raw_order_lines!J697</f>
        <v>4.5999999999999996</v>
      </c>
      <c r="K697" s="2" t="str">
        <f>raw_order_lines!K697</f>
        <v>正常交付</v>
      </c>
      <c r="L697" s="2" t="str">
        <f>raw_order_lines!L697</f>
        <v>true</v>
      </c>
      <c r="M697" s="2" t="str">
        <f>INDEX(dim_products!$B$2:$B$21,MATCH($E697,dim_products!$A$2:$A$21,0))</f>
        <v>茄子</v>
      </c>
      <c r="N697" s="2" t="str">
        <f>INDEX(dim_products!$C$2:$C$21,MATCH($E697,dim_products!$A$2:$A$21,0))</f>
        <v>散装鲜菜</v>
      </c>
      <c r="O697" s="2" t="str">
        <f>INDEX(dim_customers!$B$2:$B$7,MATCH($C697,dim_customers!$A$2:$A$7,0))</f>
        <v>模拟_兴街快餐店</v>
      </c>
      <c r="P697" s="6">
        <f>INT((ROUND(raw_order_lines!H697*10,0)*ROUND(raw_order_lines!J697*100,0)+5)/10)/100</f>
        <v>33.58</v>
      </c>
      <c r="Q697" s="6">
        <f>INT((ROUND(raw_order_lines!I697*10,0)*ROUND(raw_order_lines!J697*100,0)+5)/10)/100</f>
        <v>0</v>
      </c>
      <c r="R697" s="6">
        <f t="shared" si="30"/>
        <v>33.58</v>
      </c>
      <c r="S697" s="2" t="str">
        <f>IF(OR(ROUND(raw_order_lines!I697*10,0)&gt;ROUND(raw_order_lines!H697*10,0),ROUND(raw_order_lines!H697*10,0)&gt;ROUND(raw_order_lines!G697*10,0),ROUND(raw_order_lines!G697*10,0)&lt;=0),"数量关系异常","")</f>
        <v/>
      </c>
      <c r="T697" s="2" t="str">
        <f>IF($F697&lt;&gt;INDEX(dim_products!$D$2:$D$21,MATCH($E697,dim_products!$A$2:$A$21,0)),"单位不一致","")</f>
        <v/>
      </c>
      <c r="U697" s="2" t="str">
        <f>IF(OR(ROUND(raw_order_lines!J697*100,0)&lt;ROUND(INDEX(dim_products!$F$2:$F$21,MATCH($E697,dim_products!$A$2:$A$21,0))*100,0),ROUND(raw_order_lines!J697*100,0)&gt;ROUND(INDEX(dim_products!$G$2:$G$21,MATCH($E697,dim_products!$A$2:$A$21,0))*100,0)),"单价越界","")</f>
        <v/>
      </c>
      <c r="V697" s="2" t="str">
        <f t="shared" si="31"/>
        <v/>
      </c>
      <c r="W697" s="2" t="str">
        <f t="shared" si="32"/>
        <v>通过</v>
      </c>
    </row>
    <row r="698" spans="1:23" ht="15">
      <c r="A698" s="2" t="str">
        <f>raw_order_lines!A698</f>
        <v>SIM-20260922-C003</v>
      </c>
      <c r="B698" s="2">
        <f>raw_order_lines!B698</f>
        <v>7</v>
      </c>
      <c r="C698" s="2" t="str">
        <f>raw_order_lines!C698</f>
        <v>C003</v>
      </c>
      <c r="D698" s="3">
        <f>raw_order_lines!D698</f>
        <v>46287</v>
      </c>
      <c r="E698" s="2" t="str">
        <f>raw_order_lines!E698</f>
        <v>P016</v>
      </c>
      <c r="F698" s="2" t="str">
        <f>raw_order_lines!F698</f>
        <v>公斤</v>
      </c>
      <c r="G698" s="4">
        <f>raw_order_lines!G698</f>
        <v>6</v>
      </c>
      <c r="H698" s="4">
        <f>raw_order_lines!H698</f>
        <v>6</v>
      </c>
      <c r="I698" s="4">
        <f>raw_order_lines!I698</f>
        <v>0</v>
      </c>
      <c r="J698" s="5">
        <f>raw_order_lines!J698</f>
        <v>10.4</v>
      </c>
      <c r="K698" s="2" t="str">
        <f>raw_order_lines!K698</f>
        <v>正常交付</v>
      </c>
      <c r="L698" s="2" t="str">
        <f>raw_order_lines!L698</f>
        <v>true</v>
      </c>
      <c r="M698" s="2" t="str">
        <f>INDEX(dim_products!$B$2:$B$21,MATCH($E698,dim_products!$A$2:$A$21,0))</f>
        <v>鸡蛋</v>
      </c>
      <c r="N698" s="2" t="str">
        <f>INDEX(dim_products!$C$2:$C$21,MATCH($E698,dim_products!$A$2:$A$21,0))</f>
        <v>普通鲜鸡蛋按净重</v>
      </c>
      <c r="O698" s="2" t="str">
        <f>INDEX(dim_customers!$B$2:$B$7,MATCH($C698,dim_customers!$A$2:$A$7,0))</f>
        <v>模拟_兴街快餐店</v>
      </c>
      <c r="P698" s="6">
        <f>INT((ROUND(raw_order_lines!H698*10,0)*ROUND(raw_order_lines!J698*100,0)+5)/10)/100</f>
        <v>62.4</v>
      </c>
      <c r="Q698" s="6">
        <f>INT((ROUND(raw_order_lines!I698*10,0)*ROUND(raw_order_lines!J698*100,0)+5)/10)/100</f>
        <v>0</v>
      </c>
      <c r="R698" s="6">
        <f t="shared" si="30"/>
        <v>62.4</v>
      </c>
      <c r="S698" s="2" t="str">
        <f>IF(OR(ROUND(raw_order_lines!I698*10,0)&gt;ROUND(raw_order_lines!H698*10,0),ROUND(raw_order_lines!H698*10,0)&gt;ROUND(raw_order_lines!G698*10,0),ROUND(raw_order_lines!G698*10,0)&lt;=0),"数量关系异常","")</f>
        <v/>
      </c>
      <c r="T698" s="2" t="str">
        <f>IF($F698&lt;&gt;INDEX(dim_products!$D$2:$D$21,MATCH($E698,dim_products!$A$2:$A$21,0)),"单位不一致","")</f>
        <v/>
      </c>
      <c r="U698" s="2" t="str">
        <f>IF(OR(ROUND(raw_order_lines!J698*100,0)&lt;ROUND(INDEX(dim_products!$F$2:$F$21,MATCH($E698,dim_products!$A$2:$A$21,0))*100,0),ROUND(raw_order_lines!J698*100,0)&gt;ROUND(INDEX(dim_products!$G$2:$G$21,MATCH($E698,dim_products!$A$2:$A$21,0))*100,0)),"单价越界","")</f>
        <v/>
      </c>
      <c r="V698" s="2" t="str">
        <f t="shared" si="31"/>
        <v/>
      </c>
      <c r="W698" s="2" t="str">
        <f t="shared" si="32"/>
        <v>通过</v>
      </c>
    </row>
    <row r="699" spans="1:23" ht="15">
      <c r="A699" s="2" t="str">
        <f>raw_order_lines!A699</f>
        <v>SIM-20260922-C003</v>
      </c>
      <c r="B699" s="2">
        <f>raw_order_lines!B699</f>
        <v>8</v>
      </c>
      <c r="C699" s="2" t="str">
        <f>raw_order_lines!C699</f>
        <v>C003</v>
      </c>
      <c r="D699" s="3">
        <f>raw_order_lines!D699</f>
        <v>46287</v>
      </c>
      <c r="E699" s="2" t="str">
        <f>raw_order_lines!E699</f>
        <v>P015</v>
      </c>
      <c r="F699" s="2" t="str">
        <f>raw_order_lines!F699</f>
        <v>公斤</v>
      </c>
      <c r="G699" s="4">
        <f>raw_order_lines!G699</f>
        <v>1</v>
      </c>
      <c r="H699" s="4">
        <f>raw_order_lines!H699</f>
        <v>1</v>
      </c>
      <c r="I699" s="4">
        <f>raw_order_lines!I699</f>
        <v>0</v>
      </c>
      <c r="J699" s="5">
        <f>raw_order_lines!J699</f>
        <v>7.8</v>
      </c>
      <c r="K699" s="2" t="str">
        <f>raw_order_lines!K699</f>
        <v>正常交付</v>
      </c>
      <c r="L699" s="2" t="str">
        <f>raw_order_lines!L699</f>
        <v>true</v>
      </c>
      <c r="M699" s="2" t="str">
        <f>INDEX(dim_products!$B$2:$B$21,MATCH($E699,dim_products!$A$2:$A$21,0))</f>
        <v>小葱</v>
      </c>
      <c r="N699" s="2" t="str">
        <f>INDEX(dim_products!$C$2:$C$21,MATCH($E699,dim_products!$A$2:$A$21,0))</f>
        <v>散装鲜菜</v>
      </c>
      <c r="O699" s="2" t="str">
        <f>INDEX(dim_customers!$B$2:$B$7,MATCH($C699,dim_customers!$A$2:$A$7,0))</f>
        <v>模拟_兴街快餐店</v>
      </c>
      <c r="P699" s="6">
        <f>INT((ROUND(raw_order_lines!H699*10,0)*ROUND(raw_order_lines!J699*100,0)+5)/10)/100</f>
        <v>7.8</v>
      </c>
      <c r="Q699" s="6">
        <f>INT((ROUND(raw_order_lines!I699*10,0)*ROUND(raw_order_lines!J699*100,0)+5)/10)/100</f>
        <v>0</v>
      </c>
      <c r="R699" s="6">
        <f t="shared" si="30"/>
        <v>7.8</v>
      </c>
      <c r="S699" s="2" t="str">
        <f>IF(OR(ROUND(raw_order_lines!I699*10,0)&gt;ROUND(raw_order_lines!H699*10,0),ROUND(raw_order_lines!H699*10,0)&gt;ROUND(raw_order_lines!G699*10,0),ROUND(raw_order_lines!G699*10,0)&lt;=0),"数量关系异常","")</f>
        <v/>
      </c>
      <c r="T699" s="2" t="str">
        <f>IF($F699&lt;&gt;INDEX(dim_products!$D$2:$D$21,MATCH($E699,dim_products!$A$2:$A$21,0)),"单位不一致","")</f>
        <v/>
      </c>
      <c r="U699" s="2" t="str">
        <f>IF(OR(ROUND(raw_order_lines!J699*100,0)&lt;ROUND(INDEX(dim_products!$F$2:$F$21,MATCH($E699,dim_products!$A$2:$A$21,0))*100,0),ROUND(raw_order_lines!J699*100,0)&gt;ROUND(INDEX(dim_products!$G$2:$G$21,MATCH($E699,dim_products!$A$2:$A$21,0))*100,0)),"单价越界","")</f>
        <v/>
      </c>
      <c r="V699" s="2" t="str">
        <f t="shared" si="31"/>
        <v/>
      </c>
      <c r="W699" s="2" t="str">
        <f t="shared" si="32"/>
        <v>通过</v>
      </c>
    </row>
    <row r="700" spans="1:23" ht="15">
      <c r="A700" s="2" t="str">
        <f>raw_order_lines!A700</f>
        <v>SIM-20260922-C004</v>
      </c>
      <c r="B700" s="2">
        <f>raw_order_lines!B700</f>
        <v>1</v>
      </c>
      <c r="C700" s="2" t="str">
        <f>raw_order_lines!C700</f>
        <v>C004</v>
      </c>
      <c r="D700" s="3">
        <f>raw_order_lines!D700</f>
        <v>46287</v>
      </c>
      <c r="E700" s="2" t="str">
        <f>raw_order_lines!E700</f>
        <v>P012</v>
      </c>
      <c r="F700" s="2" t="str">
        <f>raw_order_lines!F700</f>
        <v>公斤</v>
      </c>
      <c r="G700" s="4">
        <f>raw_order_lines!G700</f>
        <v>9</v>
      </c>
      <c r="H700" s="4">
        <f>raw_order_lines!H700</f>
        <v>9</v>
      </c>
      <c r="I700" s="4">
        <f>raw_order_lines!I700</f>
        <v>0</v>
      </c>
      <c r="J700" s="5">
        <f>raw_order_lines!J700</f>
        <v>5</v>
      </c>
      <c r="K700" s="2" t="str">
        <f>raw_order_lines!K700</f>
        <v>正常交付</v>
      </c>
      <c r="L700" s="2" t="str">
        <f>raw_order_lines!L700</f>
        <v>true</v>
      </c>
      <c r="M700" s="2" t="str">
        <f>INDEX(dim_products!$B$2:$B$21,MATCH($E700,dim_products!$A$2:$A$21,0))</f>
        <v>小白菜</v>
      </c>
      <c r="N700" s="2" t="str">
        <f>INDEX(dim_products!$C$2:$C$21,MATCH($E700,dim_products!$A$2:$A$21,0))</f>
        <v>散装鲜菜</v>
      </c>
      <c r="O700" s="2" t="str">
        <f>INDEX(dim_customers!$B$2:$B$7,MATCH($C700,dim_customers!$A$2:$A$7,0))</f>
        <v>模拟_田畔饭店</v>
      </c>
      <c r="P700" s="6">
        <f>INT((ROUND(raw_order_lines!H700*10,0)*ROUND(raw_order_lines!J700*100,0)+5)/10)/100</f>
        <v>45</v>
      </c>
      <c r="Q700" s="6">
        <f>INT((ROUND(raw_order_lines!I700*10,0)*ROUND(raw_order_lines!J700*100,0)+5)/10)/100</f>
        <v>0</v>
      </c>
      <c r="R700" s="6">
        <f t="shared" si="30"/>
        <v>45</v>
      </c>
      <c r="S700" s="2" t="str">
        <f>IF(OR(ROUND(raw_order_lines!I700*10,0)&gt;ROUND(raw_order_lines!H700*10,0),ROUND(raw_order_lines!H700*10,0)&gt;ROUND(raw_order_lines!G700*10,0),ROUND(raw_order_lines!G700*10,0)&lt;=0),"数量关系异常","")</f>
        <v/>
      </c>
      <c r="T700" s="2" t="str">
        <f>IF($F700&lt;&gt;INDEX(dim_products!$D$2:$D$21,MATCH($E700,dim_products!$A$2:$A$21,0)),"单位不一致","")</f>
        <v/>
      </c>
      <c r="U700" s="2" t="str">
        <f>IF(OR(ROUND(raw_order_lines!J700*100,0)&lt;ROUND(INDEX(dim_products!$F$2:$F$21,MATCH($E700,dim_products!$A$2:$A$21,0))*100,0),ROUND(raw_order_lines!J700*100,0)&gt;ROUND(INDEX(dim_products!$G$2:$G$21,MATCH($E700,dim_products!$A$2:$A$21,0))*100,0)),"单价越界","")</f>
        <v/>
      </c>
      <c r="V700" s="2" t="str">
        <f t="shared" si="31"/>
        <v/>
      </c>
      <c r="W700" s="2" t="str">
        <f t="shared" si="32"/>
        <v>通过</v>
      </c>
    </row>
    <row r="701" spans="1:23" ht="15">
      <c r="A701" s="2" t="str">
        <f>raw_order_lines!A701</f>
        <v>SIM-20260922-C004</v>
      </c>
      <c r="B701" s="2">
        <f>raw_order_lines!B701</f>
        <v>2</v>
      </c>
      <c r="C701" s="2" t="str">
        <f>raw_order_lines!C701</f>
        <v>C004</v>
      </c>
      <c r="D701" s="3">
        <f>raw_order_lines!D701</f>
        <v>46287</v>
      </c>
      <c r="E701" s="2" t="str">
        <f>raw_order_lines!E701</f>
        <v>P014</v>
      </c>
      <c r="F701" s="2" t="str">
        <f>raw_order_lines!F701</f>
        <v>公斤</v>
      </c>
      <c r="G701" s="4">
        <f>raw_order_lines!G701</f>
        <v>7.3</v>
      </c>
      <c r="H701" s="4">
        <f>raw_order_lines!H701</f>
        <v>7.3</v>
      </c>
      <c r="I701" s="4">
        <f>raw_order_lines!I701</f>
        <v>0</v>
      </c>
      <c r="J701" s="5">
        <f>raw_order_lines!J701</f>
        <v>4.9000000000000004</v>
      </c>
      <c r="K701" s="2" t="str">
        <f>raw_order_lines!K701</f>
        <v>正常交付</v>
      </c>
      <c r="L701" s="2" t="str">
        <f>raw_order_lines!L701</f>
        <v>true</v>
      </c>
      <c r="M701" s="2" t="str">
        <f>INDEX(dim_products!$B$2:$B$21,MATCH($E701,dim_products!$A$2:$A$21,0))</f>
        <v>丝瓜</v>
      </c>
      <c r="N701" s="2" t="str">
        <f>INDEX(dim_products!$C$2:$C$21,MATCH($E701,dim_products!$A$2:$A$21,0))</f>
        <v>散装鲜菜</v>
      </c>
      <c r="O701" s="2" t="str">
        <f>INDEX(dim_customers!$B$2:$B$7,MATCH($C701,dim_customers!$A$2:$A$7,0))</f>
        <v>模拟_田畔饭店</v>
      </c>
      <c r="P701" s="6">
        <f>INT((ROUND(raw_order_lines!H701*10,0)*ROUND(raw_order_lines!J701*100,0)+5)/10)/100</f>
        <v>35.770000000000003</v>
      </c>
      <c r="Q701" s="6">
        <f>INT((ROUND(raw_order_lines!I701*10,0)*ROUND(raw_order_lines!J701*100,0)+5)/10)/100</f>
        <v>0</v>
      </c>
      <c r="R701" s="6">
        <f t="shared" si="30"/>
        <v>35.770000000000003</v>
      </c>
      <c r="S701" s="2" t="str">
        <f>IF(OR(ROUND(raw_order_lines!I701*10,0)&gt;ROUND(raw_order_lines!H701*10,0),ROUND(raw_order_lines!H701*10,0)&gt;ROUND(raw_order_lines!G701*10,0),ROUND(raw_order_lines!G701*10,0)&lt;=0),"数量关系异常","")</f>
        <v/>
      </c>
      <c r="T701" s="2" t="str">
        <f>IF($F701&lt;&gt;INDEX(dim_products!$D$2:$D$21,MATCH($E701,dim_products!$A$2:$A$21,0)),"单位不一致","")</f>
        <v/>
      </c>
      <c r="U701" s="2" t="str">
        <f>IF(OR(ROUND(raw_order_lines!J701*100,0)&lt;ROUND(INDEX(dim_products!$F$2:$F$21,MATCH($E701,dim_products!$A$2:$A$21,0))*100,0),ROUND(raw_order_lines!J701*100,0)&gt;ROUND(INDEX(dim_products!$G$2:$G$21,MATCH($E701,dim_products!$A$2:$A$21,0))*100,0)),"单价越界","")</f>
        <v/>
      </c>
      <c r="V701" s="2" t="str">
        <f t="shared" si="31"/>
        <v/>
      </c>
      <c r="W701" s="2" t="str">
        <f t="shared" si="32"/>
        <v>通过</v>
      </c>
    </row>
    <row r="702" spans="1:23" ht="15">
      <c r="A702" s="2" t="str">
        <f>raw_order_lines!A702</f>
        <v>SIM-20260922-C004</v>
      </c>
      <c r="B702" s="2">
        <f>raw_order_lines!B702</f>
        <v>3</v>
      </c>
      <c r="C702" s="2" t="str">
        <f>raw_order_lines!C702</f>
        <v>C004</v>
      </c>
      <c r="D702" s="3">
        <f>raw_order_lines!D702</f>
        <v>46287</v>
      </c>
      <c r="E702" s="2" t="str">
        <f>raw_order_lines!E702</f>
        <v>P006</v>
      </c>
      <c r="F702" s="2" t="str">
        <f>raw_order_lines!F702</f>
        <v>公斤</v>
      </c>
      <c r="G702" s="4">
        <f>raw_order_lines!G702</f>
        <v>5.0999999999999996</v>
      </c>
      <c r="H702" s="4">
        <f>raw_order_lines!H702</f>
        <v>5.0999999999999996</v>
      </c>
      <c r="I702" s="4">
        <f>raw_order_lines!I702</f>
        <v>0</v>
      </c>
      <c r="J702" s="5">
        <f>raw_order_lines!J702</f>
        <v>4.5999999999999996</v>
      </c>
      <c r="K702" s="2" t="str">
        <f>raw_order_lines!K702</f>
        <v>正常交付</v>
      </c>
      <c r="L702" s="2" t="str">
        <f>raw_order_lines!L702</f>
        <v>true</v>
      </c>
      <c r="M702" s="2" t="str">
        <f>INDEX(dim_products!$B$2:$B$21,MATCH($E702,dim_products!$A$2:$A$21,0))</f>
        <v>茄子</v>
      </c>
      <c r="N702" s="2" t="str">
        <f>INDEX(dim_products!$C$2:$C$21,MATCH($E702,dim_products!$A$2:$A$21,0))</f>
        <v>散装鲜菜</v>
      </c>
      <c r="O702" s="2" t="str">
        <f>INDEX(dim_customers!$B$2:$B$7,MATCH($C702,dim_customers!$A$2:$A$7,0))</f>
        <v>模拟_田畔饭店</v>
      </c>
      <c r="P702" s="6">
        <f>INT((ROUND(raw_order_lines!H702*10,0)*ROUND(raw_order_lines!J702*100,0)+5)/10)/100</f>
        <v>23.46</v>
      </c>
      <c r="Q702" s="6">
        <f>INT((ROUND(raw_order_lines!I702*10,0)*ROUND(raw_order_lines!J702*100,0)+5)/10)/100</f>
        <v>0</v>
      </c>
      <c r="R702" s="6">
        <f t="shared" si="30"/>
        <v>23.46</v>
      </c>
      <c r="S702" s="2" t="str">
        <f>IF(OR(ROUND(raw_order_lines!I702*10,0)&gt;ROUND(raw_order_lines!H702*10,0),ROUND(raw_order_lines!H702*10,0)&gt;ROUND(raw_order_lines!G702*10,0),ROUND(raw_order_lines!G702*10,0)&lt;=0),"数量关系异常","")</f>
        <v/>
      </c>
      <c r="T702" s="2" t="str">
        <f>IF($F702&lt;&gt;INDEX(dim_products!$D$2:$D$21,MATCH($E702,dim_products!$A$2:$A$21,0)),"单位不一致","")</f>
        <v/>
      </c>
      <c r="U702" s="2" t="str">
        <f>IF(OR(ROUND(raw_order_lines!J702*100,0)&lt;ROUND(INDEX(dim_products!$F$2:$F$21,MATCH($E702,dim_products!$A$2:$A$21,0))*100,0),ROUND(raw_order_lines!J702*100,0)&gt;ROUND(INDEX(dim_products!$G$2:$G$21,MATCH($E702,dim_products!$A$2:$A$21,0))*100,0)),"单价越界","")</f>
        <v/>
      </c>
      <c r="V702" s="2" t="str">
        <f t="shared" si="31"/>
        <v/>
      </c>
      <c r="W702" s="2" t="str">
        <f t="shared" si="32"/>
        <v>通过</v>
      </c>
    </row>
    <row r="703" spans="1:23" ht="15">
      <c r="A703" s="2" t="str">
        <f>raw_order_lines!A703</f>
        <v>SIM-20260922-C004</v>
      </c>
      <c r="B703" s="2">
        <f>raw_order_lines!B703</f>
        <v>4</v>
      </c>
      <c r="C703" s="2" t="str">
        <f>raw_order_lines!C703</f>
        <v>C004</v>
      </c>
      <c r="D703" s="3">
        <f>raw_order_lines!D703</f>
        <v>46287</v>
      </c>
      <c r="E703" s="2" t="str">
        <f>raw_order_lines!E703</f>
        <v>P004</v>
      </c>
      <c r="F703" s="2" t="str">
        <f>raw_order_lines!F703</f>
        <v>公斤</v>
      </c>
      <c r="G703" s="4">
        <f>raw_order_lines!G703</f>
        <v>6.2</v>
      </c>
      <c r="H703" s="4">
        <f>raw_order_lines!H703</f>
        <v>6.2</v>
      </c>
      <c r="I703" s="4">
        <f>raw_order_lines!I703</f>
        <v>0</v>
      </c>
      <c r="J703" s="5">
        <f>raw_order_lines!J703</f>
        <v>2.2999999999999998</v>
      </c>
      <c r="K703" s="2" t="str">
        <f>raw_order_lines!K703</f>
        <v>正常交付</v>
      </c>
      <c r="L703" s="2" t="str">
        <f>raw_order_lines!L703</f>
        <v>true</v>
      </c>
      <c r="M703" s="2" t="str">
        <f>INDEX(dim_products!$B$2:$B$21,MATCH($E703,dim_products!$A$2:$A$21,0))</f>
        <v>冬瓜</v>
      </c>
      <c r="N703" s="2" t="str">
        <f>INDEX(dim_products!$C$2:$C$21,MATCH($E703,dim_products!$A$2:$A$21,0))</f>
        <v>散装鲜菜</v>
      </c>
      <c r="O703" s="2" t="str">
        <f>INDEX(dim_customers!$B$2:$B$7,MATCH($C703,dim_customers!$A$2:$A$7,0))</f>
        <v>模拟_田畔饭店</v>
      </c>
      <c r="P703" s="6">
        <f>INT((ROUND(raw_order_lines!H703*10,0)*ROUND(raw_order_lines!J703*100,0)+5)/10)/100</f>
        <v>14.26</v>
      </c>
      <c r="Q703" s="6">
        <f>INT((ROUND(raw_order_lines!I703*10,0)*ROUND(raw_order_lines!J703*100,0)+5)/10)/100</f>
        <v>0</v>
      </c>
      <c r="R703" s="6">
        <f t="shared" si="30"/>
        <v>14.26</v>
      </c>
      <c r="S703" s="2" t="str">
        <f>IF(OR(ROUND(raw_order_lines!I703*10,0)&gt;ROUND(raw_order_lines!H703*10,0),ROUND(raw_order_lines!H703*10,0)&gt;ROUND(raw_order_lines!G703*10,0),ROUND(raw_order_lines!G703*10,0)&lt;=0),"数量关系异常","")</f>
        <v/>
      </c>
      <c r="T703" s="2" t="str">
        <f>IF($F703&lt;&gt;INDEX(dim_products!$D$2:$D$21,MATCH($E703,dim_products!$A$2:$A$21,0)),"单位不一致","")</f>
        <v/>
      </c>
      <c r="U703" s="2" t="str">
        <f>IF(OR(ROUND(raw_order_lines!J703*100,0)&lt;ROUND(INDEX(dim_products!$F$2:$F$21,MATCH($E703,dim_products!$A$2:$A$21,0))*100,0),ROUND(raw_order_lines!J703*100,0)&gt;ROUND(INDEX(dim_products!$G$2:$G$21,MATCH($E703,dim_products!$A$2:$A$21,0))*100,0)),"单价越界","")</f>
        <v/>
      </c>
      <c r="V703" s="2" t="str">
        <f t="shared" si="31"/>
        <v/>
      </c>
      <c r="W703" s="2" t="str">
        <f t="shared" si="32"/>
        <v>通过</v>
      </c>
    </row>
    <row r="704" spans="1:23" ht="15">
      <c r="A704" s="2" t="str">
        <f>raw_order_lines!A704</f>
        <v>SIM-20260922-C004</v>
      </c>
      <c r="B704" s="2">
        <f>raw_order_lines!B704</f>
        <v>5</v>
      </c>
      <c r="C704" s="2" t="str">
        <f>raw_order_lines!C704</f>
        <v>C004</v>
      </c>
      <c r="D704" s="3">
        <f>raw_order_lines!D704</f>
        <v>46287</v>
      </c>
      <c r="E704" s="2" t="str">
        <f>raw_order_lines!E704</f>
        <v>P005</v>
      </c>
      <c r="F704" s="2" t="str">
        <f>raw_order_lines!F704</f>
        <v>公斤</v>
      </c>
      <c r="G704" s="4">
        <f>raw_order_lines!G704</f>
        <v>4</v>
      </c>
      <c r="H704" s="4">
        <f>raw_order_lines!H704</f>
        <v>4</v>
      </c>
      <c r="I704" s="4">
        <f>raw_order_lines!I704</f>
        <v>0</v>
      </c>
      <c r="J704" s="5">
        <f>raw_order_lines!J704</f>
        <v>2.7</v>
      </c>
      <c r="K704" s="2" t="str">
        <f>raw_order_lines!K704</f>
        <v>正常交付</v>
      </c>
      <c r="L704" s="2" t="str">
        <f>raw_order_lines!L704</f>
        <v>true</v>
      </c>
      <c r="M704" s="2" t="str">
        <f>INDEX(dim_products!$B$2:$B$21,MATCH($E704,dim_products!$A$2:$A$21,0))</f>
        <v>南瓜</v>
      </c>
      <c r="N704" s="2" t="str">
        <f>INDEX(dim_products!$C$2:$C$21,MATCH($E704,dim_products!$A$2:$A$21,0))</f>
        <v>散装鲜菜</v>
      </c>
      <c r="O704" s="2" t="str">
        <f>INDEX(dim_customers!$B$2:$B$7,MATCH($C704,dim_customers!$A$2:$A$7,0))</f>
        <v>模拟_田畔饭店</v>
      </c>
      <c r="P704" s="6">
        <f>INT((ROUND(raw_order_lines!H704*10,0)*ROUND(raw_order_lines!J704*100,0)+5)/10)/100</f>
        <v>10.8</v>
      </c>
      <c r="Q704" s="6">
        <f>INT((ROUND(raw_order_lines!I704*10,0)*ROUND(raw_order_lines!J704*100,0)+5)/10)/100</f>
        <v>0</v>
      </c>
      <c r="R704" s="6">
        <f t="shared" si="30"/>
        <v>10.8</v>
      </c>
      <c r="S704" s="2" t="str">
        <f>IF(OR(ROUND(raw_order_lines!I704*10,0)&gt;ROUND(raw_order_lines!H704*10,0),ROUND(raw_order_lines!H704*10,0)&gt;ROUND(raw_order_lines!G704*10,0),ROUND(raw_order_lines!G704*10,0)&lt;=0),"数量关系异常","")</f>
        <v/>
      </c>
      <c r="T704" s="2" t="str">
        <f>IF($F704&lt;&gt;INDEX(dim_products!$D$2:$D$21,MATCH($E704,dim_products!$A$2:$A$21,0)),"单位不一致","")</f>
        <v/>
      </c>
      <c r="U704" s="2" t="str">
        <f>IF(OR(ROUND(raw_order_lines!J704*100,0)&lt;ROUND(INDEX(dim_products!$F$2:$F$21,MATCH($E704,dim_products!$A$2:$A$21,0))*100,0),ROUND(raw_order_lines!J704*100,0)&gt;ROUND(INDEX(dim_products!$G$2:$G$21,MATCH($E704,dim_products!$A$2:$A$21,0))*100,0)),"单价越界","")</f>
        <v/>
      </c>
      <c r="V704" s="2" t="str">
        <f t="shared" si="31"/>
        <v/>
      </c>
      <c r="W704" s="2" t="str">
        <f t="shared" si="32"/>
        <v>通过</v>
      </c>
    </row>
    <row r="705" spans="1:23" ht="15">
      <c r="A705" s="2" t="str">
        <f>raw_order_lines!A705</f>
        <v>SIM-20260922-C004</v>
      </c>
      <c r="B705" s="2">
        <f>raw_order_lines!B705</f>
        <v>6</v>
      </c>
      <c r="C705" s="2" t="str">
        <f>raw_order_lines!C705</f>
        <v>C004</v>
      </c>
      <c r="D705" s="3">
        <f>raw_order_lines!D705</f>
        <v>46287</v>
      </c>
      <c r="E705" s="2" t="str">
        <f>raw_order_lines!E705</f>
        <v>P009</v>
      </c>
      <c r="F705" s="2" t="str">
        <f>raw_order_lines!F705</f>
        <v>公斤</v>
      </c>
      <c r="G705" s="4">
        <f>raw_order_lines!G705</f>
        <v>6.8</v>
      </c>
      <c r="H705" s="4">
        <f>raw_order_lines!H705</f>
        <v>6.8</v>
      </c>
      <c r="I705" s="4">
        <f>raw_order_lines!I705</f>
        <v>0</v>
      </c>
      <c r="J705" s="5">
        <f>raw_order_lines!J705</f>
        <v>4.9000000000000004</v>
      </c>
      <c r="K705" s="2" t="str">
        <f>raw_order_lines!K705</f>
        <v>正常交付</v>
      </c>
      <c r="L705" s="2" t="str">
        <f>raw_order_lines!L705</f>
        <v>true</v>
      </c>
      <c r="M705" s="2" t="str">
        <f>INDEX(dim_products!$B$2:$B$21,MATCH($E705,dim_products!$A$2:$A$21,0))</f>
        <v>西红柿</v>
      </c>
      <c r="N705" s="2" t="str">
        <f>INDEX(dim_products!$C$2:$C$21,MATCH($E705,dim_products!$A$2:$A$21,0))</f>
        <v>散装鲜菜</v>
      </c>
      <c r="O705" s="2" t="str">
        <f>INDEX(dim_customers!$B$2:$B$7,MATCH($C705,dim_customers!$A$2:$A$7,0))</f>
        <v>模拟_田畔饭店</v>
      </c>
      <c r="P705" s="6">
        <f>INT((ROUND(raw_order_lines!H705*10,0)*ROUND(raw_order_lines!J705*100,0)+5)/10)/100</f>
        <v>33.32</v>
      </c>
      <c r="Q705" s="6">
        <f>INT((ROUND(raw_order_lines!I705*10,0)*ROUND(raw_order_lines!J705*100,0)+5)/10)/100</f>
        <v>0</v>
      </c>
      <c r="R705" s="6">
        <f t="shared" si="30"/>
        <v>33.32</v>
      </c>
      <c r="S705" s="2" t="str">
        <f>IF(OR(ROUND(raw_order_lines!I705*10,0)&gt;ROUND(raw_order_lines!H705*10,0),ROUND(raw_order_lines!H705*10,0)&gt;ROUND(raw_order_lines!G705*10,0),ROUND(raw_order_lines!G705*10,0)&lt;=0),"数量关系异常","")</f>
        <v/>
      </c>
      <c r="T705" s="2" t="str">
        <f>IF($F705&lt;&gt;INDEX(dim_products!$D$2:$D$21,MATCH($E705,dim_products!$A$2:$A$21,0)),"单位不一致","")</f>
        <v/>
      </c>
      <c r="U705" s="2" t="str">
        <f>IF(OR(ROUND(raw_order_lines!J705*100,0)&lt;ROUND(INDEX(dim_products!$F$2:$F$21,MATCH($E705,dim_products!$A$2:$A$21,0))*100,0),ROUND(raw_order_lines!J705*100,0)&gt;ROUND(INDEX(dim_products!$G$2:$G$21,MATCH($E705,dim_products!$A$2:$A$21,0))*100,0)),"单价越界","")</f>
        <v/>
      </c>
      <c r="V705" s="2" t="str">
        <f t="shared" si="31"/>
        <v/>
      </c>
      <c r="W705" s="2" t="str">
        <f t="shared" si="32"/>
        <v>通过</v>
      </c>
    </row>
    <row r="706" spans="1:23" ht="15">
      <c r="A706" s="2" t="str">
        <f>raw_order_lines!A706</f>
        <v>SIM-20260922-C004</v>
      </c>
      <c r="B706" s="2">
        <f>raw_order_lines!B706</f>
        <v>7</v>
      </c>
      <c r="C706" s="2" t="str">
        <f>raw_order_lines!C706</f>
        <v>C004</v>
      </c>
      <c r="D706" s="3">
        <f>raw_order_lines!D706</f>
        <v>46287</v>
      </c>
      <c r="E706" s="2" t="str">
        <f>raw_order_lines!E706</f>
        <v>P015</v>
      </c>
      <c r="F706" s="2" t="str">
        <f>raw_order_lines!F706</f>
        <v>公斤</v>
      </c>
      <c r="G706" s="4">
        <f>raw_order_lines!G706</f>
        <v>1</v>
      </c>
      <c r="H706" s="4">
        <f>raw_order_lines!H706</f>
        <v>1</v>
      </c>
      <c r="I706" s="4">
        <f>raw_order_lines!I706</f>
        <v>0</v>
      </c>
      <c r="J706" s="5">
        <f>raw_order_lines!J706</f>
        <v>7.8</v>
      </c>
      <c r="K706" s="2" t="str">
        <f>raw_order_lines!K706</f>
        <v>正常交付</v>
      </c>
      <c r="L706" s="2" t="str">
        <f>raw_order_lines!L706</f>
        <v>true</v>
      </c>
      <c r="M706" s="2" t="str">
        <f>INDEX(dim_products!$B$2:$B$21,MATCH($E706,dim_products!$A$2:$A$21,0))</f>
        <v>小葱</v>
      </c>
      <c r="N706" s="2" t="str">
        <f>INDEX(dim_products!$C$2:$C$21,MATCH($E706,dim_products!$A$2:$A$21,0))</f>
        <v>散装鲜菜</v>
      </c>
      <c r="O706" s="2" t="str">
        <f>INDEX(dim_customers!$B$2:$B$7,MATCH($C706,dim_customers!$A$2:$A$7,0))</f>
        <v>模拟_田畔饭店</v>
      </c>
      <c r="P706" s="6">
        <f>INT((ROUND(raw_order_lines!H706*10,0)*ROUND(raw_order_lines!J706*100,0)+5)/10)/100</f>
        <v>7.8</v>
      </c>
      <c r="Q706" s="6">
        <f>INT((ROUND(raw_order_lines!I706*10,0)*ROUND(raw_order_lines!J706*100,0)+5)/10)/100</f>
        <v>0</v>
      </c>
      <c r="R706" s="6">
        <f t="shared" ref="R706:R769" si="33">$P706-$Q706</f>
        <v>7.8</v>
      </c>
      <c r="S706" s="2" t="str">
        <f>IF(OR(ROUND(raw_order_lines!I706*10,0)&gt;ROUND(raw_order_lines!H706*10,0),ROUND(raw_order_lines!H706*10,0)&gt;ROUND(raw_order_lines!G706*10,0),ROUND(raw_order_lines!G706*10,0)&lt;=0),"数量关系异常","")</f>
        <v/>
      </c>
      <c r="T706" s="2" t="str">
        <f>IF($F706&lt;&gt;INDEX(dim_products!$D$2:$D$21,MATCH($E706,dim_products!$A$2:$A$21,0)),"单位不一致","")</f>
        <v/>
      </c>
      <c r="U706" s="2" t="str">
        <f>IF(OR(ROUND(raw_order_lines!J706*100,0)&lt;ROUND(INDEX(dim_products!$F$2:$F$21,MATCH($E706,dim_products!$A$2:$A$21,0))*100,0),ROUND(raw_order_lines!J706*100,0)&gt;ROUND(INDEX(dim_products!$G$2:$G$21,MATCH($E706,dim_products!$A$2:$A$21,0))*100,0)),"单价越界","")</f>
        <v/>
      </c>
      <c r="V706" s="2" t="str">
        <f t="shared" ref="V706:V769" si="34">IF(COUNTIFS($A$2:$A$967,$A706,$B$2:$B$967,$B706)&gt;1,"主键重复","")</f>
        <v/>
      </c>
      <c r="W706" s="2" t="str">
        <f t="shared" ref="W706:W769" si="35">IF(COUNTIF($S706:$T706,"?*")+COUNTIF($V706:$V706,"?*")&gt;0,"阻断",IF(COUNTIF($U706:$U706,"?*")&gt;0,"提示","通过"))</f>
        <v>通过</v>
      </c>
    </row>
    <row r="707" spans="1:23" ht="15">
      <c r="A707" s="2" t="str">
        <f>raw_order_lines!A707</f>
        <v>SIM-20260922-C005</v>
      </c>
      <c r="B707" s="2">
        <f>raw_order_lines!B707</f>
        <v>1</v>
      </c>
      <c r="C707" s="2" t="str">
        <f>raw_order_lines!C707</f>
        <v>C005</v>
      </c>
      <c r="D707" s="3">
        <f>raw_order_lines!D707</f>
        <v>46287</v>
      </c>
      <c r="E707" s="2" t="str">
        <f>raw_order_lines!E707</f>
        <v>P012</v>
      </c>
      <c r="F707" s="2" t="str">
        <f>raw_order_lines!F707</f>
        <v>公斤</v>
      </c>
      <c r="G707" s="4">
        <f>raw_order_lines!G707</f>
        <v>12.1</v>
      </c>
      <c r="H707" s="4">
        <f>raw_order_lines!H707</f>
        <v>12.1</v>
      </c>
      <c r="I707" s="4">
        <f>raw_order_lines!I707</f>
        <v>0</v>
      </c>
      <c r="J707" s="5">
        <f>raw_order_lines!J707</f>
        <v>5</v>
      </c>
      <c r="K707" s="2" t="str">
        <f>raw_order_lines!K707</f>
        <v>正常交付</v>
      </c>
      <c r="L707" s="2" t="str">
        <f>raw_order_lines!L707</f>
        <v>true</v>
      </c>
      <c r="M707" s="2" t="str">
        <f>INDEX(dim_products!$B$2:$B$21,MATCH($E707,dim_products!$A$2:$A$21,0))</f>
        <v>小白菜</v>
      </c>
      <c r="N707" s="2" t="str">
        <f>INDEX(dim_products!$C$2:$C$21,MATCH($E707,dim_products!$A$2:$A$21,0))</f>
        <v>散装鲜菜</v>
      </c>
      <c r="O707" s="2" t="str">
        <f>INDEX(dim_customers!$B$2:$B$7,MATCH($C707,dim_customers!$A$2:$A$7,0))</f>
        <v>模拟_青禾小学食堂</v>
      </c>
      <c r="P707" s="6">
        <f>INT((ROUND(raw_order_lines!H707*10,0)*ROUND(raw_order_lines!J707*100,0)+5)/10)/100</f>
        <v>60.5</v>
      </c>
      <c r="Q707" s="6">
        <f>INT((ROUND(raw_order_lines!I707*10,0)*ROUND(raw_order_lines!J707*100,0)+5)/10)/100</f>
        <v>0</v>
      </c>
      <c r="R707" s="6">
        <f t="shared" si="33"/>
        <v>60.5</v>
      </c>
      <c r="S707" s="2" t="str">
        <f>IF(OR(ROUND(raw_order_lines!I707*10,0)&gt;ROUND(raw_order_lines!H707*10,0),ROUND(raw_order_lines!H707*10,0)&gt;ROUND(raw_order_lines!G707*10,0),ROUND(raw_order_lines!G707*10,0)&lt;=0),"数量关系异常","")</f>
        <v/>
      </c>
      <c r="T707" s="2" t="str">
        <f>IF($F707&lt;&gt;INDEX(dim_products!$D$2:$D$21,MATCH($E707,dim_products!$A$2:$A$21,0)),"单位不一致","")</f>
        <v/>
      </c>
      <c r="U707" s="2" t="str">
        <f>IF(OR(ROUND(raw_order_lines!J707*100,0)&lt;ROUND(INDEX(dim_products!$F$2:$F$21,MATCH($E707,dim_products!$A$2:$A$21,0))*100,0),ROUND(raw_order_lines!J707*100,0)&gt;ROUND(INDEX(dim_products!$G$2:$G$21,MATCH($E707,dim_products!$A$2:$A$21,0))*100,0)),"单价越界","")</f>
        <v/>
      </c>
      <c r="V707" s="2" t="str">
        <f t="shared" si="34"/>
        <v/>
      </c>
      <c r="W707" s="2" t="str">
        <f t="shared" si="35"/>
        <v>通过</v>
      </c>
    </row>
    <row r="708" spans="1:23" ht="15">
      <c r="A708" s="2" t="str">
        <f>raw_order_lines!A708</f>
        <v>SIM-20260922-C005</v>
      </c>
      <c r="B708" s="2">
        <f>raw_order_lines!B708</f>
        <v>2</v>
      </c>
      <c r="C708" s="2" t="str">
        <f>raw_order_lines!C708</f>
        <v>C005</v>
      </c>
      <c r="D708" s="3">
        <f>raw_order_lines!D708</f>
        <v>46287</v>
      </c>
      <c r="E708" s="2" t="str">
        <f>raw_order_lines!E708</f>
        <v>P003</v>
      </c>
      <c r="F708" s="2" t="str">
        <f>raw_order_lines!F708</f>
        <v>公斤</v>
      </c>
      <c r="G708" s="4">
        <f>raw_order_lines!G708</f>
        <v>10.6</v>
      </c>
      <c r="H708" s="4">
        <f>raw_order_lines!H708</f>
        <v>10.6</v>
      </c>
      <c r="I708" s="4">
        <f>raw_order_lines!I708</f>
        <v>0</v>
      </c>
      <c r="J708" s="5">
        <f>raw_order_lines!J708</f>
        <v>2.9</v>
      </c>
      <c r="K708" s="2" t="str">
        <f>raw_order_lines!K708</f>
        <v>正常交付</v>
      </c>
      <c r="L708" s="2" t="str">
        <f>raw_order_lines!L708</f>
        <v>true</v>
      </c>
      <c r="M708" s="2" t="str">
        <f>INDEX(dim_products!$B$2:$B$21,MATCH($E708,dim_products!$A$2:$A$21,0))</f>
        <v>包菜</v>
      </c>
      <c r="N708" s="2" t="str">
        <f>INDEX(dim_products!$C$2:$C$21,MATCH($E708,dim_products!$A$2:$A$21,0))</f>
        <v>散装鲜菜</v>
      </c>
      <c r="O708" s="2" t="str">
        <f>INDEX(dim_customers!$B$2:$B$7,MATCH($C708,dim_customers!$A$2:$A$7,0))</f>
        <v>模拟_青禾小学食堂</v>
      </c>
      <c r="P708" s="6">
        <f>INT((ROUND(raw_order_lines!H708*10,0)*ROUND(raw_order_lines!J708*100,0)+5)/10)/100</f>
        <v>30.74</v>
      </c>
      <c r="Q708" s="6">
        <f>INT((ROUND(raw_order_lines!I708*10,0)*ROUND(raw_order_lines!J708*100,0)+5)/10)/100</f>
        <v>0</v>
      </c>
      <c r="R708" s="6">
        <f t="shared" si="33"/>
        <v>30.74</v>
      </c>
      <c r="S708" s="2" t="str">
        <f>IF(OR(ROUND(raw_order_lines!I708*10,0)&gt;ROUND(raw_order_lines!H708*10,0),ROUND(raw_order_lines!H708*10,0)&gt;ROUND(raw_order_lines!G708*10,0),ROUND(raw_order_lines!G708*10,0)&lt;=0),"数量关系异常","")</f>
        <v/>
      </c>
      <c r="T708" s="2" t="str">
        <f>IF($F708&lt;&gt;INDEX(dim_products!$D$2:$D$21,MATCH($E708,dim_products!$A$2:$A$21,0)),"单位不一致","")</f>
        <v/>
      </c>
      <c r="U708" s="2" t="str">
        <f>IF(OR(ROUND(raw_order_lines!J708*100,0)&lt;ROUND(INDEX(dim_products!$F$2:$F$21,MATCH($E708,dim_products!$A$2:$A$21,0))*100,0),ROUND(raw_order_lines!J708*100,0)&gt;ROUND(INDEX(dim_products!$G$2:$G$21,MATCH($E708,dim_products!$A$2:$A$21,0))*100,0)),"单价越界","")</f>
        <v/>
      </c>
      <c r="V708" s="2" t="str">
        <f t="shared" si="34"/>
        <v/>
      </c>
      <c r="W708" s="2" t="str">
        <f t="shared" si="35"/>
        <v>通过</v>
      </c>
    </row>
    <row r="709" spans="1:23" ht="15">
      <c r="A709" s="2" t="str">
        <f>raw_order_lines!A709</f>
        <v>SIM-20260922-C005</v>
      </c>
      <c r="B709" s="2">
        <f>raw_order_lines!B709</f>
        <v>3</v>
      </c>
      <c r="C709" s="2" t="str">
        <f>raw_order_lines!C709</f>
        <v>C005</v>
      </c>
      <c r="D709" s="3">
        <f>raw_order_lines!D709</f>
        <v>46287</v>
      </c>
      <c r="E709" s="2" t="str">
        <f>raw_order_lines!E709</f>
        <v>P014</v>
      </c>
      <c r="F709" s="2" t="str">
        <f>raw_order_lines!F709</f>
        <v>公斤</v>
      </c>
      <c r="G709" s="4">
        <f>raw_order_lines!G709</f>
        <v>11.3</v>
      </c>
      <c r="H709" s="4">
        <f>raw_order_lines!H709</f>
        <v>11.3</v>
      </c>
      <c r="I709" s="4">
        <f>raw_order_lines!I709</f>
        <v>0</v>
      </c>
      <c r="J709" s="5">
        <f>raw_order_lines!J709</f>
        <v>4.9000000000000004</v>
      </c>
      <c r="K709" s="2" t="str">
        <f>raw_order_lines!K709</f>
        <v>正常交付</v>
      </c>
      <c r="L709" s="2" t="str">
        <f>raw_order_lines!L709</f>
        <v>true</v>
      </c>
      <c r="M709" s="2" t="str">
        <f>INDEX(dim_products!$B$2:$B$21,MATCH($E709,dim_products!$A$2:$A$21,0))</f>
        <v>丝瓜</v>
      </c>
      <c r="N709" s="2" t="str">
        <f>INDEX(dim_products!$C$2:$C$21,MATCH($E709,dim_products!$A$2:$A$21,0))</f>
        <v>散装鲜菜</v>
      </c>
      <c r="O709" s="2" t="str">
        <f>INDEX(dim_customers!$B$2:$B$7,MATCH($C709,dim_customers!$A$2:$A$7,0))</f>
        <v>模拟_青禾小学食堂</v>
      </c>
      <c r="P709" s="6">
        <f>INT((ROUND(raw_order_lines!H709*10,0)*ROUND(raw_order_lines!J709*100,0)+5)/10)/100</f>
        <v>55.37</v>
      </c>
      <c r="Q709" s="6">
        <f>INT((ROUND(raw_order_lines!I709*10,0)*ROUND(raw_order_lines!J709*100,0)+5)/10)/100</f>
        <v>0</v>
      </c>
      <c r="R709" s="6">
        <f t="shared" si="33"/>
        <v>55.37</v>
      </c>
      <c r="S709" s="2" t="str">
        <f>IF(OR(ROUND(raw_order_lines!I709*10,0)&gt;ROUND(raw_order_lines!H709*10,0),ROUND(raw_order_lines!H709*10,0)&gt;ROUND(raw_order_lines!G709*10,0),ROUND(raw_order_lines!G709*10,0)&lt;=0),"数量关系异常","")</f>
        <v/>
      </c>
      <c r="T709" s="2" t="str">
        <f>IF($F709&lt;&gt;INDEX(dim_products!$D$2:$D$21,MATCH($E709,dim_products!$A$2:$A$21,0)),"单位不一致","")</f>
        <v/>
      </c>
      <c r="U709" s="2" t="str">
        <f>IF(OR(ROUND(raw_order_lines!J709*100,0)&lt;ROUND(INDEX(dim_products!$F$2:$F$21,MATCH($E709,dim_products!$A$2:$A$21,0))*100,0),ROUND(raw_order_lines!J709*100,0)&gt;ROUND(INDEX(dim_products!$G$2:$G$21,MATCH($E709,dim_products!$A$2:$A$21,0))*100,0)),"单价越界","")</f>
        <v/>
      </c>
      <c r="V709" s="2" t="str">
        <f t="shared" si="34"/>
        <v/>
      </c>
      <c r="W709" s="2" t="str">
        <f t="shared" si="35"/>
        <v>通过</v>
      </c>
    </row>
    <row r="710" spans="1:23" ht="15">
      <c r="A710" s="2" t="str">
        <f>raw_order_lines!A710</f>
        <v>SIM-20260922-C005</v>
      </c>
      <c r="B710" s="2">
        <f>raw_order_lines!B710</f>
        <v>4</v>
      </c>
      <c r="C710" s="2" t="str">
        <f>raw_order_lines!C710</f>
        <v>C005</v>
      </c>
      <c r="D710" s="3">
        <f>raw_order_lines!D710</f>
        <v>46287</v>
      </c>
      <c r="E710" s="2" t="str">
        <f>raw_order_lines!E710</f>
        <v>P006</v>
      </c>
      <c r="F710" s="2" t="str">
        <f>raw_order_lines!F710</f>
        <v>公斤</v>
      </c>
      <c r="G710" s="4">
        <f>raw_order_lines!G710</f>
        <v>5.3</v>
      </c>
      <c r="H710" s="4">
        <f>raw_order_lines!H710</f>
        <v>5.3</v>
      </c>
      <c r="I710" s="4">
        <f>raw_order_lines!I710</f>
        <v>0</v>
      </c>
      <c r="J710" s="5">
        <f>raw_order_lines!J710</f>
        <v>4.5999999999999996</v>
      </c>
      <c r="K710" s="2" t="str">
        <f>raw_order_lines!K710</f>
        <v>正常交付</v>
      </c>
      <c r="L710" s="2" t="str">
        <f>raw_order_lines!L710</f>
        <v>true</v>
      </c>
      <c r="M710" s="2" t="str">
        <f>INDEX(dim_products!$B$2:$B$21,MATCH($E710,dim_products!$A$2:$A$21,0))</f>
        <v>茄子</v>
      </c>
      <c r="N710" s="2" t="str">
        <f>INDEX(dim_products!$C$2:$C$21,MATCH($E710,dim_products!$A$2:$A$21,0))</f>
        <v>散装鲜菜</v>
      </c>
      <c r="O710" s="2" t="str">
        <f>INDEX(dim_customers!$B$2:$B$7,MATCH($C710,dim_customers!$A$2:$A$7,0))</f>
        <v>模拟_青禾小学食堂</v>
      </c>
      <c r="P710" s="6">
        <f>INT((ROUND(raw_order_lines!H710*10,0)*ROUND(raw_order_lines!J710*100,0)+5)/10)/100</f>
        <v>24.38</v>
      </c>
      <c r="Q710" s="6">
        <f>INT((ROUND(raw_order_lines!I710*10,0)*ROUND(raw_order_lines!J710*100,0)+5)/10)/100</f>
        <v>0</v>
      </c>
      <c r="R710" s="6">
        <f t="shared" si="33"/>
        <v>24.38</v>
      </c>
      <c r="S710" s="2" t="str">
        <f>IF(OR(ROUND(raw_order_lines!I710*10,0)&gt;ROUND(raw_order_lines!H710*10,0),ROUND(raw_order_lines!H710*10,0)&gt;ROUND(raw_order_lines!G710*10,0),ROUND(raw_order_lines!G710*10,0)&lt;=0),"数量关系异常","")</f>
        <v/>
      </c>
      <c r="T710" s="2" t="str">
        <f>IF($F710&lt;&gt;INDEX(dim_products!$D$2:$D$21,MATCH($E710,dim_products!$A$2:$A$21,0)),"单位不一致","")</f>
        <v/>
      </c>
      <c r="U710" s="2" t="str">
        <f>IF(OR(ROUND(raw_order_lines!J710*100,0)&lt;ROUND(INDEX(dim_products!$F$2:$F$21,MATCH($E710,dim_products!$A$2:$A$21,0))*100,0),ROUND(raw_order_lines!J710*100,0)&gt;ROUND(INDEX(dim_products!$G$2:$G$21,MATCH($E710,dim_products!$A$2:$A$21,0))*100,0)),"单价越界","")</f>
        <v/>
      </c>
      <c r="V710" s="2" t="str">
        <f t="shared" si="34"/>
        <v/>
      </c>
      <c r="W710" s="2" t="str">
        <f t="shared" si="35"/>
        <v>通过</v>
      </c>
    </row>
    <row r="711" spans="1:23" ht="15">
      <c r="A711" s="2" t="str">
        <f>raw_order_lines!A711</f>
        <v>SIM-20260922-C005</v>
      </c>
      <c r="B711" s="2">
        <f>raw_order_lines!B711</f>
        <v>5</v>
      </c>
      <c r="C711" s="2" t="str">
        <f>raw_order_lines!C711</f>
        <v>C005</v>
      </c>
      <c r="D711" s="3">
        <f>raw_order_lines!D711</f>
        <v>46287</v>
      </c>
      <c r="E711" s="2" t="str">
        <f>raw_order_lines!E711</f>
        <v>P001</v>
      </c>
      <c r="F711" s="2" t="str">
        <f>raw_order_lines!F711</f>
        <v>公斤</v>
      </c>
      <c r="G711" s="4">
        <f>raw_order_lines!G711</f>
        <v>7.6</v>
      </c>
      <c r="H711" s="4">
        <f>raw_order_lines!H711</f>
        <v>7.6</v>
      </c>
      <c r="I711" s="4">
        <f>raw_order_lines!I711</f>
        <v>0</v>
      </c>
      <c r="J711" s="5">
        <f>raw_order_lines!J711</f>
        <v>3.5</v>
      </c>
      <c r="K711" s="2" t="str">
        <f>raw_order_lines!K711</f>
        <v>正常交付</v>
      </c>
      <c r="L711" s="2" t="str">
        <f>raw_order_lines!L711</f>
        <v>true</v>
      </c>
      <c r="M711" s="2" t="str">
        <f>INDEX(dim_products!$B$2:$B$21,MATCH($E711,dim_products!$A$2:$A$21,0))</f>
        <v>土豆</v>
      </c>
      <c r="N711" s="2" t="str">
        <f>INDEX(dim_products!$C$2:$C$21,MATCH($E711,dim_products!$A$2:$A$21,0))</f>
        <v>散装鲜菜</v>
      </c>
      <c r="O711" s="2" t="str">
        <f>INDEX(dim_customers!$B$2:$B$7,MATCH($C711,dim_customers!$A$2:$A$7,0))</f>
        <v>模拟_青禾小学食堂</v>
      </c>
      <c r="P711" s="6">
        <f>INT((ROUND(raw_order_lines!H711*10,0)*ROUND(raw_order_lines!J711*100,0)+5)/10)/100</f>
        <v>26.6</v>
      </c>
      <c r="Q711" s="6">
        <f>INT((ROUND(raw_order_lines!I711*10,0)*ROUND(raw_order_lines!J711*100,0)+5)/10)/100</f>
        <v>0</v>
      </c>
      <c r="R711" s="6">
        <f t="shared" si="33"/>
        <v>26.6</v>
      </c>
      <c r="S711" s="2" t="str">
        <f>IF(OR(ROUND(raw_order_lines!I711*10,0)&gt;ROUND(raw_order_lines!H711*10,0),ROUND(raw_order_lines!H711*10,0)&gt;ROUND(raw_order_lines!G711*10,0),ROUND(raw_order_lines!G711*10,0)&lt;=0),"数量关系异常","")</f>
        <v/>
      </c>
      <c r="T711" s="2" t="str">
        <f>IF($F711&lt;&gt;INDEX(dim_products!$D$2:$D$21,MATCH($E711,dim_products!$A$2:$A$21,0)),"单位不一致","")</f>
        <v/>
      </c>
      <c r="U711" s="2" t="str">
        <f>IF(OR(ROUND(raw_order_lines!J711*100,0)&lt;ROUND(INDEX(dim_products!$F$2:$F$21,MATCH($E711,dim_products!$A$2:$A$21,0))*100,0),ROUND(raw_order_lines!J711*100,0)&gt;ROUND(INDEX(dim_products!$G$2:$G$21,MATCH($E711,dim_products!$A$2:$A$21,0))*100,0)),"单价越界","")</f>
        <v/>
      </c>
      <c r="V711" s="2" t="str">
        <f t="shared" si="34"/>
        <v/>
      </c>
      <c r="W711" s="2" t="str">
        <f t="shared" si="35"/>
        <v>通过</v>
      </c>
    </row>
    <row r="712" spans="1:23" ht="15">
      <c r="A712" s="2" t="str">
        <f>raw_order_lines!A712</f>
        <v>SIM-20260922-C005</v>
      </c>
      <c r="B712" s="2">
        <f>raw_order_lines!B712</f>
        <v>6</v>
      </c>
      <c r="C712" s="2" t="str">
        <f>raw_order_lines!C712</f>
        <v>C005</v>
      </c>
      <c r="D712" s="3">
        <f>raw_order_lines!D712</f>
        <v>46287</v>
      </c>
      <c r="E712" s="2" t="str">
        <f>raw_order_lines!E712</f>
        <v>P009</v>
      </c>
      <c r="F712" s="2" t="str">
        <f>raw_order_lines!F712</f>
        <v>公斤</v>
      </c>
      <c r="G712" s="4">
        <f>raw_order_lines!G712</f>
        <v>12.1</v>
      </c>
      <c r="H712" s="4">
        <f>raw_order_lines!H712</f>
        <v>11.9</v>
      </c>
      <c r="I712" s="4">
        <f>raw_order_lines!I712</f>
        <v>0</v>
      </c>
      <c r="J712" s="5">
        <f>raw_order_lines!J712</f>
        <v>4.9000000000000004</v>
      </c>
      <c r="K712" s="2" t="str">
        <f>raw_order_lines!K712</f>
        <v>到货不足；按实际交付计费</v>
      </c>
      <c r="L712" s="2" t="str">
        <f>raw_order_lines!L712</f>
        <v>true</v>
      </c>
      <c r="M712" s="2" t="str">
        <f>INDEX(dim_products!$B$2:$B$21,MATCH($E712,dim_products!$A$2:$A$21,0))</f>
        <v>西红柿</v>
      </c>
      <c r="N712" s="2" t="str">
        <f>INDEX(dim_products!$C$2:$C$21,MATCH($E712,dim_products!$A$2:$A$21,0))</f>
        <v>散装鲜菜</v>
      </c>
      <c r="O712" s="2" t="str">
        <f>INDEX(dim_customers!$B$2:$B$7,MATCH($C712,dim_customers!$A$2:$A$7,0))</f>
        <v>模拟_青禾小学食堂</v>
      </c>
      <c r="P712" s="6">
        <f>INT((ROUND(raw_order_lines!H712*10,0)*ROUND(raw_order_lines!J712*100,0)+5)/10)/100</f>
        <v>58.31</v>
      </c>
      <c r="Q712" s="6">
        <f>INT((ROUND(raw_order_lines!I712*10,0)*ROUND(raw_order_lines!J712*100,0)+5)/10)/100</f>
        <v>0</v>
      </c>
      <c r="R712" s="6">
        <f t="shared" si="33"/>
        <v>58.31</v>
      </c>
      <c r="S712" s="2" t="str">
        <f>IF(OR(ROUND(raw_order_lines!I712*10,0)&gt;ROUND(raw_order_lines!H712*10,0),ROUND(raw_order_lines!H712*10,0)&gt;ROUND(raw_order_lines!G712*10,0),ROUND(raw_order_lines!G712*10,0)&lt;=0),"数量关系异常","")</f>
        <v/>
      </c>
      <c r="T712" s="2" t="str">
        <f>IF($F712&lt;&gt;INDEX(dim_products!$D$2:$D$21,MATCH($E712,dim_products!$A$2:$A$21,0)),"单位不一致","")</f>
        <v/>
      </c>
      <c r="U712" s="2" t="str">
        <f>IF(OR(ROUND(raw_order_lines!J712*100,0)&lt;ROUND(INDEX(dim_products!$F$2:$F$21,MATCH($E712,dim_products!$A$2:$A$21,0))*100,0),ROUND(raw_order_lines!J712*100,0)&gt;ROUND(INDEX(dim_products!$G$2:$G$21,MATCH($E712,dim_products!$A$2:$A$21,0))*100,0)),"单价越界","")</f>
        <v/>
      </c>
      <c r="V712" s="2" t="str">
        <f t="shared" si="34"/>
        <v/>
      </c>
      <c r="W712" s="2" t="str">
        <f t="shared" si="35"/>
        <v>通过</v>
      </c>
    </row>
    <row r="713" spans="1:23" ht="15">
      <c r="A713" s="2" t="str">
        <f>raw_order_lines!A713</f>
        <v>SIM-20260922-C005</v>
      </c>
      <c r="B713" s="2">
        <f>raw_order_lines!B713</f>
        <v>7</v>
      </c>
      <c r="C713" s="2" t="str">
        <f>raw_order_lines!C713</f>
        <v>C005</v>
      </c>
      <c r="D713" s="3">
        <f>raw_order_lines!D713</f>
        <v>46287</v>
      </c>
      <c r="E713" s="2" t="str">
        <f>raw_order_lines!E713</f>
        <v>P016</v>
      </c>
      <c r="F713" s="2" t="str">
        <f>raw_order_lines!F713</f>
        <v>公斤</v>
      </c>
      <c r="G713" s="4">
        <f>raw_order_lines!G713</f>
        <v>12</v>
      </c>
      <c r="H713" s="4">
        <f>raw_order_lines!H713</f>
        <v>12</v>
      </c>
      <c r="I713" s="4">
        <f>raw_order_lines!I713</f>
        <v>0</v>
      </c>
      <c r="J713" s="5">
        <f>raw_order_lines!J713</f>
        <v>10.4</v>
      </c>
      <c r="K713" s="2" t="str">
        <f>raw_order_lines!K713</f>
        <v>正常交付</v>
      </c>
      <c r="L713" s="2" t="str">
        <f>raw_order_lines!L713</f>
        <v>true</v>
      </c>
      <c r="M713" s="2" t="str">
        <f>INDEX(dim_products!$B$2:$B$21,MATCH($E713,dim_products!$A$2:$A$21,0))</f>
        <v>鸡蛋</v>
      </c>
      <c r="N713" s="2" t="str">
        <f>INDEX(dim_products!$C$2:$C$21,MATCH($E713,dim_products!$A$2:$A$21,0))</f>
        <v>普通鲜鸡蛋按净重</v>
      </c>
      <c r="O713" s="2" t="str">
        <f>INDEX(dim_customers!$B$2:$B$7,MATCH($C713,dim_customers!$A$2:$A$7,0))</f>
        <v>模拟_青禾小学食堂</v>
      </c>
      <c r="P713" s="6">
        <f>INT((ROUND(raw_order_lines!H713*10,0)*ROUND(raw_order_lines!J713*100,0)+5)/10)/100</f>
        <v>124.8</v>
      </c>
      <c r="Q713" s="6">
        <f>INT((ROUND(raw_order_lines!I713*10,0)*ROUND(raw_order_lines!J713*100,0)+5)/10)/100</f>
        <v>0</v>
      </c>
      <c r="R713" s="6">
        <f t="shared" si="33"/>
        <v>124.8</v>
      </c>
      <c r="S713" s="2" t="str">
        <f>IF(OR(ROUND(raw_order_lines!I713*10,0)&gt;ROUND(raw_order_lines!H713*10,0),ROUND(raw_order_lines!H713*10,0)&gt;ROUND(raw_order_lines!G713*10,0),ROUND(raw_order_lines!G713*10,0)&lt;=0),"数量关系异常","")</f>
        <v/>
      </c>
      <c r="T713" s="2" t="str">
        <f>IF($F713&lt;&gt;INDEX(dim_products!$D$2:$D$21,MATCH($E713,dim_products!$A$2:$A$21,0)),"单位不一致","")</f>
        <v/>
      </c>
      <c r="U713" s="2" t="str">
        <f>IF(OR(ROUND(raw_order_lines!J713*100,0)&lt;ROUND(INDEX(dim_products!$F$2:$F$21,MATCH($E713,dim_products!$A$2:$A$21,0))*100,0),ROUND(raw_order_lines!J713*100,0)&gt;ROUND(INDEX(dim_products!$G$2:$G$21,MATCH($E713,dim_products!$A$2:$A$21,0))*100,0)),"单价越界","")</f>
        <v/>
      </c>
      <c r="V713" s="2" t="str">
        <f t="shared" si="34"/>
        <v/>
      </c>
      <c r="W713" s="2" t="str">
        <f t="shared" si="35"/>
        <v>通过</v>
      </c>
    </row>
    <row r="714" spans="1:23" ht="15">
      <c r="A714" s="2" t="str">
        <f>raw_order_lines!A714</f>
        <v>SIM-20260922-C006</v>
      </c>
      <c r="B714" s="2">
        <f>raw_order_lines!B714</f>
        <v>1</v>
      </c>
      <c r="C714" s="2" t="str">
        <f>raw_order_lines!C714</f>
        <v>C006</v>
      </c>
      <c r="D714" s="3">
        <f>raw_order_lines!D714</f>
        <v>46287</v>
      </c>
      <c r="E714" s="2" t="str">
        <f>raw_order_lines!E714</f>
        <v>P010</v>
      </c>
      <c r="F714" s="2" t="str">
        <f>raw_order_lines!F714</f>
        <v>公斤</v>
      </c>
      <c r="G714" s="4">
        <f>raw_order_lines!G714</f>
        <v>10.5</v>
      </c>
      <c r="H714" s="4">
        <f>raw_order_lines!H714</f>
        <v>10.5</v>
      </c>
      <c r="I714" s="4">
        <f>raw_order_lines!I714</f>
        <v>0</v>
      </c>
      <c r="J714" s="5">
        <f>raw_order_lines!J714</f>
        <v>4.9000000000000004</v>
      </c>
      <c r="K714" s="2" t="str">
        <f>raw_order_lines!K714</f>
        <v>正常交付</v>
      </c>
      <c r="L714" s="2" t="str">
        <f>raw_order_lines!L714</f>
        <v>true</v>
      </c>
      <c r="M714" s="2" t="str">
        <f>INDEX(dim_products!$B$2:$B$21,MATCH($E714,dim_products!$A$2:$A$21,0))</f>
        <v>空心菜</v>
      </c>
      <c r="N714" s="2" t="str">
        <f>INDEX(dim_products!$C$2:$C$21,MATCH($E714,dim_products!$A$2:$A$21,0))</f>
        <v>散装鲜菜</v>
      </c>
      <c r="O714" s="2" t="str">
        <f>INDEX(dim_customers!$B$2:$B$7,MATCH($C714,dim_customers!$A$2:$A$7,0))</f>
        <v>模拟_溪桥医院食堂</v>
      </c>
      <c r="P714" s="6">
        <f>INT((ROUND(raw_order_lines!H714*10,0)*ROUND(raw_order_lines!J714*100,0)+5)/10)/100</f>
        <v>51.45</v>
      </c>
      <c r="Q714" s="6">
        <f>INT((ROUND(raw_order_lines!I714*10,0)*ROUND(raw_order_lines!J714*100,0)+5)/10)/100</f>
        <v>0</v>
      </c>
      <c r="R714" s="6">
        <f t="shared" si="33"/>
        <v>51.45</v>
      </c>
      <c r="S714" s="2" t="str">
        <f>IF(OR(ROUND(raw_order_lines!I714*10,0)&gt;ROUND(raw_order_lines!H714*10,0),ROUND(raw_order_lines!H714*10,0)&gt;ROUND(raw_order_lines!G714*10,0),ROUND(raw_order_lines!G714*10,0)&lt;=0),"数量关系异常","")</f>
        <v/>
      </c>
      <c r="T714" s="2" t="str">
        <f>IF($F714&lt;&gt;INDEX(dim_products!$D$2:$D$21,MATCH($E714,dim_products!$A$2:$A$21,0)),"单位不一致","")</f>
        <v/>
      </c>
      <c r="U714" s="2" t="str">
        <f>IF(OR(ROUND(raw_order_lines!J714*100,0)&lt;ROUND(INDEX(dim_products!$F$2:$F$21,MATCH($E714,dim_products!$A$2:$A$21,0))*100,0),ROUND(raw_order_lines!J714*100,0)&gt;ROUND(INDEX(dim_products!$G$2:$G$21,MATCH($E714,dim_products!$A$2:$A$21,0))*100,0)),"单价越界","")</f>
        <v/>
      </c>
      <c r="V714" s="2" t="str">
        <f t="shared" si="34"/>
        <v/>
      </c>
      <c r="W714" s="2" t="str">
        <f t="shared" si="35"/>
        <v>通过</v>
      </c>
    </row>
    <row r="715" spans="1:23" ht="15">
      <c r="A715" s="2" t="str">
        <f>raw_order_lines!A715</f>
        <v>SIM-20260922-C006</v>
      </c>
      <c r="B715" s="2">
        <f>raw_order_lines!B715</f>
        <v>2</v>
      </c>
      <c r="C715" s="2" t="str">
        <f>raw_order_lines!C715</f>
        <v>C006</v>
      </c>
      <c r="D715" s="3">
        <f>raw_order_lines!D715</f>
        <v>46287</v>
      </c>
      <c r="E715" s="2" t="str">
        <f>raw_order_lines!E715</f>
        <v>P004</v>
      </c>
      <c r="F715" s="2" t="str">
        <f>raw_order_lines!F715</f>
        <v>公斤</v>
      </c>
      <c r="G715" s="4">
        <f>raw_order_lines!G715</f>
        <v>9.1999999999999993</v>
      </c>
      <c r="H715" s="4">
        <f>raw_order_lines!H715</f>
        <v>9.1999999999999993</v>
      </c>
      <c r="I715" s="4">
        <f>raw_order_lines!I715</f>
        <v>0</v>
      </c>
      <c r="J715" s="5">
        <f>raw_order_lines!J715</f>
        <v>2.2999999999999998</v>
      </c>
      <c r="K715" s="2" t="str">
        <f>raw_order_lines!K715</f>
        <v>正常交付</v>
      </c>
      <c r="L715" s="2" t="str">
        <f>raw_order_lines!L715</f>
        <v>true</v>
      </c>
      <c r="M715" s="2" t="str">
        <f>INDEX(dim_products!$B$2:$B$21,MATCH($E715,dim_products!$A$2:$A$21,0))</f>
        <v>冬瓜</v>
      </c>
      <c r="N715" s="2" t="str">
        <f>INDEX(dim_products!$C$2:$C$21,MATCH($E715,dim_products!$A$2:$A$21,0))</f>
        <v>散装鲜菜</v>
      </c>
      <c r="O715" s="2" t="str">
        <f>INDEX(dim_customers!$B$2:$B$7,MATCH($C715,dim_customers!$A$2:$A$7,0))</f>
        <v>模拟_溪桥医院食堂</v>
      </c>
      <c r="P715" s="6">
        <f>INT((ROUND(raw_order_lines!H715*10,0)*ROUND(raw_order_lines!J715*100,0)+5)/10)/100</f>
        <v>21.16</v>
      </c>
      <c r="Q715" s="6">
        <f>INT((ROUND(raw_order_lines!I715*10,0)*ROUND(raw_order_lines!J715*100,0)+5)/10)/100</f>
        <v>0</v>
      </c>
      <c r="R715" s="6">
        <f t="shared" si="33"/>
        <v>21.16</v>
      </c>
      <c r="S715" s="2" t="str">
        <f>IF(OR(ROUND(raw_order_lines!I715*10,0)&gt;ROUND(raw_order_lines!H715*10,0),ROUND(raw_order_lines!H715*10,0)&gt;ROUND(raw_order_lines!G715*10,0),ROUND(raw_order_lines!G715*10,0)&lt;=0),"数量关系异常","")</f>
        <v/>
      </c>
      <c r="T715" s="2" t="str">
        <f>IF($F715&lt;&gt;INDEX(dim_products!$D$2:$D$21,MATCH($E715,dim_products!$A$2:$A$21,0)),"单位不一致","")</f>
        <v/>
      </c>
      <c r="U715" s="2" t="str">
        <f>IF(OR(ROUND(raw_order_lines!J715*100,0)&lt;ROUND(INDEX(dim_products!$F$2:$F$21,MATCH($E715,dim_products!$A$2:$A$21,0))*100,0),ROUND(raw_order_lines!J715*100,0)&gt;ROUND(INDEX(dim_products!$G$2:$G$21,MATCH($E715,dim_products!$A$2:$A$21,0))*100,0)),"单价越界","")</f>
        <v/>
      </c>
      <c r="V715" s="2" t="str">
        <f t="shared" si="34"/>
        <v/>
      </c>
      <c r="W715" s="2" t="str">
        <f t="shared" si="35"/>
        <v>通过</v>
      </c>
    </row>
    <row r="716" spans="1:23" ht="15">
      <c r="A716" s="2" t="str">
        <f>raw_order_lines!A716</f>
        <v>SIM-20260922-C006</v>
      </c>
      <c r="B716" s="2">
        <f>raw_order_lines!B716</f>
        <v>3</v>
      </c>
      <c r="C716" s="2" t="str">
        <f>raw_order_lines!C716</f>
        <v>C006</v>
      </c>
      <c r="D716" s="3">
        <f>raw_order_lines!D716</f>
        <v>46287</v>
      </c>
      <c r="E716" s="2" t="str">
        <f>raw_order_lines!E716</f>
        <v>P013</v>
      </c>
      <c r="F716" s="2" t="str">
        <f>raw_order_lines!F716</f>
        <v>公斤</v>
      </c>
      <c r="G716" s="4">
        <f>raw_order_lines!G716</f>
        <v>6.6</v>
      </c>
      <c r="H716" s="4">
        <f>raw_order_lines!H716</f>
        <v>6.6</v>
      </c>
      <c r="I716" s="4">
        <f>raw_order_lines!I716</f>
        <v>0</v>
      </c>
      <c r="J716" s="5">
        <f>raw_order_lines!J716</f>
        <v>6.1</v>
      </c>
      <c r="K716" s="2" t="str">
        <f>raw_order_lines!K716</f>
        <v>正常交付</v>
      </c>
      <c r="L716" s="2" t="str">
        <f>raw_order_lines!L716</f>
        <v>true</v>
      </c>
      <c r="M716" s="2" t="str">
        <f>INDEX(dim_products!$B$2:$B$21,MATCH($E716,dim_products!$A$2:$A$21,0))</f>
        <v>豇豆</v>
      </c>
      <c r="N716" s="2" t="str">
        <f>INDEX(dim_products!$C$2:$C$21,MATCH($E716,dim_products!$A$2:$A$21,0))</f>
        <v>散装鲜菜</v>
      </c>
      <c r="O716" s="2" t="str">
        <f>INDEX(dim_customers!$B$2:$B$7,MATCH($C716,dim_customers!$A$2:$A$7,0))</f>
        <v>模拟_溪桥医院食堂</v>
      </c>
      <c r="P716" s="6">
        <f>INT((ROUND(raw_order_lines!H716*10,0)*ROUND(raw_order_lines!J716*100,0)+5)/10)/100</f>
        <v>40.26</v>
      </c>
      <c r="Q716" s="6">
        <f>INT((ROUND(raw_order_lines!I716*10,0)*ROUND(raw_order_lines!J716*100,0)+5)/10)/100</f>
        <v>0</v>
      </c>
      <c r="R716" s="6">
        <f t="shared" si="33"/>
        <v>40.26</v>
      </c>
      <c r="S716" s="2" t="str">
        <f>IF(OR(ROUND(raw_order_lines!I716*10,0)&gt;ROUND(raw_order_lines!H716*10,0),ROUND(raw_order_lines!H716*10,0)&gt;ROUND(raw_order_lines!G716*10,0),ROUND(raw_order_lines!G716*10,0)&lt;=0),"数量关系异常","")</f>
        <v/>
      </c>
      <c r="T716" s="2" t="str">
        <f>IF($F716&lt;&gt;INDEX(dim_products!$D$2:$D$21,MATCH($E716,dim_products!$A$2:$A$21,0)),"单位不一致","")</f>
        <v/>
      </c>
      <c r="U716" s="2" t="str">
        <f>IF(OR(ROUND(raw_order_lines!J716*100,0)&lt;ROUND(INDEX(dim_products!$F$2:$F$21,MATCH($E716,dim_products!$A$2:$A$21,0))*100,0),ROUND(raw_order_lines!J716*100,0)&gt;ROUND(INDEX(dim_products!$G$2:$G$21,MATCH($E716,dim_products!$A$2:$A$21,0))*100,0)),"单价越界","")</f>
        <v/>
      </c>
      <c r="V716" s="2" t="str">
        <f t="shared" si="34"/>
        <v/>
      </c>
      <c r="W716" s="2" t="str">
        <f t="shared" si="35"/>
        <v>通过</v>
      </c>
    </row>
    <row r="717" spans="1:23" ht="15">
      <c r="A717" s="2" t="str">
        <f>raw_order_lines!A717</f>
        <v>SIM-20260922-C006</v>
      </c>
      <c r="B717" s="2">
        <f>raw_order_lines!B717</f>
        <v>4</v>
      </c>
      <c r="C717" s="2" t="str">
        <f>raw_order_lines!C717</f>
        <v>C006</v>
      </c>
      <c r="D717" s="3">
        <f>raw_order_lines!D717</f>
        <v>46287</v>
      </c>
      <c r="E717" s="2" t="str">
        <f>raw_order_lines!E717</f>
        <v>P001</v>
      </c>
      <c r="F717" s="2" t="str">
        <f>raw_order_lines!F717</f>
        <v>公斤</v>
      </c>
      <c r="G717" s="4">
        <f>raw_order_lines!G717</f>
        <v>7.9</v>
      </c>
      <c r="H717" s="4">
        <f>raw_order_lines!H717</f>
        <v>7.9</v>
      </c>
      <c r="I717" s="4">
        <f>raw_order_lines!I717</f>
        <v>0</v>
      </c>
      <c r="J717" s="5">
        <f>raw_order_lines!J717</f>
        <v>3.5</v>
      </c>
      <c r="K717" s="2" t="str">
        <f>raw_order_lines!K717</f>
        <v>正常交付</v>
      </c>
      <c r="L717" s="2" t="str">
        <f>raw_order_lines!L717</f>
        <v>true</v>
      </c>
      <c r="M717" s="2" t="str">
        <f>INDEX(dim_products!$B$2:$B$21,MATCH($E717,dim_products!$A$2:$A$21,0))</f>
        <v>土豆</v>
      </c>
      <c r="N717" s="2" t="str">
        <f>INDEX(dim_products!$C$2:$C$21,MATCH($E717,dim_products!$A$2:$A$21,0))</f>
        <v>散装鲜菜</v>
      </c>
      <c r="O717" s="2" t="str">
        <f>INDEX(dim_customers!$B$2:$B$7,MATCH($C717,dim_customers!$A$2:$A$7,0))</f>
        <v>模拟_溪桥医院食堂</v>
      </c>
      <c r="P717" s="6">
        <f>INT((ROUND(raw_order_lines!H717*10,0)*ROUND(raw_order_lines!J717*100,0)+5)/10)/100</f>
        <v>27.65</v>
      </c>
      <c r="Q717" s="6">
        <f>INT((ROUND(raw_order_lines!I717*10,0)*ROUND(raw_order_lines!J717*100,0)+5)/10)/100</f>
        <v>0</v>
      </c>
      <c r="R717" s="6">
        <f t="shared" si="33"/>
        <v>27.65</v>
      </c>
      <c r="S717" s="2" t="str">
        <f>IF(OR(ROUND(raw_order_lines!I717*10,0)&gt;ROUND(raw_order_lines!H717*10,0),ROUND(raw_order_lines!H717*10,0)&gt;ROUND(raw_order_lines!G717*10,0),ROUND(raw_order_lines!G717*10,0)&lt;=0),"数量关系异常","")</f>
        <v/>
      </c>
      <c r="T717" s="2" t="str">
        <f>IF($F717&lt;&gt;INDEX(dim_products!$D$2:$D$21,MATCH($E717,dim_products!$A$2:$A$21,0)),"单位不一致","")</f>
        <v/>
      </c>
      <c r="U717" s="2" t="str">
        <f>IF(OR(ROUND(raw_order_lines!J717*100,0)&lt;ROUND(INDEX(dim_products!$F$2:$F$21,MATCH($E717,dim_products!$A$2:$A$21,0))*100,0),ROUND(raw_order_lines!J717*100,0)&gt;ROUND(INDEX(dim_products!$G$2:$G$21,MATCH($E717,dim_products!$A$2:$A$21,0))*100,0)),"单价越界","")</f>
        <v/>
      </c>
      <c r="V717" s="2" t="str">
        <f t="shared" si="34"/>
        <v/>
      </c>
      <c r="W717" s="2" t="str">
        <f t="shared" si="35"/>
        <v>通过</v>
      </c>
    </row>
    <row r="718" spans="1:23" ht="15">
      <c r="A718" s="2" t="str">
        <f>raw_order_lines!A718</f>
        <v>SIM-20260922-C006</v>
      </c>
      <c r="B718" s="2">
        <f>raw_order_lines!B718</f>
        <v>5</v>
      </c>
      <c r="C718" s="2" t="str">
        <f>raw_order_lines!C718</f>
        <v>C006</v>
      </c>
      <c r="D718" s="3">
        <f>raw_order_lines!D718</f>
        <v>46287</v>
      </c>
      <c r="E718" s="2" t="str">
        <f>raw_order_lines!E718</f>
        <v>P014</v>
      </c>
      <c r="F718" s="2" t="str">
        <f>raw_order_lines!F718</f>
        <v>公斤</v>
      </c>
      <c r="G718" s="4">
        <f>raw_order_lines!G718</f>
        <v>9.8000000000000007</v>
      </c>
      <c r="H718" s="4">
        <f>raw_order_lines!H718</f>
        <v>9.8000000000000007</v>
      </c>
      <c r="I718" s="4">
        <f>raw_order_lines!I718</f>
        <v>0</v>
      </c>
      <c r="J718" s="5">
        <f>raw_order_lines!J718</f>
        <v>4.9000000000000004</v>
      </c>
      <c r="K718" s="2" t="str">
        <f>raw_order_lines!K718</f>
        <v>正常交付</v>
      </c>
      <c r="L718" s="2" t="str">
        <f>raw_order_lines!L718</f>
        <v>true</v>
      </c>
      <c r="M718" s="2" t="str">
        <f>INDEX(dim_products!$B$2:$B$21,MATCH($E718,dim_products!$A$2:$A$21,0))</f>
        <v>丝瓜</v>
      </c>
      <c r="N718" s="2" t="str">
        <f>INDEX(dim_products!$C$2:$C$21,MATCH($E718,dim_products!$A$2:$A$21,0))</f>
        <v>散装鲜菜</v>
      </c>
      <c r="O718" s="2" t="str">
        <f>INDEX(dim_customers!$B$2:$B$7,MATCH($C718,dim_customers!$A$2:$A$7,0))</f>
        <v>模拟_溪桥医院食堂</v>
      </c>
      <c r="P718" s="6">
        <f>INT((ROUND(raw_order_lines!H718*10,0)*ROUND(raw_order_lines!J718*100,0)+5)/10)/100</f>
        <v>48.02</v>
      </c>
      <c r="Q718" s="6">
        <f>INT((ROUND(raw_order_lines!I718*10,0)*ROUND(raw_order_lines!J718*100,0)+5)/10)/100</f>
        <v>0</v>
      </c>
      <c r="R718" s="6">
        <f t="shared" si="33"/>
        <v>48.02</v>
      </c>
      <c r="S718" s="2" t="str">
        <f>IF(OR(ROUND(raw_order_lines!I718*10,0)&gt;ROUND(raw_order_lines!H718*10,0),ROUND(raw_order_lines!H718*10,0)&gt;ROUND(raw_order_lines!G718*10,0),ROUND(raw_order_lines!G718*10,0)&lt;=0),"数量关系异常","")</f>
        <v/>
      </c>
      <c r="T718" s="2" t="str">
        <f>IF($F718&lt;&gt;INDEX(dim_products!$D$2:$D$21,MATCH($E718,dim_products!$A$2:$A$21,0)),"单位不一致","")</f>
        <v/>
      </c>
      <c r="U718" s="2" t="str">
        <f>IF(OR(ROUND(raw_order_lines!J718*100,0)&lt;ROUND(INDEX(dim_products!$F$2:$F$21,MATCH($E718,dim_products!$A$2:$A$21,0))*100,0),ROUND(raw_order_lines!J718*100,0)&gt;ROUND(INDEX(dim_products!$G$2:$G$21,MATCH($E718,dim_products!$A$2:$A$21,0))*100,0)),"单价越界","")</f>
        <v/>
      </c>
      <c r="V718" s="2" t="str">
        <f t="shared" si="34"/>
        <v/>
      </c>
      <c r="W718" s="2" t="str">
        <f t="shared" si="35"/>
        <v>通过</v>
      </c>
    </row>
    <row r="719" spans="1:23" ht="15">
      <c r="A719" s="2" t="str">
        <f>raw_order_lines!A719</f>
        <v>SIM-20260922-C006</v>
      </c>
      <c r="B719" s="2">
        <f>raw_order_lines!B719</f>
        <v>6</v>
      </c>
      <c r="C719" s="2" t="str">
        <f>raw_order_lines!C719</f>
        <v>C006</v>
      </c>
      <c r="D719" s="3">
        <f>raw_order_lines!D719</f>
        <v>46287</v>
      </c>
      <c r="E719" s="2" t="str">
        <f>raw_order_lines!E719</f>
        <v>P008</v>
      </c>
      <c r="F719" s="2" t="str">
        <f>raw_order_lines!F719</f>
        <v>公斤</v>
      </c>
      <c r="G719" s="4">
        <f>raw_order_lines!G719</f>
        <v>4.5999999999999996</v>
      </c>
      <c r="H719" s="4">
        <f>raw_order_lines!H719</f>
        <v>4.5999999999999996</v>
      </c>
      <c r="I719" s="4">
        <f>raw_order_lines!I719</f>
        <v>0</v>
      </c>
      <c r="J719" s="5">
        <f>raw_order_lines!J719</f>
        <v>3.9</v>
      </c>
      <c r="K719" s="2" t="str">
        <f>raw_order_lines!K719</f>
        <v>正常交付</v>
      </c>
      <c r="L719" s="2" t="str">
        <f>raw_order_lines!L719</f>
        <v>true</v>
      </c>
      <c r="M719" s="2" t="str">
        <f>INDEX(dim_products!$B$2:$B$21,MATCH($E719,dim_products!$A$2:$A$21,0))</f>
        <v>黄瓜</v>
      </c>
      <c r="N719" s="2" t="str">
        <f>INDEX(dim_products!$C$2:$C$21,MATCH($E719,dim_products!$A$2:$A$21,0))</f>
        <v>散装鲜菜</v>
      </c>
      <c r="O719" s="2" t="str">
        <f>INDEX(dim_customers!$B$2:$B$7,MATCH($C719,dim_customers!$A$2:$A$7,0))</f>
        <v>模拟_溪桥医院食堂</v>
      </c>
      <c r="P719" s="6">
        <f>INT((ROUND(raw_order_lines!H719*10,0)*ROUND(raw_order_lines!J719*100,0)+5)/10)/100</f>
        <v>17.940000000000001</v>
      </c>
      <c r="Q719" s="6">
        <f>INT((ROUND(raw_order_lines!I719*10,0)*ROUND(raw_order_lines!J719*100,0)+5)/10)/100</f>
        <v>0</v>
      </c>
      <c r="R719" s="6">
        <f t="shared" si="33"/>
        <v>17.940000000000001</v>
      </c>
      <c r="S719" s="2" t="str">
        <f>IF(OR(ROUND(raw_order_lines!I719*10,0)&gt;ROUND(raw_order_lines!H719*10,0),ROUND(raw_order_lines!H719*10,0)&gt;ROUND(raw_order_lines!G719*10,0),ROUND(raw_order_lines!G719*10,0)&lt;=0),"数量关系异常","")</f>
        <v/>
      </c>
      <c r="T719" s="2" t="str">
        <f>IF($F719&lt;&gt;INDEX(dim_products!$D$2:$D$21,MATCH($E719,dim_products!$A$2:$A$21,0)),"单位不一致","")</f>
        <v/>
      </c>
      <c r="U719" s="2" t="str">
        <f>IF(OR(ROUND(raw_order_lines!J719*100,0)&lt;ROUND(INDEX(dim_products!$F$2:$F$21,MATCH($E719,dim_products!$A$2:$A$21,0))*100,0),ROUND(raw_order_lines!J719*100,0)&gt;ROUND(INDEX(dim_products!$G$2:$G$21,MATCH($E719,dim_products!$A$2:$A$21,0))*100,0)),"单价越界","")</f>
        <v/>
      </c>
      <c r="V719" s="2" t="str">
        <f t="shared" si="34"/>
        <v/>
      </c>
      <c r="W719" s="2" t="str">
        <f t="shared" si="35"/>
        <v>通过</v>
      </c>
    </row>
    <row r="720" spans="1:23" ht="15">
      <c r="A720" s="2" t="str">
        <f>raw_order_lines!A720</f>
        <v>SIM-20260922-C006</v>
      </c>
      <c r="B720" s="2">
        <f>raw_order_lines!B720</f>
        <v>7</v>
      </c>
      <c r="C720" s="2" t="str">
        <f>raw_order_lines!C720</f>
        <v>C006</v>
      </c>
      <c r="D720" s="3">
        <f>raw_order_lines!D720</f>
        <v>46287</v>
      </c>
      <c r="E720" s="2" t="str">
        <f>raw_order_lines!E720</f>
        <v>P015</v>
      </c>
      <c r="F720" s="2" t="str">
        <f>raw_order_lines!F720</f>
        <v>公斤</v>
      </c>
      <c r="G720" s="4">
        <f>raw_order_lines!G720</f>
        <v>1</v>
      </c>
      <c r="H720" s="4">
        <f>raw_order_lines!H720</f>
        <v>1</v>
      </c>
      <c r="I720" s="4">
        <f>raw_order_lines!I720</f>
        <v>0</v>
      </c>
      <c r="J720" s="5">
        <f>raw_order_lines!J720</f>
        <v>7.8</v>
      </c>
      <c r="K720" s="2" t="str">
        <f>raw_order_lines!K720</f>
        <v>正常交付</v>
      </c>
      <c r="L720" s="2" t="str">
        <f>raw_order_lines!L720</f>
        <v>true</v>
      </c>
      <c r="M720" s="2" t="str">
        <f>INDEX(dim_products!$B$2:$B$21,MATCH($E720,dim_products!$A$2:$A$21,0))</f>
        <v>小葱</v>
      </c>
      <c r="N720" s="2" t="str">
        <f>INDEX(dim_products!$C$2:$C$21,MATCH($E720,dim_products!$A$2:$A$21,0))</f>
        <v>散装鲜菜</v>
      </c>
      <c r="O720" s="2" t="str">
        <f>INDEX(dim_customers!$B$2:$B$7,MATCH($C720,dim_customers!$A$2:$A$7,0))</f>
        <v>模拟_溪桥医院食堂</v>
      </c>
      <c r="P720" s="6">
        <f>INT((ROUND(raw_order_lines!H720*10,0)*ROUND(raw_order_lines!J720*100,0)+5)/10)/100</f>
        <v>7.8</v>
      </c>
      <c r="Q720" s="6">
        <f>INT((ROUND(raw_order_lines!I720*10,0)*ROUND(raw_order_lines!J720*100,0)+5)/10)/100</f>
        <v>0</v>
      </c>
      <c r="R720" s="6">
        <f t="shared" si="33"/>
        <v>7.8</v>
      </c>
      <c r="S720" s="2" t="str">
        <f>IF(OR(ROUND(raw_order_lines!I720*10,0)&gt;ROUND(raw_order_lines!H720*10,0),ROUND(raw_order_lines!H720*10,0)&gt;ROUND(raw_order_lines!G720*10,0),ROUND(raw_order_lines!G720*10,0)&lt;=0),"数量关系异常","")</f>
        <v/>
      </c>
      <c r="T720" s="2" t="str">
        <f>IF($F720&lt;&gt;INDEX(dim_products!$D$2:$D$21,MATCH($E720,dim_products!$A$2:$A$21,0)),"单位不一致","")</f>
        <v/>
      </c>
      <c r="U720" s="2" t="str">
        <f>IF(OR(ROUND(raw_order_lines!J720*100,0)&lt;ROUND(INDEX(dim_products!$F$2:$F$21,MATCH($E720,dim_products!$A$2:$A$21,0))*100,0),ROUND(raw_order_lines!J720*100,0)&gt;ROUND(INDEX(dim_products!$G$2:$G$21,MATCH($E720,dim_products!$A$2:$A$21,0))*100,0)),"单价越界","")</f>
        <v/>
      </c>
      <c r="V720" s="2" t="str">
        <f t="shared" si="34"/>
        <v/>
      </c>
      <c r="W720" s="2" t="str">
        <f t="shared" si="35"/>
        <v>通过</v>
      </c>
    </row>
    <row r="721" spans="1:23" ht="15">
      <c r="A721" s="2" t="str">
        <f>raw_order_lines!A721</f>
        <v>SIM-20260923-C001</v>
      </c>
      <c r="B721" s="2">
        <f>raw_order_lines!B721</f>
        <v>1</v>
      </c>
      <c r="C721" s="2" t="str">
        <f>raw_order_lines!C721</f>
        <v>C001</v>
      </c>
      <c r="D721" s="3">
        <f>raw_order_lines!D721</f>
        <v>46288</v>
      </c>
      <c r="E721" s="2" t="str">
        <f>raw_order_lines!E721</f>
        <v>P011</v>
      </c>
      <c r="F721" s="2" t="str">
        <f>raw_order_lines!F721</f>
        <v>公斤</v>
      </c>
      <c r="G721" s="4">
        <f>raw_order_lines!G721</f>
        <v>3.3</v>
      </c>
      <c r="H721" s="4">
        <f>raw_order_lines!H721</f>
        <v>3.3</v>
      </c>
      <c r="I721" s="4">
        <f>raw_order_lines!I721</f>
        <v>0.3</v>
      </c>
      <c r="J721" s="5">
        <f>raw_order_lines!J721</f>
        <v>4.8</v>
      </c>
      <c r="K721" s="2" t="str">
        <f>raw_order_lines!K721</f>
        <v>正常交付；签收时挑出黄叶退回</v>
      </c>
      <c r="L721" s="2" t="str">
        <f>raw_order_lines!L721</f>
        <v>true</v>
      </c>
      <c r="M721" s="2" t="str">
        <f>INDEX(dim_products!$B$2:$B$21,MATCH($E721,dim_products!$A$2:$A$21,0))</f>
        <v>红薯叶</v>
      </c>
      <c r="N721" s="2" t="str">
        <f>INDEX(dim_products!$C$2:$C$21,MATCH($E721,dim_products!$A$2:$A$21,0))</f>
        <v>散装鲜菜</v>
      </c>
      <c r="O721" s="2" t="str">
        <f>INDEX(dim_customers!$B$2:$B$7,MATCH($C721,dim_customers!$A$2:$A$7,0))</f>
        <v>模拟_榕树下粉面店</v>
      </c>
      <c r="P721" s="6">
        <f>INT((ROUND(raw_order_lines!H721*10,0)*ROUND(raw_order_lines!J721*100,0)+5)/10)/100</f>
        <v>15.84</v>
      </c>
      <c r="Q721" s="6">
        <f>INT((ROUND(raw_order_lines!I721*10,0)*ROUND(raw_order_lines!J721*100,0)+5)/10)/100</f>
        <v>1.44</v>
      </c>
      <c r="R721" s="6">
        <f t="shared" si="33"/>
        <v>14.4</v>
      </c>
      <c r="S721" s="2" t="str">
        <f>IF(OR(ROUND(raw_order_lines!I721*10,0)&gt;ROUND(raw_order_lines!H721*10,0),ROUND(raw_order_lines!H721*10,0)&gt;ROUND(raw_order_lines!G721*10,0),ROUND(raw_order_lines!G721*10,0)&lt;=0),"数量关系异常","")</f>
        <v/>
      </c>
      <c r="T721" s="2" t="str">
        <f>IF($F721&lt;&gt;INDEX(dim_products!$D$2:$D$21,MATCH($E721,dim_products!$A$2:$A$21,0)),"单位不一致","")</f>
        <v/>
      </c>
      <c r="U721" s="2" t="str">
        <f>IF(OR(ROUND(raw_order_lines!J721*100,0)&lt;ROUND(INDEX(dim_products!$F$2:$F$21,MATCH($E721,dim_products!$A$2:$A$21,0))*100,0),ROUND(raw_order_lines!J721*100,0)&gt;ROUND(INDEX(dim_products!$G$2:$G$21,MATCH($E721,dim_products!$A$2:$A$21,0))*100,0)),"单价越界","")</f>
        <v/>
      </c>
      <c r="V721" s="2" t="str">
        <f t="shared" si="34"/>
        <v/>
      </c>
      <c r="W721" s="2" t="str">
        <f t="shared" si="35"/>
        <v>通过</v>
      </c>
    </row>
    <row r="722" spans="1:23" ht="15">
      <c r="A722" s="2" t="str">
        <f>raw_order_lines!A722</f>
        <v>SIM-20260923-C001</v>
      </c>
      <c r="B722" s="2">
        <f>raw_order_lines!B722</f>
        <v>2</v>
      </c>
      <c r="C722" s="2" t="str">
        <f>raw_order_lines!C722</f>
        <v>C001</v>
      </c>
      <c r="D722" s="3">
        <f>raw_order_lines!D722</f>
        <v>46288</v>
      </c>
      <c r="E722" s="2" t="str">
        <f>raw_order_lines!E722</f>
        <v>P008</v>
      </c>
      <c r="F722" s="2" t="str">
        <f>raw_order_lines!F722</f>
        <v>公斤</v>
      </c>
      <c r="G722" s="4">
        <f>raw_order_lines!G722</f>
        <v>2.5</v>
      </c>
      <c r="H722" s="4">
        <f>raw_order_lines!H722</f>
        <v>2.5</v>
      </c>
      <c r="I722" s="4">
        <f>raw_order_lines!I722</f>
        <v>0</v>
      </c>
      <c r="J722" s="5">
        <f>raw_order_lines!J722</f>
        <v>3.9</v>
      </c>
      <c r="K722" s="2" t="str">
        <f>raw_order_lines!K722</f>
        <v>正常交付</v>
      </c>
      <c r="L722" s="2" t="str">
        <f>raw_order_lines!L722</f>
        <v>true</v>
      </c>
      <c r="M722" s="2" t="str">
        <f>INDEX(dim_products!$B$2:$B$21,MATCH($E722,dim_products!$A$2:$A$21,0))</f>
        <v>黄瓜</v>
      </c>
      <c r="N722" s="2" t="str">
        <f>INDEX(dim_products!$C$2:$C$21,MATCH($E722,dim_products!$A$2:$A$21,0))</f>
        <v>散装鲜菜</v>
      </c>
      <c r="O722" s="2" t="str">
        <f>INDEX(dim_customers!$B$2:$B$7,MATCH($C722,dim_customers!$A$2:$A$7,0))</f>
        <v>模拟_榕树下粉面店</v>
      </c>
      <c r="P722" s="6">
        <f>INT((ROUND(raw_order_lines!H722*10,0)*ROUND(raw_order_lines!J722*100,0)+5)/10)/100</f>
        <v>9.75</v>
      </c>
      <c r="Q722" s="6">
        <f>INT((ROUND(raw_order_lines!I722*10,0)*ROUND(raw_order_lines!J722*100,0)+5)/10)/100</f>
        <v>0</v>
      </c>
      <c r="R722" s="6">
        <f t="shared" si="33"/>
        <v>9.75</v>
      </c>
      <c r="S722" s="2" t="str">
        <f>IF(OR(ROUND(raw_order_lines!I722*10,0)&gt;ROUND(raw_order_lines!H722*10,0),ROUND(raw_order_lines!H722*10,0)&gt;ROUND(raw_order_lines!G722*10,0),ROUND(raw_order_lines!G722*10,0)&lt;=0),"数量关系异常","")</f>
        <v/>
      </c>
      <c r="T722" s="2" t="str">
        <f>IF($F722&lt;&gt;INDEX(dim_products!$D$2:$D$21,MATCH($E722,dim_products!$A$2:$A$21,0)),"单位不一致","")</f>
        <v/>
      </c>
      <c r="U722" s="2" t="str">
        <f>IF(OR(ROUND(raw_order_lines!J722*100,0)&lt;ROUND(INDEX(dim_products!$F$2:$F$21,MATCH($E722,dim_products!$A$2:$A$21,0))*100,0),ROUND(raw_order_lines!J722*100,0)&gt;ROUND(INDEX(dim_products!$G$2:$G$21,MATCH($E722,dim_products!$A$2:$A$21,0))*100,0)),"单价越界","")</f>
        <v/>
      </c>
      <c r="V722" s="2" t="str">
        <f t="shared" si="34"/>
        <v/>
      </c>
      <c r="W722" s="2" t="str">
        <f t="shared" si="35"/>
        <v>通过</v>
      </c>
    </row>
    <row r="723" spans="1:23" ht="15">
      <c r="A723" s="2" t="str">
        <f>raw_order_lines!A723</f>
        <v>SIM-20260923-C001</v>
      </c>
      <c r="B723" s="2">
        <f>raw_order_lines!B723</f>
        <v>3</v>
      </c>
      <c r="C723" s="2" t="str">
        <f>raw_order_lines!C723</f>
        <v>C001</v>
      </c>
      <c r="D723" s="3">
        <f>raw_order_lines!D723</f>
        <v>46288</v>
      </c>
      <c r="E723" s="2" t="str">
        <f>raw_order_lines!E723</f>
        <v>P006</v>
      </c>
      <c r="F723" s="2" t="str">
        <f>raw_order_lines!F723</f>
        <v>公斤</v>
      </c>
      <c r="G723" s="4">
        <f>raw_order_lines!G723</f>
        <v>3.3</v>
      </c>
      <c r="H723" s="4">
        <f>raw_order_lines!H723</f>
        <v>3</v>
      </c>
      <c r="I723" s="4">
        <f>raw_order_lines!I723</f>
        <v>0</v>
      </c>
      <c r="J723" s="5">
        <f>raw_order_lines!J723</f>
        <v>4.5999999999999996</v>
      </c>
      <c r="K723" s="2" t="str">
        <f>raw_order_lines!K723</f>
        <v>到货不足；按实际交付计费</v>
      </c>
      <c r="L723" s="2" t="str">
        <f>raw_order_lines!L723</f>
        <v>true</v>
      </c>
      <c r="M723" s="2" t="str">
        <f>INDEX(dim_products!$B$2:$B$21,MATCH($E723,dim_products!$A$2:$A$21,0))</f>
        <v>茄子</v>
      </c>
      <c r="N723" s="2" t="str">
        <f>INDEX(dim_products!$C$2:$C$21,MATCH($E723,dim_products!$A$2:$A$21,0))</f>
        <v>散装鲜菜</v>
      </c>
      <c r="O723" s="2" t="str">
        <f>INDEX(dim_customers!$B$2:$B$7,MATCH($C723,dim_customers!$A$2:$A$7,0))</f>
        <v>模拟_榕树下粉面店</v>
      </c>
      <c r="P723" s="6">
        <f>INT((ROUND(raw_order_lines!H723*10,0)*ROUND(raw_order_lines!J723*100,0)+5)/10)/100</f>
        <v>13.8</v>
      </c>
      <c r="Q723" s="6">
        <f>INT((ROUND(raw_order_lines!I723*10,0)*ROUND(raw_order_lines!J723*100,0)+5)/10)/100</f>
        <v>0</v>
      </c>
      <c r="R723" s="6">
        <f t="shared" si="33"/>
        <v>13.8</v>
      </c>
      <c r="S723" s="2" t="str">
        <f>IF(OR(ROUND(raw_order_lines!I723*10,0)&gt;ROUND(raw_order_lines!H723*10,0),ROUND(raw_order_lines!H723*10,0)&gt;ROUND(raw_order_lines!G723*10,0),ROUND(raw_order_lines!G723*10,0)&lt;=0),"数量关系异常","")</f>
        <v/>
      </c>
      <c r="T723" s="2" t="str">
        <f>IF($F723&lt;&gt;INDEX(dim_products!$D$2:$D$21,MATCH($E723,dim_products!$A$2:$A$21,0)),"单位不一致","")</f>
        <v/>
      </c>
      <c r="U723" s="2" t="str">
        <f>IF(OR(ROUND(raw_order_lines!J723*100,0)&lt;ROUND(INDEX(dim_products!$F$2:$F$21,MATCH($E723,dim_products!$A$2:$A$21,0))*100,0),ROUND(raw_order_lines!J723*100,0)&gt;ROUND(INDEX(dim_products!$G$2:$G$21,MATCH($E723,dim_products!$A$2:$A$21,0))*100,0)),"单价越界","")</f>
        <v/>
      </c>
      <c r="V723" s="2" t="str">
        <f t="shared" si="34"/>
        <v/>
      </c>
      <c r="W723" s="2" t="str">
        <f t="shared" si="35"/>
        <v>通过</v>
      </c>
    </row>
    <row r="724" spans="1:23" ht="15">
      <c r="A724" s="2" t="str">
        <f>raw_order_lines!A724</f>
        <v>SIM-20260923-C001</v>
      </c>
      <c r="B724" s="2">
        <f>raw_order_lines!B724</f>
        <v>4</v>
      </c>
      <c r="C724" s="2" t="str">
        <f>raw_order_lines!C724</f>
        <v>C001</v>
      </c>
      <c r="D724" s="3">
        <f>raw_order_lines!D724</f>
        <v>46288</v>
      </c>
      <c r="E724" s="2" t="str">
        <f>raw_order_lines!E724</f>
        <v>P005</v>
      </c>
      <c r="F724" s="2" t="str">
        <f>raw_order_lines!F724</f>
        <v>公斤</v>
      </c>
      <c r="G724" s="4">
        <f>raw_order_lines!G724</f>
        <v>2.8</v>
      </c>
      <c r="H724" s="4">
        <f>raw_order_lines!H724</f>
        <v>2.8</v>
      </c>
      <c r="I724" s="4">
        <f>raw_order_lines!I724</f>
        <v>0</v>
      </c>
      <c r="J724" s="5">
        <f>raw_order_lines!J724</f>
        <v>2.7</v>
      </c>
      <c r="K724" s="2" t="str">
        <f>raw_order_lines!K724</f>
        <v>正常交付</v>
      </c>
      <c r="L724" s="2" t="str">
        <f>raw_order_lines!L724</f>
        <v>true</v>
      </c>
      <c r="M724" s="2" t="str">
        <f>INDEX(dim_products!$B$2:$B$21,MATCH($E724,dim_products!$A$2:$A$21,0))</f>
        <v>南瓜</v>
      </c>
      <c r="N724" s="2" t="str">
        <f>INDEX(dim_products!$C$2:$C$21,MATCH($E724,dim_products!$A$2:$A$21,0))</f>
        <v>散装鲜菜</v>
      </c>
      <c r="O724" s="2" t="str">
        <f>INDEX(dim_customers!$B$2:$B$7,MATCH($C724,dim_customers!$A$2:$A$7,0))</f>
        <v>模拟_榕树下粉面店</v>
      </c>
      <c r="P724" s="6">
        <f>INT((ROUND(raw_order_lines!H724*10,0)*ROUND(raw_order_lines!J724*100,0)+5)/10)/100</f>
        <v>7.56</v>
      </c>
      <c r="Q724" s="6">
        <f>INT((ROUND(raw_order_lines!I724*10,0)*ROUND(raw_order_lines!J724*100,0)+5)/10)/100</f>
        <v>0</v>
      </c>
      <c r="R724" s="6">
        <f t="shared" si="33"/>
        <v>7.56</v>
      </c>
      <c r="S724" s="2" t="str">
        <f>IF(OR(ROUND(raw_order_lines!I724*10,0)&gt;ROUND(raw_order_lines!H724*10,0),ROUND(raw_order_lines!H724*10,0)&gt;ROUND(raw_order_lines!G724*10,0),ROUND(raw_order_lines!G724*10,0)&lt;=0),"数量关系异常","")</f>
        <v/>
      </c>
      <c r="T724" s="2" t="str">
        <f>IF($F724&lt;&gt;INDEX(dim_products!$D$2:$D$21,MATCH($E724,dim_products!$A$2:$A$21,0)),"单位不一致","")</f>
        <v/>
      </c>
      <c r="U724" s="2" t="str">
        <f>IF(OR(ROUND(raw_order_lines!J724*100,0)&lt;ROUND(INDEX(dim_products!$F$2:$F$21,MATCH($E724,dim_products!$A$2:$A$21,0))*100,0),ROUND(raw_order_lines!J724*100,0)&gt;ROUND(INDEX(dim_products!$G$2:$G$21,MATCH($E724,dim_products!$A$2:$A$21,0))*100,0)),"单价越界","")</f>
        <v/>
      </c>
      <c r="V724" s="2" t="str">
        <f t="shared" si="34"/>
        <v/>
      </c>
      <c r="W724" s="2" t="str">
        <f t="shared" si="35"/>
        <v>通过</v>
      </c>
    </row>
    <row r="725" spans="1:23" ht="15">
      <c r="A725" s="2" t="str">
        <f>raw_order_lines!A725</f>
        <v>SIM-20260923-C002</v>
      </c>
      <c r="B725" s="2">
        <f>raw_order_lines!B725</f>
        <v>1</v>
      </c>
      <c r="C725" s="2" t="str">
        <f>raw_order_lines!C725</f>
        <v>C002</v>
      </c>
      <c r="D725" s="3">
        <f>raw_order_lines!D725</f>
        <v>46288</v>
      </c>
      <c r="E725" s="2" t="str">
        <f>raw_order_lines!E725</f>
        <v>P011</v>
      </c>
      <c r="F725" s="2" t="str">
        <f>raw_order_lines!F725</f>
        <v>公斤</v>
      </c>
      <c r="G725" s="4">
        <f>raw_order_lines!G725</f>
        <v>7.5</v>
      </c>
      <c r="H725" s="4">
        <f>raw_order_lines!H725</f>
        <v>7.5</v>
      </c>
      <c r="I725" s="4">
        <f>raw_order_lines!I725</f>
        <v>0.2</v>
      </c>
      <c r="J725" s="5">
        <f>raw_order_lines!J725</f>
        <v>4.8</v>
      </c>
      <c r="K725" s="2" t="str">
        <f>raw_order_lines!K725</f>
        <v>正常交付；签收时挑出黄叶退回</v>
      </c>
      <c r="L725" s="2" t="str">
        <f>raw_order_lines!L725</f>
        <v>true</v>
      </c>
      <c r="M725" s="2" t="str">
        <f>INDEX(dim_products!$B$2:$B$21,MATCH($E725,dim_products!$A$2:$A$21,0))</f>
        <v>红薯叶</v>
      </c>
      <c r="N725" s="2" t="str">
        <f>INDEX(dim_products!$C$2:$C$21,MATCH($E725,dim_products!$A$2:$A$21,0))</f>
        <v>散装鲜菜</v>
      </c>
      <c r="O725" s="2" t="str">
        <f>INDEX(dim_customers!$B$2:$B$7,MATCH($C725,dim_customers!$A$2:$A$7,0))</f>
        <v>模拟_桥头家常菜馆</v>
      </c>
      <c r="P725" s="6">
        <f>INT((ROUND(raw_order_lines!H725*10,0)*ROUND(raw_order_lines!J725*100,0)+5)/10)/100</f>
        <v>36</v>
      </c>
      <c r="Q725" s="6">
        <f>INT((ROUND(raw_order_lines!I725*10,0)*ROUND(raw_order_lines!J725*100,0)+5)/10)/100</f>
        <v>0.96</v>
      </c>
      <c r="R725" s="6">
        <f t="shared" si="33"/>
        <v>35.04</v>
      </c>
      <c r="S725" s="2" t="str">
        <f>IF(OR(ROUND(raw_order_lines!I725*10,0)&gt;ROUND(raw_order_lines!H725*10,0),ROUND(raw_order_lines!H725*10,0)&gt;ROUND(raw_order_lines!G725*10,0),ROUND(raw_order_lines!G725*10,0)&lt;=0),"数量关系异常","")</f>
        <v/>
      </c>
      <c r="T725" s="2" t="str">
        <f>IF($F725&lt;&gt;INDEX(dim_products!$D$2:$D$21,MATCH($E725,dim_products!$A$2:$A$21,0)),"单位不一致","")</f>
        <v/>
      </c>
      <c r="U725" s="2" t="str">
        <f>IF(OR(ROUND(raw_order_lines!J725*100,0)&lt;ROUND(INDEX(dim_products!$F$2:$F$21,MATCH($E725,dim_products!$A$2:$A$21,0))*100,0),ROUND(raw_order_lines!J725*100,0)&gt;ROUND(INDEX(dim_products!$G$2:$G$21,MATCH($E725,dim_products!$A$2:$A$21,0))*100,0)),"单价越界","")</f>
        <v/>
      </c>
      <c r="V725" s="2" t="str">
        <f t="shared" si="34"/>
        <v/>
      </c>
      <c r="W725" s="2" t="str">
        <f t="shared" si="35"/>
        <v>通过</v>
      </c>
    </row>
    <row r="726" spans="1:23" ht="15">
      <c r="A726" s="2" t="str">
        <f>raw_order_lines!A726</f>
        <v>SIM-20260923-C002</v>
      </c>
      <c r="B726" s="2">
        <f>raw_order_lines!B726</f>
        <v>2</v>
      </c>
      <c r="C726" s="2" t="str">
        <f>raw_order_lines!C726</f>
        <v>C002</v>
      </c>
      <c r="D726" s="3">
        <f>raw_order_lines!D726</f>
        <v>46288</v>
      </c>
      <c r="E726" s="2" t="str">
        <f>raw_order_lines!E726</f>
        <v>P008</v>
      </c>
      <c r="F726" s="2" t="str">
        <f>raw_order_lines!F726</f>
        <v>公斤</v>
      </c>
      <c r="G726" s="4">
        <f>raw_order_lines!G726</f>
        <v>3.8</v>
      </c>
      <c r="H726" s="4">
        <f>raw_order_lines!H726</f>
        <v>3.8</v>
      </c>
      <c r="I726" s="4">
        <f>raw_order_lines!I726</f>
        <v>0</v>
      </c>
      <c r="J726" s="5">
        <f>raw_order_lines!J726</f>
        <v>3.9</v>
      </c>
      <c r="K726" s="2" t="str">
        <f>raw_order_lines!K726</f>
        <v>正常交付</v>
      </c>
      <c r="L726" s="2" t="str">
        <f>raw_order_lines!L726</f>
        <v>true</v>
      </c>
      <c r="M726" s="2" t="str">
        <f>INDEX(dim_products!$B$2:$B$21,MATCH($E726,dim_products!$A$2:$A$21,0))</f>
        <v>黄瓜</v>
      </c>
      <c r="N726" s="2" t="str">
        <f>INDEX(dim_products!$C$2:$C$21,MATCH($E726,dim_products!$A$2:$A$21,0))</f>
        <v>散装鲜菜</v>
      </c>
      <c r="O726" s="2" t="str">
        <f>INDEX(dim_customers!$B$2:$B$7,MATCH($C726,dim_customers!$A$2:$A$7,0))</f>
        <v>模拟_桥头家常菜馆</v>
      </c>
      <c r="P726" s="6">
        <f>INT((ROUND(raw_order_lines!H726*10,0)*ROUND(raw_order_lines!J726*100,0)+5)/10)/100</f>
        <v>14.82</v>
      </c>
      <c r="Q726" s="6">
        <f>INT((ROUND(raw_order_lines!I726*10,0)*ROUND(raw_order_lines!J726*100,0)+5)/10)/100</f>
        <v>0</v>
      </c>
      <c r="R726" s="6">
        <f t="shared" si="33"/>
        <v>14.82</v>
      </c>
      <c r="S726" s="2" t="str">
        <f>IF(OR(ROUND(raw_order_lines!I726*10,0)&gt;ROUND(raw_order_lines!H726*10,0),ROUND(raw_order_lines!H726*10,0)&gt;ROUND(raw_order_lines!G726*10,0),ROUND(raw_order_lines!G726*10,0)&lt;=0),"数量关系异常","")</f>
        <v/>
      </c>
      <c r="T726" s="2" t="str">
        <f>IF($F726&lt;&gt;INDEX(dim_products!$D$2:$D$21,MATCH($E726,dim_products!$A$2:$A$21,0)),"单位不一致","")</f>
        <v/>
      </c>
      <c r="U726" s="2" t="str">
        <f>IF(OR(ROUND(raw_order_lines!J726*100,0)&lt;ROUND(INDEX(dim_products!$F$2:$F$21,MATCH($E726,dim_products!$A$2:$A$21,0))*100,0),ROUND(raw_order_lines!J726*100,0)&gt;ROUND(INDEX(dim_products!$G$2:$G$21,MATCH($E726,dim_products!$A$2:$A$21,0))*100,0)),"单价越界","")</f>
        <v/>
      </c>
      <c r="V726" s="2" t="str">
        <f t="shared" si="34"/>
        <v/>
      </c>
      <c r="W726" s="2" t="str">
        <f t="shared" si="35"/>
        <v>通过</v>
      </c>
    </row>
    <row r="727" spans="1:23" ht="15">
      <c r="A727" s="2" t="str">
        <f>raw_order_lines!A727</f>
        <v>SIM-20260923-C002</v>
      </c>
      <c r="B727" s="2">
        <f>raw_order_lines!B727</f>
        <v>3</v>
      </c>
      <c r="C727" s="2" t="str">
        <f>raw_order_lines!C727</f>
        <v>C002</v>
      </c>
      <c r="D727" s="3">
        <f>raw_order_lines!D727</f>
        <v>46288</v>
      </c>
      <c r="E727" s="2" t="str">
        <f>raw_order_lines!E727</f>
        <v>P009</v>
      </c>
      <c r="F727" s="2" t="str">
        <f>raw_order_lines!F727</f>
        <v>公斤</v>
      </c>
      <c r="G727" s="4">
        <f>raw_order_lines!G727</f>
        <v>7.5</v>
      </c>
      <c r="H727" s="4">
        <f>raw_order_lines!H727</f>
        <v>7.5</v>
      </c>
      <c r="I727" s="4">
        <f>raw_order_lines!I727</f>
        <v>0</v>
      </c>
      <c r="J727" s="5">
        <f>raw_order_lines!J727</f>
        <v>4.9000000000000004</v>
      </c>
      <c r="K727" s="2" t="str">
        <f>raw_order_lines!K727</f>
        <v>正常交付</v>
      </c>
      <c r="L727" s="2" t="str">
        <f>raw_order_lines!L727</f>
        <v>true</v>
      </c>
      <c r="M727" s="2" t="str">
        <f>INDEX(dim_products!$B$2:$B$21,MATCH($E727,dim_products!$A$2:$A$21,0))</f>
        <v>西红柿</v>
      </c>
      <c r="N727" s="2" t="str">
        <f>INDEX(dim_products!$C$2:$C$21,MATCH($E727,dim_products!$A$2:$A$21,0))</f>
        <v>散装鲜菜</v>
      </c>
      <c r="O727" s="2" t="str">
        <f>INDEX(dim_customers!$B$2:$B$7,MATCH($C727,dim_customers!$A$2:$A$7,0))</f>
        <v>模拟_桥头家常菜馆</v>
      </c>
      <c r="P727" s="6">
        <f>INT((ROUND(raw_order_lines!H727*10,0)*ROUND(raw_order_lines!J727*100,0)+5)/10)/100</f>
        <v>36.75</v>
      </c>
      <c r="Q727" s="6">
        <f>INT((ROUND(raw_order_lines!I727*10,0)*ROUND(raw_order_lines!J727*100,0)+5)/10)/100</f>
        <v>0</v>
      </c>
      <c r="R727" s="6">
        <f t="shared" si="33"/>
        <v>36.75</v>
      </c>
      <c r="S727" s="2" t="str">
        <f>IF(OR(ROUND(raw_order_lines!I727*10,0)&gt;ROUND(raw_order_lines!H727*10,0),ROUND(raw_order_lines!H727*10,0)&gt;ROUND(raw_order_lines!G727*10,0),ROUND(raw_order_lines!G727*10,0)&lt;=0),"数量关系异常","")</f>
        <v/>
      </c>
      <c r="T727" s="2" t="str">
        <f>IF($F727&lt;&gt;INDEX(dim_products!$D$2:$D$21,MATCH($E727,dim_products!$A$2:$A$21,0)),"单位不一致","")</f>
        <v/>
      </c>
      <c r="U727" s="2" t="str">
        <f>IF(OR(ROUND(raw_order_lines!J727*100,0)&lt;ROUND(INDEX(dim_products!$F$2:$F$21,MATCH($E727,dim_products!$A$2:$A$21,0))*100,0),ROUND(raw_order_lines!J727*100,0)&gt;ROUND(INDEX(dim_products!$G$2:$G$21,MATCH($E727,dim_products!$A$2:$A$21,0))*100,0)),"单价越界","")</f>
        <v/>
      </c>
      <c r="V727" s="2" t="str">
        <f t="shared" si="34"/>
        <v/>
      </c>
      <c r="W727" s="2" t="str">
        <f t="shared" si="35"/>
        <v>通过</v>
      </c>
    </row>
    <row r="728" spans="1:23" ht="15">
      <c r="A728" s="2" t="str">
        <f>raw_order_lines!A728</f>
        <v>SIM-20260923-C002</v>
      </c>
      <c r="B728" s="2">
        <f>raw_order_lines!B728</f>
        <v>4</v>
      </c>
      <c r="C728" s="2" t="str">
        <f>raw_order_lines!C728</f>
        <v>C002</v>
      </c>
      <c r="D728" s="3">
        <f>raw_order_lines!D728</f>
        <v>46288</v>
      </c>
      <c r="E728" s="2" t="str">
        <f>raw_order_lines!E728</f>
        <v>P004</v>
      </c>
      <c r="F728" s="2" t="str">
        <f>raw_order_lines!F728</f>
        <v>公斤</v>
      </c>
      <c r="G728" s="4">
        <f>raw_order_lines!G728</f>
        <v>7</v>
      </c>
      <c r="H728" s="4">
        <f>raw_order_lines!H728</f>
        <v>7</v>
      </c>
      <c r="I728" s="4">
        <f>raw_order_lines!I728</f>
        <v>0</v>
      </c>
      <c r="J728" s="5">
        <f>raw_order_lines!J728</f>
        <v>2.2999999999999998</v>
      </c>
      <c r="K728" s="2" t="str">
        <f>raw_order_lines!K728</f>
        <v>正常交付</v>
      </c>
      <c r="L728" s="2" t="str">
        <f>raw_order_lines!L728</f>
        <v>true</v>
      </c>
      <c r="M728" s="2" t="str">
        <f>INDEX(dim_products!$B$2:$B$21,MATCH($E728,dim_products!$A$2:$A$21,0))</f>
        <v>冬瓜</v>
      </c>
      <c r="N728" s="2" t="str">
        <f>INDEX(dim_products!$C$2:$C$21,MATCH($E728,dim_products!$A$2:$A$21,0))</f>
        <v>散装鲜菜</v>
      </c>
      <c r="O728" s="2" t="str">
        <f>INDEX(dim_customers!$B$2:$B$7,MATCH($C728,dim_customers!$A$2:$A$7,0))</f>
        <v>模拟_桥头家常菜馆</v>
      </c>
      <c r="P728" s="6">
        <f>INT((ROUND(raw_order_lines!H728*10,0)*ROUND(raw_order_lines!J728*100,0)+5)/10)/100</f>
        <v>16.100000000000001</v>
      </c>
      <c r="Q728" s="6">
        <f>INT((ROUND(raw_order_lines!I728*10,0)*ROUND(raw_order_lines!J728*100,0)+5)/10)/100</f>
        <v>0</v>
      </c>
      <c r="R728" s="6">
        <f t="shared" si="33"/>
        <v>16.100000000000001</v>
      </c>
      <c r="S728" s="2" t="str">
        <f>IF(OR(ROUND(raw_order_lines!I728*10,0)&gt;ROUND(raw_order_lines!H728*10,0),ROUND(raw_order_lines!H728*10,0)&gt;ROUND(raw_order_lines!G728*10,0),ROUND(raw_order_lines!G728*10,0)&lt;=0),"数量关系异常","")</f>
        <v/>
      </c>
      <c r="T728" s="2" t="str">
        <f>IF($F728&lt;&gt;INDEX(dim_products!$D$2:$D$21,MATCH($E728,dim_products!$A$2:$A$21,0)),"单位不一致","")</f>
        <v/>
      </c>
      <c r="U728" s="2" t="str">
        <f>IF(OR(ROUND(raw_order_lines!J728*100,0)&lt;ROUND(INDEX(dim_products!$F$2:$F$21,MATCH($E728,dim_products!$A$2:$A$21,0))*100,0),ROUND(raw_order_lines!J728*100,0)&gt;ROUND(INDEX(dim_products!$G$2:$G$21,MATCH($E728,dim_products!$A$2:$A$21,0))*100,0)),"单价越界","")</f>
        <v/>
      </c>
      <c r="V728" s="2" t="str">
        <f t="shared" si="34"/>
        <v/>
      </c>
      <c r="W728" s="2" t="str">
        <f t="shared" si="35"/>
        <v>通过</v>
      </c>
    </row>
    <row r="729" spans="1:23" ht="15">
      <c r="A729" s="2" t="str">
        <f>raw_order_lines!A729</f>
        <v>SIM-20260923-C002</v>
      </c>
      <c r="B729" s="2">
        <f>raw_order_lines!B729</f>
        <v>5</v>
      </c>
      <c r="C729" s="2" t="str">
        <f>raw_order_lines!C729</f>
        <v>C002</v>
      </c>
      <c r="D729" s="3">
        <f>raw_order_lines!D729</f>
        <v>46288</v>
      </c>
      <c r="E729" s="2" t="str">
        <f>raw_order_lines!E729</f>
        <v>P006</v>
      </c>
      <c r="F729" s="2" t="str">
        <f>raw_order_lines!F729</f>
        <v>公斤</v>
      </c>
      <c r="G729" s="4">
        <f>raw_order_lines!G729</f>
        <v>3.3</v>
      </c>
      <c r="H729" s="4">
        <f>raw_order_lines!H729</f>
        <v>3.3</v>
      </c>
      <c r="I729" s="4">
        <f>raw_order_lines!I729</f>
        <v>0</v>
      </c>
      <c r="J729" s="5">
        <f>raw_order_lines!J729</f>
        <v>4.5999999999999996</v>
      </c>
      <c r="K729" s="2" t="str">
        <f>raw_order_lines!K729</f>
        <v>正常交付</v>
      </c>
      <c r="L729" s="2" t="str">
        <f>raw_order_lines!L729</f>
        <v>true</v>
      </c>
      <c r="M729" s="2" t="str">
        <f>INDEX(dim_products!$B$2:$B$21,MATCH($E729,dim_products!$A$2:$A$21,0))</f>
        <v>茄子</v>
      </c>
      <c r="N729" s="2" t="str">
        <f>INDEX(dim_products!$C$2:$C$21,MATCH($E729,dim_products!$A$2:$A$21,0))</f>
        <v>散装鲜菜</v>
      </c>
      <c r="O729" s="2" t="str">
        <f>INDEX(dim_customers!$B$2:$B$7,MATCH($C729,dim_customers!$A$2:$A$7,0))</f>
        <v>模拟_桥头家常菜馆</v>
      </c>
      <c r="P729" s="6">
        <f>INT((ROUND(raw_order_lines!H729*10,0)*ROUND(raw_order_lines!J729*100,0)+5)/10)/100</f>
        <v>15.18</v>
      </c>
      <c r="Q729" s="6">
        <f>INT((ROUND(raw_order_lines!I729*10,0)*ROUND(raw_order_lines!J729*100,0)+5)/10)/100</f>
        <v>0</v>
      </c>
      <c r="R729" s="6">
        <f t="shared" si="33"/>
        <v>15.18</v>
      </c>
      <c r="S729" s="2" t="str">
        <f>IF(OR(ROUND(raw_order_lines!I729*10,0)&gt;ROUND(raw_order_lines!H729*10,0),ROUND(raw_order_lines!H729*10,0)&gt;ROUND(raw_order_lines!G729*10,0),ROUND(raw_order_lines!G729*10,0)&lt;=0),"数量关系异常","")</f>
        <v/>
      </c>
      <c r="T729" s="2" t="str">
        <f>IF($F729&lt;&gt;INDEX(dim_products!$D$2:$D$21,MATCH($E729,dim_products!$A$2:$A$21,0)),"单位不一致","")</f>
        <v/>
      </c>
      <c r="U729" s="2" t="str">
        <f>IF(OR(ROUND(raw_order_lines!J729*100,0)&lt;ROUND(INDEX(dim_products!$F$2:$F$21,MATCH($E729,dim_products!$A$2:$A$21,0))*100,0),ROUND(raw_order_lines!J729*100,0)&gt;ROUND(INDEX(dim_products!$G$2:$G$21,MATCH($E729,dim_products!$A$2:$A$21,0))*100,0)),"单价越界","")</f>
        <v/>
      </c>
      <c r="V729" s="2" t="str">
        <f t="shared" si="34"/>
        <v/>
      </c>
      <c r="W729" s="2" t="str">
        <f t="shared" si="35"/>
        <v>通过</v>
      </c>
    </row>
    <row r="730" spans="1:23" ht="15">
      <c r="A730" s="2" t="str">
        <f>raw_order_lines!A730</f>
        <v>SIM-20260923-C003</v>
      </c>
      <c r="B730" s="2">
        <f>raw_order_lines!B730</f>
        <v>1</v>
      </c>
      <c r="C730" s="2" t="str">
        <f>raw_order_lines!C730</f>
        <v>C003</v>
      </c>
      <c r="D730" s="3">
        <f>raw_order_lines!D730</f>
        <v>46288</v>
      </c>
      <c r="E730" s="2" t="str">
        <f>raw_order_lines!E730</f>
        <v>P011</v>
      </c>
      <c r="F730" s="2" t="str">
        <f>raw_order_lines!F730</f>
        <v>公斤</v>
      </c>
      <c r="G730" s="4">
        <f>raw_order_lines!G730</f>
        <v>7.3</v>
      </c>
      <c r="H730" s="4">
        <f>raw_order_lines!H730</f>
        <v>7.3</v>
      </c>
      <c r="I730" s="4">
        <f>raw_order_lines!I730</f>
        <v>0</v>
      </c>
      <c r="J730" s="5">
        <f>raw_order_lines!J730</f>
        <v>4.8</v>
      </c>
      <c r="K730" s="2" t="str">
        <f>raw_order_lines!K730</f>
        <v>正常交付</v>
      </c>
      <c r="L730" s="2" t="str">
        <f>raw_order_lines!L730</f>
        <v>true</v>
      </c>
      <c r="M730" s="2" t="str">
        <f>INDEX(dim_products!$B$2:$B$21,MATCH($E730,dim_products!$A$2:$A$21,0))</f>
        <v>红薯叶</v>
      </c>
      <c r="N730" s="2" t="str">
        <f>INDEX(dim_products!$C$2:$C$21,MATCH($E730,dim_products!$A$2:$A$21,0))</f>
        <v>散装鲜菜</v>
      </c>
      <c r="O730" s="2" t="str">
        <f>INDEX(dim_customers!$B$2:$B$7,MATCH($C730,dim_customers!$A$2:$A$7,0))</f>
        <v>模拟_兴街快餐店</v>
      </c>
      <c r="P730" s="6">
        <f>INT((ROUND(raw_order_lines!H730*10,0)*ROUND(raw_order_lines!J730*100,0)+5)/10)/100</f>
        <v>35.04</v>
      </c>
      <c r="Q730" s="6">
        <f>INT((ROUND(raw_order_lines!I730*10,0)*ROUND(raw_order_lines!J730*100,0)+5)/10)/100</f>
        <v>0</v>
      </c>
      <c r="R730" s="6">
        <f t="shared" si="33"/>
        <v>35.04</v>
      </c>
      <c r="S730" s="2" t="str">
        <f>IF(OR(ROUND(raw_order_lines!I730*10,0)&gt;ROUND(raw_order_lines!H730*10,0),ROUND(raw_order_lines!H730*10,0)&gt;ROUND(raw_order_lines!G730*10,0),ROUND(raw_order_lines!G730*10,0)&lt;=0),"数量关系异常","")</f>
        <v/>
      </c>
      <c r="T730" s="2" t="str">
        <f>IF($F730&lt;&gt;INDEX(dim_products!$D$2:$D$21,MATCH($E730,dim_products!$A$2:$A$21,0)),"单位不一致","")</f>
        <v/>
      </c>
      <c r="U730" s="2" t="str">
        <f>IF(OR(ROUND(raw_order_lines!J730*100,0)&lt;ROUND(INDEX(dim_products!$F$2:$F$21,MATCH($E730,dim_products!$A$2:$A$21,0))*100,0),ROUND(raw_order_lines!J730*100,0)&gt;ROUND(INDEX(dim_products!$G$2:$G$21,MATCH($E730,dim_products!$A$2:$A$21,0))*100,0)),"单价越界","")</f>
        <v/>
      </c>
      <c r="V730" s="2" t="str">
        <f t="shared" si="34"/>
        <v/>
      </c>
      <c r="W730" s="2" t="str">
        <f t="shared" si="35"/>
        <v>通过</v>
      </c>
    </row>
    <row r="731" spans="1:23" ht="15">
      <c r="A731" s="2" t="str">
        <f>raw_order_lines!A731</f>
        <v>SIM-20260923-C003</v>
      </c>
      <c r="B731" s="2">
        <f>raw_order_lines!B731</f>
        <v>2</v>
      </c>
      <c r="C731" s="2" t="str">
        <f>raw_order_lines!C731</f>
        <v>C003</v>
      </c>
      <c r="D731" s="3">
        <f>raw_order_lines!D731</f>
        <v>46288</v>
      </c>
      <c r="E731" s="2" t="str">
        <f>raw_order_lines!E731</f>
        <v>P003</v>
      </c>
      <c r="F731" s="2" t="str">
        <f>raw_order_lines!F731</f>
        <v>公斤</v>
      </c>
      <c r="G731" s="4">
        <f>raw_order_lines!G731</f>
        <v>6.6</v>
      </c>
      <c r="H731" s="4">
        <f>raw_order_lines!H731</f>
        <v>6.6</v>
      </c>
      <c r="I731" s="4">
        <f>raw_order_lines!I731</f>
        <v>0</v>
      </c>
      <c r="J731" s="5">
        <f>raw_order_lines!J731</f>
        <v>2.9</v>
      </c>
      <c r="K731" s="2" t="str">
        <f>raw_order_lines!K731</f>
        <v>正常交付</v>
      </c>
      <c r="L731" s="2" t="str">
        <f>raw_order_lines!L731</f>
        <v>true</v>
      </c>
      <c r="M731" s="2" t="str">
        <f>INDEX(dim_products!$B$2:$B$21,MATCH($E731,dim_products!$A$2:$A$21,0))</f>
        <v>包菜</v>
      </c>
      <c r="N731" s="2" t="str">
        <f>INDEX(dim_products!$C$2:$C$21,MATCH($E731,dim_products!$A$2:$A$21,0))</f>
        <v>散装鲜菜</v>
      </c>
      <c r="O731" s="2" t="str">
        <f>INDEX(dim_customers!$B$2:$B$7,MATCH($C731,dim_customers!$A$2:$A$7,0))</f>
        <v>模拟_兴街快餐店</v>
      </c>
      <c r="P731" s="6">
        <f>INT((ROUND(raw_order_lines!H731*10,0)*ROUND(raw_order_lines!J731*100,0)+5)/10)/100</f>
        <v>19.14</v>
      </c>
      <c r="Q731" s="6">
        <f>INT((ROUND(raw_order_lines!I731*10,0)*ROUND(raw_order_lines!J731*100,0)+5)/10)/100</f>
        <v>0</v>
      </c>
      <c r="R731" s="6">
        <f t="shared" si="33"/>
        <v>19.14</v>
      </c>
      <c r="S731" s="2" t="str">
        <f>IF(OR(ROUND(raw_order_lines!I731*10,0)&gt;ROUND(raw_order_lines!H731*10,0),ROUND(raw_order_lines!H731*10,0)&gt;ROUND(raw_order_lines!G731*10,0),ROUND(raw_order_lines!G731*10,0)&lt;=0),"数量关系异常","")</f>
        <v/>
      </c>
      <c r="T731" s="2" t="str">
        <f>IF($F731&lt;&gt;INDEX(dim_products!$D$2:$D$21,MATCH($E731,dim_products!$A$2:$A$21,0)),"单位不一致","")</f>
        <v/>
      </c>
      <c r="U731" s="2" t="str">
        <f>IF(OR(ROUND(raw_order_lines!J731*100,0)&lt;ROUND(INDEX(dim_products!$F$2:$F$21,MATCH($E731,dim_products!$A$2:$A$21,0))*100,0),ROUND(raw_order_lines!J731*100,0)&gt;ROUND(INDEX(dim_products!$G$2:$G$21,MATCH($E731,dim_products!$A$2:$A$21,0))*100,0)),"单价越界","")</f>
        <v/>
      </c>
      <c r="V731" s="2" t="str">
        <f t="shared" si="34"/>
        <v/>
      </c>
      <c r="W731" s="2" t="str">
        <f t="shared" si="35"/>
        <v>通过</v>
      </c>
    </row>
    <row r="732" spans="1:23" ht="15">
      <c r="A732" s="2" t="str">
        <f>raw_order_lines!A732</f>
        <v>SIM-20260923-C003</v>
      </c>
      <c r="B732" s="2">
        <f>raw_order_lines!B732</f>
        <v>3</v>
      </c>
      <c r="C732" s="2" t="str">
        <f>raw_order_lines!C732</f>
        <v>C003</v>
      </c>
      <c r="D732" s="3">
        <f>raw_order_lines!D732</f>
        <v>46288</v>
      </c>
      <c r="E732" s="2" t="str">
        <f>raw_order_lines!E732</f>
        <v>P007</v>
      </c>
      <c r="F732" s="2" t="str">
        <f>raw_order_lines!F732</f>
        <v>公斤</v>
      </c>
      <c r="G732" s="4">
        <f>raw_order_lines!G732</f>
        <v>7.3</v>
      </c>
      <c r="H732" s="4">
        <f>raw_order_lines!H732</f>
        <v>7.3</v>
      </c>
      <c r="I732" s="4">
        <f>raw_order_lines!I732</f>
        <v>0</v>
      </c>
      <c r="J732" s="5">
        <f>raw_order_lines!J732</f>
        <v>4.95</v>
      </c>
      <c r="K732" s="2" t="str">
        <f>raw_order_lines!K732</f>
        <v>正常交付</v>
      </c>
      <c r="L732" s="2" t="str">
        <f>raw_order_lines!L732</f>
        <v>true</v>
      </c>
      <c r="M732" s="2" t="str">
        <f>INDEX(dim_products!$B$2:$B$21,MATCH($E732,dim_products!$A$2:$A$21,0))</f>
        <v>青椒</v>
      </c>
      <c r="N732" s="2" t="str">
        <f>INDEX(dim_products!$C$2:$C$21,MATCH($E732,dim_products!$A$2:$A$21,0))</f>
        <v>散装鲜菜</v>
      </c>
      <c r="O732" s="2" t="str">
        <f>INDEX(dim_customers!$B$2:$B$7,MATCH($C732,dim_customers!$A$2:$A$7,0))</f>
        <v>模拟_兴街快餐店</v>
      </c>
      <c r="P732" s="6">
        <f>INT((ROUND(raw_order_lines!H732*10,0)*ROUND(raw_order_lines!J732*100,0)+5)/10)/100</f>
        <v>36.14</v>
      </c>
      <c r="Q732" s="6">
        <f>INT((ROUND(raw_order_lines!I732*10,0)*ROUND(raw_order_lines!J732*100,0)+5)/10)/100</f>
        <v>0</v>
      </c>
      <c r="R732" s="6">
        <f t="shared" si="33"/>
        <v>36.14</v>
      </c>
      <c r="S732" s="2" t="str">
        <f>IF(OR(ROUND(raw_order_lines!I732*10,0)&gt;ROUND(raw_order_lines!H732*10,0),ROUND(raw_order_lines!H732*10,0)&gt;ROUND(raw_order_lines!G732*10,0),ROUND(raw_order_lines!G732*10,0)&lt;=0),"数量关系异常","")</f>
        <v/>
      </c>
      <c r="T732" s="2" t="str">
        <f>IF($F732&lt;&gt;INDEX(dim_products!$D$2:$D$21,MATCH($E732,dim_products!$A$2:$A$21,0)),"单位不一致","")</f>
        <v/>
      </c>
      <c r="U732" s="2" t="str">
        <f>IF(OR(ROUND(raw_order_lines!J732*100,0)&lt;ROUND(INDEX(dim_products!$F$2:$F$21,MATCH($E732,dim_products!$A$2:$A$21,0))*100,0),ROUND(raw_order_lines!J732*100,0)&gt;ROUND(INDEX(dim_products!$G$2:$G$21,MATCH($E732,dim_products!$A$2:$A$21,0))*100,0)),"单价越界","")</f>
        <v/>
      </c>
      <c r="V732" s="2" t="str">
        <f t="shared" si="34"/>
        <v/>
      </c>
      <c r="W732" s="2" t="str">
        <f t="shared" si="35"/>
        <v>通过</v>
      </c>
    </row>
    <row r="733" spans="1:23" ht="15">
      <c r="A733" s="2" t="str">
        <f>raw_order_lines!A733</f>
        <v>SIM-20260923-C003</v>
      </c>
      <c r="B733" s="2">
        <f>raw_order_lines!B733</f>
        <v>4</v>
      </c>
      <c r="C733" s="2" t="str">
        <f>raw_order_lines!C733</f>
        <v>C003</v>
      </c>
      <c r="D733" s="3">
        <f>raw_order_lines!D733</f>
        <v>46288</v>
      </c>
      <c r="E733" s="2" t="str">
        <f>raw_order_lines!E733</f>
        <v>P009</v>
      </c>
      <c r="F733" s="2" t="str">
        <f>raw_order_lines!F733</f>
        <v>公斤</v>
      </c>
      <c r="G733" s="4">
        <f>raw_order_lines!G733</f>
        <v>5.3</v>
      </c>
      <c r="H733" s="4">
        <f>raw_order_lines!H733</f>
        <v>5.3</v>
      </c>
      <c r="I733" s="4">
        <f>raw_order_lines!I733</f>
        <v>0</v>
      </c>
      <c r="J733" s="5">
        <f>raw_order_lines!J733</f>
        <v>4.9000000000000004</v>
      </c>
      <c r="K733" s="2" t="str">
        <f>raw_order_lines!K733</f>
        <v>正常交付</v>
      </c>
      <c r="L733" s="2" t="str">
        <f>raw_order_lines!L733</f>
        <v>true</v>
      </c>
      <c r="M733" s="2" t="str">
        <f>INDEX(dim_products!$B$2:$B$21,MATCH($E733,dim_products!$A$2:$A$21,0))</f>
        <v>西红柿</v>
      </c>
      <c r="N733" s="2" t="str">
        <f>INDEX(dim_products!$C$2:$C$21,MATCH($E733,dim_products!$A$2:$A$21,0))</f>
        <v>散装鲜菜</v>
      </c>
      <c r="O733" s="2" t="str">
        <f>INDEX(dim_customers!$B$2:$B$7,MATCH($C733,dim_customers!$A$2:$A$7,0))</f>
        <v>模拟_兴街快餐店</v>
      </c>
      <c r="P733" s="6">
        <f>INT((ROUND(raw_order_lines!H733*10,0)*ROUND(raw_order_lines!J733*100,0)+5)/10)/100</f>
        <v>25.97</v>
      </c>
      <c r="Q733" s="6">
        <f>INT((ROUND(raw_order_lines!I733*10,0)*ROUND(raw_order_lines!J733*100,0)+5)/10)/100</f>
        <v>0</v>
      </c>
      <c r="R733" s="6">
        <f t="shared" si="33"/>
        <v>25.97</v>
      </c>
      <c r="S733" s="2" t="str">
        <f>IF(OR(ROUND(raw_order_lines!I733*10,0)&gt;ROUND(raw_order_lines!H733*10,0),ROUND(raw_order_lines!H733*10,0)&gt;ROUND(raw_order_lines!G733*10,0),ROUND(raw_order_lines!G733*10,0)&lt;=0),"数量关系异常","")</f>
        <v/>
      </c>
      <c r="T733" s="2" t="str">
        <f>IF($F733&lt;&gt;INDEX(dim_products!$D$2:$D$21,MATCH($E733,dim_products!$A$2:$A$21,0)),"单位不一致","")</f>
        <v/>
      </c>
      <c r="U733" s="2" t="str">
        <f>IF(OR(ROUND(raw_order_lines!J733*100,0)&lt;ROUND(INDEX(dim_products!$F$2:$F$21,MATCH($E733,dim_products!$A$2:$A$21,0))*100,0),ROUND(raw_order_lines!J733*100,0)&gt;ROUND(INDEX(dim_products!$G$2:$G$21,MATCH($E733,dim_products!$A$2:$A$21,0))*100,0)),"单价越界","")</f>
        <v/>
      </c>
      <c r="V733" s="2" t="str">
        <f t="shared" si="34"/>
        <v/>
      </c>
      <c r="W733" s="2" t="str">
        <f t="shared" si="35"/>
        <v>通过</v>
      </c>
    </row>
    <row r="734" spans="1:23" ht="15">
      <c r="A734" s="2" t="str">
        <f>raw_order_lines!A734</f>
        <v>SIM-20260923-C003</v>
      </c>
      <c r="B734" s="2">
        <f>raw_order_lines!B734</f>
        <v>5</v>
      </c>
      <c r="C734" s="2" t="str">
        <f>raw_order_lines!C734</f>
        <v>C003</v>
      </c>
      <c r="D734" s="3">
        <f>raw_order_lines!D734</f>
        <v>46288</v>
      </c>
      <c r="E734" s="2" t="str">
        <f>raw_order_lines!E734</f>
        <v>P006</v>
      </c>
      <c r="F734" s="2" t="str">
        <f>raw_order_lines!F734</f>
        <v>公斤</v>
      </c>
      <c r="G734" s="4">
        <f>raw_order_lines!G734</f>
        <v>8</v>
      </c>
      <c r="H734" s="4">
        <f>raw_order_lines!H734</f>
        <v>8</v>
      </c>
      <c r="I734" s="4">
        <f>raw_order_lines!I734</f>
        <v>0</v>
      </c>
      <c r="J734" s="5">
        <f>raw_order_lines!J734</f>
        <v>4.5999999999999996</v>
      </c>
      <c r="K734" s="2" t="str">
        <f>raw_order_lines!K734</f>
        <v>正常交付</v>
      </c>
      <c r="L734" s="2" t="str">
        <f>raw_order_lines!L734</f>
        <v>true</v>
      </c>
      <c r="M734" s="2" t="str">
        <f>INDEX(dim_products!$B$2:$B$21,MATCH($E734,dim_products!$A$2:$A$21,0))</f>
        <v>茄子</v>
      </c>
      <c r="N734" s="2" t="str">
        <f>INDEX(dim_products!$C$2:$C$21,MATCH($E734,dim_products!$A$2:$A$21,0))</f>
        <v>散装鲜菜</v>
      </c>
      <c r="O734" s="2" t="str">
        <f>INDEX(dim_customers!$B$2:$B$7,MATCH($C734,dim_customers!$A$2:$A$7,0))</f>
        <v>模拟_兴街快餐店</v>
      </c>
      <c r="P734" s="6">
        <f>INT((ROUND(raw_order_lines!H734*10,0)*ROUND(raw_order_lines!J734*100,0)+5)/10)/100</f>
        <v>36.799999999999997</v>
      </c>
      <c r="Q734" s="6">
        <f>INT((ROUND(raw_order_lines!I734*10,0)*ROUND(raw_order_lines!J734*100,0)+5)/10)/100</f>
        <v>0</v>
      </c>
      <c r="R734" s="6">
        <f t="shared" si="33"/>
        <v>36.799999999999997</v>
      </c>
      <c r="S734" s="2" t="str">
        <f>IF(OR(ROUND(raw_order_lines!I734*10,0)&gt;ROUND(raw_order_lines!H734*10,0),ROUND(raw_order_lines!H734*10,0)&gt;ROUND(raw_order_lines!G734*10,0),ROUND(raw_order_lines!G734*10,0)&lt;=0),"数量关系异常","")</f>
        <v/>
      </c>
      <c r="T734" s="2" t="str">
        <f>IF($F734&lt;&gt;INDEX(dim_products!$D$2:$D$21,MATCH($E734,dim_products!$A$2:$A$21,0)),"单位不一致","")</f>
        <v/>
      </c>
      <c r="U734" s="2" t="str">
        <f>IF(OR(ROUND(raw_order_lines!J734*100,0)&lt;ROUND(INDEX(dim_products!$F$2:$F$21,MATCH($E734,dim_products!$A$2:$A$21,0))*100,0),ROUND(raw_order_lines!J734*100,0)&gt;ROUND(INDEX(dim_products!$G$2:$G$21,MATCH($E734,dim_products!$A$2:$A$21,0))*100,0)),"单价越界","")</f>
        <v/>
      </c>
      <c r="V734" s="2" t="str">
        <f t="shared" si="34"/>
        <v/>
      </c>
      <c r="W734" s="2" t="str">
        <f t="shared" si="35"/>
        <v>通过</v>
      </c>
    </row>
    <row r="735" spans="1:23" ht="15">
      <c r="A735" s="2" t="str">
        <f>raw_order_lines!A735</f>
        <v>SIM-20260923-C003</v>
      </c>
      <c r="B735" s="2">
        <f>raw_order_lines!B735</f>
        <v>6</v>
      </c>
      <c r="C735" s="2" t="str">
        <f>raw_order_lines!C735</f>
        <v>C003</v>
      </c>
      <c r="D735" s="3">
        <f>raw_order_lines!D735</f>
        <v>46288</v>
      </c>
      <c r="E735" s="2" t="str">
        <f>raw_order_lines!E735</f>
        <v>P002</v>
      </c>
      <c r="F735" s="2" t="str">
        <f>raw_order_lines!F735</f>
        <v>公斤</v>
      </c>
      <c r="G735" s="4">
        <f>raw_order_lines!G735</f>
        <v>8</v>
      </c>
      <c r="H735" s="4">
        <f>raw_order_lines!H735</f>
        <v>8</v>
      </c>
      <c r="I735" s="4">
        <f>raw_order_lines!I735</f>
        <v>0</v>
      </c>
      <c r="J735" s="5">
        <f>raw_order_lines!J735</f>
        <v>2.5</v>
      </c>
      <c r="K735" s="2" t="str">
        <f>raw_order_lines!K735</f>
        <v>正常交付</v>
      </c>
      <c r="L735" s="2" t="str">
        <f>raw_order_lines!L735</f>
        <v>true</v>
      </c>
      <c r="M735" s="2" t="str">
        <f>INDEX(dim_products!$B$2:$B$21,MATCH($E735,dim_products!$A$2:$A$21,0))</f>
        <v>白萝卜</v>
      </c>
      <c r="N735" s="2" t="str">
        <f>INDEX(dim_products!$C$2:$C$21,MATCH($E735,dim_products!$A$2:$A$21,0))</f>
        <v>散装鲜菜</v>
      </c>
      <c r="O735" s="2" t="str">
        <f>INDEX(dim_customers!$B$2:$B$7,MATCH($C735,dim_customers!$A$2:$A$7,0))</f>
        <v>模拟_兴街快餐店</v>
      </c>
      <c r="P735" s="6">
        <f>INT((ROUND(raw_order_lines!H735*10,0)*ROUND(raw_order_lines!J735*100,0)+5)/10)/100</f>
        <v>20</v>
      </c>
      <c r="Q735" s="6">
        <f>INT((ROUND(raw_order_lines!I735*10,0)*ROUND(raw_order_lines!J735*100,0)+5)/10)/100</f>
        <v>0</v>
      </c>
      <c r="R735" s="6">
        <f t="shared" si="33"/>
        <v>20</v>
      </c>
      <c r="S735" s="2" t="str">
        <f>IF(OR(ROUND(raw_order_lines!I735*10,0)&gt;ROUND(raw_order_lines!H735*10,0),ROUND(raw_order_lines!H735*10,0)&gt;ROUND(raw_order_lines!G735*10,0),ROUND(raw_order_lines!G735*10,0)&lt;=0),"数量关系异常","")</f>
        <v/>
      </c>
      <c r="T735" s="2" t="str">
        <f>IF($F735&lt;&gt;INDEX(dim_products!$D$2:$D$21,MATCH($E735,dim_products!$A$2:$A$21,0)),"单位不一致","")</f>
        <v/>
      </c>
      <c r="U735" s="2" t="str">
        <f>IF(OR(ROUND(raw_order_lines!J735*100,0)&lt;ROUND(INDEX(dim_products!$F$2:$F$21,MATCH($E735,dim_products!$A$2:$A$21,0))*100,0),ROUND(raw_order_lines!J735*100,0)&gt;ROUND(INDEX(dim_products!$G$2:$G$21,MATCH($E735,dim_products!$A$2:$A$21,0))*100,0)),"单价越界","")</f>
        <v/>
      </c>
      <c r="V735" s="2" t="str">
        <f t="shared" si="34"/>
        <v/>
      </c>
      <c r="W735" s="2" t="str">
        <f t="shared" si="35"/>
        <v>通过</v>
      </c>
    </row>
    <row r="736" spans="1:23" ht="15">
      <c r="A736" s="2" t="str">
        <f>raw_order_lines!A736</f>
        <v>SIM-20260923-C005</v>
      </c>
      <c r="B736" s="2">
        <f>raw_order_lines!B736</f>
        <v>1</v>
      </c>
      <c r="C736" s="2" t="str">
        <f>raw_order_lines!C736</f>
        <v>C005</v>
      </c>
      <c r="D736" s="3">
        <f>raw_order_lines!D736</f>
        <v>46288</v>
      </c>
      <c r="E736" s="2" t="str">
        <f>raw_order_lines!E736</f>
        <v>P012</v>
      </c>
      <c r="F736" s="2" t="str">
        <f>raw_order_lines!F736</f>
        <v>公斤</v>
      </c>
      <c r="G736" s="4">
        <f>raw_order_lines!G736</f>
        <v>6.4</v>
      </c>
      <c r="H736" s="4">
        <f>raw_order_lines!H736</f>
        <v>6.4</v>
      </c>
      <c r="I736" s="4">
        <f>raw_order_lines!I736</f>
        <v>0</v>
      </c>
      <c r="J736" s="5">
        <f>raw_order_lines!J736</f>
        <v>5</v>
      </c>
      <c r="K736" s="2" t="str">
        <f>raw_order_lines!K736</f>
        <v>正常交付</v>
      </c>
      <c r="L736" s="2" t="str">
        <f>raw_order_lines!L736</f>
        <v>true</v>
      </c>
      <c r="M736" s="2" t="str">
        <f>INDEX(dim_products!$B$2:$B$21,MATCH($E736,dim_products!$A$2:$A$21,0))</f>
        <v>小白菜</v>
      </c>
      <c r="N736" s="2" t="str">
        <f>INDEX(dim_products!$C$2:$C$21,MATCH($E736,dim_products!$A$2:$A$21,0))</f>
        <v>散装鲜菜</v>
      </c>
      <c r="O736" s="2" t="str">
        <f>INDEX(dim_customers!$B$2:$B$7,MATCH($C736,dim_customers!$A$2:$A$7,0))</f>
        <v>模拟_青禾小学食堂</v>
      </c>
      <c r="P736" s="6">
        <f>INT((ROUND(raw_order_lines!H736*10,0)*ROUND(raw_order_lines!J736*100,0)+5)/10)/100</f>
        <v>32</v>
      </c>
      <c r="Q736" s="6">
        <f>INT((ROUND(raw_order_lines!I736*10,0)*ROUND(raw_order_lines!J736*100,0)+5)/10)/100</f>
        <v>0</v>
      </c>
      <c r="R736" s="6">
        <f t="shared" si="33"/>
        <v>32</v>
      </c>
      <c r="S736" s="2" t="str">
        <f>IF(OR(ROUND(raw_order_lines!I736*10,0)&gt;ROUND(raw_order_lines!H736*10,0),ROUND(raw_order_lines!H736*10,0)&gt;ROUND(raw_order_lines!G736*10,0),ROUND(raw_order_lines!G736*10,0)&lt;=0),"数量关系异常","")</f>
        <v/>
      </c>
      <c r="T736" s="2" t="str">
        <f>IF($F736&lt;&gt;INDEX(dim_products!$D$2:$D$21,MATCH($E736,dim_products!$A$2:$A$21,0)),"单位不一致","")</f>
        <v/>
      </c>
      <c r="U736" s="2" t="str">
        <f>IF(OR(ROUND(raw_order_lines!J736*100,0)&lt;ROUND(INDEX(dim_products!$F$2:$F$21,MATCH($E736,dim_products!$A$2:$A$21,0))*100,0),ROUND(raw_order_lines!J736*100,0)&gt;ROUND(INDEX(dim_products!$G$2:$G$21,MATCH($E736,dim_products!$A$2:$A$21,0))*100,0)),"单价越界","")</f>
        <v/>
      </c>
      <c r="V736" s="2" t="str">
        <f t="shared" si="34"/>
        <v/>
      </c>
      <c r="W736" s="2" t="str">
        <f t="shared" si="35"/>
        <v>通过</v>
      </c>
    </row>
    <row r="737" spans="1:23" ht="15">
      <c r="A737" s="2" t="str">
        <f>raw_order_lines!A737</f>
        <v>SIM-20260923-C005</v>
      </c>
      <c r="B737" s="2">
        <f>raw_order_lines!B737</f>
        <v>2</v>
      </c>
      <c r="C737" s="2" t="str">
        <f>raw_order_lines!C737</f>
        <v>C005</v>
      </c>
      <c r="D737" s="3">
        <f>raw_order_lines!D737</f>
        <v>46288</v>
      </c>
      <c r="E737" s="2" t="str">
        <f>raw_order_lines!E737</f>
        <v>P014</v>
      </c>
      <c r="F737" s="2" t="str">
        <f>raw_order_lines!F737</f>
        <v>公斤</v>
      </c>
      <c r="G737" s="4">
        <f>raw_order_lines!G737</f>
        <v>8</v>
      </c>
      <c r="H737" s="4">
        <f>raw_order_lines!H737</f>
        <v>8</v>
      </c>
      <c r="I737" s="4">
        <f>raw_order_lines!I737</f>
        <v>0</v>
      </c>
      <c r="J737" s="5">
        <f>raw_order_lines!J737</f>
        <v>4.9000000000000004</v>
      </c>
      <c r="K737" s="2" t="str">
        <f>raw_order_lines!K737</f>
        <v>正常交付</v>
      </c>
      <c r="L737" s="2" t="str">
        <f>raw_order_lines!L737</f>
        <v>true</v>
      </c>
      <c r="M737" s="2" t="str">
        <f>INDEX(dim_products!$B$2:$B$21,MATCH($E737,dim_products!$A$2:$A$21,0))</f>
        <v>丝瓜</v>
      </c>
      <c r="N737" s="2" t="str">
        <f>INDEX(dim_products!$C$2:$C$21,MATCH($E737,dim_products!$A$2:$A$21,0))</f>
        <v>散装鲜菜</v>
      </c>
      <c r="O737" s="2" t="str">
        <f>INDEX(dim_customers!$B$2:$B$7,MATCH($C737,dim_customers!$A$2:$A$7,0))</f>
        <v>模拟_青禾小学食堂</v>
      </c>
      <c r="P737" s="6">
        <f>INT((ROUND(raw_order_lines!H737*10,0)*ROUND(raw_order_lines!J737*100,0)+5)/10)/100</f>
        <v>39.200000000000003</v>
      </c>
      <c r="Q737" s="6">
        <f>INT((ROUND(raw_order_lines!I737*10,0)*ROUND(raw_order_lines!J737*100,0)+5)/10)/100</f>
        <v>0</v>
      </c>
      <c r="R737" s="6">
        <f t="shared" si="33"/>
        <v>39.200000000000003</v>
      </c>
      <c r="S737" s="2" t="str">
        <f>IF(OR(ROUND(raw_order_lines!I737*10,0)&gt;ROUND(raw_order_lines!H737*10,0),ROUND(raw_order_lines!H737*10,0)&gt;ROUND(raw_order_lines!G737*10,0),ROUND(raw_order_lines!G737*10,0)&lt;=0),"数量关系异常","")</f>
        <v/>
      </c>
      <c r="T737" s="2" t="str">
        <f>IF($F737&lt;&gt;INDEX(dim_products!$D$2:$D$21,MATCH($E737,dim_products!$A$2:$A$21,0)),"单位不一致","")</f>
        <v/>
      </c>
      <c r="U737" s="2" t="str">
        <f>IF(OR(ROUND(raw_order_lines!J737*100,0)&lt;ROUND(INDEX(dim_products!$F$2:$F$21,MATCH($E737,dim_products!$A$2:$A$21,0))*100,0),ROUND(raw_order_lines!J737*100,0)&gt;ROUND(INDEX(dim_products!$G$2:$G$21,MATCH($E737,dim_products!$A$2:$A$21,0))*100,0)),"单价越界","")</f>
        <v/>
      </c>
      <c r="V737" s="2" t="str">
        <f t="shared" si="34"/>
        <v/>
      </c>
      <c r="W737" s="2" t="str">
        <f t="shared" si="35"/>
        <v>通过</v>
      </c>
    </row>
    <row r="738" spans="1:23" ht="15">
      <c r="A738" s="2" t="str">
        <f>raw_order_lines!A738</f>
        <v>SIM-20260923-C005</v>
      </c>
      <c r="B738" s="2">
        <f>raw_order_lines!B738</f>
        <v>3</v>
      </c>
      <c r="C738" s="2" t="str">
        <f>raw_order_lines!C738</f>
        <v>C005</v>
      </c>
      <c r="D738" s="3">
        <f>raw_order_lines!D738</f>
        <v>46288</v>
      </c>
      <c r="E738" s="2" t="str">
        <f>raw_order_lines!E738</f>
        <v>P013</v>
      </c>
      <c r="F738" s="2" t="str">
        <f>raw_order_lines!F738</f>
        <v>公斤</v>
      </c>
      <c r="G738" s="4">
        <f>raw_order_lines!G738</f>
        <v>11.2</v>
      </c>
      <c r="H738" s="4">
        <f>raw_order_lines!H738</f>
        <v>11.2</v>
      </c>
      <c r="I738" s="4">
        <f>raw_order_lines!I738</f>
        <v>0</v>
      </c>
      <c r="J738" s="5">
        <f>raw_order_lines!J738</f>
        <v>6.1</v>
      </c>
      <c r="K738" s="2" t="str">
        <f>raw_order_lines!K738</f>
        <v>正常交付</v>
      </c>
      <c r="L738" s="2" t="str">
        <f>raw_order_lines!L738</f>
        <v>true</v>
      </c>
      <c r="M738" s="2" t="str">
        <f>INDEX(dim_products!$B$2:$B$21,MATCH($E738,dim_products!$A$2:$A$21,0))</f>
        <v>豇豆</v>
      </c>
      <c r="N738" s="2" t="str">
        <f>INDEX(dim_products!$C$2:$C$21,MATCH($E738,dim_products!$A$2:$A$21,0))</f>
        <v>散装鲜菜</v>
      </c>
      <c r="O738" s="2" t="str">
        <f>INDEX(dim_customers!$B$2:$B$7,MATCH($C738,dim_customers!$A$2:$A$7,0))</f>
        <v>模拟_青禾小学食堂</v>
      </c>
      <c r="P738" s="6">
        <f>INT((ROUND(raw_order_lines!H738*10,0)*ROUND(raw_order_lines!J738*100,0)+5)/10)/100</f>
        <v>68.319999999999993</v>
      </c>
      <c r="Q738" s="6">
        <f>INT((ROUND(raw_order_lines!I738*10,0)*ROUND(raw_order_lines!J738*100,0)+5)/10)/100</f>
        <v>0</v>
      </c>
      <c r="R738" s="6">
        <f t="shared" si="33"/>
        <v>68.319999999999993</v>
      </c>
      <c r="S738" s="2" t="str">
        <f>IF(OR(ROUND(raw_order_lines!I738*10,0)&gt;ROUND(raw_order_lines!H738*10,0),ROUND(raw_order_lines!H738*10,0)&gt;ROUND(raw_order_lines!G738*10,0),ROUND(raw_order_lines!G738*10,0)&lt;=0),"数量关系异常","")</f>
        <v/>
      </c>
      <c r="T738" s="2" t="str">
        <f>IF($F738&lt;&gt;INDEX(dim_products!$D$2:$D$21,MATCH($E738,dim_products!$A$2:$A$21,0)),"单位不一致","")</f>
        <v/>
      </c>
      <c r="U738" s="2" t="str">
        <f>IF(OR(ROUND(raw_order_lines!J738*100,0)&lt;ROUND(INDEX(dim_products!$F$2:$F$21,MATCH($E738,dim_products!$A$2:$A$21,0))*100,0),ROUND(raw_order_lines!J738*100,0)&gt;ROUND(INDEX(dim_products!$G$2:$G$21,MATCH($E738,dim_products!$A$2:$A$21,0))*100,0)),"单价越界","")</f>
        <v/>
      </c>
      <c r="V738" s="2" t="str">
        <f t="shared" si="34"/>
        <v/>
      </c>
      <c r="W738" s="2" t="str">
        <f t="shared" si="35"/>
        <v>通过</v>
      </c>
    </row>
    <row r="739" spans="1:23" ht="15">
      <c r="A739" s="2" t="str">
        <f>raw_order_lines!A739</f>
        <v>SIM-20260923-C005</v>
      </c>
      <c r="B739" s="2">
        <f>raw_order_lines!B739</f>
        <v>4</v>
      </c>
      <c r="C739" s="2" t="str">
        <f>raw_order_lines!C739</f>
        <v>C005</v>
      </c>
      <c r="D739" s="3">
        <f>raw_order_lines!D739</f>
        <v>46288</v>
      </c>
      <c r="E739" s="2" t="str">
        <f>raw_order_lines!E739</f>
        <v>P007</v>
      </c>
      <c r="F739" s="2" t="str">
        <f>raw_order_lines!F739</f>
        <v>公斤</v>
      </c>
      <c r="G739" s="4">
        <f>raw_order_lines!G739</f>
        <v>8.8000000000000007</v>
      </c>
      <c r="H739" s="4">
        <f>raw_order_lines!H739</f>
        <v>8.8000000000000007</v>
      </c>
      <c r="I739" s="4">
        <f>raw_order_lines!I739</f>
        <v>0</v>
      </c>
      <c r="J739" s="5">
        <f>raw_order_lines!J739</f>
        <v>4.95</v>
      </c>
      <c r="K739" s="2" t="str">
        <f>raw_order_lines!K739</f>
        <v>正常交付</v>
      </c>
      <c r="L739" s="2" t="str">
        <f>raw_order_lines!L739</f>
        <v>true</v>
      </c>
      <c r="M739" s="2" t="str">
        <f>INDEX(dim_products!$B$2:$B$21,MATCH($E739,dim_products!$A$2:$A$21,0))</f>
        <v>青椒</v>
      </c>
      <c r="N739" s="2" t="str">
        <f>INDEX(dim_products!$C$2:$C$21,MATCH($E739,dim_products!$A$2:$A$21,0))</f>
        <v>散装鲜菜</v>
      </c>
      <c r="O739" s="2" t="str">
        <f>INDEX(dim_customers!$B$2:$B$7,MATCH($C739,dim_customers!$A$2:$A$7,0))</f>
        <v>模拟_青禾小学食堂</v>
      </c>
      <c r="P739" s="6">
        <f>INT((ROUND(raw_order_lines!H739*10,0)*ROUND(raw_order_lines!J739*100,0)+5)/10)/100</f>
        <v>43.56</v>
      </c>
      <c r="Q739" s="6">
        <f>INT((ROUND(raw_order_lines!I739*10,0)*ROUND(raw_order_lines!J739*100,0)+5)/10)/100</f>
        <v>0</v>
      </c>
      <c r="R739" s="6">
        <f t="shared" si="33"/>
        <v>43.56</v>
      </c>
      <c r="S739" s="2" t="str">
        <f>IF(OR(ROUND(raw_order_lines!I739*10,0)&gt;ROUND(raw_order_lines!H739*10,0),ROUND(raw_order_lines!H739*10,0)&gt;ROUND(raw_order_lines!G739*10,0),ROUND(raw_order_lines!G739*10,0)&lt;=0),"数量关系异常","")</f>
        <v/>
      </c>
      <c r="T739" s="2" t="str">
        <f>IF($F739&lt;&gt;INDEX(dim_products!$D$2:$D$21,MATCH($E739,dim_products!$A$2:$A$21,0)),"单位不一致","")</f>
        <v/>
      </c>
      <c r="U739" s="2" t="str">
        <f>IF(OR(ROUND(raw_order_lines!J739*100,0)&lt;ROUND(INDEX(dim_products!$F$2:$F$21,MATCH($E739,dim_products!$A$2:$A$21,0))*100,0),ROUND(raw_order_lines!J739*100,0)&gt;ROUND(INDEX(dim_products!$G$2:$G$21,MATCH($E739,dim_products!$A$2:$A$21,0))*100,0)),"单价越界","")</f>
        <v/>
      </c>
      <c r="V739" s="2" t="str">
        <f t="shared" si="34"/>
        <v/>
      </c>
      <c r="W739" s="2" t="str">
        <f t="shared" si="35"/>
        <v>通过</v>
      </c>
    </row>
    <row r="740" spans="1:23" ht="15">
      <c r="A740" s="2" t="str">
        <f>raw_order_lines!A740</f>
        <v>SIM-20260923-C005</v>
      </c>
      <c r="B740" s="2">
        <f>raw_order_lines!B740</f>
        <v>5</v>
      </c>
      <c r="C740" s="2" t="str">
        <f>raw_order_lines!C740</f>
        <v>C005</v>
      </c>
      <c r="D740" s="3">
        <f>raw_order_lines!D740</f>
        <v>46288</v>
      </c>
      <c r="E740" s="2" t="str">
        <f>raw_order_lines!E740</f>
        <v>P008</v>
      </c>
      <c r="F740" s="2" t="str">
        <f>raw_order_lines!F740</f>
        <v>公斤</v>
      </c>
      <c r="G740" s="4">
        <f>raw_order_lines!G740</f>
        <v>12</v>
      </c>
      <c r="H740" s="4">
        <f>raw_order_lines!H740</f>
        <v>12</v>
      </c>
      <c r="I740" s="4">
        <f>raw_order_lines!I740</f>
        <v>0</v>
      </c>
      <c r="J740" s="5">
        <f>raw_order_lines!J740</f>
        <v>3.9</v>
      </c>
      <c r="K740" s="2" t="str">
        <f>raw_order_lines!K740</f>
        <v>正常交付</v>
      </c>
      <c r="L740" s="2" t="str">
        <f>raw_order_lines!L740</f>
        <v>true</v>
      </c>
      <c r="M740" s="2" t="str">
        <f>INDEX(dim_products!$B$2:$B$21,MATCH($E740,dim_products!$A$2:$A$21,0))</f>
        <v>黄瓜</v>
      </c>
      <c r="N740" s="2" t="str">
        <f>INDEX(dim_products!$C$2:$C$21,MATCH($E740,dim_products!$A$2:$A$21,0))</f>
        <v>散装鲜菜</v>
      </c>
      <c r="O740" s="2" t="str">
        <f>INDEX(dim_customers!$B$2:$B$7,MATCH($C740,dim_customers!$A$2:$A$7,0))</f>
        <v>模拟_青禾小学食堂</v>
      </c>
      <c r="P740" s="6">
        <f>INT((ROUND(raw_order_lines!H740*10,0)*ROUND(raw_order_lines!J740*100,0)+5)/10)/100</f>
        <v>46.8</v>
      </c>
      <c r="Q740" s="6">
        <f>INT((ROUND(raw_order_lines!I740*10,0)*ROUND(raw_order_lines!J740*100,0)+5)/10)/100</f>
        <v>0</v>
      </c>
      <c r="R740" s="6">
        <f t="shared" si="33"/>
        <v>46.8</v>
      </c>
      <c r="S740" s="2" t="str">
        <f>IF(OR(ROUND(raw_order_lines!I740*10,0)&gt;ROUND(raw_order_lines!H740*10,0),ROUND(raw_order_lines!H740*10,0)&gt;ROUND(raw_order_lines!G740*10,0),ROUND(raw_order_lines!G740*10,0)&lt;=0),"数量关系异常","")</f>
        <v/>
      </c>
      <c r="T740" s="2" t="str">
        <f>IF($F740&lt;&gt;INDEX(dim_products!$D$2:$D$21,MATCH($E740,dim_products!$A$2:$A$21,0)),"单位不一致","")</f>
        <v/>
      </c>
      <c r="U740" s="2" t="str">
        <f>IF(OR(ROUND(raw_order_lines!J740*100,0)&lt;ROUND(INDEX(dim_products!$F$2:$F$21,MATCH($E740,dim_products!$A$2:$A$21,0))*100,0),ROUND(raw_order_lines!J740*100,0)&gt;ROUND(INDEX(dim_products!$G$2:$G$21,MATCH($E740,dim_products!$A$2:$A$21,0))*100,0)),"单价越界","")</f>
        <v/>
      </c>
      <c r="V740" s="2" t="str">
        <f t="shared" si="34"/>
        <v/>
      </c>
      <c r="W740" s="2" t="str">
        <f t="shared" si="35"/>
        <v>通过</v>
      </c>
    </row>
    <row r="741" spans="1:23" ht="15">
      <c r="A741" s="2" t="str">
        <f>raw_order_lines!A741</f>
        <v>SIM-20260923-C005</v>
      </c>
      <c r="B741" s="2">
        <f>raw_order_lines!B741</f>
        <v>6</v>
      </c>
      <c r="C741" s="2" t="str">
        <f>raw_order_lines!C741</f>
        <v>C005</v>
      </c>
      <c r="D741" s="3">
        <f>raw_order_lines!D741</f>
        <v>46288</v>
      </c>
      <c r="E741" s="2" t="str">
        <f>raw_order_lines!E741</f>
        <v>P003</v>
      </c>
      <c r="F741" s="2" t="str">
        <f>raw_order_lines!F741</f>
        <v>公斤</v>
      </c>
      <c r="G741" s="4">
        <f>raw_order_lines!G741</f>
        <v>8</v>
      </c>
      <c r="H741" s="4">
        <f>raw_order_lines!H741</f>
        <v>8</v>
      </c>
      <c r="I741" s="4">
        <f>raw_order_lines!I741</f>
        <v>0</v>
      </c>
      <c r="J741" s="5">
        <f>raw_order_lines!J741</f>
        <v>2.9</v>
      </c>
      <c r="K741" s="2" t="str">
        <f>raw_order_lines!K741</f>
        <v>正常交付</v>
      </c>
      <c r="L741" s="2" t="str">
        <f>raw_order_lines!L741</f>
        <v>true</v>
      </c>
      <c r="M741" s="2" t="str">
        <f>INDEX(dim_products!$B$2:$B$21,MATCH($E741,dim_products!$A$2:$A$21,0))</f>
        <v>包菜</v>
      </c>
      <c r="N741" s="2" t="str">
        <f>INDEX(dim_products!$C$2:$C$21,MATCH($E741,dim_products!$A$2:$A$21,0))</f>
        <v>散装鲜菜</v>
      </c>
      <c r="O741" s="2" t="str">
        <f>INDEX(dim_customers!$B$2:$B$7,MATCH($C741,dim_customers!$A$2:$A$7,0))</f>
        <v>模拟_青禾小学食堂</v>
      </c>
      <c r="P741" s="6">
        <f>INT((ROUND(raw_order_lines!H741*10,0)*ROUND(raw_order_lines!J741*100,0)+5)/10)/100</f>
        <v>23.2</v>
      </c>
      <c r="Q741" s="6">
        <f>INT((ROUND(raw_order_lines!I741*10,0)*ROUND(raw_order_lines!J741*100,0)+5)/10)/100</f>
        <v>0</v>
      </c>
      <c r="R741" s="6">
        <f t="shared" si="33"/>
        <v>23.2</v>
      </c>
      <c r="S741" s="2" t="str">
        <f>IF(OR(ROUND(raw_order_lines!I741*10,0)&gt;ROUND(raw_order_lines!H741*10,0),ROUND(raw_order_lines!H741*10,0)&gt;ROUND(raw_order_lines!G741*10,0),ROUND(raw_order_lines!G741*10,0)&lt;=0),"数量关系异常","")</f>
        <v/>
      </c>
      <c r="T741" s="2" t="str">
        <f>IF($F741&lt;&gt;INDEX(dim_products!$D$2:$D$21,MATCH($E741,dim_products!$A$2:$A$21,0)),"单位不一致","")</f>
        <v/>
      </c>
      <c r="U741" s="2" t="str">
        <f>IF(OR(ROUND(raw_order_lines!J741*100,0)&lt;ROUND(INDEX(dim_products!$F$2:$F$21,MATCH($E741,dim_products!$A$2:$A$21,0))*100,0),ROUND(raw_order_lines!J741*100,0)&gt;ROUND(INDEX(dim_products!$G$2:$G$21,MATCH($E741,dim_products!$A$2:$A$21,0))*100,0)),"单价越界","")</f>
        <v/>
      </c>
      <c r="V741" s="2" t="str">
        <f t="shared" si="34"/>
        <v/>
      </c>
      <c r="W741" s="2" t="str">
        <f t="shared" si="35"/>
        <v>通过</v>
      </c>
    </row>
    <row r="742" spans="1:23" ht="15">
      <c r="A742" s="2" t="str">
        <f>raw_order_lines!A742</f>
        <v>SIM-20260923-C006</v>
      </c>
      <c r="B742" s="2">
        <f>raw_order_lines!B742</f>
        <v>1</v>
      </c>
      <c r="C742" s="2" t="str">
        <f>raw_order_lines!C742</f>
        <v>C006</v>
      </c>
      <c r="D742" s="3">
        <f>raw_order_lines!D742</f>
        <v>46288</v>
      </c>
      <c r="E742" s="2" t="str">
        <f>raw_order_lines!E742</f>
        <v>P010</v>
      </c>
      <c r="F742" s="2" t="str">
        <f>raw_order_lines!F742</f>
        <v>公斤</v>
      </c>
      <c r="G742" s="4">
        <f>raw_order_lines!G742</f>
        <v>6.2</v>
      </c>
      <c r="H742" s="4">
        <f>raw_order_lines!H742</f>
        <v>6.2</v>
      </c>
      <c r="I742" s="4">
        <f>raw_order_lines!I742</f>
        <v>0</v>
      </c>
      <c r="J742" s="5">
        <f>raw_order_lines!J742</f>
        <v>4.9000000000000004</v>
      </c>
      <c r="K742" s="2" t="str">
        <f>raw_order_lines!K742</f>
        <v>正常交付</v>
      </c>
      <c r="L742" s="2" t="str">
        <f>raw_order_lines!L742</f>
        <v>true</v>
      </c>
      <c r="M742" s="2" t="str">
        <f>INDEX(dim_products!$B$2:$B$21,MATCH($E742,dim_products!$A$2:$A$21,0))</f>
        <v>空心菜</v>
      </c>
      <c r="N742" s="2" t="str">
        <f>INDEX(dim_products!$C$2:$C$21,MATCH($E742,dim_products!$A$2:$A$21,0))</f>
        <v>散装鲜菜</v>
      </c>
      <c r="O742" s="2" t="str">
        <f>INDEX(dim_customers!$B$2:$B$7,MATCH($C742,dim_customers!$A$2:$A$7,0))</f>
        <v>模拟_溪桥医院食堂</v>
      </c>
      <c r="P742" s="6">
        <f>INT((ROUND(raw_order_lines!H742*10,0)*ROUND(raw_order_lines!J742*100,0)+5)/10)/100</f>
        <v>30.38</v>
      </c>
      <c r="Q742" s="6">
        <f>INT((ROUND(raw_order_lines!I742*10,0)*ROUND(raw_order_lines!J742*100,0)+5)/10)/100</f>
        <v>0</v>
      </c>
      <c r="R742" s="6">
        <f t="shared" si="33"/>
        <v>30.38</v>
      </c>
      <c r="S742" s="2" t="str">
        <f>IF(OR(ROUND(raw_order_lines!I742*10,0)&gt;ROUND(raw_order_lines!H742*10,0),ROUND(raw_order_lines!H742*10,0)&gt;ROUND(raw_order_lines!G742*10,0),ROUND(raw_order_lines!G742*10,0)&lt;=0),"数量关系异常","")</f>
        <v/>
      </c>
      <c r="T742" s="2" t="str">
        <f>IF($F742&lt;&gt;INDEX(dim_products!$D$2:$D$21,MATCH($E742,dim_products!$A$2:$A$21,0)),"单位不一致","")</f>
        <v/>
      </c>
      <c r="U742" s="2" t="str">
        <f>IF(OR(ROUND(raw_order_lines!J742*100,0)&lt;ROUND(INDEX(dim_products!$F$2:$F$21,MATCH($E742,dim_products!$A$2:$A$21,0))*100,0),ROUND(raw_order_lines!J742*100,0)&gt;ROUND(INDEX(dim_products!$G$2:$G$21,MATCH($E742,dim_products!$A$2:$A$21,0))*100,0)),"单价越界","")</f>
        <v/>
      </c>
      <c r="V742" s="2" t="str">
        <f t="shared" si="34"/>
        <v/>
      </c>
      <c r="W742" s="2" t="str">
        <f t="shared" si="35"/>
        <v>通过</v>
      </c>
    </row>
    <row r="743" spans="1:23" ht="15">
      <c r="A743" s="2" t="str">
        <f>raw_order_lines!A743</f>
        <v>SIM-20260923-C006</v>
      </c>
      <c r="B743" s="2">
        <f>raw_order_lines!B743</f>
        <v>2</v>
      </c>
      <c r="C743" s="2" t="str">
        <f>raw_order_lines!C743</f>
        <v>C006</v>
      </c>
      <c r="D743" s="3">
        <f>raw_order_lines!D743</f>
        <v>46288</v>
      </c>
      <c r="E743" s="2" t="str">
        <f>raw_order_lines!E743</f>
        <v>P007</v>
      </c>
      <c r="F743" s="2" t="str">
        <f>raw_order_lines!F743</f>
        <v>公斤</v>
      </c>
      <c r="G743" s="4">
        <f>raw_order_lines!G743</f>
        <v>10.4</v>
      </c>
      <c r="H743" s="4">
        <f>raw_order_lines!H743</f>
        <v>10.4</v>
      </c>
      <c r="I743" s="4">
        <f>raw_order_lines!I743</f>
        <v>0</v>
      </c>
      <c r="J743" s="5">
        <f>raw_order_lines!J743</f>
        <v>4.95</v>
      </c>
      <c r="K743" s="2" t="str">
        <f>raw_order_lines!K743</f>
        <v>正常交付</v>
      </c>
      <c r="L743" s="2" t="str">
        <f>raw_order_lines!L743</f>
        <v>true</v>
      </c>
      <c r="M743" s="2" t="str">
        <f>INDEX(dim_products!$B$2:$B$21,MATCH($E743,dim_products!$A$2:$A$21,0))</f>
        <v>青椒</v>
      </c>
      <c r="N743" s="2" t="str">
        <f>INDEX(dim_products!$C$2:$C$21,MATCH($E743,dim_products!$A$2:$A$21,0))</f>
        <v>散装鲜菜</v>
      </c>
      <c r="O743" s="2" t="str">
        <f>INDEX(dim_customers!$B$2:$B$7,MATCH($C743,dim_customers!$A$2:$A$7,0))</f>
        <v>模拟_溪桥医院食堂</v>
      </c>
      <c r="P743" s="6">
        <f>INT((ROUND(raw_order_lines!H743*10,0)*ROUND(raw_order_lines!J743*100,0)+5)/10)/100</f>
        <v>51.48</v>
      </c>
      <c r="Q743" s="6">
        <f>INT((ROUND(raw_order_lines!I743*10,0)*ROUND(raw_order_lines!J743*100,0)+5)/10)/100</f>
        <v>0</v>
      </c>
      <c r="R743" s="6">
        <f t="shared" si="33"/>
        <v>51.48</v>
      </c>
      <c r="S743" s="2" t="str">
        <f>IF(OR(ROUND(raw_order_lines!I743*10,0)&gt;ROUND(raw_order_lines!H743*10,0),ROUND(raw_order_lines!H743*10,0)&gt;ROUND(raw_order_lines!G743*10,0),ROUND(raw_order_lines!G743*10,0)&lt;=0),"数量关系异常","")</f>
        <v/>
      </c>
      <c r="T743" s="2" t="str">
        <f>IF($F743&lt;&gt;INDEX(dim_products!$D$2:$D$21,MATCH($E743,dim_products!$A$2:$A$21,0)),"单位不一致","")</f>
        <v/>
      </c>
      <c r="U743" s="2" t="str">
        <f>IF(OR(ROUND(raw_order_lines!J743*100,0)&lt;ROUND(INDEX(dim_products!$F$2:$F$21,MATCH($E743,dim_products!$A$2:$A$21,0))*100,0),ROUND(raw_order_lines!J743*100,0)&gt;ROUND(INDEX(dim_products!$G$2:$G$21,MATCH($E743,dim_products!$A$2:$A$21,0))*100,0)),"单价越界","")</f>
        <v/>
      </c>
      <c r="V743" s="2" t="str">
        <f t="shared" si="34"/>
        <v/>
      </c>
      <c r="W743" s="2" t="str">
        <f t="shared" si="35"/>
        <v>通过</v>
      </c>
    </row>
    <row r="744" spans="1:23" ht="15">
      <c r="A744" s="2" t="str">
        <f>raw_order_lines!A744</f>
        <v>SIM-20260923-C006</v>
      </c>
      <c r="B744" s="2">
        <f>raw_order_lines!B744</f>
        <v>3</v>
      </c>
      <c r="C744" s="2" t="str">
        <f>raw_order_lines!C744</f>
        <v>C006</v>
      </c>
      <c r="D744" s="3">
        <f>raw_order_lines!D744</f>
        <v>46288</v>
      </c>
      <c r="E744" s="2" t="str">
        <f>raw_order_lines!E744</f>
        <v>P006</v>
      </c>
      <c r="F744" s="2" t="str">
        <f>raw_order_lines!F744</f>
        <v>公斤</v>
      </c>
      <c r="G744" s="4">
        <f>raw_order_lines!G744</f>
        <v>8.3000000000000007</v>
      </c>
      <c r="H744" s="4">
        <f>raw_order_lines!H744</f>
        <v>8.3000000000000007</v>
      </c>
      <c r="I744" s="4">
        <f>raw_order_lines!I744</f>
        <v>0</v>
      </c>
      <c r="J744" s="5">
        <f>raw_order_lines!J744</f>
        <v>4.5999999999999996</v>
      </c>
      <c r="K744" s="2" t="str">
        <f>raw_order_lines!K744</f>
        <v>正常交付</v>
      </c>
      <c r="L744" s="2" t="str">
        <f>raw_order_lines!L744</f>
        <v>true</v>
      </c>
      <c r="M744" s="2" t="str">
        <f>INDEX(dim_products!$B$2:$B$21,MATCH($E744,dim_products!$A$2:$A$21,0))</f>
        <v>茄子</v>
      </c>
      <c r="N744" s="2" t="str">
        <f>INDEX(dim_products!$C$2:$C$21,MATCH($E744,dim_products!$A$2:$A$21,0))</f>
        <v>散装鲜菜</v>
      </c>
      <c r="O744" s="2" t="str">
        <f>INDEX(dim_customers!$B$2:$B$7,MATCH($C744,dim_customers!$A$2:$A$7,0))</f>
        <v>模拟_溪桥医院食堂</v>
      </c>
      <c r="P744" s="6">
        <f>INT((ROUND(raw_order_lines!H744*10,0)*ROUND(raw_order_lines!J744*100,0)+5)/10)/100</f>
        <v>38.18</v>
      </c>
      <c r="Q744" s="6">
        <f>INT((ROUND(raw_order_lines!I744*10,0)*ROUND(raw_order_lines!J744*100,0)+5)/10)/100</f>
        <v>0</v>
      </c>
      <c r="R744" s="6">
        <f t="shared" si="33"/>
        <v>38.18</v>
      </c>
      <c r="S744" s="2" t="str">
        <f>IF(OR(ROUND(raw_order_lines!I744*10,0)&gt;ROUND(raw_order_lines!H744*10,0),ROUND(raw_order_lines!H744*10,0)&gt;ROUND(raw_order_lines!G744*10,0),ROUND(raw_order_lines!G744*10,0)&lt;=0),"数量关系异常","")</f>
        <v/>
      </c>
      <c r="T744" s="2" t="str">
        <f>IF($F744&lt;&gt;INDEX(dim_products!$D$2:$D$21,MATCH($E744,dim_products!$A$2:$A$21,0)),"单位不一致","")</f>
        <v/>
      </c>
      <c r="U744" s="2" t="str">
        <f>IF(OR(ROUND(raw_order_lines!J744*100,0)&lt;ROUND(INDEX(dim_products!$F$2:$F$21,MATCH($E744,dim_products!$A$2:$A$21,0))*100,0),ROUND(raw_order_lines!J744*100,0)&gt;ROUND(INDEX(dim_products!$G$2:$G$21,MATCH($E744,dim_products!$A$2:$A$21,0))*100,0)),"单价越界","")</f>
        <v/>
      </c>
      <c r="V744" s="2" t="str">
        <f t="shared" si="34"/>
        <v/>
      </c>
      <c r="W744" s="2" t="str">
        <f t="shared" si="35"/>
        <v>通过</v>
      </c>
    </row>
    <row r="745" spans="1:23" ht="15">
      <c r="A745" s="2" t="str">
        <f>raw_order_lines!A745</f>
        <v>SIM-20260923-C006</v>
      </c>
      <c r="B745" s="2">
        <f>raw_order_lines!B745</f>
        <v>4</v>
      </c>
      <c r="C745" s="2" t="str">
        <f>raw_order_lines!C745</f>
        <v>C006</v>
      </c>
      <c r="D745" s="3">
        <f>raw_order_lines!D745</f>
        <v>46288</v>
      </c>
      <c r="E745" s="2" t="str">
        <f>raw_order_lines!E745</f>
        <v>P013</v>
      </c>
      <c r="F745" s="2" t="str">
        <f>raw_order_lines!F745</f>
        <v>公斤</v>
      </c>
      <c r="G745" s="4">
        <f>raw_order_lines!G745</f>
        <v>4.9000000000000004</v>
      </c>
      <c r="H745" s="4">
        <f>raw_order_lines!H745</f>
        <v>4.9000000000000004</v>
      </c>
      <c r="I745" s="4">
        <f>raw_order_lines!I745</f>
        <v>0</v>
      </c>
      <c r="J745" s="5">
        <f>raw_order_lines!J745</f>
        <v>6.1</v>
      </c>
      <c r="K745" s="2" t="str">
        <f>raw_order_lines!K745</f>
        <v>正常交付</v>
      </c>
      <c r="L745" s="2" t="str">
        <f>raw_order_lines!L745</f>
        <v>true</v>
      </c>
      <c r="M745" s="2" t="str">
        <f>INDEX(dim_products!$B$2:$B$21,MATCH($E745,dim_products!$A$2:$A$21,0))</f>
        <v>豇豆</v>
      </c>
      <c r="N745" s="2" t="str">
        <f>INDEX(dim_products!$C$2:$C$21,MATCH($E745,dim_products!$A$2:$A$21,0))</f>
        <v>散装鲜菜</v>
      </c>
      <c r="O745" s="2" t="str">
        <f>INDEX(dim_customers!$B$2:$B$7,MATCH($C745,dim_customers!$A$2:$A$7,0))</f>
        <v>模拟_溪桥医院食堂</v>
      </c>
      <c r="P745" s="6">
        <f>INT((ROUND(raw_order_lines!H745*10,0)*ROUND(raw_order_lines!J745*100,0)+5)/10)/100</f>
        <v>29.89</v>
      </c>
      <c r="Q745" s="6">
        <f>INT((ROUND(raw_order_lines!I745*10,0)*ROUND(raw_order_lines!J745*100,0)+5)/10)/100</f>
        <v>0</v>
      </c>
      <c r="R745" s="6">
        <f t="shared" si="33"/>
        <v>29.89</v>
      </c>
      <c r="S745" s="2" t="str">
        <f>IF(OR(ROUND(raw_order_lines!I745*10,0)&gt;ROUND(raw_order_lines!H745*10,0),ROUND(raw_order_lines!H745*10,0)&gt;ROUND(raw_order_lines!G745*10,0),ROUND(raw_order_lines!G745*10,0)&lt;=0),"数量关系异常","")</f>
        <v/>
      </c>
      <c r="T745" s="2" t="str">
        <f>IF($F745&lt;&gt;INDEX(dim_products!$D$2:$D$21,MATCH($E745,dim_products!$A$2:$A$21,0)),"单位不一致","")</f>
        <v/>
      </c>
      <c r="U745" s="2" t="str">
        <f>IF(OR(ROUND(raw_order_lines!J745*100,0)&lt;ROUND(INDEX(dim_products!$F$2:$F$21,MATCH($E745,dim_products!$A$2:$A$21,0))*100,0),ROUND(raw_order_lines!J745*100,0)&gt;ROUND(INDEX(dim_products!$G$2:$G$21,MATCH($E745,dim_products!$A$2:$A$21,0))*100,0)),"单价越界","")</f>
        <v/>
      </c>
      <c r="V745" s="2" t="str">
        <f t="shared" si="34"/>
        <v/>
      </c>
      <c r="W745" s="2" t="str">
        <f t="shared" si="35"/>
        <v>通过</v>
      </c>
    </row>
    <row r="746" spans="1:23" ht="15">
      <c r="A746" s="2" t="str">
        <f>raw_order_lines!A746</f>
        <v>SIM-20260923-C006</v>
      </c>
      <c r="B746" s="2">
        <f>raw_order_lines!B746</f>
        <v>5</v>
      </c>
      <c r="C746" s="2" t="str">
        <f>raw_order_lines!C746</f>
        <v>C006</v>
      </c>
      <c r="D746" s="3">
        <f>raw_order_lines!D746</f>
        <v>46288</v>
      </c>
      <c r="E746" s="2" t="str">
        <f>raw_order_lines!E746</f>
        <v>P005</v>
      </c>
      <c r="F746" s="2" t="str">
        <f>raw_order_lines!F746</f>
        <v>公斤</v>
      </c>
      <c r="G746" s="4">
        <f>raw_order_lines!G746</f>
        <v>5.5</v>
      </c>
      <c r="H746" s="4">
        <f>raw_order_lines!H746</f>
        <v>5.5</v>
      </c>
      <c r="I746" s="4">
        <f>raw_order_lines!I746</f>
        <v>0</v>
      </c>
      <c r="J746" s="5">
        <f>raw_order_lines!J746</f>
        <v>2.7</v>
      </c>
      <c r="K746" s="2" t="str">
        <f>raw_order_lines!K746</f>
        <v>正常交付</v>
      </c>
      <c r="L746" s="2" t="str">
        <f>raw_order_lines!L746</f>
        <v>true</v>
      </c>
      <c r="M746" s="2" t="str">
        <f>INDEX(dim_products!$B$2:$B$21,MATCH($E746,dim_products!$A$2:$A$21,0))</f>
        <v>南瓜</v>
      </c>
      <c r="N746" s="2" t="str">
        <f>INDEX(dim_products!$C$2:$C$21,MATCH($E746,dim_products!$A$2:$A$21,0))</f>
        <v>散装鲜菜</v>
      </c>
      <c r="O746" s="2" t="str">
        <f>INDEX(dim_customers!$B$2:$B$7,MATCH($C746,dim_customers!$A$2:$A$7,0))</f>
        <v>模拟_溪桥医院食堂</v>
      </c>
      <c r="P746" s="6">
        <f>INT((ROUND(raw_order_lines!H746*10,0)*ROUND(raw_order_lines!J746*100,0)+5)/10)/100</f>
        <v>14.85</v>
      </c>
      <c r="Q746" s="6">
        <f>INT((ROUND(raw_order_lines!I746*10,0)*ROUND(raw_order_lines!J746*100,0)+5)/10)/100</f>
        <v>0</v>
      </c>
      <c r="R746" s="6">
        <f t="shared" si="33"/>
        <v>14.85</v>
      </c>
      <c r="S746" s="2" t="str">
        <f>IF(OR(ROUND(raw_order_lines!I746*10,0)&gt;ROUND(raw_order_lines!H746*10,0),ROUND(raw_order_lines!H746*10,0)&gt;ROUND(raw_order_lines!G746*10,0),ROUND(raw_order_lines!G746*10,0)&lt;=0),"数量关系异常","")</f>
        <v/>
      </c>
      <c r="T746" s="2" t="str">
        <f>IF($F746&lt;&gt;INDEX(dim_products!$D$2:$D$21,MATCH($E746,dim_products!$A$2:$A$21,0)),"单位不一致","")</f>
        <v/>
      </c>
      <c r="U746" s="2" t="str">
        <f>IF(OR(ROUND(raw_order_lines!J746*100,0)&lt;ROUND(INDEX(dim_products!$F$2:$F$21,MATCH($E746,dim_products!$A$2:$A$21,0))*100,0),ROUND(raw_order_lines!J746*100,0)&gt;ROUND(INDEX(dim_products!$G$2:$G$21,MATCH($E746,dim_products!$A$2:$A$21,0))*100,0)),"单价越界","")</f>
        <v/>
      </c>
      <c r="V746" s="2" t="str">
        <f t="shared" si="34"/>
        <v/>
      </c>
      <c r="W746" s="2" t="str">
        <f t="shared" si="35"/>
        <v>通过</v>
      </c>
    </row>
    <row r="747" spans="1:23" ht="15">
      <c r="A747" s="2" t="str">
        <f>raw_order_lines!A747</f>
        <v>SIM-20260923-C006</v>
      </c>
      <c r="B747" s="2">
        <f>raw_order_lines!B747</f>
        <v>6</v>
      </c>
      <c r="C747" s="2" t="str">
        <f>raw_order_lines!C747</f>
        <v>C006</v>
      </c>
      <c r="D747" s="3">
        <f>raw_order_lines!D747</f>
        <v>46288</v>
      </c>
      <c r="E747" s="2" t="str">
        <f>raw_order_lines!E747</f>
        <v>P009</v>
      </c>
      <c r="F747" s="2" t="str">
        <f>raw_order_lines!F747</f>
        <v>公斤</v>
      </c>
      <c r="G747" s="4">
        <f>raw_order_lines!G747</f>
        <v>8.3000000000000007</v>
      </c>
      <c r="H747" s="4">
        <f>raw_order_lines!H747</f>
        <v>8.3000000000000007</v>
      </c>
      <c r="I747" s="4">
        <f>raw_order_lines!I747</f>
        <v>0</v>
      </c>
      <c r="J747" s="5">
        <f>raw_order_lines!J747</f>
        <v>4.9000000000000004</v>
      </c>
      <c r="K747" s="2" t="str">
        <f>raw_order_lines!K747</f>
        <v>正常交付</v>
      </c>
      <c r="L747" s="2" t="str">
        <f>raw_order_lines!L747</f>
        <v>true</v>
      </c>
      <c r="M747" s="2" t="str">
        <f>INDEX(dim_products!$B$2:$B$21,MATCH($E747,dim_products!$A$2:$A$21,0))</f>
        <v>西红柿</v>
      </c>
      <c r="N747" s="2" t="str">
        <f>INDEX(dim_products!$C$2:$C$21,MATCH($E747,dim_products!$A$2:$A$21,0))</f>
        <v>散装鲜菜</v>
      </c>
      <c r="O747" s="2" t="str">
        <f>INDEX(dim_customers!$B$2:$B$7,MATCH($C747,dim_customers!$A$2:$A$7,0))</f>
        <v>模拟_溪桥医院食堂</v>
      </c>
      <c r="P747" s="6">
        <f>INT((ROUND(raw_order_lines!H747*10,0)*ROUND(raw_order_lines!J747*100,0)+5)/10)/100</f>
        <v>40.67</v>
      </c>
      <c r="Q747" s="6">
        <f>INT((ROUND(raw_order_lines!I747*10,0)*ROUND(raw_order_lines!J747*100,0)+5)/10)/100</f>
        <v>0</v>
      </c>
      <c r="R747" s="6">
        <f t="shared" si="33"/>
        <v>40.67</v>
      </c>
      <c r="S747" s="2" t="str">
        <f>IF(OR(ROUND(raw_order_lines!I747*10,0)&gt;ROUND(raw_order_lines!H747*10,0),ROUND(raw_order_lines!H747*10,0)&gt;ROUND(raw_order_lines!G747*10,0),ROUND(raw_order_lines!G747*10,0)&lt;=0),"数量关系异常","")</f>
        <v/>
      </c>
      <c r="T747" s="2" t="str">
        <f>IF($F747&lt;&gt;INDEX(dim_products!$D$2:$D$21,MATCH($E747,dim_products!$A$2:$A$21,0)),"单位不一致","")</f>
        <v/>
      </c>
      <c r="U747" s="2" t="str">
        <f>IF(OR(ROUND(raw_order_lines!J747*100,0)&lt;ROUND(INDEX(dim_products!$F$2:$F$21,MATCH($E747,dim_products!$A$2:$A$21,0))*100,0),ROUND(raw_order_lines!J747*100,0)&gt;ROUND(INDEX(dim_products!$G$2:$G$21,MATCH($E747,dim_products!$A$2:$A$21,0))*100,0)),"单价越界","")</f>
        <v/>
      </c>
      <c r="V747" s="2" t="str">
        <f t="shared" si="34"/>
        <v/>
      </c>
      <c r="W747" s="2" t="str">
        <f t="shared" si="35"/>
        <v>通过</v>
      </c>
    </row>
    <row r="748" spans="1:23" ht="15">
      <c r="A748" s="2" t="str">
        <f>raw_order_lines!A748</f>
        <v>SIM-20260923-C006</v>
      </c>
      <c r="B748" s="2">
        <f>raw_order_lines!B748</f>
        <v>7</v>
      </c>
      <c r="C748" s="2" t="str">
        <f>raw_order_lines!C748</f>
        <v>C006</v>
      </c>
      <c r="D748" s="3">
        <f>raw_order_lines!D748</f>
        <v>46288</v>
      </c>
      <c r="E748" s="2" t="str">
        <f>raw_order_lines!E748</f>
        <v>P016</v>
      </c>
      <c r="F748" s="2" t="str">
        <f>raw_order_lines!F748</f>
        <v>公斤</v>
      </c>
      <c r="G748" s="4">
        <f>raw_order_lines!G748</f>
        <v>9</v>
      </c>
      <c r="H748" s="4">
        <f>raw_order_lines!H748</f>
        <v>9</v>
      </c>
      <c r="I748" s="4">
        <f>raw_order_lines!I748</f>
        <v>0</v>
      </c>
      <c r="J748" s="5">
        <f>raw_order_lines!J748</f>
        <v>10.4</v>
      </c>
      <c r="K748" s="2" t="str">
        <f>raw_order_lines!K748</f>
        <v>正常交付</v>
      </c>
      <c r="L748" s="2" t="str">
        <f>raw_order_lines!L748</f>
        <v>true</v>
      </c>
      <c r="M748" s="2" t="str">
        <f>INDEX(dim_products!$B$2:$B$21,MATCH($E748,dim_products!$A$2:$A$21,0))</f>
        <v>鸡蛋</v>
      </c>
      <c r="N748" s="2" t="str">
        <f>INDEX(dim_products!$C$2:$C$21,MATCH($E748,dim_products!$A$2:$A$21,0))</f>
        <v>普通鲜鸡蛋按净重</v>
      </c>
      <c r="O748" s="2" t="str">
        <f>INDEX(dim_customers!$B$2:$B$7,MATCH($C748,dim_customers!$A$2:$A$7,0))</f>
        <v>模拟_溪桥医院食堂</v>
      </c>
      <c r="P748" s="6">
        <f>INT((ROUND(raw_order_lines!H748*10,0)*ROUND(raw_order_lines!J748*100,0)+5)/10)/100</f>
        <v>93.6</v>
      </c>
      <c r="Q748" s="6">
        <f>INT((ROUND(raw_order_lines!I748*10,0)*ROUND(raw_order_lines!J748*100,0)+5)/10)/100</f>
        <v>0</v>
      </c>
      <c r="R748" s="6">
        <f t="shared" si="33"/>
        <v>93.6</v>
      </c>
      <c r="S748" s="2" t="str">
        <f>IF(OR(ROUND(raw_order_lines!I748*10,0)&gt;ROUND(raw_order_lines!H748*10,0),ROUND(raw_order_lines!H748*10,0)&gt;ROUND(raw_order_lines!G748*10,0),ROUND(raw_order_lines!G748*10,0)&lt;=0),"数量关系异常","")</f>
        <v/>
      </c>
      <c r="T748" s="2" t="str">
        <f>IF($F748&lt;&gt;INDEX(dim_products!$D$2:$D$21,MATCH($E748,dim_products!$A$2:$A$21,0)),"单位不一致","")</f>
        <v/>
      </c>
      <c r="U748" s="2" t="str">
        <f>IF(OR(ROUND(raw_order_lines!J748*100,0)&lt;ROUND(INDEX(dim_products!$F$2:$F$21,MATCH($E748,dim_products!$A$2:$A$21,0))*100,0),ROUND(raw_order_lines!J748*100,0)&gt;ROUND(INDEX(dim_products!$G$2:$G$21,MATCH($E748,dim_products!$A$2:$A$21,0))*100,0)),"单价越界","")</f>
        <v/>
      </c>
      <c r="V748" s="2" t="str">
        <f t="shared" si="34"/>
        <v/>
      </c>
      <c r="W748" s="2" t="str">
        <f t="shared" si="35"/>
        <v>通过</v>
      </c>
    </row>
    <row r="749" spans="1:23" ht="15">
      <c r="A749" s="2" t="str">
        <f>raw_order_lines!A749</f>
        <v>SIM-20260924-C001</v>
      </c>
      <c r="B749" s="2">
        <f>raw_order_lines!B749</f>
        <v>1</v>
      </c>
      <c r="C749" s="2" t="str">
        <f>raw_order_lines!C749</f>
        <v>C001</v>
      </c>
      <c r="D749" s="3">
        <f>raw_order_lines!D749</f>
        <v>46289</v>
      </c>
      <c r="E749" s="2" t="str">
        <f>raw_order_lines!E749</f>
        <v>P010</v>
      </c>
      <c r="F749" s="2" t="str">
        <f>raw_order_lines!F749</f>
        <v>公斤</v>
      </c>
      <c r="G749" s="4">
        <f>raw_order_lines!G749</f>
        <v>2.8</v>
      </c>
      <c r="H749" s="4">
        <f>raw_order_lines!H749</f>
        <v>2.8</v>
      </c>
      <c r="I749" s="4">
        <f>raw_order_lines!I749</f>
        <v>0</v>
      </c>
      <c r="J749" s="5">
        <f>raw_order_lines!J749</f>
        <v>4.9000000000000004</v>
      </c>
      <c r="K749" s="2" t="str">
        <f>raw_order_lines!K749</f>
        <v>正常交付</v>
      </c>
      <c r="L749" s="2" t="str">
        <f>raw_order_lines!L749</f>
        <v>true</v>
      </c>
      <c r="M749" s="2" t="str">
        <f>INDEX(dim_products!$B$2:$B$21,MATCH($E749,dim_products!$A$2:$A$21,0))</f>
        <v>空心菜</v>
      </c>
      <c r="N749" s="2" t="str">
        <f>INDEX(dim_products!$C$2:$C$21,MATCH($E749,dim_products!$A$2:$A$21,0))</f>
        <v>散装鲜菜</v>
      </c>
      <c r="O749" s="2" t="str">
        <f>INDEX(dim_customers!$B$2:$B$7,MATCH($C749,dim_customers!$A$2:$A$7,0))</f>
        <v>模拟_榕树下粉面店</v>
      </c>
      <c r="P749" s="6">
        <f>INT((ROUND(raw_order_lines!H749*10,0)*ROUND(raw_order_lines!J749*100,0)+5)/10)/100</f>
        <v>13.72</v>
      </c>
      <c r="Q749" s="6">
        <f>INT((ROUND(raw_order_lines!I749*10,0)*ROUND(raw_order_lines!J749*100,0)+5)/10)/100</f>
        <v>0</v>
      </c>
      <c r="R749" s="6">
        <f t="shared" si="33"/>
        <v>13.72</v>
      </c>
      <c r="S749" s="2" t="str">
        <f>IF(OR(ROUND(raw_order_lines!I749*10,0)&gt;ROUND(raw_order_lines!H749*10,0),ROUND(raw_order_lines!H749*10,0)&gt;ROUND(raw_order_lines!G749*10,0),ROUND(raw_order_lines!G749*10,0)&lt;=0),"数量关系异常","")</f>
        <v/>
      </c>
      <c r="T749" s="2" t="str">
        <f>IF($F749&lt;&gt;INDEX(dim_products!$D$2:$D$21,MATCH($E749,dim_products!$A$2:$A$21,0)),"单位不一致","")</f>
        <v/>
      </c>
      <c r="U749" s="2" t="str">
        <f>IF(OR(ROUND(raw_order_lines!J749*100,0)&lt;ROUND(INDEX(dim_products!$F$2:$F$21,MATCH($E749,dim_products!$A$2:$A$21,0))*100,0),ROUND(raw_order_lines!J749*100,0)&gt;ROUND(INDEX(dim_products!$G$2:$G$21,MATCH($E749,dim_products!$A$2:$A$21,0))*100,0)),"单价越界","")</f>
        <v/>
      </c>
      <c r="V749" s="2" t="str">
        <f t="shared" si="34"/>
        <v/>
      </c>
      <c r="W749" s="2" t="str">
        <f t="shared" si="35"/>
        <v>通过</v>
      </c>
    </row>
    <row r="750" spans="1:23" ht="15">
      <c r="A750" s="2" t="str">
        <f>raw_order_lines!A750</f>
        <v>SIM-20260924-C001</v>
      </c>
      <c r="B750" s="2">
        <f>raw_order_lines!B750</f>
        <v>2</v>
      </c>
      <c r="C750" s="2" t="str">
        <f>raw_order_lines!C750</f>
        <v>C001</v>
      </c>
      <c r="D750" s="3">
        <f>raw_order_lines!D750</f>
        <v>46289</v>
      </c>
      <c r="E750" s="2" t="str">
        <f>raw_order_lines!E750</f>
        <v>P001</v>
      </c>
      <c r="F750" s="2" t="str">
        <f>raw_order_lines!F750</f>
        <v>公斤</v>
      </c>
      <c r="G750" s="4">
        <f>raw_order_lines!G750</f>
        <v>2.8</v>
      </c>
      <c r="H750" s="4">
        <f>raw_order_lines!H750</f>
        <v>2.8</v>
      </c>
      <c r="I750" s="4">
        <f>raw_order_lines!I750</f>
        <v>0</v>
      </c>
      <c r="J750" s="5">
        <f>raw_order_lines!J750</f>
        <v>3.5</v>
      </c>
      <c r="K750" s="2" t="str">
        <f>raw_order_lines!K750</f>
        <v>正常交付</v>
      </c>
      <c r="L750" s="2" t="str">
        <f>raw_order_lines!L750</f>
        <v>true</v>
      </c>
      <c r="M750" s="2" t="str">
        <f>INDEX(dim_products!$B$2:$B$21,MATCH($E750,dim_products!$A$2:$A$21,0))</f>
        <v>土豆</v>
      </c>
      <c r="N750" s="2" t="str">
        <f>INDEX(dim_products!$C$2:$C$21,MATCH($E750,dim_products!$A$2:$A$21,0))</f>
        <v>散装鲜菜</v>
      </c>
      <c r="O750" s="2" t="str">
        <f>INDEX(dim_customers!$B$2:$B$7,MATCH($C750,dim_customers!$A$2:$A$7,0))</f>
        <v>模拟_榕树下粉面店</v>
      </c>
      <c r="P750" s="6">
        <f>INT((ROUND(raw_order_lines!H750*10,0)*ROUND(raw_order_lines!J750*100,0)+5)/10)/100</f>
        <v>9.8000000000000007</v>
      </c>
      <c r="Q750" s="6">
        <f>INT((ROUND(raw_order_lines!I750*10,0)*ROUND(raw_order_lines!J750*100,0)+5)/10)/100</f>
        <v>0</v>
      </c>
      <c r="R750" s="6">
        <f t="shared" si="33"/>
        <v>9.8000000000000007</v>
      </c>
      <c r="S750" s="2" t="str">
        <f>IF(OR(ROUND(raw_order_lines!I750*10,0)&gt;ROUND(raw_order_lines!H750*10,0),ROUND(raw_order_lines!H750*10,0)&gt;ROUND(raw_order_lines!G750*10,0),ROUND(raw_order_lines!G750*10,0)&lt;=0),"数量关系异常","")</f>
        <v/>
      </c>
      <c r="T750" s="2" t="str">
        <f>IF($F750&lt;&gt;INDEX(dim_products!$D$2:$D$21,MATCH($E750,dim_products!$A$2:$A$21,0)),"单位不一致","")</f>
        <v/>
      </c>
      <c r="U750" s="2" t="str">
        <f>IF(OR(ROUND(raw_order_lines!J750*100,0)&lt;ROUND(INDEX(dim_products!$F$2:$F$21,MATCH($E750,dim_products!$A$2:$A$21,0))*100,0),ROUND(raw_order_lines!J750*100,0)&gt;ROUND(INDEX(dim_products!$G$2:$G$21,MATCH($E750,dim_products!$A$2:$A$21,0))*100,0)),"单价越界","")</f>
        <v/>
      </c>
      <c r="V750" s="2" t="str">
        <f t="shared" si="34"/>
        <v/>
      </c>
      <c r="W750" s="2" t="str">
        <f t="shared" si="35"/>
        <v>通过</v>
      </c>
    </row>
    <row r="751" spans="1:23" ht="15">
      <c r="A751" s="2" t="str">
        <f>raw_order_lines!A751</f>
        <v>SIM-20260924-C001</v>
      </c>
      <c r="B751" s="2">
        <f>raw_order_lines!B751</f>
        <v>3</v>
      </c>
      <c r="C751" s="2" t="str">
        <f>raw_order_lines!C751</f>
        <v>C001</v>
      </c>
      <c r="D751" s="3">
        <f>raw_order_lines!D751</f>
        <v>46289</v>
      </c>
      <c r="E751" s="2" t="str">
        <f>raw_order_lines!E751</f>
        <v>P007</v>
      </c>
      <c r="F751" s="2" t="str">
        <f>raw_order_lines!F751</f>
        <v>公斤</v>
      </c>
      <c r="G751" s="4">
        <f>raw_order_lines!G751</f>
        <v>2.6</v>
      </c>
      <c r="H751" s="4">
        <f>raw_order_lines!H751</f>
        <v>2.6</v>
      </c>
      <c r="I751" s="4">
        <f>raw_order_lines!I751</f>
        <v>0</v>
      </c>
      <c r="J751" s="5">
        <f>raw_order_lines!J751</f>
        <v>4.95</v>
      </c>
      <c r="K751" s="2" t="str">
        <f>raw_order_lines!K751</f>
        <v>正常交付</v>
      </c>
      <c r="L751" s="2" t="str">
        <f>raw_order_lines!L751</f>
        <v>true</v>
      </c>
      <c r="M751" s="2" t="str">
        <f>INDEX(dim_products!$B$2:$B$21,MATCH($E751,dim_products!$A$2:$A$21,0))</f>
        <v>青椒</v>
      </c>
      <c r="N751" s="2" t="str">
        <f>INDEX(dim_products!$C$2:$C$21,MATCH($E751,dim_products!$A$2:$A$21,0))</f>
        <v>散装鲜菜</v>
      </c>
      <c r="O751" s="2" t="str">
        <f>INDEX(dim_customers!$B$2:$B$7,MATCH($C751,dim_customers!$A$2:$A$7,0))</f>
        <v>模拟_榕树下粉面店</v>
      </c>
      <c r="P751" s="6">
        <f>INT((ROUND(raw_order_lines!H751*10,0)*ROUND(raw_order_lines!J751*100,0)+5)/10)/100</f>
        <v>12.87</v>
      </c>
      <c r="Q751" s="6">
        <f>INT((ROUND(raw_order_lines!I751*10,0)*ROUND(raw_order_lines!J751*100,0)+5)/10)/100</f>
        <v>0</v>
      </c>
      <c r="R751" s="6">
        <f t="shared" si="33"/>
        <v>12.87</v>
      </c>
      <c r="S751" s="2" t="str">
        <f>IF(OR(ROUND(raw_order_lines!I751*10,0)&gt;ROUND(raw_order_lines!H751*10,0),ROUND(raw_order_lines!H751*10,0)&gt;ROUND(raw_order_lines!G751*10,0),ROUND(raw_order_lines!G751*10,0)&lt;=0),"数量关系异常","")</f>
        <v/>
      </c>
      <c r="T751" s="2" t="str">
        <f>IF($F751&lt;&gt;INDEX(dim_products!$D$2:$D$21,MATCH($E751,dim_products!$A$2:$A$21,0)),"单位不一致","")</f>
        <v/>
      </c>
      <c r="U751" s="2" t="str">
        <f>IF(OR(ROUND(raw_order_lines!J751*100,0)&lt;ROUND(INDEX(dim_products!$F$2:$F$21,MATCH($E751,dim_products!$A$2:$A$21,0))*100,0),ROUND(raw_order_lines!J751*100,0)&gt;ROUND(INDEX(dim_products!$G$2:$G$21,MATCH($E751,dim_products!$A$2:$A$21,0))*100,0)),"单价越界","")</f>
        <v/>
      </c>
      <c r="V751" s="2" t="str">
        <f t="shared" si="34"/>
        <v/>
      </c>
      <c r="W751" s="2" t="str">
        <f t="shared" si="35"/>
        <v>通过</v>
      </c>
    </row>
    <row r="752" spans="1:23" ht="15">
      <c r="A752" s="2" t="str">
        <f>raw_order_lines!A752</f>
        <v>SIM-20260924-C001</v>
      </c>
      <c r="B752" s="2">
        <f>raw_order_lines!B752</f>
        <v>4</v>
      </c>
      <c r="C752" s="2" t="str">
        <f>raw_order_lines!C752</f>
        <v>C001</v>
      </c>
      <c r="D752" s="3">
        <f>raw_order_lines!D752</f>
        <v>46289</v>
      </c>
      <c r="E752" s="2" t="str">
        <f>raw_order_lines!E752</f>
        <v>P009</v>
      </c>
      <c r="F752" s="2" t="str">
        <f>raw_order_lines!F752</f>
        <v>公斤</v>
      </c>
      <c r="G752" s="4">
        <f>raw_order_lines!G752</f>
        <v>2.6</v>
      </c>
      <c r="H752" s="4">
        <f>raw_order_lines!H752</f>
        <v>2.6</v>
      </c>
      <c r="I752" s="4">
        <f>raw_order_lines!I752</f>
        <v>0</v>
      </c>
      <c r="J752" s="5">
        <f>raw_order_lines!J752</f>
        <v>4.9000000000000004</v>
      </c>
      <c r="K752" s="2" t="str">
        <f>raw_order_lines!K752</f>
        <v>正常交付</v>
      </c>
      <c r="L752" s="2" t="str">
        <f>raw_order_lines!L752</f>
        <v>true</v>
      </c>
      <c r="M752" s="2" t="str">
        <f>INDEX(dim_products!$B$2:$B$21,MATCH($E752,dim_products!$A$2:$A$21,0))</f>
        <v>西红柿</v>
      </c>
      <c r="N752" s="2" t="str">
        <f>INDEX(dim_products!$C$2:$C$21,MATCH($E752,dim_products!$A$2:$A$21,0))</f>
        <v>散装鲜菜</v>
      </c>
      <c r="O752" s="2" t="str">
        <f>INDEX(dim_customers!$B$2:$B$7,MATCH($C752,dim_customers!$A$2:$A$7,0))</f>
        <v>模拟_榕树下粉面店</v>
      </c>
      <c r="P752" s="6">
        <f>INT((ROUND(raw_order_lines!H752*10,0)*ROUND(raw_order_lines!J752*100,0)+5)/10)/100</f>
        <v>12.74</v>
      </c>
      <c r="Q752" s="6">
        <f>INT((ROUND(raw_order_lines!I752*10,0)*ROUND(raw_order_lines!J752*100,0)+5)/10)/100</f>
        <v>0</v>
      </c>
      <c r="R752" s="6">
        <f t="shared" si="33"/>
        <v>12.74</v>
      </c>
      <c r="S752" s="2" t="str">
        <f>IF(OR(ROUND(raw_order_lines!I752*10,0)&gt;ROUND(raw_order_lines!H752*10,0),ROUND(raw_order_lines!H752*10,0)&gt;ROUND(raw_order_lines!G752*10,0),ROUND(raw_order_lines!G752*10,0)&lt;=0),"数量关系异常","")</f>
        <v/>
      </c>
      <c r="T752" s="2" t="str">
        <f>IF($F752&lt;&gt;INDEX(dim_products!$D$2:$D$21,MATCH($E752,dim_products!$A$2:$A$21,0)),"单位不一致","")</f>
        <v/>
      </c>
      <c r="U752" s="2" t="str">
        <f>IF(OR(ROUND(raw_order_lines!J752*100,0)&lt;ROUND(INDEX(dim_products!$F$2:$F$21,MATCH($E752,dim_products!$A$2:$A$21,0))*100,0),ROUND(raw_order_lines!J752*100,0)&gt;ROUND(INDEX(dim_products!$G$2:$G$21,MATCH($E752,dim_products!$A$2:$A$21,0))*100,0)),"单价越界","")</f>
        <v/>
      </c>
      <c r="V752" s="2" t="str">
        <f t="shared" si="34"/>
        <v/>
      </c>
      <c r="W752" s="2" t="str">
        <f t="shared" si="35"/>
        <v>通过</v>
      </c>
    </row>
    <row r="753" spans="1:23" ht="15">
      <c r="A753" s="2" t="str">
        <f>raw_order_lines!A753</f>
        <v>SIM-20260924-C001</v>
      </c>
      <c r="B753" s="2">
        <f>raw_order_lines!B753</f>
        <v>5</v>
      </c>
      <c r="C753" s="2" t="str">
        <f>raw_order_lines!C753</f>
        <v>C001</v>
      </c>
      <c r="D753" s="3">
        <f>raw_order_lines!D753</f>
        <v>46289</v>
      </c>
      <c r="E753" s="2" t="str">
        <f>raw_order_lines!E753</f>
        <v>P016</v>
      </c>
      <c r="F753" s="2" t="str">
        <f>raw_order_lines!F753</f>
        <v>公斤</v>
      </c>
      <c r="G753" s="4">
        <f>raw_order_lines!G753</f>
        <v>3</v>
      </c>
      <c r="H753" s="4">
        <f>raw_order_lines!H753</f>
        <v>3</v>
      </c>
      <c r="I753" s="4">
        <f>raw_order_lines!I753</f>
        <v>0</v>
      </c>
      <c r="J753" s="5">
        <f>raw_order_lines!J753</f>
        <v>10.4</v>
      </c>
      <c r="K753" s="2" t="str">
        <f>raw_order_lines!K753</f>
        <v>正常交付</v>
      </c>
      <c r="L753" s="2" t="str">
        <f>raw_order_lines!L753</f>
        <v>true</v>
      </c>
      <c r="M753" s="2" t="str">
        <f>INDEX(dim_products!$B$2:$B$21,MATCH($E753,dim_products!$A$2:$A$21,0))</f>
        <v>鸡蛋</v>
      </c>
      <c r="N753" s="2" t="str">
        <f>INDEX(dim_products!$C$2:$C$21,MATCH($E753,dim_products!$A$2:$A$21,0))</f>
        <v>普通鲜鸡蛋按净重</v>
      </c>
      <c r="O753" s="2" t="str">
        <f>INDEX(dim_customers!$B$2:$B$7,MATCH($C753,dim_customers!$A$2:$A$7,0))</f>
        <v>模拟_榕树下粉面店</v>
      </c>
      <c r="P753" s="6">
        <f>INT((ROUND(raw_order_lines!H753*10,0)*ROUND(raw_order_lines!J753*100,0)+5)/10)/100</f>
        <v>31.2</v>
      </c>
      <c r="Q753" s="6">
        <f>INT((ROUND(raw_order_lines!I753*10,0)*ROUND(raw_order_lines!J753*100,0)+5)/10)/100</f>
        <v>0</v>
      </c>
      <c r="R753" s="6">
        <f t="shared" si="33"/>
        <v>31.2</v>
      </c>
      <c r="S753" s="2" t="str">
        <f>IF(OR(ROUND(raw_order_lines!I753*10,0)&gt;ROUND(raw_order_lines!H753*10,0),ROUND(raw_order_lines!H753*10,0)&gt;ROUND(raw_order_lines!G753*10,0),ROUND(raw_order_lines!G753*10,0)&lt;=0),"数量关系异常","")</f>
        <v/>
      </c>
      <c r="T753" s="2" t="str">
        <f>IF($F753&lt;&gt;INDEX(dim_products!$D$2:$D$21,MATCH($E753,dim_products!$A$2:$A$21,0)),"单位不一致","")</f>
        <v/>
      </c>
      <c r="U753" s="2" t="str">
        <f>IF(OR(ROUND(raw_order_lines!J753*100,0)&lt;ROUND(INDEX(dim_products!$F$2:$F$21,MATCH($E753,dim_products!$A$2:$A$21,0))*100,0),ROUND(raw_order_lines!J753*100,0)&gt;ROUND(INDEX(dim_products!$G$2:$G$21,MATCH($E753,dim_products!$A$2:$A$21,0))*100,0)),"单价越界","")</f>
        <v/>
      </c>
      <c r="V753" s="2" t="str">
        <f t="shared" si="34"/>
        <v/>
      </c>
      <c r="W753" s="2" t="str">
        <f t="shared" si="35"/>
        <v>通过</v>
      </c>
    </row>
    <row r="754" spans="1:23" ht="15">
      <c r="A754" s="2" t="str">
        <f>raw_order_lines!A754</f>
        <v>SIM-20260924-C001</v>
      </c>
      <c r="B754" s="2">
        <f>raw_order_lines!B754</f>
        <v>6</v>
      </c>
      <c r="C754" s="2" t="str">
        <f>raw_order_lines!C754</f>
        <v>C001</v>
      </c>
      <c r="D754" s="3">
        <f>raw_order_lines!D754</f>
        <v>46289</v>
      </c>
      <c r="E754" s="2" t="str">
        <f>raw_order_lines!E754</f>
        <v>P019</v>
      </c>
      <c r="F754" s="2" t="str">
        <f>raw_order_lines!F754</f>
        <v>桶</v>
      </c>
      <c r="G754" s="4">
        <f>raw_order_lines!G754</f>
        <v>1</v>
      </c>
      <c r="H754" s="4">
        <f>raw_order_lines!H754</f>
        <v>1</v>
      </c>
      <c r="I754" s="4">
        <f>raw_order_lines!I754</f>
        <v>0</v>
      </c>
      <c r="J754" s="5">
        <f>raw_order_lines!J754</f>
        <v>67</v>
      </c>
      <c r="K754" s="2" t="str">
        <f>raw_order_lines!K754</f>
        <v>正常交付</v>
      </c>
      <c r="L754" s="2" t="str">
        <f>raw_order_lines!L754</f>
        <v>true</v>
      </c>
      <c r="M754" s="2" t="str">
        <f>INDEX(dim_products!$B$2:$B$21,MATCH($E754,dim_products!$A$2:$A$21,0))</f>
        <v>菜籽油</v>
      </c>
      <c r="N754" s="2" t="str">
        <f>INDEX(dim_products!$C$2:$C$21,MATCH($E754,dim_products!$A$2:$A$21,0))</f>
        <v>5升/桶普通菜籽油</v>
      </c>
      <c r="O754" s="2" t="str">
        <f>INDEX(dim_customers!$B$2:$B$7,MATCH($C754,dim_customers!$A$2:$A$7,0))</f>
        <v>模拟_榕树下粉面店</v>
      </c>
      <c r="P754" s="6">
        <f>INT((ROUND(raw_order_lines!H754*10,0)*ROUND(raw_order_lines!J754*100,0)+5)/10)/100</f>
        <v>67</v>
      </c>
      <c r="Q754" s="6">
        <f>INT((ROUND(raw_order_lines!I754*10,0)*ROUND(raw_order_lines!J754*100,0)+5)/10)/100</f>
        <v>0</v>
      </c>
      <c r="R754" s="6">
        <f t="shared" si="33"/>
        <v>67</v>
      </c>
      <c r="S754" s="2" t="str">
        <f>IF(OR(ROUND(raw_order_lines!I754*10,0)&gt;ROUND(raw_order_lines!H754*10,0),ROUND(raw_order_lines!H754*10,0)&gt;ROUND(raw_order_lines!G754*10,0),ROUND(raw_order_lines!G754*10,0)&lt;=0),"数量关系异常","")</f>
        <v/>
      </c>
      <c r="T754" s="2" t="str">
        <f>IF($F754&lt;&gt;INDEX(dim_products!$D$2:$D$21,MATCH($E754,dim_products!$A$2:$A$21,0)),"单位不一致","")</f>
        <v/>
      </c>
      <c r="U754" s="2" t="str">
        <f>IF(OR(ROUND(raw_order_lines!J754*100,0)&lt;ROUND(INDEX(dim_products!$F$2:$F$21,MATCH($E754,dim_products!$A$2:$A$21,0))*100,0),ROUND(raw_order_lines!J754*100,0)&gt;ROUND(INDEX(dim_products!$G$2:$G$21,MATCH($E754,dim_products!$A$2:$A$21,0))*100,0)),"单价越界","")</f>
        <v/>
      </c>
      <c r="V754" s="2" t="str">
        <f t="shared" si="34"/>
        <v/>
      </c>
      <c r="W754" s="2" t="str">
        <f t="shared" si="35"/>
        <v>通过</v>
      </c>
    </row>
    <row r="755" spans="1:23" ht="15">
      <c r="A755" s="2" t="str">
        <f>raw_order_lines!A755</f>
        <v>SIM-20260924-C001</v>
      </c>
      <c r="B755" s="2">
        <f>raw_order_lines!B755</f>
        <v>7</v>
      </c>
      <c r="C755" s="2" t="str">
        <f>raw_order_lines!C755</f>
        <v>C001</v>
      </c>
      <c r="D755" s="3">
        <f>raw_order_lines!D755</f>
        <v>46289</v>
      </c>
      <c r="E755" s="2" t="str">
        <f>raw_order_lines!E755</f>
        <v>P018</v>
      </c>
      <c r="F755" s="2" t="str">
        <f>raw_order_lines!F755</f>
        <v>袋</v>
      </c>
      <c r="G755" s="4">
        <f>raw_order_lines!G755</f>
        <v>1</v>
      </c>
      <c r="H755" s="4">
        <f>raw_order_lines!H755</f>
        <v>1</v>
      </c>
      <c r="I755" s="4">
        <f>raw_order_lines!I755</f>
        <v>0</v>
      </c>
      <c r="J755" s="5">
        <f>raw_order_lines!J755</f>
        <v>112</v>
      </c>
      <c r="K755" s="2" t="str">
        <f>raw_order_lines!K755</f>
        <v>正常交付</v>
      </c>
      <c r="L755" s="2" t="str">
        <f>raw_order_lines!L755</f>
        <v>true</v>
      </c>
      <c r="M755" s="2" t="str">
        <f>INDEX(dim_products!$B$2:$B$21,MATCH($E755,dim_products!$A$2:$A$21,0))</f>
        <v>小麦粉</v>
      </c>
      <c r="N755" s="2" t="str">
        <f>INDEX(dim_products!$C$2:$C$21,MATCH($E755,dim_products!$A$2:$A$21,0))</f>
        <v>25公斤/袋普通小麦粉</v>
      </c>
      <c r="O755" s="2" t="str">
        <f>INDEX(dim_customers!$B$2:$B$7,MATCH($C755,dim_customers!$A$2:$A$7,0))</f>
        <v>模拟_榕树下粉面店</v>
      </c>
      <c r="P755" s="6">
        <f>INT((ROUND(raw_order_lines!H755*10,0)*ROUND(raw_order_lines!J755*100,0)+5)/10)/100</f>
        <v>112</v>
      </c>
      <c r="Q755" s="6">
        <f>INT((ROUND(raw_order_lines!I755*10,0)*ROUND(raw_order_lines!J755*100,0)+5)/10)/100</f>
        <v>0</v>
      </c>
      <c r="R755" s="6">
        <f t="shared" si="33"/>
        <v>112</v>
      </c>
      <c r="S755" s="2" t="str">
        <f>IF(OR(ROUND(raw_order_lines!I755*10,0)&gt;ROUND(raw_order_lines!H755*10,0),ROUND(raw_order_lines!H755*10,0)&gt;ROUND(raw_order_lines!G755*10,0),ROUND(raw_order_lines!G755*10,0)&lt;=0),"数量关系异常","")</f>
        <v/>
      </c>
      <c r="T755" s="2" t="str">
        <f>IF($F755&lt;&gt;INDEX(dim_products!$D$2:$D$21,MATCH($E755,dim_products!$A$2:$A$21,0)),"单位不一致","")</f>
        <v/>
      </c>
      <c r="U755" s="2" t="str">
        <f>IF(OR(ROUND(raw_order_lines!J755*100,0)&lt;ROUND(INDEX(dim_products!$F$2:$F$21,MATCH($E755,dim_products!$A$2:$A$21,0))*100,0),ROUND(raw_order_lines!J755*100,0)&gt;ROUND(INDEX(dim_products!$G$2:$G$21,MATCH($E755,dim_products!$A$2:$A$21,0))*100,0)),"单价越界","")</f>
        <v/>
      </c>
      <c r="V755" s="2" t="str">
        <f t="shared" si="34"/>
        <v/>
      </c>
      <c r="W755" s="2" t="str">
        <f t="shared" si="35"/>
        <v>通过</v>
      </c>
    </row>
    <row r="756" spans="1:23" ht="15">
      <c r="A756" s="2" t="str">
        <f>raw_order_lines!A756</f>
        <v>SIM-20260924-C002</v>
      </c>
      <c r="B756" s="2">
        <f>raw_order_lines!B756</f>
        <v>1</v>
      </c>
      <c r="C756" s="2" t="str">
        <f>raw_order_lines!C756</f>
        <v>C002</v>
      </c>
      <c r="D756" s="3">
        <f>raw_order_lines!D756</f>
        <v>46289</v>
      </c>
      <c r="E756" s="2" t="str">
        <f>raw_order_lines!E756</f>
        <v>P011</v>
      </c>
      <c r="F756" s="2" t="str">
        <f>raw_order_lines!F756</f>
        <v>公斤</v>
      </c>
      <c r="G756" s="4">
        <f>raw_order_lines!G756</f>
        <v>4.5</v>
      </c>
      <c r="H756" s="4">
        <f>raw_order_lines!H756</f>
        <v>4.5</v>
      </c>
      <c r="I756" s="4">
        <f>raw_order_lines!I756</f>
        <v>0</v>
      </c>
      <c r="J756" s="5">
        <f>raw_order_lines!J756</f>
        <v>4.8</v>
      </c>
      <c r="K756" s="2" t="str">
        <f>raw_order_lines!K756</f>
        <v>正常交付</v>
      </c>
      <c r="L756" s="2" t="str">
        <f>raw_order_lines!L756</f>
        <v>true</v>
      </c>
      <c r="M756" s="2" t="str">
        <f>INDEX(dim_products!$B$2:$B$21,MATCH($E756,dim_products!$A$2:$A$21,0))</f>
        <v>红薯叶</v>
      </c>
      <c r="N756" s="2" t="str">
        <f>INDEX(dim_products!$C$2:$C$21,MATCH($E756,dim_products!$A$2:$A$21,0))</f>
        <v>散装鲜菜</v>
      </c>
      <c r="O756" s="2" t="str">
        <f>INDEX(dim_customers!$B$2:$B$7,MATCH($C756,dim_customers!$A$2:$A$7,0))</f>
        <v>模拟_桥头家常菜馆</v>
      </c>
      <c r="P756" s="6">
        <f>INT((ROUND(raw_order_lines!H756*10,0)*ROUND(raw_order_lines!J756*100,0)+5)/10)/100</f>
        <v>21.6</v>
      </c>
      <c r="Q756" s="6">
        <f>INT((ROUND(raw_order_lines!I756*10,0)*ROUND(raw_order_lines!J756*100,0)+5)/10)/100</f>
        <v>0</v>
      </c>
      <c r="R756" s="6">
        <f t="shared" si="33"/>
        <v>21.6</v>
      </c>
      <c r="S756" s="2" t="str">
        <f>IF(OR(ROUND(raw_order_lines!I756*10,0)&gt;ROUND(raw_order_lines!H756*10,0),ROUND(raw_order_lines!H756*10,0)&gt;ROUND(raw_order_lines!G756*10,0),ROUND(raw_order_lines!G756*10,0)&lt;=0),"数量关系异常","")</f>
        <v/>
      </c>
      <c r="T756" s="2" t="str">
        <f>IF($F756&lt;&gt;INDEX(dim_products!$D$2:$D$21,MATCH($E756,dim_products!$A$2:$A$21,0)),"单位不一致","")</f>
        <v/>
      </c>
      <c r="U756" s="2" t="str">
        <f>IF(OR(ROUND(raw_order_lines!J756*100,0)&lt;ROUND(INDEX(dim_products!$F$2:$F$21,MATCH($E756,dim_products!$A$2:$A$21,0))*100,0),ROUND(raw_order_lines!J756*100,0)&gt;ROUND(INDEX(dim_products!$G$2:$G$21,MATCH($E756,dim_products!$A$2:$A$21,0))*100,0)),"单价越界","")</f>
        <v/>
      </c>
      <c r="V756" s="2" t="str">
        <f t="shared" si="34"/>
        <v/>
      </c>
      <c r="W756" s="2" t="str">
        <f t="shared" si="35"/>
        <v>通过</v>
      </c>
    </row>
    <row r="757" spans="1:23" ht="15">
      <c r="A757" s="2" t="str">
        <f>raw_order_lines!A757</f>
        <v>SIM-20260924-C002</v>
      </c>
      <c r="B757" s="2">
        <f>raw_order_lines!B757</f>
        <v>2</v>
      </c>
      <c r="C757" s="2" t="str">
        <f>raw_order_lines!C757</f>
        <v>C002</v>
      </c>
      <c r="D757" s="3">
        <f>raw_order_lines!D757</f>
        <v>46289</v>
      </c>
      <c r="E757" s="2" t="str">
        <f>raw_order_lines!E757</f>
        <v>P007</v>
      </c>
      <c r="F757" s="2" t="str">
        <f>raw_order_lines!F757</f>
        <v>公斤</v>
      </c>
      <c r="G757" s="4">
        <f>raw_order_lines!G757</f>
        <v>7.9</v>
      </c>
      <c r="H757" s="4">
        <f>raw_order_lines!H757</f>
        <v>7.7</v>
      </c>
      <c r="I757" s="4">
        <f>raw_order_lines!I757</f>
        <v>0</v>
      </c>
      <c r="J757" s="5">
        <f>raw_order_lines!J757</f>
        <v>4.95</v>
      </c>
      <c r="K757" s="2" t="str">
        <f>raw_order_lines!K757</f>
        <v>到货不足；按实际交付计费</v>
      </c>
      <c r="L757" s="2" t="str">
        <f>raw_order_lines!L757</f>
        <v>true</v>
      </c>
      <c r="M757" s="2" t="str">
        <f>INDEX(dim_products!$B$2:$B$21,MATCH($E757,dim_products!$A$2:$A$21,0))</f>
        <v>青椒</v>
      </c>
      <c r="N757" s="2" t="str">
        <f>INDEX(dim_products!$C$2:$C$21,MATCH($E757,dim_products!$A$2:$A$21,0))</f>
        <v>散装鲜菜</v>
      </c>
      <c r="O757" s="2" t="str">
        <f>INDEX(dim_customers!$B$2:$B$7,MATCH($C757,dim_customers!$A$2:$A$7,0))</f>
        <v>模拟_桥头家常菜馆</v>
      </c>
      <c r="P757" s="6">
        <f>INT((ROUND(raw_order_lines!H757*10,0)*ROUND(raw_order_lines!J757*100,0)+5)/10)/100</f>
        <v>38.119999999999997</v>
      </c>
      <c r="Q757" s="6">
        <f>INT((ROUND(raw_order_lines!I757*10,0)*ROUND(raw_order_lines!J757*100,0)+5)/10)/100</f>
        <v>0</v>
      </c>
      <c r="R757" s="6">
        <f t="shared" si="33"/>
        <v>38.119999999999997</v>
      </c>
      <c r="S757" s="2" t="str">
        <f>IF(OR(ROUND(raw_order_lines!I757*10,0)&gt;ROUND(raw_order_lines!H757*10,0),ROUND(raw_order_lines!H757*10,0)&gt;ROUND(raw_order_lines!G757*10,0),ROUND(raw_order_lines!G757*10,0)&lt;=0),"数量关系异常","")</f>
        <v/>
      </c>
      <c r="T757" s="2" t="str">
        <f>IF($F757&lt;&gt;INDEX(dim_products!$D$2:$D$21,MATCH($E757,dim_products!$A$2:$A$21,0)),"单位不一致","")</f>
        <v/>
      </c>
      <c r="U757" s="2" t="str">
        <f>IF(OR(ROUND(raw_order_lines!J757*100,0)&lt;ROUND(INDEX(dim_products!$F$2:$F$21,MATCH($E757,dim_products!$A$2:$A$21,0))*100,0),ROUND(raw_order_lines!J757*100,0)&gt;ROUND(INDEX(dim_products!$G$2:$G$21,MATCH($E757,dim_products!$A$2:$A$21,0))*100,0)),"单价越界","")</f>
        <v/>
      </c>
      <c r="V757" s="2" t="str">
        <f t="shared" si="34"/>
        <v/>
      </c>
      <c r="W757" s="2" t="str">
        <f t="shared" si="35"/>
        <v>通过</v>
      </c>
    </row>
    <row r="758" spans="1:23" ht="15">
      <c r="A758" s="2" t="str">
        <f>raw_order_lines!A758</f>
        <v>SIM-20260924-C002</v>
      </c>
      <c r="B758" s="2">
        <f>raw_order_lines!B758</f>
        <v>3</v>
      </c>
      <c r="C758" s="2" t="str">
        <f>raw_order_lines!C758</f>
        <v>C002</v>
      </c>
      <c r="D758" s="3">
        <f>raw_order_lines!D758</f>
        <v>46289</v>
      </c>
      <c r="E758" s="2" t="str">
        <f>raw_order_lines!E758</f>
        <v>P008</v>
      </c>
      <c r="F758" s="2" t="str">
        <f>raw_order_lines!F758</f>
        <v>公斤</v>
      </c>
      <c r="G758" s="4">
        <f>raw_order_lines!G758</f>
        <v>6.4</v>
      </c>
      <c r="H758" s="4">
        <f>raw_order_lines!H758</f>
        <v>6.4</v>
      </c>
      <c r="I758" s="4">
        <f>raw_order_lines!I758</f>
        <v>0</v>
      </c>
      <c r="J758" s="5">
        <f>raw_order_lines!J758</f>
        <v>3.9</v>
      </c>
      <c r="K758" s="2" t="str">
        <f>raw_order_lines!K758</f>
        <v>正常交付</v>
      </c>
      <c r="L758" s="2" t="str">
        <f>raw_order_lines!L758</f>
        <v>true</v>
      </c>
      <c r="M758" s="2" t="str">
        <f>INDEX(dim_products!$B$2:$B$21,MATCH($E758,dim_products!$A$2:$A$21,0))</f>
        <v>黄瓜</v>
      </c>
      <c r="N758" s="2" t="str">
        <f>INDEX(dim_products!$C$2:$C$21,MATCH($E758,dim_products!$A$2:$A$21,0))</f>
        <v>散装鲜菜</v>
      </c>
      <c r="O758" s="2" t="str">
        <f>INDEX(dim_customers!$B$2:$B$7,MATCH($C758,dim_customers!$A$2:$A$7,0))</f>
        <v>模拟_桥头家常菜馆</v>
      </c>
      <c r="P758" s="6">
        <f>INT((ROUND(raw_order_lines!H758*10,0)*ROUND(raw_order_lines!J758*100,0)+5)/10)/100</f>
        <v>24.96</v>
      </c>
      <c r="Q758" s="6">
        <f>INT((ROUND(raw_order_lines!I758*10,0)*ROUND(raw_order_lines!J758*100,0)+5)/10)/100</f>
        <v>0</v>
      </c>
      <c r="R758" s="6">
        <f t="shared" si="33"/>
        <v>24.96</v>
      </c>
      <c r="S758" s="2" t="str">
        <f>IF(OR(ROUND(raw_order_lines!I758*10,0)&gt;ROUND(raw_order_lines!H758*10,0),ROUND(raw_order_lines!H758*10,0)&gt;ROUND(raw_order_lines!G758*10,0),ROUND(raw_order_lines!G758*10,0)&lt;=0),"数量关系异常","")</f>
        <v/>
      </c>
      <c r="T758" s="2" t="str">
        <f>IF($F758&lt;&gt;INDEX(dim_products!$D$2:$D$21,MATCH($E758,dim_products!$A$2:$A$21,0)),"单位不一致","")</f>
        <v/>
      </c>
      <c r="U758" s="2" t="str">
        <f>IF(OR(ROUND(raw_order_lines!J758*100,0)&lt;ROUND(INDEX(dim_products!$F$2:$F$21,MATCH($E758,dim_products!$A$2:$A$21,0))*100,0),ROUND(raw_order_lines!J758*100,0)&gt;ROUND(INDEX(dim_products!$G$2:$G$21,MATCH($E758,dim_products!$A$2:$A$21,0))*100,0)),"单价越界","")</f>
        <v/>
      </c>
      <c r="V758" s="2" t="str">
        <f t="shared" si="34"/>
        <v/>
      </c>
      <c r="W758" s="2" t="str">
        <f t="shared" si="35"/>
        <v>通过</v>
      </c>
    </row>
    <row r="759" spans="1:23" ht="15">
      <c r="A759" s="2" t="str">
        <f>raw_order_lines!A759</f>
        <v>SIM-20260924-C002</v>
      </c>
      <c r="B759" s="2">
        <f>raw_order_lines!B759</f>
        <v>4</v>
      </c>
      <c r="C759" s="2" t="str">
        <f>raw_order_lines!C759</f>
        <v>C002</v>
      </c>
      <c r="D759" s="3">
        <f>raw_order_lines!D759</f>
        <v>46289</v>
      </c>
      <c r="E759" s="2" t="str">
        <f>raw_order_lines!E759</f>
        <v>P001</v>
      </c>
      <c r="F759" s="2" t="str">
        <f>raw_order_lines!F759</f>
        <v>公斤</v>
      </c>
      <c r="G759" s="4">
        <f>raw_order_lines!G759</f>
        <v>5.5</v>
      </c>
      <c r="H759" s="4">
        <f>raw_order_lines!H759</f>
        <v>5.5</v>
      </c>
      <c r="I759" s="4">
        <f>raw_order_lines!I759</f>
        <v>0</v>
      </c>
      <c r="J759" s="5">
        <f>raw_order_lines!J759</f>
        <v>3.5</v>
      </c>
      <c r="K759" s="2" t="str">
        <f>raw_order_lines!K759</f>
        <v>正常交付</v>
      </c>
      <c r="L759" s="2" t="str">
        <f>raw_order_lines!L759</f>
        <v>true</v>
      </c>
      <c r="M759" s="2" t="str">
        <f>INDEX(dim_products!$B$2:$B$21,MATCH($E759,dim_products!$A$2:$A$21,0))</f>
        <v>土豆</v>
      </c>
      <c r="N759" s="2" t="str">
        <f>INDEX(dim_products!$C$2:$C$21,MATCH($E759,dim_products!$A$2:$A$21,0))</f>
        <v>散装鲜菜</v>
      </c>
      <c r="O759" s="2" t="str">
        <f>INDEX(dim_customers!$B$2:$B$7,MATCH($C759,dim_customers!$A$2:$A$7,0))</f>
        <v>模拟_桥头家常菜馆</v>
      </c>
      <c r="P759" s="6">
        <f>INT((ROUND(raw_order_lines!H759*10,0)*ROUND(raw_order_lines!J759*100,0)+5)/10)/100</f>
        <v>19.25</v>
      </c>
      <c r="Q759" s="6">
        <f>INT((ROUND(raw_order_lines!I759*10,0)*ROUND(raw_order_lines!J759*100,0)+5)/10)/100</f>
        <v>0</v>
      </c>
      <c r="R759" s="6">
        <f t="shared" si="33"/>
        <v>19.25</v>
      </c>
      <c r="S759" s="2" t="str">
        <f>IF(OR(ROUND(raw_order_lines!I759*10,0)&gt;ROUND(raw_order_lines!H759*10,0),ROUND(raw_order_lines!H759*10,0)&gt;ROUND(raw_order_lines!G759*10,0),ROUND(raw_order_lines!G759*10,0)&lt;=0),"数量关系异常","")</f>
        <v/>
      </c>
      <c r="T759" s="2" t="str">
        <f>IF($F759&lt;&gt;INDEX(dim_products!$D$2:$D$21,MATCH($E759,dim_products!$A$2:$A$21,0)),"单位不一致","")</f>
        <v/>
      </c>
      <c r="U759" s="2" t="str">
        <f>IF(OR(ROUND(raw_order_lines!J759*100,0)&lt;ROUND(INDEX(dim_products!$F$2:$F$21,MATCH($E759,dim_products!$A$2:$A$21,0))*100,0),ROUND(raw_order_lines!J759*100,0)&gt;ROUND(INDEX(dim_products!$G$2:$G$21,MATCH($E759,dim_products!$A$2:$A$21,0))*100,0)),"单价越界","")</f>
        <v/>
      </c>
      <c r="V759" s="2" t="str">
        <f t="shared" si="34"/>
        <v/>
      </c>
      <c r="W759" s="2" t="str">
        <f t="shared" si="35"/>
        <v>通过</v>
      </c>
    </row>
    <row r="760" spans="1:23" ht="15">
      <c r="A760" s="2" t="str">
        <f>raw_order_lines!A760</f>
        <v>SIM-20260924-C002</v>
      </c>
      <c r="B760" s="2">
        <f>raw_order_lines!B760</f>
        <v>5</v>
      </c>
      <c r="C760" s="2" t="str">
        <f>raw_order_lines!C760</f>
        <v>C002</v>
      </c>
      <c r="D760" s="3">
        <f>raw_order_lines!D760</f>
        <v>46289</v>
      </c>
      <c r="E760" s="2" t="str">
        <f>raw_order_lines!E760</f>
        <v>P003</v>
      </c>
      <c r="F760" s="2" t="str">
        <f>raw_order_lines!F760</f>
        <v>公斤</v>
      </c>
      <c r="G760" s="4">
        <f>raw_order_lines!G760</f>
        <v>4</v>
      </c>
      <c r="H760" s="4">
        <f>raw_order_lines!H760</f>
        <v>4</v>
      </c>
      <c r="I760" s="4">
        <f>raw_order_lines!I760</f>
        <v>0</v>
      </c>
      <c r="J760" s="5">
        <f>raw_order_lines!J760</f>
        <v>2.9</v>
      </c>
      <c r="K760" s="2" t="str">
        <f>raw_order_lines!K760</f>
        <v>正常交付</v>
      </c>
      <c r="L760" s="2" t="str">
        <f>raw_order_lines!L760</f>
        <v>true</v>
      </c>
      <c r="M760" s="2" t="str">
        <f>INDEX(dim_products!$B$2:$B$21,MATCH($E760,dim_products!$A$2:$A$21,0))</f>
        <v>包菜</v>
      </c>
      <c r="N760" s="2" t="str">
        <f>INDEX(dim_products!$C$2:$C$21,MATCH($E760,dim_products!$A$2:$A$21,0))</f>
        <v>散装鲜菜</v>
      </c>
      <c r="O760" s="2" t="str">
        <f>INDEX(dim_customers!$B$2:$B$7,MATCH($C760,dim_customers!$A$2:$A$7,0))</f>
        <v>模拟_桥头家常菜馆</v>
      </c>
      <c r="P760" s="6">
        <f>INT((ROUND(raw_order_lines!H760*10,0)*ROUND(raw_order_lines!J760*100,0)+5)/10)/100</f>
        <v>11.6</v>
      </c>
      <c r="Q760" s="6">
        <f>INT((ROUND(raw_order_lines!I760*10,0)*ROUND(raw_order_lines!J760*100,0)+5)/10)/100</f>
        <v>0</v>
      </c>
      <c r="R760" s="6">
        <f t="shared" si="33"/>
        <v>11.6</v>
      </c>
      <c r="S760" s="2" t="str">
        <f>IF(OR(ROUND(raw_order_lines!I760*10,0)&gt;ROUND(raw_order_lines!H760*10,0),ROUND(raw_order_lines!H760*10,0)&gt;ROUND(raw_order_lines!G760*10,0),ROUND(raw_order_lines!G760*10,0)&lt;=0),"数量关系异常","")</f>
        <v/>
      </c>
      <c r="T760" s="2" t="str">
        <f>IF($F760&lt;&gt;INDEX(dim_products!$D$2:$D$21,MATCH($E760,dim_products!$A$2:$A$21,0)),"单位不一致","")</f>
        <v/>
      </c>
      <c r="U760" s="2" t="str">
        <f>IF(OR(ROUND(raw_order_lines!J760*100,0)&lt;ROUND(INDEX(dim_products!$F$2:$F$21,MATCH($E760,dim_products!$A$2:$A$21,0))*100,0),ROUND(raw_order_lines!J760*100,0)&gt;ROUND(INDEX(dim_products!$G$2:$G$21,MATCH($E760,dim_products!$A$2:$A$21,0))*100,0)),"单价越界","")</f>
        <v/>
      </c>
      <c r="V760" s="2" t="str">
        <f t="shared" si="34"/>
        <v/>
      </c>
      <c r="W760" s="2" t="str">
        <f t="shared" si="35"/>
        <v>通过</v>
      </c>
    </row>
    <row r="761" spans="1:23" ht="15">
      <c r="A761" s="2" t="str">
        <f>raw_order_lines!A761</f>
        <v>SIM-20260924-C002</v>
      </c>
      <c r="B761" s="2">
        <f>raw_order_lines!B761</f>
        <v>6</v>
      </c>
      <c r="C761" s="2" t="str">
        <f>raw_order_lines!C761</f>
        <v>C002</v>
      </c>
      <c r="D761" s="3">
        <f>raw_order_lines!D761</f>
        <v>46289</v>
      </c>
      <c r="E761" s="2" t="str">
        <f>raw_order_lines!E761</f>
        <v>P016</v>
      </c>
      <c r="F761" s="2" t="str">
        <f>raw_order_lines!F761</f>
        <v>公斤</v>
      </c>
      <c r="G761" s="4">
        <f>raw_order_lines!G761</f>
        <v>4</v>
      </c>
      <c r="H761" s="4">
        <f>raw_order_lines!H761</f>
        <v>4</v>
      </c>
      <c r="I761" s="4">
        <f>raw_order_lines!I761</f>
        <v>0</v>
      </c>
      <c r="J761" s="5">
        <f>raw_order_lines!J761</f>
        <v>10.4</v>
      </c>
      <c r="K761" s="2" t="str">
        <f>raw_order_lines!K761</f>
        <v>正常交付</v>
      </c>
      <c r="L761" s="2" t="str">
        <f>raw_order_lines!L761</f>
        <v>true</v>
      </c>
      <c r="M761" s="2" t="str">
        <f>INDEX(dim_products!$B$2:$B$21,MATCH($E761,dim_products!$A$2:$A$21,0))</f>
        <v>鸡蛋</v>
      </c>
      <c r="N761" s="2" t="str">
        <f>INDEX(dim_products!$C$2:$C$21,MATCH($E761,dim_products!$A$2:$A$21,0))</f>
        <v>普通鲜鸡蛋按净重</v>
      </c>
      <c r="O761" s="2" t="str">
        <f>INDEX(dim_customers!$B$2:$B$7,MATCH($C761,dim_customers!$A$2:$A$7,0))</f>
        <v>模拟_桥头家常菜馆</v>
      </c>
      <c r="P761" s="6">
        <f>INT((ROUND(raw_order_lines!H761*10,0)*ROUND(raw_order_lines!J761*100,0)+5)/10)/100</f>
        <v>41.6</v>
      </c>
      <c r="Q761" s="6">
        <f>INT((ROUND(raw_order_lines!I761*10,0)*ROUND(raw_order_lines!J761*100,0)+5)/10)/100</f>
        <v>0</v>
      </c>
      <c r="R761" s="6">
        <f t="shared" si="33"/>
        <v>41.6</v>
      </c>
      <c r="S761" s="2" t="str">
        <f>IF(OR(ROUND(raw_order_lines!I761*10,0)&gt;ROUND(raw_order_lines!H761*10,0),ROUND(raw_order_lines!H761*10,0)&gt;ROUND(raw_order_lines!G761*10,0),ROUND(raw_order_lines!G761*10,0)&lt;=0),"数量关系异常","")</f>
        <v/>
      </c>
      <c r="T761" s="2" t="str">
        <f>IF($F761&lt;&gt;INDEX(dim_products!$D$2:$D$21,MATCH($E761,dim_products!$A$2:$A$21,0)),"单位不一致","")</f>
        <v/>
      </c>
      <c r="U761" s="2" t="str">
        <f>IF(OR(ROUND(raw_order_lines!J761*100,0)&lt;ROUND(INDEX(dim_products!$F$2:$F$21,MATCH($E761,dim_products!$A$2:$A$21,0))*100,0),ROUND(raw_order_lines!J761*100,0)&gt;ROUND(INDEX(dim_products!$G$2:$G$21,MATCH($E761,dim_products!$A$2:$A$21,0))*100,0)),"单价越界","")</f>
        <v/>
      </c>
      <c r="V761" s="2" t="str">
        <f t="shared" si="34"/>
        <v/>
      </c>
      <c r="W761" s="2" t="str">
        <f t="shared" si="35"/>
        <v>通过</v>
      </c>
    </row>
    <row r="762" spans="1:23" ht="15">
      <c r="A762" s="2" t="str">
        <f>raw_order_lines!A762</f>
        <v>SIM-20260924-C002</v>
      </c>
      <c r="B762" s="2">
        <f>raw_order_lines!B762</f>
        <v>7</v>
      </c>
      <c r="C762" s="2" t="str">
        <f>raw_order_lines!C762</f>
        <v>C002</v>
      </c>
      <c r="D762" s="3">
        <f>raw_order_lines!D762</f>
        <v>46289</v>
      </c>
      <c r="E762" s="2" t="str">
        <f>raw_order_lines!E762</f>
        <v>P017</v>
      </c>
      <c r="F762" s="2" t="str">
        <f>raw_order_lines!F762</f>
        <v>袋</v>
      </c>
      <c r="G762" s="4">
        <f>raw_order_lines!G762</f>
        <v>3</v>
      </c>
      <c r="H762" s="4">
        <f>raw_order_lines!H762</f>
        <v>3</v>
      </c>
      <c r="I762" s="4">
        <f>raw_order_lines!I762</f>
        <v>0</v>
      </c>
      <c r="J762" s="5">
        <f>raw_order_lines!J762</f>
        <v>117</v>
      </c>
      <c r="K762" s="2" t="str">
        <f>raw_order_lines!K762</f>
        <v>正常交付</v>
      </c>
      <c r="L762" s="2" t="str">
        <f>raw_order_lines!L762</f>
        <v>true</v>
      </c>
      <c r="M762" s="2" t="str">
        <f>INDEX(dim_products!$B$2:$B$21,MATCH($E762,dim_products!$A$2:$A$21,0))</f>
        <v>籼米</v>
      </c>
      <c r="N762" s="2" t="str">
        <f>INDEX(dim_products!$C$2:$C$21,MATCH($E762,dim_products!$A$2:$A$21,0))</f>
        <v>25公斤/袋普通籼米</v>
      </c>
      <c r="O762" s="2" t="str">
        <f>INDEX(dim_customers!$B$2:$B$7,MATCH($C762,dim_customers!$A$2:$A$7,0))</f>
        <v>模拟_桥头家常菜馆</v>
      </c>
      <c r="P762" s="6">
        <f>INT((ROUND(raw_order_lines!H762*10,0)*ROUND(raw_order_lines!J762*100,0)+5)/10)/100</f>
        <v>351</v>
      </c>
      <c r="Q762" s="6">
        <f>INT((ROUND(raw_order_lines!I762*10,0)*ROUND(raw_order_lines!J762*100,0)+5)/10)/100</f>
        <v>0</v>
      </c>
      <c r="R762" s="6">
        <f t="shared" si="33"/>
        <v>351</v>
      </c>
      <c r="S762" s="2" t="str">
        <f>IF(OR(ROUND(raw_order_lines!I762*10,0)&gt;ROUND(raw_order_lines!H762*10,0),ROUND(raw_order_lines!H762*10,0)&gt;ROUND(raw_order_lines!G762*10,0),ROUND(raw_order_lines!G762*10,0)&lt;=0),"数量关系异常","")</f>
        <v/>
      </c>
      <c r="T762" s="2" t="str">
        <f>IF($F762&lt;&gt;INDEX(dim_products!$D$2:$D$21,MATCH($E762,dim_products!$A$2:$A$21,0)),"单位不一致","")</f>
        <v/>
      </c>
      <c r="U762" s="2" t="str">
        <f>IF(OR(ROUND(raw_order_lines!J762*100,0)&lt;ROUND(INDEX(dim_products!$F$2:$F$21,MATCH($E762,dim_products!$A$2:$A$21,0))*100,0),ROUND(raw_order_lines!J762*100,0)&gt;ROUND(INDEX(dim_products!$G$2:$G$21,MATCH($E762,dim_products!$A$2:$A$21,0))*100,0)),"单价越界","")</f>
        <v/>
      </c>
      <c r="V762" s="2" t="str">
        <f t="shared" si="34"/>
        <v/>
      </c>
      <c r="W762" s="2" t="str">
        <f t="shared" si="35"/>
        <v>通过</v>
      </c>
    </row>
    <row r="763" spans="1:23" ht="15">
      <c r="A763" s="2" t="str">
        <f>raw_order_lines!A763</f>
        <v>SIM-20260924-C002</v>
      </c>
      <c r="B763" s="2">
        <f>raw_order_lines!B763</f>
        <v>8</v>
      </c>
      <c r="C763" s="2" t="str">
        <f>raw_order_lines!C763</f>
        <v>C002</v>
      </c>
      <c r="D763" s="3">
        <f>raw_order_lines!D763</f>
        <v>46289</v>
      </c>
      <c r="E763" s="2" t="str">
        <f>raw_order_lines!E763</f>
        <v>P019</v>
      </c>
      <c r="F763" s="2" t="str">
        <f>raw_order_lines!F763</f>
        <v>桶</v>
      </c>
      <c r="G763" s="4">
        <f>raw_order_lines!G763</f>
        <v>1</v>
      </c>
      <c r="H763" s="4">
        <f>raw_order_lines!H763</f>
        <v>1</v>
      </c>
      <c r="I763" s="4">
        <f>raw_order_lines!I763</f>
        <v>0</v>
      </c>
      <c r="J763" s="5">
        <f>raw_order_lines!J763</f>
        <v>67</v>
      </c>
      <c r="K763" s="2" t="str">
        <f>raw_order_lines!K763</f>
        <v>正常交付</v>
      </c>
      <c r="L763" s="2" t="str">
        <f>raw_order_lines!L763</f>
        <v>true</v>
      </c>
      <c r="M763" s="2" t="str">
        <f>INDEX(dim_products!$B$2:$B$21,MATCH($E763,dim_products!$A$2:$A$21,0))</f>
        <v>菜籽油</v>
      </c>
      <c r="N763" s="2" t="str">
        <f>INDEX(dim_products!$C$2:$C$21,MATCH($E763,dim_products!$A$2:$A$21,0))</f>
        <v>5升/桶普通菜籽油</v>
      </c>
      <c r="O763" s="2" t="str">
        <f>INDEX(dim_customers!$B$2:$B$7,MATCH($C763,dim_customers!$A$2:$A$7,0))</f>
        <v>模拟_桥头家常菜馆</v>
      </c>
      <c r="P763" s="6">
        <f>INT((ROUND(raw_order_lines!H763*10,0)*ROUND(raw_order_lines!J763*100,0)+5)/10)/100</f>
        <v>67</v>
      </c>
      <c r="Q763" s="6">
        <f>INT((ROUND(raw_order_lines!I763*10,0)*ROUND(raw_order_lines!J763*100,0)+5)/10)/100</f>
        <v>0</v>
      </c>
      <c r="R763" s="6">
        <f t="shared" si="33"/>
        <v>67</v>
      </c>
      <c r="S763" s="2" t="str">
        <f>IF(OR(ROUND(raw_order_lines!I763*10,0)&gt;ROUND(raw_order_lines!H763*10,0),ROUND(raw_order_lines!H763*10,0)&gt;ROUND(raw_order_lines!G763*10,0),ROUND(raw_order_lines!G763*10,0)&lt;=0),"数量关系异常","")</f>
        <v/>
      </c>
      <c r="T763" s="2" t="str">
        <f>IF($F763&lt;&gt;INDEX(dim_products!$D$2:$D$21,MATCH($E763,dim_products!$A$2:$A$21,0)),"单位不一致","")</f>
        <v/>
      </c>
      <c r="U763" s="2" t="str">
        <f>IF(OR(ROUND(raw_order_lines!J763*100,0)&lt;ROUND(INDEX(dim_products!$F$2:$F$21,MATCH($E763,dim_products!$A$2:$A$21,0))*100,0),ROUND(raw_order_lines!J763*100,0)&gt;ROUND(INDEX(dim_products!$G$2:$G$21,MATCH($E763,dim_products!$A$2:$A$21,0))*100,0)),"单价越界","")</f>
        <v/>
      </c>
      <c r="V763" s="2" t="str">
        <f t="shared" si="34"/>
        <v/>
      </c>
      <c r="W763" s="2" t="str">
        <f t="shared" si="35"/>
        <v>通过</v>
      </c>
    </row>
    <row r="764" spans="1:23" ht="15">
      <c r="A764" s="2" t="str">
        <f>raw_order_lines!A764</f>
        <v>SIM-20260924-C003</v>
      </c>
      <c r="B764" s="2">
        <f>raw_order_lines!B764</f>
        <v>1</v>
      </c>
      <c r="C764" s="2" t="str">
        <f>raw_order_lines!C764</f>
        <v>C003</v>
      </c>
      <c r="D764" s="3">
        <f>raw_order_lines!D764</f>
        <v>46289</v>
      </c>
      <c r="E764" s="2" t="str">
        <f>raw_order_lines!E764</f>
        <v>P010</v>
      </c>
      <c r="F764" s="2" t="str">
        <f>raw_order_lines!F764</f>
        <v>公斤</v>
      </c>
      <c r="G764" s="4">
        <f>raw_order_lines!G764</f>
        <v>8.4</v>
      </c>
      <c r="H764" s="4">
        <f>raw_order_lines!H764</f>
        <v>8.4</v>
      </c>
      <c r="I764" s="4">
        <f>raw_order_lines!I764</f>
        <v>0</v>
      </c>
      <c r="J764" s="5">
        <f>raw_order_lines!J764</f>
        <v>4.9000000000000004</v>
      </c>
      <c r="K764" s="2" t="str">
        <f>raw_order_lines!K764</f>
        <v>正常交付</v>
      </c>
      <c r="L764" s="2" t="str">
        <f>raw_order_lines!L764</f>
        <v>true</v>
      </c>
      <c r="M764" s="2" t="str">
        <f>INDEX(dim_products!$B$2:$B$21,MATCH($E764,dim_products!$A$2:$A$21,0))</f>
        <v>空心菜</v>
      </c>
      <c r="N764" s="2" t="str">
        <f>INDEX(dim_products!$C$2:$C$21,MATCH($E764,dim_products!$A$2:$A$21,0))</f>
        <v>散装鲜菜</v>
      </c>
      <c r="O764" s="2" t="str">
        <f>INDEX(dim_customers!$B$2:$B$7,MATCH($C764,dim_customers!$A$2:$A$7,0))</f>
        <v>模拟_兴街快餐店</v>
      </c>
      <c r="P764" s="6">
        <f>INT((ROUND(raw_order_lines!H764*10,0)*ROUND(raw_order_lines!J764*100,0)+5)/10)/100</f>
        <v>41.16</v>
      </c>
      <c r="Q764" s="6">
        <f>INT((ROUND(raw_order_lines!I764*10,0)*ROUND(raw_order_lines!J764*100,0)+5)/10)/100</f>
        <v>0</v>
      </c>
      <c r="R764" s="6">
        <f t="shared" si="33"/>
        <v>41.16</v>
      </c>
      <c r="S764" s="2" t="str">
        <f>IF(OR(ROUND(raw_order_lines!I764*10,0)&gt;ROUND(raw_order_lines!H764*10,0),ROUND(raw_order_lines!H764*10,0)&gt;ROUND(raw_order_lines!G764*10,0),ROUND(raw_order_lines!G764*10,0)&lt;=0),"数量关系异常","")</f>
        <v/>
      </c>
      <c r="T764" s="2" t="str">
        <f>IF($F764&lt;&gt;INDEX(dim_products!$D$2:$D$21,MATCH($E764,dim_products!$A$2:$A$21,0)),"单位不一致","")</f>
        <v/>
      </c>
      <c r="U764" s="2" t="str">
        <f>IF(OR(ROUND(raw_order_lines!J764*100,0)&lt;ROUND(INDEX(dim_products!$F$2:$F$21,MATCH($E764,dim_products!$A$2:$A$21,0))*100,0),ROUND(raw_order_lines!J764*100,0)&gt;ROUND(INDEX(dim_products!$G$2:$G$21,MATCH($E764,dim_products!$A$2:$A$21,0))*100,0)),"单价越界","")</f>
        <v/>
      </c>
      <c r="V764" s="2" t="str">
        <f t="shared" si="34"/>
        <v/>
      </c>
      <c r="W764" s="2" t="str">
        <f t="shared" si="35"/>
        <v>通过</v>
      </c>
    </row>
    <row r="765" spans="1:23" ht="15">
      <c r="A765" s="2" t="str">
        <f>raw_order_lines!A765</f>
        <v>SIM-20260924-C003</v>
      </c>
      <c r="B765" s="2">
        <f>raw_order_lines!B765</f>
        <v>2</v>
      </c>
      <c r="C765" s="2" t="str">
        <f>raw_order_lines!C765</f>
        <v>C003</v>
      </c>
      <c r="D765" s="3">
        <f>raw_order_lines!D765</f>
        <v>46289</v>
      </c>
      <c r="E765" s="2" t="str">
        <f>raw_order_lines!E765</f>
        <v>P013</v>
      </c>
      <c r="F765" s="2" t="str">
        <f>raw_order_lines!F765</f>
        <v>公斤</v>
      </c>
      <c r="G765" s="4">
        <f>raw_order_lines!G765</f>
        <v>7.1</v>
      </c>
      <c r="H765" s="4">
        <f>raw_order_lines!H765</f>
        <v>7.1</v>
      </c>
      <c r="I765" s="4">
        <f>raw_order_lines!I765</f>
        <v>0</v>
      </c>
      <c r="J765" s="5">
        <f>raw_order_lines!J765</f>
        <v>6.1</v>
      </c>
      <c r="K765" s="2" t="str">
        <f>raw_order_lines!K765</f>
        <v>正常交付</v>
      </c>
      <c r="L765" s="2" t="str">
        <f>raw_order_lines!L765</f>
        <v>true</v>
      </c>
      <c r="M765" s="2" t="str">
        <f>INDEX(dim_products!$B$2:$B$21,MATCH($E765,dim_products!$A$2:$A$21,0))</f>
        <v>豇豆</v>
      </c>
      <c r="N765" s="2" t="str">
        <f>INDEX(dim_products!$C$2:$C$21,MATCH($E765,dim_products!$A$2:$A$21,0))</f>
        <v>散装鲜菜</v>
      </c>
      <c r="O765" s="2" t="str">
        <f>INDEX(dim_customers!$B$2:$B$7,MATCH($C765,dim_customers!$A$2:$A$7,0))</f>
        <v>模拟_兴街快餐店</v>
      </c>
      <c r="P765" s="6">
        <f>INT((ROUND(raw_order_lines!H765*10,0)*ROUND(raw_order_lines!J765*100,0)+5)/10)/100</f>
        <v>43.31</v>
      </c>
      <c r="Q765" s="6">
        <f>INT((ROUND(raw_order_lines!I765*10,0)*ROUND(raw_order_lines!J765*100,0)+5)/10)/100</f>
        <v>0</v>
      </c>
      <c r="R765" s="6">
        <f t="shared" si="33"/>
        <v>43.31</v>
      </c>
      <c r="S765" s="2" t="str">
        <f>IF(OR(ROUND(raw_order_lines!I765*10,0)&gt;ROUND(raw_order_lines!H765*10,0),ROUND(raw_order_lines!H765*10,0)&gt;ROUND(raw_order_lines!G765*10,0),ROUND(raw_order_lines!G765*10,0)&lt;=0),"数量关系异常","")</f>
        <v/>
      </c>
      <c r="T765" s="2" t="str">
        <f>IF($F765&lt;&gt;INDEX(dim_products!$D$2:$D$21,MATCH($E765,dim_products!$A$2:$A$21,0)),"单位不一致","")</f>
        <v/>
      </c>
      <c r="U765" s="2" t="str">
        <f>IF(OR(ROUND(raw_order_lines!J765*100,0)&lt;ROUND(INDEX(dim_products!$F$2:$F$21,MATCH($E765,dim_products!$A$2:$A$21,0))*100,0),ROUND(raw_order_lines!J765*100,0)&gt;ROUND(INDEX(dim_products!$G$2:$G$21,MATCH($E765,dim_products!$A$2:$A$21,0))*100,0)),"单价越界","")</f>
        <v/>
      </c>
      <c r="V765" s="2" t="str">
        <f t="shared" si="34"/>
        <v/>
      </c>
      <c r="W765" s="2" t="str">
        <f t="shared" si="35"/>
        <v>通过</v>
      </c>
    </row>
    <row r="766" spans="1:23" ht="15">
      <c r="A766" s="2" t="str">
        <f>raw_order_lines!A766</f>
        <v>SIM-20260924-C003</v>
      </c>
      <c r="B766" s="2">
        <f>raw_order_lines!B766</f>
        <v>3</v>
      </c>
      <c r="C766" s="2" t="str">
        <f>raw_order_lines!C766</f>
        <v>C003</v>
      </c>
      <c r="D766" s="3">
        <f>raw_order_lines!D766</f>
        <v>46289</v>
      </c>
      <c r="E766" s="2" t="str">
        <f>raw_order_lines!E766</f>
        <v>P004</v>
      </c>
      <c r="F766" s="2" t="str">
        <f>raw_order_lines!F766</f>
        <v>公斤</v>
      </c>
      <c r="G766" s="4">
        <f>raw_order_lines!G766</f>
        <v>5.0999999999999996</v>
      </c>
      <c r="H766" s="4">
        <f>raw_order_lines!H766</f>
        <v>5.0999999999999996</v>
      </c>
      <c r="I766" s="4">
        <f>raw_order_lines!I766</f>
        <v>0</v>
      </c>
      <c r="J766" s="5">
        <f>raw_order_lines!J766</f>
        <v>2.2999999999999998</v>
      </c>
      <c r="K766" s="2" t="str">
        <f>raw_order_lines!K766</f>
        <v>正常交付</v>
      </c>
      <c r="L766" s="2" t="str">
        <f>raw_order_lines!L766</f>
        <v>true</v>
      </c>
      <c r="M766" s="2" t="str">
        <f>INDEX(dim_products!$B$2:$B$21,MATCH($E766,dim_products!$A$2:$A$21,0))</f>
        <v>冬瓜</v>
      </c>
      <c r="N766" s="2" t="str">
        <f>INDEX(dim_products!$C$2:$C$21,MATCH($E766,dim_products!$A$2:$A$21,0))</f>
        <v>散装鲜菜</v>
      </c>
      <c r="O766" s="2" t="str">
        <f>INDEX(dim_customers!$B$2:$B$7,MATCH($C766,dim_customers!$A$2:$A$7,0))</f>
        <v>模拟_兴街快餐店</v>
      </c>
      <c r="P766" s="6">
        <f>INT((ROUND(raw_order_lines!H766*10,0)*ROUND(raw_order_lines!J766*100,0)+5)/10)/100</f>
        <v>11.73</v>
      </c>
      <c r="Q766" s="6">
        <f>INT((ROUND(raw_order_lines!I766*10,0)*ROUND(raw_order_lines!J766*100,0)+5)/10)/100</f>
        <v>0</v>
      </c>
      <c r="R766" s="6">
        <f t="shared" si="33"/>
        <v>11.73</v>
      </c>
      <c r="S766" s="2" t="str">
        <f>IF(OR(ROUND(raw_order_lines!I766*10,0)&gt;ROUND(raw_order_lines!H766*10,0),ROUND(raw_order_lines!H766*10,0)&gt;ROUND(raw_order_lines!G766*10,0),ROUND(raw_order_lines!G766*10,0)&lt;=0),"数量关系异常","")</f>
        <v/>
      </c>
      <c r="T766" s="2" t="str">
        <f>IF($F766&lt;&gt;INDEX(dim_products!$D$2:$D$21,MATCH($E766,dim_products!$A$2:$A$21,0)),"单位不一致","")</f>
        <v/>
      </c>
      <c r="U766" s="2" t="str">
        <f>IF(OR(ROUND(raw_order_lines!J766*100,0)&lt;ROUND(INDEX(dim_products!$F$2:$F$21,MATCH($E766,dim_products!$A$2:$A$21,0))*100,0),ROUND(raw_order_lines!J766*100,0)&gt;ROUND(INDEX(dim_products!$G$2:$G$21,MATCH($E766,dim_products!$A$2:$A$21,0))*100,0)),"单价越界","")</f>
        <v/>
      </c>
      <c r="V766" s="2" t="str">
        <f t="shared" si="34"/>
        <v/>
      </c>
      <c r="W766" s="2" t="str">
        <f t="shared" si="35"/>
        <v>通过</v>
      </c>
    </row>
    <row r="767" spans="1:23" ht="15">
      <c r="A767" s="2" t="str">
        <f>raw_order_lines!A767</f>
        <v>SIM-20260924-C003</v>
      </c>
      <c r="B767" s="2">
        <f>raw_order_lines!B767</f>
        <v>4</v>
      </c>
      <c r="C767" s="2" t="str">
        <f>raw_order_lines!C767</f>
        <v>C003</v>
      </c>
      <c r="D767" s="3">
        <f>raw_order_lines!D767</f>
        <v>46289</v>
      </c>
      <c r="E767" s="2" t="str">
        <f>raw_order_lines!E767</f>
        <v>P002</v>
      </c>
      <c r="F767" s="2" t="str">
        <f>raw_order_lines!F767</f>
        <v>公斤</v>
      </c>
      <c r="G767" s="4">
        <f>raw_order_lines!G767</f>
        <v>5.8</v>
      </c>
      <c r="H767" s="4">
        <f>raw_order_lines!H767</f>
        <v>5.8</v>
      </c>
      <c r="I767" s="4">
        <f>raw_order_lines!I767</f>
        <v>0</v>
      </c>
      <c r="J767" s="5">
        <f>raw_order_lines!J767</f>
        <v>2.5</v>
      </c>
      <c r="K767" s="2" t="str">
        <f>raw_order_lines!K767</f>
        <v>正常交付</v>
      </c>
      <c r="L767" s="2" t="str">
        <f>raw_order_lines!L767</f>
        <v>true</v>
      </c>
      <c r="M767" s="2" t="str">
        <f>INDEX(dim_products!$B$2:$B$21,MATCH($E767,dim_products!$A$2:$A$21,0))</f>
        <v>白萝卜</v>
      </c>
      <c r="N767" s="2" t="str">
        <f>INDEX(dim_products!$C$2:$C$21,MATCH($E767,dim_products!$A$2:$A$21,0))</f>
        <v>散装鲜菜</v>
      </c>
      <c r="O767" s="2" t="str">
        <f>INDEX(dim_customers!$B$2:$B$7,MATCH($C767,dim_customers!$A$2:$A$7,0))</f>
        <v>模拟_兴街快餐店</v>
      </c>
      <c r="P767" s="6">
        <f>INT((ROUND(raw_order_lines!H767*10,0)*ROUND(raw_order_lines!J767*100,0)+5)/10)/100</f>
        <v>14.5</v>
      </c>
      <c r="Q767" s="6">
        <f>INT((ROUND(raw_order_lines!I767*10,0)*ROUND(raw_order_lines!J767*100,0)+5)/10)/100</f>
        <v>0</v>
      </c>
      <c r="R767" s="6">
        <f t="shared" si="33"/>
        <v>14.5</v>
      </c>
      <c r="S767" s="2" t="str">
        <f>IF(OR(ROUND(raw_order_lines!I767*10,0)&gt;ROUND(raw_order_lines!H767*10,0),ROUND(raw_order_lines!H767*10,0)&gt;ROUND(raw_order_lines!G767*10,0),ROUND(raw_order_lines!G767*10,0)&lt;=0),"数量关系异常","")</f>
        <v/>
      </c>
      <c r="T767" s="2" t="str">
        <f>IF($F767&lt;&gt;INDEX(dim_products!$D$2:$D$21,MATCH($E767,dim_products!$A$2:$A$21,0)),"单位不一致","")</f>
        <v/>
      </c>
      <c r="U767" s="2" t="str">
        <f>IF(OR(ROUND(raw_order_lines!J767*100,0)&lt;ROUND(INDEX(dim_products!$F$2:$F$21,MATCH($E767,dim_products!$A$2:$A$21,0))*100,0),ROUND(raw_order_lines!J767*100,0)&gt;ROUND(INDEX(dim_products!$G$2:$G$21,MATCH($E767,dim_products!$A$2:$A$21,0))*100,0)),"单价越界","")</f>
        <v/>
      </c>
      <c r="V767" s="2" t="str">
        <f t="shared" si="34"/>
        <v/>
      </c>
      <c r="W767" s="2" t="str">
        <f t="shared" si="35"/>
        <v>通过</v>
      </c>
    </row>
    <row r="768" spans="1:23" ht="15">
      <c r="A768" s="2" t="str">
        <f>raw_order_lines!A768</f>
        <v>SIM-20260924-C003</v>
      </c>
      <c r="B768" s="2">
        <f>raw_order_lines!B768</f>
        <v>5</v>
      </c>
      <c r="C768" s="2" t="str">
        <f>raw_order_lines!C768</f>
        <v>C003</v>
      </c>
      <c r="D768" s="3">
        <f>raw_order_lines!D768</f>
        <v>46289</v>
      </c>
      <c r="E768" s="2" t="str">
        <f>raw_order_lines!E768</f>
        <v>P014</v>
      </c>
      <c r="F768" s="2" t="str">
        <f>raw_order_lines!F768</f>
        <v>公斤</v>
      </c>
      <c r="G768" s="4">
        <f>raw_order_lines!G768</f>
        <v>9</v>
      </c>
      <c r="H768" s="4">
        <f>raw_order_lines!H768</f>
        <v>9</v>
      </c>
      <c r="I768" s="4">
        <f>raw_order_lines!I768</f>
        <v>0</v>
      </c>
      <c r="J768" s="5">
        <f>raw_order_lines!J768</f>
        <v>4.9000000000000004</v>
      </c>
      <c r="K768" s="2" t="str">
        <f>raw_order_lines!K768</f>
        <v>正常交付</v>
      </c>
      <c r="L768" s="2" t="str">
        <f>raw_order_lines!L768</f>
        <v>true</v>
      </c>
      <c r="M768" s="2" t="str">
        <f>INDEX(dim_products!$B$2:$B$21,MATCH($E768,dim_products!$A$2:$A$21,0))</f>
        <v>丝瓜</v>
      </c>
      <c r="N768" s="2" t="str">
        <f>INDEX(dim_products!$C$2:$C$21,MATCH($E768,dim_products!$A$2:$A$21,0))</f>
        <v>散装鲜菜</v>
      </c>
      <c r="O768" s="2" t="str">
        <f>INDEX(dim_customers!$B$2:$B$7,MATCH($C768,dim_customers!$A$2:$A$7,0))</f>
        <v>模拟_兴街快餐店</v>
      </c>
      <c r="P768" s="6">
        <f>INT((ROUND(raw_order_lines!H768*10,0)*ROUND(raw_order_lines!J768*100,0)+5)/10)/100</f>
        <v>44.1</v>
      </c>
      <c r="Q768" s="6">
        <f>INT((ROUND(raw_order_lines!I768*10,0)*ROUND(raw_order_lines!J768*100,0)+5)/10)/100</f>
        <v>0</v>
      </c>
      <c r="R768" s="6">
        <f t="shared" si="33"/>
        <v>44.1</v>
      </c>
      <c r="S768" s="2" t="str">
        <f>IF(OR(ROUND(raw_order_lines!I768*10,0)&gt;ROUND(raw_order_lines!H768*10,0),ROUND(raw_order_lines!H768*10,0)&gt;ROUND(raw_order_lines!G768*10,0),ROUND(raw_order_lines!G768*10,0)&lt;=0),"数量关系异常","")</f>
        <v/>
      </c>
      <c r="T768" s="2" t="str">
        <f>IF($F768&lt;&gt;INDEX(dim_products!$D$2:$D$21,MATCH($E768,dim_products!$A$2:$A$21,0)),"单位不一致","")</f>
        <v/>
      </c>
      <c r="U768" s="2" t="str">
        <f>IF(OR(ROUND(raw_order_lines!J768*100,0)&lt;ROUND(INDEX(dim_products!$F$2:$F$21,MATCH($E768,dim_products!$A$2:$A$21,0))*100,0),ROUND(raw_order_lines!J768*100,0)&gt;ROUND(INDEX(dim_products!$G$2:$G$21,MATCH($E768,dim_products!$A$2:$A$21,0))*100,0)),"单价越界","")</f>
        <v/>
      </c>
      <c r="V768" s="2" t="str">
        <f t="shared" si="34"/>
        <v/>
      </c>
      <c r="W768" s="2" t="str">
        <f t="shared" si="35"/>
        <v>通过</v>
      </c>
    </row>
    <row r="769" spans="1:23" ht="15">
      <c r="A769" s="2" t="str">
        <f>raw_order_lines!A769</f>
        <v>SIM-20260924-C003</v>
      </c>
      <c r="B769" s="2">
        <f>raw_order_lines!B769</f>
        <v>6</v>
      </c>
      <c r="C769" s="2" t="str">
        <f>raw_order_lines!C769</f>
        <v>C003</v>
      </c>
      <c r="D769" s="3">
        <f>raw_order_lines!D769</f>
        <v>46289</v>
      </c>
      <c r="E769" s="2" t="str">
        <f>raw_order_lines!E769</f>
        <v>P006</v>
      </c>
      <c r="F769" s="2" t="str">
        <f>raw_order_lines!F769</f>
        <v>公斤</v>
      </c>
      <c r="G769" s="4">
        <f>raw_order_lines!G769</f>
        <v>5.8</v>
      </c>
      <c r="H769" s="4">
        <f>raw_order_lines!H769</f>
        <v>5.8</v>
      </c>
      <c r="I769" s="4">
        <f>raw_order_lines!I769</f>
        <v>0</v>
      </c>
      <c r="J769" s="5">
        <f>raw_order_lines!J769</f>
        <v>4.5999999999999996</v>
      </c>
      <c r="K769" s="2" t="str">
        <f>raw_order_lines!K769</f>
        <v>正常交付</v>
      </c>
      <c r="L769" s="2" t="str">
        <f>raw_order_lines!L769</f>
        <v>true</v>
      </c>
      <c r="M769" s="2" t="str">
        <f>INDEX(dim_products!$B$2:$B$21,MATCH($E769,dim_products!$A$2:$A$21,0))</f>
        <v>茄子</v>
      </c>
      <c r="N769" s="2" t="str">
        <f>INDEX(dim_products!$C$2:$C$21,MATCH($E769,dim_products!$A$2:$A$21,0))</f>
        <v>散装鲜菜</v>
      </c>
      <c r="O769" s="2" t="str">
        <f>INDEX(dim_customers!$B$2:$B$7,MATCH($C769,dim_customers!$A$2:$A$7,0))</f>
        <v>模拟_兴街快餐店</v>
      </c>
      <c r="P769" s="6">
        <f>INT((ROUND(raw_order_lines!H769*10,0)*ROUND(raw_order_lines!J769*100,0)+5)/10)/100</f>
        <v>26.68</v>
      </c>
      <c r="Q769" s="6">
        <f>INT((ROUND(raw_order_lines!I769*10,0)*ROUND(raw_order_lines!J769*100,0)+5)/10)/100</f>
        <v>0</v>
      </c>
      <c r="R769" s="6">
        <f t="shared" si="33"/>
        <v>26.68</v>
      </c>
      <c r="S769" s="2" t="str">
        <f>IF(OR(ROUND(raw_order_lines!I769*10,0)&gt;ROUND(raw_order_lines!H769*10,0),ROUND(raw_order_lines!H769*10,0)&gt;ROUND(raw_order_lines!G769*10,0),ROUND(raw_order_lines!G769*10,0)&lt;=0),"数量关系异常","")</f>
        <v/>
      </c>
      <c r="T769" s="2" t="str">
        <f>IF($F769&lt;&gt;INDEX(dim_products!$D$2:$D$21,MATCH($E769,dim_products!$A$2:$A$21,0)),"单位不一致","")</f>
        <v/>
      </c>
      <c r="U769" s="2" t="str">
        <f>IF(OR(ROUND(raw_order_lines!J769*100,0)&lt;ROUND(INDEX(dim_products!$F$2:$F$21,MATCH($E769,dim_products!$A$2:$A$21,0))*100,0),ROUND(raw_order_lines!J769*100,0)&gt;ROUND(INDEX(dim_products!$G$2:$G$21,MATCH($E769,dim_products!$A$2:$A$21,0))*100,0)),"单价越界","")</f>
        <v/>
      </c>
      <c r="V769" s="2" t="str">
        <f t="shared" si="34"/>
        <v/>
      </c>
      <c r="W769" s="2" t="str">
        <f t="shared" si="35"/>
        <v>通过</v>
      </c>
    </row>
    <row r="770" spans="1:23" ht="15">
      <c r="A770" s="2" t="str">
        <f>raw_order_lines!A770</f>
        <v>SIM-20260924-C003</v>
      </c>
      <c r="B770" s="2">
        <f>raw_order_lines!B770</f>
        <v>7</v>
      </c>
      <c r="C770" s="2" t="str">
        <f>raw_order_lines!C770</f>
        <v>C003</v>
      </c>
      <c r="D770" s="3">
        <f>raw_order_lines!D770</f>
        <v>46289</v>
      </c>
      <c r="E770" s="2" t="str">
        <f>raw_order_lines!E770</f>
        <v>P016</v>
      </c>
      <c r="F770" s="2" t="str">
        <f>raw_order_lines!F770</f>
        <v>公斤</v>
      </c>
      <c r="G770" s="4">
        <f>raw_order_lines!G770</f>
        <v>6</v>
      </c>
      <c r="H770" s="4">
        <f>raw_order_lines!H770</f>
        <v>6</v>
      </c>
      <c r="I770" s="4">
        <f>raw_order_lines!I770</f>
        <v>0</v>
      </c>
      <c r="J770" s="5">
        <f>raw_order_lines!J770</f>
        <v>10.4</v>
      </c>
      <c r="K770" s="2" t="str">
        <f>raw_order_lines!K770</f>
        <v>正常交付</v>
      </c>
      <c r="L770" s="2" t="str">
        <f>raw_order_lines!L770</f>
        <v>true</v>
      </c>
      <c r="M770" s="2" t="str">
        <f>INDEX(dim_products!$B$2:$B$21,MATCH($E770,dim_products!$A$2:$A$21,0))</f>
        <v>鸡蛋</v>
      </c>
      <c r="N770" s="2" t="str">
        <f>INDEX(dim_products!$C$2:$C$21,MATCH($E770,dim_products!$A$2:$A$21,0))</f>
        <v>普通鲜鸡蛋按净重</v>
      </c>
      <c r="O770" s="2" t="str">
        <f>INDEX(dim_customers!$B$2:$B$7,MATCH($C770,dim_customers!$A$2:$A$7,0))</f>
        <v>模拟_兴街快餐店</v>
      </c>
      <c r="P770" s="6">
        <f>INT((ROUND(raw_order_lines!H770*10,0)*ROUND(raw_order_lines!J770*100,0)+5)/10)/100</f>
        <v>62.4</v>
      </c>
      <c r="Q770" s="6">
        <f>INT((ROUND(raw_order_lines!I770*10,0)*ROUND(raw_order_lines!J770*100,0)+5)/10)/100</f>
        <v>0</v>
      </c>
      <c r="R770" s="6">
        <f t="shared" ref="R770:R833" si="36">$P770-$Q770</f>
        <v>62.4</v>
      </c>
      <c r="S770" s="2" t="str">
        <f>IF(OR(ROUND(raw_order_lines!I770*10,0)&gt;ROUND(raw_order_lines!H770*10,0),ROUND(raw_order_lines!H770*10,0)&gt;ROUND(raw_order_lines!G770*10,0),ROUND(raw_order_lines!G770*10,0)&lt;=0),"数量关系异常","")</f>
        <v/>
      </c>
      <c r="T770" s="2" t="str">
        <f>IF($F770&lt;&gt;INDEX(dim_products!$D$2:$D$21,MATCH($E770,dim_products!$A$2:$A$21,0)),"单位不一致","")</f>
        <v/>
      </c>
      <c r="U770" s="2" t="str">
        <f>IF(OR(ROUND(raw_order_lines!J770*100,0)&lt;ROUND(INDEX(dim_products!$F$2:$F$21,MATCH($E770,dim_products!$A$2:$A$21,0))*100,0),ROUND(raw_order_lines!J770*100,0)&gt;ROUND(INDEX(dim_products!$G$2:$G$21,MATCH($E770,dim_products!$A$2:$A$21,0))*100,0)),"单价越界","")</f>
        <v/>
      </c>
      <c r="V770" s="2" t="str">
        <f t="shared" ref="V770:V833" si="37">IF(COUNTIFS($A$2:$A$967,$A770,$B$2:$B$967,$B770)&gt;1,"主键重复","")</f>
        <v/>
      </c>
      <c r="W770" s="2" t="str">
        <f t="shared" ref="W770:W833" si="38">IF(COUNTIF($S770:$T770,"?*")+COUNTIF($V770:$V770,"?*")&gt;0,"阻断",IF(COUNTIF($U770:$U770,"?*")&gt;0,"提示","通过"))</f>
        <v>通过</v>
      </c>
    </row>
    <row r="771" spans="1:23" ht="15">
      <c r="A771" s="2" t="str">
        <f>raw_order_lines!A771</f>
        <v>SIM-20260924-C003</v>
      </c>
      <c r="B771" s="2">
        <f>raw_order_lines!B771</f>
        <v>8</v>
      </c>
      <c r="C771" s="2" t="str">
        <f>raw_order_lines!C771</f>
        <v>C003</v>
      </c>
      <c r="D771" s="3">
        <f>raw_order_lines!D771</f>
        <v>46289</v>
      </c>
      <c r="E771" s="2" t="str">
        <f>raw_order_lines!E771</f>
        <v>P017</v>
      </c>
      <c r="F771" s="2" t="str">
        <f>raw_order_lines!F771</f>
        <v>袋</v>
      </c>
      <c r="G771" s="4">
        <f>raw_order_lines!G771</f>
        <v>5</v>
      </c>
      <c r="H771" s="4">
        <f>raw_order_lines!H771</f>
        <v>5</v>
      </c>
      <c r="I771" s="4">
        <f>raw_order_lines!I771</f>
        <v>0</v>
      </c>
      <c r="J771" s="5">
        <f>raw_order_lines!J771</f>
        <v>117</v>
      </c>
      <c r="K771" s="2" t="str">
        <f>raw_order_lines!K771</f>
        <v>正常交付</v>
      </c>
      <c r="L771" s="2" t="str">
        <f>raw_order_lines!L771</f>
        <v>true</v>
      </c>
      <c r="M771" s="2" t="str">
        <f>INDEX(dim_products!$B$2:$B$21,MATCH($E771,dim_products!$A$2:$A$21,0))</f>
        <v>籼米</v>
      </c>
      <c r="N771" s="2" t="str">
        <f>INDEX(dim_products!$C$2:$C$21,MATCH($E771,dim_products!$A$2:$A$21,0))</f>
        <v>25公斤/袋普通籼米</v>
      </c>
      <c r="O771" s="2" t="str">
        <f>INDEX(dim_customers!$B$2:$B$7,MATCH($C771,dim_customers!$A$2:$A$7,0))</f>
        <v>模拟_兴街快餐店</v>
      </c>
      <c r="P771" s="6">
        <f>INT((ROUND(raw_order_lines!H771*10,0)*ROUND(raw_order_lines!J771*100,0)+5)/10)/100</f>
        <v>585</v>
      </c>
      <c r="Q771" s="6">
        <f>INT((ROUND(raw_order_lines!I771*10,0)*ROUND(raw_order_lines!J771*100,0)+5)/10)/100</f>
        <v>0</v>
      </c>
      <c r="R771" s="6">
        <f t="shared" si="36"/>
        <v>585</v>
      </c>
      <c r="S771" s="2" t="str">
        <f>IF(OR(ROUND(raw_order_lines!I771*10,0)&gt;ROUND(raw_order_lines!H771*10,0),ROUND(raw_order_lines!H771*10,0)&gt;ROUND(raw_order_lines!G771*10,0),ROUND(raw_order_lines!G771*10,0)&lt;=0),"数量关系异常","")</f>
        <v/>
      </c>
      <c r="T771" s="2" t="str">
        <f>IF($F771&lt;&gt;INDEX(dim_products!$D$2:$D$21,MATCH($E771,dim_products!$A$2:$A$21,0)),"单位不一致","")</f>
        <v/>
      </c>
      <c r="U771" s="2" t="str">
        <f>IF(OR(ROUND(raw_order_lines!J771*100,0)&lt;ROUND(INDEX(dim_products!$F$2:$F$21,MATCH($E771,dim_products!$A$2:$A$21,0))*100,0),ROUND(raw_order_lines!J771*100,0)&gt;ROUND(INDEX(dim_products!$G$2:$G$21,MATCH($E771,dim_products!$A$2:$A$21,0))*100,0)),"单价越界","")</f>
        <v/>
      </c>
      <c r="V771" s="2" t="str">
        <f t="shared" si="37"/>
        <v/>
      </c>
      <c r="W771" s="2" t="str">
        <f t="shared" si="38"/>
        <v>通过</v>
      </c>
    </row>
    <row r="772" spans="1:23" ht="15">
      <c r="A772" s="2" t="str">
        <f>raw_order_lines!A772</f>
        <v>SIM-20260924-C003</v>
      </c>
      <c r="B772" s="2">
        <f>raw_order_lines!B772</f>
        <v>9</v>
      </c>
      <c r="C772" s="2" t="str">
        <f>raw_order_lines!C772</f>
        <v>C003</v>
      </c>
      <c r="D772" s="3">
        <f>raw_order_lines!D772</f>
        <v>46289</v>
      </c>
      <c r="E772" s="2" t="str">
        <f>raw_order_lines!E772</f>
        <v>P020</v>
      </c>
      <c r="F772" s="2" t="str">
        <f>raw_order_lines!F772</f>
        <v>桶</v>
      </c>
      <c r="G772" s="4">
        <f>raw_order_lines!G772</f>
        <v>2</v>
      </c>
      <c r="H772" s="4">
        <f>raw_order_lines!H772</f>
        <v>2</v>
      </c>
      <c r="I772" s="4">
        <f>raw_order_lines!I772</f>
        <v>0</v>
      </c>
      <c r="J772" s="5">
        <f>raw_order_lines!J772</f>
        <v>60</v>
      </c>
      <c r="K772" s="2" t="str">
        <f>raw_order_lines!K772</f>
        <v>正常交付</v>
      </c>
      <c r="L772" s="2" t="str">
        <f>raw_order_lines!L772</f>
        <v>true</v>
      </c>
      <c r="M772" s="2" t="str">
        <f>INDEX(dim_products!$B$2:$B$21,MATCH($E772,dim_products!$A$2:$A$21,0))</f>
        <v>大豆油</v>
      </c>
      <c r="N772" s="2" t="str">
        <f>INDEX(dim_products!$C$2:$C$21,MATCH($E772,dim_products!$A$2:$A$21,0))</f>
        <v>5升/桶普通大豆油</v>
      </c>
      <c r="O772" s="2" t="str">
        <f>INDEX(dim_customers!$B$2:$B$7,MATCH($C772,dim_customers!$A$2:$A$7,0))</f>
        <v>模拟_兴街快餐店</v>
      </c>
      <c r="P772" s="6">
        <f>INT((ROUND(raw_order_lines!H772*10,0)*ROUND(raw_order_lines!J772*100,0)+5)/10)/100</f>
        <v>120</v>
      </c>
      <c r="Q772" s="6">
        <f>INT((ROUND(raw_order_lines!I772*10,0)*ROUND(raw_order_lines!J772*100,0)+5)/10)/100</f>
        <v>0</v>
      </c>
      <c r="R772" s="6">
        <f t="shared" si="36"/>
        <v>120</v>
      </c>
      <c r="S772" s="2" t="str">
        <f>IF(OR(ROUND(raw_order_lines!I772*10,0)&gt;ROUND(raw_order_lines!H772*10,0),ROUND(raw_order_lines!H772*10,0)&gt;ROUND(raw_order_lines!G772*10,0),ROUND(raw_order_lines!G772*10,0)&lt;=0),"数量关系异常","")</f>
        <v/>
      </c>
      <c r="T772" s="2" t="str">
        <f>IF($F772&lt;&gt;INDEX(dim_products!$D$2:$D$21,MATCH($E772,dim_products!$A$2:$A$21,0)),"单位不一致","")</f>
        <v/>
      </c>
      <c r="U772" s="2" t="str">
        <f>IF(OR(ROUND(raw_order_lines!J772*100,0)&lt;ROUND(INDEX(dim_products!$F$2:$F$21,MATCH($E772,dim_products!$A$2:$A$21,0))*100,0),ROUND(raw_order_lines!J772*100,0)&gt;ROUND(INDEX(dim_products!$G$2:$G$21,MATCH($E772,dim_products!$A$2:$A$21,0))*100,0)),"单价越界","")</f>
        <v/>
      </c>
      <c r="V772" s="2" t="str">
        <f t="shared" si="37"/>
        <v/>
      </c>
      <c r="W772" s="2" t="str">
        <f t="shared" si="38"/>
        <v>通过</v>
      </c>
    </row>
    <row r="773" spans="1:23" ht="15">
      <c r="A773" s="2" t="str">
        <f>raw_order_lines!A773</f>
        <v>SIM-20260924-C004</v>
      </c>
      <c r="B773" s="2">
        <f>raw_order_lines!B773</f>
        <v>1</v>
      </c>
      <c r="C773" s="2" t="str">
        <f>raw_order_lines!C773</f>
        <v>C004</v>
      </c>
      <c r="D773" s="3">
        <f>raw_order_lines!D773</f>
        <v>46289</v>
      </c>
      <c r="E773" s="2" t="str">
        <f>raw_order_lines!E773</f>
        <v>P011</v>
      </c>
      <c r="F773" s="2" t="str">
        <f>raw_order_lines!F773</f>
        <v>公斤</v>
      </c>
      <c r="G773" s="4">
        <f>raw_order_lines!G773</f>
        <v>6.2</v>
      </c>
      <c r="H773" s="4">
        <f>raw_order_lines!H773</f>
        <v>6.2</v>
      </c>
      <c r="I773" s="4">
        <f>raw_order_lines!I773</f>
        <v>0</v>
      </c>
      <c r="J773" s="5">
        <f>raw_order_lines!J773</f>
        <v>4.8</v>
      </c>
      <c r="K773" s="2" t="str">
        <f>raw_order_lines!K773</f>
        <v>正常交付</v>
      </c>
      <c r="L773" s="2" t="str">
        <f>raw_order_lines!L773</f>
        <v>true</v>
      </c>
      <c r="M773" s="2" t="str">
        <f>INDEX(dim_products!$B$2:$B$21,MATCH($E773,dim_products!$A$2:$A$21,0))</f>
        <v>红薯叶</v>
      </c>
      <c r="N773" s="2" t="str">
        <f>INDEX(dim_products!$C$2:$C$21,MATCH($E773,dim_products!$A$2:$A$21,0))</f>
        <v>散装鲜菜</v>
      </c>
      <c r="O773" s="2" t="str">
        <f>INDEX(dim_customers!$B$2:$B$7,MATCH($C773,dim_customers!$A$2:$A$7,0))</f>
        <v>模拟_田畔饭店</v>
      </c>
      <c r="P773" s="6">
        <f>INT((ROUND(raw_order_lines!H773*10,0)*ROUND(raw_order_lines!J773*100,0)+5)/10)/100</f>
        <v>29.76</v>
      </c>
      <c r="Q773" s="6">
        <f>INT((ROUND(raw_order_lines!I773*10,0)*ROUND(raw_order_lines!J773*100,0)+5)/10)/100</f>
        <v>0</v>
      </c>
      <c r="R773" s="6">
        <f t="shared" si="36"/>
        <v>29.76</v>
      </c>
      <c r="S773" s="2" t="str">
        <f>IF(OR(ROUND(raw_order_lines!I773*10,0)&gt;ROUND(raw_order_lines!H773*10,0),ROUND(raw_order_lines!H773*10,0)&gt;ROUND(raw_order_lines!G773*10,0),ROUND(raw_order_lines!G773*10,0)&lt;=0),"数量关系异常","")</f>
        <v/>
      </c>
      <c r="T773" s="2" t="str">
        <f>IF($F773&lt;&gt;INDEX(dim_products!$D$2:$D$21,MATCH($E773,dim_products!$A$2:$A$21,0)),"单位不一致","")</f>
        <v/>
      </c>
      <c r="U773" s="2" t="str">
        <f>IF(OR(ROUND(raw_order_lines!J773*100,0)&lt;ROUND(INDEX(dim_products!$F$2:$F$21,MATCH($E773,dim_products!$A$2:$A$21,0))*100,0),ROUND(raw_order_lines!J773*100,0)&gt;ROUND(INDEX(dim_products!$G$2:$G$21,MATCH($E773,dim_products!$A$2:$A$21,0))*100,0)),"单价越界","")</f>
        <v/>
      </c>
      <c r="V773" s="2" t="str">
        <f t="shared" si="37"/>
        <v/>
      </c>
      <c r="W773" s="2" t="str">
        <f t="shared" si="38"/>
        <v>通过</v>
      </c>
    </row>
    <row r="774" spans="1:23" ht="15">
      <c r="A774" s="2" t="str">
        <f>raw_order_lines!A774</f>
        <v>SIM-20260924-C004</v>
      </c>
      <c r="B774" s="2">
        <f>raw_order_lines!B774</f>
        <v>2</v>
      </c>
      <c r="C774" s="2" t="str">
        <f>raw_order_lines!C774</f>
        <v>C004</v>
      </c>
      <c r="D774" s="3">
        <f>raw_order_lines!D774</f>
        <v>46289</v>
      </c>
      <c r="E774" s="2" t="str">
        <f>raw_order_lines!E774</f>
        <v>P004</v>
      </c>
      <c r="F774" s="2" t="str">
        <f>raw_order_lines!F774</f>
        <v>公斤</v>
      </c>
      <c r="G774" s="4">
        <f>raw_order_lines!G774</f>
        <v>6.8</v>
      </c>
      <c r="H774" s="4">
        <f>raw_order_lines!H774</f>
        <v>6.8</v>
      </c>
      <c r="I774" s="4">
        <f>raw_order_lines!I774</f>
        <v>0</v>
      </c>
      <c r="J774" s="5">
        <f>raw_order_lines!J774</f>
        <v>2.2999999999999998</v>
      </c>
      <c r="K774" s="2" t="str">
        <f>raw_order_lines!K774</f>
        <v>正常交付</v>
      </c>
      <c r="L774" s="2" t="str">
        <f>raw_order_lines!L774</f>
        <v>true</v>
      </c>
      <c r="M774" s="2" t="str">
        <f>INDEX(dim_products!$B$2:$B$21,MATCH($E774,dim_products!$A$2:$A$21,0))</f>
        <v>冬瓜</v>
      </c>
      <c r="N774" s="2" t="str">
        <f>INDEX(dim_products!$C$2:$C$21,MATCH($E774,dim_products!$A$2:$A$21,0))</f>
        <v>散装鲜菜</v>
      </c>
      <c r="O774" s="2" t="str">
        <f>INDEX(dim_customers!$B$2:$B$7,MATCH($C774,dim_customers!$A$2:$A$7,0))</f>
        <v>模拟_田畔饭店</v>
      </c>
      <c r="P774" s="6">
        <f>INT((ROUND(raw_order_lines!H774*10,0)*ROUND(raw_order_lines!J774*100,0)+5)/10)/100</f>
        <v>15.64</v>
      </c>
      <c r="Q774" s="6">
        <f>INT((ROUND(raw_order_lines!I774*10,0)*ROUND(raw_order_lines!J774*100,0)+5)/10)/100</f>
        <v>0</v>
      </c>
      <c r="R774" s="6">
        <f t="shared" si="36"/>
        <v>15.64</v>
      </c>
      <c r="S774" s="2" t="str">
        <f>IF(OR(ROUND(raw_order_lines!I774*10,0)&gt;ROUND(raw_order_lines!H774*10,0),ROUND(raw_order_lines!H774*10,0)&gt;ROUND(raw_order_lines!G774*10,0),ROUND(raw_order_lines!G774*10,0)&lt;=0),"数量关系异常","")</f>
        <v/>
      </c>
      <c r="T774" s="2" t="str">
        <f>IF($F774&lt;&gt;INDEX(dim_products!$D$2:$D$21,MATCH($E774,dim_products!$A$2:$A$21,0)),"单位不一致","")</f>
        <v/>
      </c>
      <c r="U774" s="2" t="str">
        <f>IF(OR(ROUND(raw_order_lines!J774*100,0)&lt;ROUND(INDEX(dim_products!$F$2:$F$21,MATCH($E774,dim_products!$A$2:$A$21,0))*100,0),ROUND(raw_order_lines!J774*100,0)&gt;ROUND(INDEX(dim_products!$G$2:$G$21,MATCH($E774,dim_products!$A$2:$A$21,0))*100,0)),"单价越界","")</f>
        <v/>
      </c>
      <c r="V774" s="2" t="str">
        <f t="shared" si="37"/>
        <v/>
      </c>
      <c r="W774" s="2" t="str">
        <f t="shared" si="38"/>
        <v>通过</v>
      </c>
    </row>
    <row r="775" spans="1:23" ht="15">
      <c r="A775" s="2" t="str">
        <f>raw_order_lines!A775</f>
        <v>SIM-20260924-C004</v>
      </c>
      <c r="B775" s="2">
        <f>raw_order_lines!B775</f>
        <v>3</v>
      </c>
      <c r="C775" s="2" t="str">
        <f>raw_order_lines!C775</f>
        <v>C004</v>
      </c>
      <c r="D775" s="3">
        <f>raw_order_lines!D775</f>
        <v>46289</v>
      </c>
      <c r="E775" s="2" t="str">
        <f>raw_order_lines!E775</f>
        <v>P009</v>
      </c>
      <c r="F775" s="2" t="str">
        <f>raw_order_lines!F775</f>
        <v>公斤</v>
      </c>
      <c r="G775" s="4">
        <f>raw_order_lines!G775</f>
        <v>10.9</v>
      </c>
      <c r="H775" s="4">
        <f>raw_order_lines!H775</f>
        <v>10.9</v>
      </c>
      <c r="I775" s="4">
        <f>raw_order_lines!I775</f>
        <v>0</v>
      </c>
      <c r="J775" s="5">
        <f>raw_order_lines!J775</f>
        <v>4.9000000000000004</v>
      </c>
      <c r="K775" s="2" t="str">
        <f>raw_order_lines!K775</f>
        <v>正常交付</v>
      </c>
      <c r="L775" s="2" t="str">
        <f>raw_order_lines!L775</f>
        <v>true</v>
      </c>
      <c r="M775" s="2" t="str">
        <f>INDEX(dim_products!$B$2:$B$21,MATCH($E775,dim_products!$A$2:$A$21,0))</f>
        <v>西红柿</v>
      </c>
      <c r="N775" s="2" t="str">
        <f>INDEX(dim_products!$C$2:$C$21,MATCH($E775,dim_products!$A$2:$A$21,0))</f>
        <v>散装鲜菜</v>
      </c>
      <c r="O775" s="2" t="str">
        <f>INDEX(dim_customers!$B$2:$B$7,MATCH($C775,dim_customers!$A$2:$A$7,0))</f>
        <v>模拟_田畔饭店</v>
      </c>
      <c r="P775" s="6">
        <f>INT((ROUND(raw_order_lines!H775*10,0)*ROUND(raw_order_lines!J775*100,0)+5)/10)/100</f>
        <v>53.41</v>
      </c>
      <c r="Q775" s="6">
        <f>INT((ROUND(raw_order_lines!I775*10,0)*ROUND(raw_order_lines!J775*100,0)+5)/10)/100</f>
        <v>0</v>
      </c>
      <c r="R775" s="6">
        <f t="shared" si="36"/>
        <v>53.41</v>
      </c>
      <c r="S775" s="2" t="str">
        <f>IF(OR(ROUND(raw_order_lines!I775*10,0)&gt;ROUND(raw_order_lines!H775*10,0),ROUND(raw_order_lines!H775*10,0)&gt;ROUND(raw_order_lines!G775*10,0),ROUND(raw_order_lines!G775*10,0)&lt;=0),"数量关系异常","")</f>
        <v/>
      </c>
      <c r="T775" s="2" t="str">
        <f>IF($F775&lt;&gt;INDEX(dim_products!$D$2:$D$21,MATCH($E775,dim_products!$A$2:$A$21,0)),"单位不一致","")</f>
        <v/>
      </c>
      <c r="U775" s="2" t="str">
        <f>IF(OR(ROUND(raw_order_lines!J775*100,0)&lt;ROUND(INDEX(dim_products!$F$2:$F$21,MATCH($E775,dim_products!$A$2:$A$21,0))*100,0),ROUND(raw_order_lines!J775*100,0)&gt;ROUND(INDEX(dim_products!$G$2:$G$21,MATCH($E775,dim_products!$A$2:$A$21,0))*100,0)),"单价越界","")</f>
        <v/>
      </c>
      <c r="V775" s="2" t="str">
        <f t="shared" si="37"/>
        <v/>
      </c>
      <c r="W775" s="2" t="str">
        <f t="shared" si="38"/>
        <v>通过</v>
      </c>
    </row>
    <row r="776" spans="1:23" ht="15">
      <c r="A776" s="2" t="str">
        <f>raw_order_lines!A776</f>
        <v>SIM-20260924-C004</v>
      </c>
      <c r="B776" s="2">
        <f>raw_order_lines!B776</f>
        <v>4</v>
      </c>
      <c r="C776" s="2" t="str">
        <f>raw_order_lines!C776</f>
        <v>C004</v>
      </c>
      <c r="D776" s="3">
        <f>raw_order_lines!D776</f>
        <v>46289</v>
      </c>
      <c r="E776" s="2" t="str">
        <f>raw_order_lines!E776</f>
        <v>P001</v>
      </c>
      <c r="F776" s="2" t="str">
        <f>raw_order_lines!F776</f>
        <v>公斤</v>
      </c>
      <c r="G776" s="4">
        <f>raw_order_lines!G776</f>
        <v>5.5</v>
      </c>
      <c r="H776" s="4">
        <f>raw_order_lines!H776</f>
        <v>5.5</v>
      </c>
      <c r="I776" s="4">
        <f>raw_order_lines!I776</f>
        <v>0</v>
      </c>
      <c r="J776" s="5">
        <f>raw_order_lines!J776</f>
        <v>3.5</v>
      </c>
      <c r="K776" s="2" t="str">
        <f>raw_order_lines!K776</f>
        <v>正常交付</v>
      </c>
      <c r="L776" s="2" t="str">
        <f>raw_order_lines!L776</f>
        <v>true</v>
      </c>
      <c r="M776" s="2" t="str">
        <f>INDEX(dim_products!$B$2:$B$21,MATCH($E776,dim_products!$A$2:$A$21,0))</f>
        <v>土豆</v>
      </c>
      <c r="N776" s="2" t="str">
        <f>INDEX(dim_products!$C$2:$C$21,MATCH($E776,dim_products!$A$2:$A$21,0))</f>
        <v>散装鲜菜</v>
      </c>
      <c r="O776" s="2" t="str">
        <f>INDEX(dim_customers!$B$2:$B$7,MATCH($C776,dim_customers!$A$2:$A$7,0))</f>
        <v>模拟_田畔饭店</v>
      </c>
      <c r="P776" s="6">
        <f>INT((ROUND(raw_order_lines!H776*10,0)*ROUND(raw_order_lines!J776*100,0)+5)/10)/100</f>
        <v>19.25</v>
      </c>
      <c r="Q776" s="6">
        <f>INT((ROUND(raw_order_lines!I776*10,0)*ROUND(raw_order_lines!J776*100,0)+5)/10)/100</f>
        <v>0</v>
      </c>
      <c r="R776" s="6">
        <f t="shared" si="36"/>
        <v>19.25</v>
      </c>
      <c r="S776" s="2" t="str">
        <f>IF(OR(ROUND(raw_order_lines!I776*10,0)&gt;ROUND(raw_order_lines!H776*10,0),ROUND(raw_order_lines!H776*10,0)&gt;ROUND(raw_order_lines!G776*10,0),ROUND(raw_order_lines!G776*10,0)&lt;=0),"数量关系异常","")</f>
        <v/>
      </c>
      <c r="T776" s="2" t="str">
        <f>IF($F776&lt;&gt;INDEX(dim_products!$D$2:$D$21,MATCH($E776,dim_products!$A$2:$A$21,0)),"单位不一致","")</f>
        <v/>
      </c>
      <c r="U776" s="2" t="str">
        <f>IF(OR(ROUND(raw_order_lines!J776*100,0)&lt;ROUND(INDEX(dim_products!$F$2:$F$21,MATCH($E776,dim_products!$A$2:$A$21,0))*100,0),ROUND(raw_order_lines!J776*100,0)&gt;ROUND(INDEX(dim_products!$G$2:$G$21,MATCH($E776,dim_products!$A$2:$A$21,0))*100,0)),"单价越界","")</f>
        <v/>
      </c>
      <c r="V776" s="2" t="str">
        <f t="shared" si="37"/>
        <v/>
      </c>
      <c r="W776" s="2" t="str">
        <f t="shared" si="38"/>
        <v>通过</v>
      </c>
    </row>
    <row r="777" spans="1:23" ht="15">
      <c r="A777" s="2" t="str">
        <f>raw_order_lines!A777</f>
        <v>SIM-20260924-C004</v>
      </c>
      <c r="B777" s="2">
        <f>raw_order_lines!B777</f>
        <v>5</v>
      </c>
      <c r="C777" s="2" t="str">
        <f>raw_order_lines!C777</f>
        <v>C004</v>
      </c>
      <c r="D777" s="3">
        <f>raw_order_lines!D777</f>
        <v>46289</v>
      </c>
      <c r="E777" s="2" t="str">
        <f>raw_order_lines!E777</f>
        <v>P008</v>
      </c>
      <c r="F777" s="2" t="str">
        <f>raw_order_lines!F777</f>
        <v>公斤</v>
      </c>
      <c r="G777" s="4">
        <f>raw_order_lines!G777</f>
        <v>6.8</v>
      </c>
      <c r="H777" s="4">
        <f>raw_order_lines!H777</f>
        <v>6.8</v>
      </c>
      <c r="I777" s="4">
        <f>raw_order_lines!I777</f>
        <v>0</v>
      </c>
      <c r="J777" s="5">
        <f>raw_order_lines!J777</f>
        <v>3.9</v>
      </c>
      <c r="K777" s="2" t="str">
        <f>raw_order_lines!K777</f>
        <v>正常交付</v>
      </c>
      <c r="L777" s="2" t="str">
        <f>raw_order_lines!L777</f>
        <v>true</v>
      </c>
      <c r="M777" s="2" t="str">
        <f>INDEX(dim_products!$B$2:$B$21,MATCH($E777,dim_products!$A$2:$A$21,0))</f>
        <v>黄瓜</v>
      </c>
      <c r="N777" s="2" t="str">
        <f>INDEX(dim_products!$C$2:$C$21,MATCH($E777,dim_products!$A$2:$A$21,0))</f>
        <v>散装鲜菜</v>
      </c>
      <c r="O777" s="2" t="str">
        <f>INDEX(dim_customers!$B$2:$B$7,MATCH($C777,dim_customers!$A$2:$A$7,0))</f>
        <v>模拟_田畔饭店</v>
      </c>
      <c r="P777" s="6">
        <f>INT((ROUND(raw_order_lines!H777*10,0)*ROUND(raw_order_lines!J777*100,0)+5)/10)/100</f>
        <v>26.52</v>
      </c>
      <c r="Q777" s="6">
        <f>INT((ROUND(raw_order_lines!I777*10,0)*ROUND(raw_order_lines!J777*100,0)+5)/10)/100</f>
        <v>0</v>
      </c>
      <c r="R777" s="6">
        <f t="shared" si="36"/>
        <v>26.52</v>
      </c>
      <c r="S777" s="2" t="str">
        <f>IF(OR(ROUND(raw_order_lines!I777*10,0)&gt;ROUND(raw_order_lines!H777*10,0),ROUND(raw_order_lines!H777*10,0)&gt;ROUND(raw_order_lines!G777*10,0),ROUND(raw_order_lines!G777*10,0)&lt;=0),"数量关系异常","")</f>
        <v/>
      </c>
      <c r="T777" s="2" t="str">
        <f>IF($F777&lt;&gt;INDEX(dim_products!$D$2:$D$21,MATCH($E777,dim_products!$A$2:$A$21,0)),"单位不一致","")</f>
        <v/>
      </c>
      <c r="U777" s="2" t="str">
        <f>IF(OR(ROUND(raw_order_lines!J777*100,0)&lt;ROUND(INDEX(dim_products!$F$2:$F$21,MATCH($E777,dim_products!$A$2:$A$21,0))*100,0),ROUND(raw_order_lines!J777*100,0)&gt;ROUND(INDEX(dim_products!$G$2:$G$21,MATCH($E777,dim_products!$A$2:$A$21,0))*100,0)),"单价越界","")</f>
        <v/>
      </c>
      <c r="V777" s="2" t="str">
        <f t="shared" si="37"/>
        <v/>
      </c>
      <c r="W777" s="2" t="str">
        <f t="shared" si="38"/>
        <v>通过</v>
      </c>
    </row>
    <row r="778" spans="1:23" ht="15">
      <c r="A778" s="2" t="str">
        <f>raw_order_lines!A778</f>
        <v>SIM-20260924-C004</v>
      </c>
      <c r="B778" s="2">
        <f>raw_order_lines!B778</f>
        <v>6</v>
      </c>
      <c r="C778" s="2" t="str">
        <f>raw_order_lines!C778</f>
        <v>C004</v>
      </c>
      <c r="D778" s="3">
        <f>raw_order_lines!D778</f>
        <v>46289</v>
      </c>
      <c r="E778" s="2" t="str">
        <f>raw_order_lines!E778</f>
        <v>P014</v>
      </c>
      <c r="F778" s="2" t="str">
        <f>raw_order_lines!F778</f>
        <v>公斤</v>
      </c>
      <c r="G778" s="4">
        <f>raw_order_lines!G778</f>
        <v>4.8</v>
      </c>
      <c r="H778" s="4">
        <f>raw_order_lines!H778</f>
        <v>4.8</v>
      </c>
      <c r="I778" s="4">
        <f>raw_order_lines!I778</f>
        <v>0</v>
      </c>
      <c r="J778" s="5">
        <f>raw_order_lines!J778</f>
        <v>4.9000000000000004</v>
      </c>
      <c r="K778" s="2" t="str">
        <f>raw_order_lines!K778</f>
        <v>正常交付</v>
      </c>
      <c r="L778" s="2" t="str">
        <f>raw_order_lines!L778</f>
        <v>true</v>
      </c>
      <c r="M778" s="2" t="str">
        <f>INDEX(dim_products!$B$2:$B$21,MATCH($E778,dim_products!$A$2:$A$21,0))</f>
        <v>丝瓜</v>
      </c>
      <c r="N778" s="2" t="str">
        <f>INDEX(dim_products!$C$2:$C$21,MATCH($E778,dim_products!$A$2:$A$21,0))</f>
        <v>散装鲜菜</v>
      </c>
      <c r="O778" s="2" t="str">
        <f>INDEX(dim_customers!$B$2:$B$7,MATCH($C778,dim_customers!$A$2:$A$7,0))</f>
        <v>模拟_田畔饭店</v>
      </c>
      <c r="P778" s="6">
        <f>INT((ROUND(raw_order_lines!H778*10,0)*ROUND(raw_order_lines!J778*100,0)+5)/10)/100</f>
        <v>23.52</v>
      </c>
      <c r="Q778" s="6">
        <f>INT((ROUND(raw_order_lines!I778*10,0)*ROUND(raw_order_lines!J778*100,0)+5)/10)/100</f>
        <v>0</v>
      </c>
      <c r="R778" s="6">
        <f t="shared" si="36"/>
        <v>23.52</v>
      </c>
      <c r="S778" s="2" t="str">
        <f>IF(OR(ROUND(raw_order_lines!I778*10,0)&gt;ROUND(raw_order_lines!H778*10,0),ROUND(raw_order_lines!H778*10,0)&gt;ROUND(raw_order_lines!G778*10,0),ROUND(raw_order_lines!G778*10,0)&lt;=0),"数量关系异常","")</f>
        <v/>
      </c>
      <c r="T778" s="2" t="str">
        <f>IF($F778&lt;&gt;INDEX(dim_products!$D$2:$D$21,MATCH($E778,dim_products!$A$2:$A$21,0)),"单位不一致","")</f>
        <v/>
      </c>
      <c r="U778" s="2" t="str">
        <f>IF(OR(ROUND(raw_order_lines!J778*100,0)&lt;ROUND(INDEX(dim_products!$F$2:$F$21,MATCH($E778,dim_products!$A$2:$A$21,0))*100,0),ROUND(raw_order_lines!J778*100,0)&gt;ROUND(INDEX(dim_products!$G$2:$G$21,MATCH($E778,dim_products!$A$2:$A$21,0))*100,0)),"单价越界","")</f>
        <v/>
      </c>
      <c r="V778" s="2" t="str">
        <f t="shared" si="37"/>
        <v/>
      </c>
      <c r="W778" s="2" t="str">
        <f t="shared" si="38"/>
        <v>通过</v>
      </c>
    </row>
    <row r="779" spans="1:23" ht="15">
      <c r="A779" s="2" t="str">
        <f>raw_order_lines!A779</f>
        <v>SIM-20260924-C004</v>
      </c>
      <c r="B779" s="2">
        <f>raw_order_lines!B779</f>
        <v>7</v>
      </c>
      <c r="C779" s="2" t="str">
        <f>raw_order_lines!C779</f>
        <v>C004</v>
      </c>
      <c r="D779" s="3">
        <f>raw_order_lines!D779</f>
        <v>46289</v>
      </c>
      <c r="E779" s="2" t="str">
        <f>raw_order_lines!E779</f>
        <v>P016</v>
      </c>
      <c r="F779" s="2" t="str">
        <f>raw_order_lines!F779</f>
        <v>公斤</v>
      </c>
      <c r="G779" s="4">
        <f>raw_order_lines!G779</f>
        <v>5</v>
      </c>
      <c r="H779" s="4">
        <f>raw_order_lines!H779</f>
        <v>5</v>
      </c>
      <c r="I779" s="4">
        <f>raw_order_lines!I779</f>
        <v>0</v>
      </c>
      <c r="J779" s="5">
        <f>raw_order_lines!J779</f>
        <v>10.4</v>
      </c>
      <c r="K779" s="2" t="str">
        <f>raw_order_lines!K779</f>
        <v>正常交付</v>
      </c>
      <c r="L779" s="2" t="str">
        <f>raw_order_lines!L779</f>
        <v>true</v>
      </c>
      <c r="M779" s="2" t="str">
        <f>INDEX(dim_products!$B$2:$B$21,MATCH($E779,dim_products!$A$2:$A$21,0))</f>
        <v>鸡蛋</v>
      </c>
      <c r="N779" s="2" t="str">
        <f>INDEX(dim_products!$C$2:$C$21,MATCH($E779,dim_products!$A$2:$A$21,0))</f>
        <v>普通鲜鸡蛋按净重</v>
      </c>
      <c r="O779" s="2" t="str">
        <f>INDEX(dim_customers!$B$2:$B$7,MATCH($C779,dim_customers!$A$2:$A$7,0))</f>
        <v>模拟_田畔饭店</v>
      </c>
      <c r="P779" s="6">
        <f>INT((ROUND(raw_order_lines!H779*10,0)*ROUND(raw_order_lines!J779*100,0)+5)/10)/100</f>
        <v>52</v>
      </c>
      <c r="Q779" s="6">
        <f>INT((ROUND(raw_order_lines!I779*10,0)*ROUND(raw_order_lines!J779*100,0)+5)/10)/100</f>
        <v>0</v>
      </c>
      <c r="R779" s="6">
        <f t="shared" si="36"/>
        <v>52</v>
      </c>
      <c r="S779" s="2" t="str">
        <f>IF(OR(ROUND(raw_order_lines!I779*10,0)&gt;ROUND(raw_order_lines!H779*10,0),ROUND(raw_order_lines!H779*10,0)&gt;ROUND(raw_order_lines!G779*10,0),ROUND(raw_order_lines!G779*10,0)&lt;=0),"数量关系异常","")</f>
        <v/>
      </c>
      <c r="T779" s="2" t="str">
        <f>IF($F779&lt;&gt;INDEX(dim_products!$D$2:$D$21,MATCH($E779,dim_products!$A$2:$A$21,0)),"单位不一致","")</f>
        <v/>
      </c>
      <c r="U779" s="2" t="str">
        <f>IF(OR(ROUND(raw_order_lines!J779*100,0)&lt;ROUND(INDEX(dim_products!$F$2:$F$21,MATCH($E779,dim_products!$A$2:$A$21,0))*100,0),ROUND(raw_order_lines!J779*100,0)&gt;ROUND(INDEX(dim_products!$G$2:$G$21,MATCH($E779,dim_products!$A$2:$A$21,0))*100,0)),"单价越界","")</f>
        <v/>
      </c>
      <c r="V779" s="2" t="str">
        <f t="shared" si="37"/>
        <v/>
      </c>
      <c r="W779" s="2" t="str">
        <f t="shared" si="38"/>
        <v>通过</v>
      </c>
    </row>
    <row r="780" spans="1:23" ht="15">
      <c r="A780" s="2" t="str">
        <f>raw_order_lines!A780</f>
        <v>SIM-20260924-C004</v>
      </c>
      <c r="B780" s="2">
        <f>raw_order_lines!B780</f>
        <v>8</v>
      </c>
      <c r="C780" s="2" t="str">
        <f>raw_order_lines!C780</f>
        <v>C004</v>
      </c>
      <c r="D780" s="3">
        <f>raw_order_lines!D780</f>
        <v>46289</v>
      </c>
      <c r="E780" s="2" t="str">
        <f>raw_order_lines!E780</f>
        <v>P017</v>
      </c>
      <c r="F780" s="2" t="str">
        <f>raw_order_lines!F780</f>
        <v>袋</v>
      </c>
      <c r="G780" s="4">
        <f>raw_order_lines!G780</f>
        <v>3</v>
      </c>
      <c r="H780" s="4">
        <f>raw_order_lines!H780</f>
        <v>3</v>
      </c>
      <c r="I780" s="4">
        <f>raw_order_lines!I780</f>
        <v>0</v>
      </c>
      <c r="J780" s="5">
        <f>raw_order_lines!J780</f>
        <v>117</v>
      </c>
      <c r="K780" s="2" t="str">
        <f>raw_order_lines!K780</f>
        <v>正常交付</v>
      </c>
      <c r="L780" s="2" t="str">
        <f>raw_order_lines!L780</f>
        <v>true</v>
      </c>
      <c r="M780" s="2" t="str">
        <f>INDEX(dim_products!$B$2:$B$21,MATCH($E780,dim_products!$A$2:$A$21,0))</f>
        <v>籼米</v>
      </c>
      <c r="N780" s="2" t="str">
        <f>INDEX(dim_products!$C$2:$C$21,MATCH($E780,dim_products!$A$2:$A$21,0))</f>
        <v>25公斤/袋普通籼米</v>
      </c>
      <c r="O780" s="2" t="str">
        <f>INDEX(dim_customers!$B$2:$B$7,MATCH($C780,dim_customers!$A$2:$A$7,0))</f>
        <v>模拟_田畔饭店</v>
      </c>
      <c r="P780" s="6">
        <f>INT((ROUND(raw_order_lines!H780*10,0)*ROUND(raw_order_lines!J780*100,0)+5)/10)/100</f>
        <v>351</v>
      </c>
      <c r="Q780" s="6">
        <f>INT((ROUND(raw_order_lines!I780*10,0)*ROUND(raw_order_lines!J780*100,0)+5)/10)/100</f>
        <v>0</v>
      </c>
      <c r="R780" s="6">
        <f t="shared" si="36"/>
        <v>351</v>
      </c>
      <c r="S780" s="2" t="str">
        <f>IF(OR(ROUND(raw_order_lines!I780*10,0)&gt;ROUND(raw_order_lines!H780*10,0),ROUND(raw_order_lines!H780*10,0)&gt;ROUND(raw_order_lines!G780*10,0),ROUND(raw_order_lines!G780*10,0)&lt;=0),"数量关系异常","")</f>
        <v/>
      </c>
      <c r="T780" s="2" t="str">
        <f>IF($F780&lt;&gt;INDEX(dim_products!$D$2:$D$21,MATCH($E780,dim_products!$A$2:$A$21,0)),"单位不一致","")</f>
        <v/>
      </c>
      <c r="U780" s="2" t="str">
        <f>IF(OR(ROUND(raw_order_lines!J780*100,0)&lt;ROUND(INDEX(dim_products!$F$2:$F$21,MATCH($E780,dim_products!$A$2:$A$21,0))*100,0),ROUND(raw_order_lines!J780*100,0)&gt;ROUND(INDEX(dim_products!$G$2:$G$21,MATCH($E780,dim_products!$A$2:$A$21,0))*100,0)),"单价越界","")</f>
        <v/>
      </c>
      <c r="V780" s="2" t="str">
        <f t="shared" si="37"/>
        <v/>
      </c>
      <c r="W780" s="2" t="str">
        <f t="shared" si="38"/>
        <v>通过</v>
      </c>
    </row>
    <row r="781" spans="1:23" ht="15">
      <c r="A781" s="2" t="str">
        <f>raw_order_lines!A781</f>
        <v>SIM-20260924-C004</v>
      </c>
      <c r="B781" s="2">
        <f>raw_order_lines!B781</f>
        <v>9</v>
      </c>
      <c r="C781" s="2" t="str">
        <f>raw_order_lines!C781</f>
        <v>C004</v>
      </c>
      <c r="D781" s="3">
        <f>raw_order_lines!D781</f>
        <v>46289</v>
      </c>
      <c r="E781" s="2" t="str">
        <f>raw_order_lines!E781</f>
        <v>P019</v>
      </c>
      <c r="F781" s="2" t="str">
        <f>raw_order_lines!F781</f>
        <v>桶</v>
      </c>
      <c r="G781" s="4">
        <f>raw_order_lines!G781</f>
        <v>1</v>
      </c>
      <c r="H781" s="4">
        <f>raw_order_lines!H781</f>
        <v>1</v>
      </c>
      <c r="I781" s="4">
        <f>raw_order_lines!I781</f>
        <v>0</v>
      </c>
      <c r="J781" s="5">
        <f>raw_order_lines!J781</f>
        <v>67</v>
      </c>
      <c r="K781" s="2" t="str">
        <f>raw_order_lines!K781</f>
        <v>正常交付</v>
      </c>
      <c r="L781" s="2" t="str">
        <f>raw_order_lines!L781</f>
        <v>true</v>
      </c>
      <c r="M781" s="2" t="str">
        <f>INDEX(dim_products!$B$2:$B$21,MATCH($E781,dim_products!$A$2:$A$21,0))</f>
        <v>菜籽油</v>
      </c>
      <c r="N781" s="2" t="str">
        <f>INDEX(dim_products!$C$2:$C$21,MATCH($E781,dim_products!$A$2:$A$21,0))</f>
        <v>5升/桶普通菜籽油</v>
      </c>
      <c r="O781" s="2" t="str">
        <f>INDEX(dim_customers!$B$2:$B$7,MATCH($C781,dim_customers!$A$2:$A$7,0))</f>
        <v>模拟_田畔饭店</v>
      </c>
      <c r="P781" s="6">
        <f>INT((ROUND(raw_order_lines!H781*10,0)*ROUND(raw_order_lines!J781*100,0)+5)/10)/100</f>
        <v>67</v>
      </c>
      <c r="Q781" s="6">
        <f>INT((ROUND(raw_order_lines!I781*10,0)*ROUND(raw_order_lines!J781*100,0)+5)/10)/100</f>
        <v>0</v>
      </c>
      <c r="R781" s="6">
        <f t="shared" si="36"/>
        <v>67</v>
      </c>
      <c r="S781" s="2" t="str">
        <f>IF(OR(ROUND(raw_order_lines!I781*10,0)&gt;ROUND(raw_order_lines!H781*10,0),ROUND(raw_order_lines!H781*10,0)&gt;ROUND(raw_order_lines!G781*10,0),ROUND(raw_order_lines!G781*10,0)&lt;=0),"数量关系异常","")</f>
        <v/>
      </c>
      <c r="T781" s="2" t="str">
        <f>IF($F781&lt;&gt;INDEX(dim_products!$D$2:$D$21,MATCH($E781,dim_products!$A$2:$A$21,0)),"单位不一致","")</f>
        <v/>
      </c>
      <c r="U781" s="2" t="str">
        <f>IF(OR(ROUND(raw_order_lines!J781*100,0)&lt;ROUND(INDEX(dim_products!$F$2:$F$21,MATCH($E781,dim_products!$A$2:$A$21,0))*100,0),ROUND(raw_order_lines!J781*100,0)&gt;ROUND(INDEX(dim_products!$G$2:$G$21,MATCH($E781,dim_products!$A$2:$A$21,0))*100,0)),"单价越界","")</f>
        <v/>
      </c>
      <c r="V781" s="2" t="str">
        <f t="shared" si="37"/>
        <v/>
      </c>
      <c r="W781" s="2" t="str">
        <f t="shared" si="38"/>
        <v>通过</v>
      </c>
    </row>
    <row r="782" spans="1:23" ht="15">
      <c r="A782" s="2" t="str">
        <f>raw_order_lines!A782</f>
        <v>SIM-20260924-C005</v>
      </c>
      <c r="B782" s="2">
        <f>raw_order_lines!B782</f>
        <v>1</v>
      </c>
      <c r="C782" s="2" t="str">
        <f>raw_order_lines!C782</f>
        <v>C005</v>
      </c>
      <c r="D782" s="3">
        <f>raw_order_lines!D782</f>
        <v>46289</v>
      </c>
      <c r="E782" s="2" t="str">
        <f>raw_order_lines!E782</f>
        <v>P012</v>
      </c>
      <c r="F782" s="2" t="str">
        <f>raw_order_lines!F782</f>
        <v>公斤</v>
      </c>
      <c r="G782" s="4">
        <f>raw_order_lines!G782</f>
        <v>11.7</v>
      </c>
      <c r="H782" s="4">
        <f>raw_order_lines!H782</f>
        <v>11.7</v>
      </c>
      <c r="I782" s="4">
        <f>raw_order_lines!I782</f>
        <v>0</v>
      </c>
      <c r="J782" s="5">
        <f>raw_order_lines!J782</f>
        <v>5</v>
      </c>
      <c r="K782" s="2" t="str">
        <f>raw_order_lines!K782</f>
        <v>正常交付</v>
      </c>
      <c r="L782" s="2" t="str">
        <f>raw_order_lines!L782</f>
        <v>true</v>
      </c>
      <c r="M782" s="2" t="str">
        <f>INDEX(dim_products!$B$2:$B$21,MATCH($E782,dim_products!$A$2:$A$21,0))</f>
        <v>小白菜</v>
      </c>
      <c r="N782" s="2" t="str">
        <f>INDEX(dim_products!$C$2:$C$21,MATCH($E782,dim_products!$A$2:$A$21,0))</f>
        <v>散装鲜菜</v>
      </c>
      <c r="O782" s="2" t="str">
        <f>INDEX(dim_customers!$B$2:$B$7,MATCH($C782,dim_customers!$A$2:$A$7,0))</f>
        <v>模拟_青禾小学食堂</v>
      </c>
      <c r="P782" s="6">
        <f>INT((ROUND(raw_order_lines!H782*10,0)*ROUND(raw_order_lines!J782*100,0)+5)/10)/100</f>
        <v>58.5</v>
      </c>
      <c r="Q782" s="6">
        <f>INT((ROUND(raw_order_lines!I782*10,0)*ROUND(raw_order_lines!J782*100,0)+5)/10)/100</f>
        <v>0</v>
      </c>
      <c r="R782" s="6">
        <f t="shared" si="36"/>
        <v>58.5</v>
      </c>
      <c r="S782" s="2" t="str">
        <f>IF(OR(ROUND(raw_order_lines!I782*10,0)&gt;ROUND(raw_order_lines!H782*10,0),ROUND(raw_order_lines!H782*10,0)&gt;ROUND(raw_order_lines!G782*10,0),ROUND(raw_order_lines!G782*10,0)&lt;=0),"数量关系异常","")</f>
        <v/>
      </c>
      <c r="T782" s="2" t="str">
        <f>IF($F782&lt;&gt;INDEX(dim_products!$D$2:$D$21,MATCH($E782,dim_products!$A$2:$A$21,0)),"单位不一致","")</f>
        <v/>
      </c>
      <c r="U782" s="2" t="str">
        <f>IF(OR(ROUND(raw_order_lines!J782*100,0)&lt;ROUND(INDEX(dim_products!$F$2:$F$21,MATCH($E782,dim_products!$A$2:$A$21,0))*100,0),ROUND(raw_order_lines!J782*100,0)&gt;ROUND(INDEX(dim_products!$G$2:$G$21,MATCH($E782,dim_products!$A$2:$A$21,0))*100,0)),"单价越界","")</f>
        <v/>
      </c>
      <c r="V782" s="2" t="str">
        <f t="shared" si="37"/>
        <v/>
      </c>
      <c r="W782" s="2" t="str">
        <f t="shared" si="38"/>
        <v>通过</v>
      </c>
    </row>
    <row r="783" spans="1:23" ht="15">
      <c r="A783" s="2" t="str">
        <f>raw_order_lines!A783</f>
        <v>SIM-20260924-C005</v>
      </c>
      <c r="B783" s="2">
        <f>raw_order_lines!B783</f>
        <v>2</v>
      </c>
      <c r="C783" s="2" t="str">
        <f>raw_order_lines!C783</f>
        <v>C005</v>
      </c>
      <c r="D783" s="3">
        <f>raw_order_lines!D783</f>
        <v>46289</v>
      </c>
      <c r="E783" s="2" t="str">
        <f>raw_order_lines!E783</f>
        <v>P013</v>
      </c>
      <c r="F783" s="2" t="str">
        <f>raw_order_lines!F783</f>
        <v>公斤</v>
      </c>
      <c r="G783" s="4">
        <f>raw_order_lines!G783</f>
        <v>10</v>
      </c>
      <c r="H783" s="4">
        <f>raw_order_lines!H783</f>
        <v>10</v>
      </c>
      <c r="I783" s="4">
        <f>raw_order_lines!I783</f>
        <v>0</v>
      </c>
      <c r="J783" s="5">
        <f>raw_order_lines!J783</f>
        <v>6.1</v>
      </c>
      <c r="K783" s="2" t="str">
        <f>raw_order_lines!K783</f>
        <v>正常交付</v>
      </c>
      <c r="L783" s="2" t="str">
        <f>raw_order_lines!L783</f>
        <v>true</v>
      </c>
      <c r="M783" s="2" t="str">
        <f>INDEX(dim_products!$B$2:$B$21,MATCH($E783,dim_products!$A$2:$A$21,0))</f>
        <v>豇豆</v>
      </c>
      <c r="N783" s="2" t="str">
        <f>INDEX(dim_products!$C$2:$C$21,MATCH($E783,dim_products!$A$2:$A$21,0))</f>
        <v>散装鲜菜</v>
      </c>
      <c r="O783" s="2" t="str">
        <f>INDEX(dim_customers!$B$2:$B$7,MATCH($C783,dim_customers!$A$2:$A$7,0))</f>
        <v>模拟_青禾小学食堂</v>
      </c>
      <c r="P783" s="6">
        <f>INT((ROUND(raw_order_lines!H783*10,0)*ROUND(raw_order_lines!J783*100,0)+5)/10)/100</f>
        <v>61</v>
      </c>
      <c r="Q783" s="6">
        <f>INT((ROUND(raw_order_lines!I783*10,0)*ROUND(raw_order_lines!J783*100,0)+5)/10)/100</f>
        <v>0</v>
      </c>
      <c r="R783" s="6">
        <f t="shared" si="36"/>
        <v>61</v>
      </c>
      <c r="S783" s="2" t="str">
        <f>IF(OR(ROUND(raw_order_lines!I783*10,0)&gt;ROUND(raw_order_lines!H783*10,0),ROUND(raw_order_lines!H783*10,0)&gt;ROUND(raw_order_lines!G783*10,0),ROUND(raw_order_lines!G783*10,0)&lt;=0),"数量关系异常","")</f>
        <v/>
      </c>
      <c r="T783" s="2" t="str">
        <f>IF($F783&lt;&gt;INDEX(dim_products!$D$2:$D$21,MATCH($E783,dim_products!$A$2:$A$21,0)),"单位不一致","")</f>
        <v/>
      </c>
      <c r="U783" s="2" t="str">
        <f>IF(OR(ROUND(raw_order_lines!J783*100,0)&lt;ROUND(INDEX(dim_products!$F$2:$F$21,MATCH($E783,dim_products!$A$2:$A$21,0))*100,0),ROUND(raw_order_lines!J783*100,0)&gt;ROUND(INDEX(dim_products!$G$2:$G$21,MATCH($E783,dim_products!$A$2:$A$21,0))*100,0)),"单价越界","")</f>
        <v/>
      </c>
      <c r="V783" s="2" t="str">
        <f t="shared" si="37"/>
        <v/>
      </c>
      <c r="W783" s="2" t="str">
        <f t="shared" si="38"/>
        <v>通过</v>
      </c>
    </row>
    <row r="784" spans="1:23" ht="15">
      <c r="A784" s="2" t="str">
        <f>raw_order_lines!A784</f>
        <v>SIM-20260924-C005</v>
      </c>
      <c r="B784" s="2">
        <f>raw_order_lines!B784</f>
        <v>3</v>
      </c>
      <c r="C784" s="2" t="str">
        <f>raw_order_lines!C784</f>
        <v>C005</v>
      </c>
      <c r="D784" s="3">
        <f>raw_order_lines!D784</f>
        <v>46289</v>
      </c>
      <c r="E784" s="2" t="str">
        <f>raw_order_lines!E784</f>
        <v>P014</v>
      </c>
      <c r="F784" s="2" t="str">
        <f>raw_order_lines!F784</f>
        <v>公斤</v>
      </c>
      <c r="G784" s="4">
        <f>raw_order_lines!G784</f>
        <v>13.4</v>
      </c>
      <c r="H784" s="4">
        <f>raw_order_lines!H784</f>
        <v>13.4</v>
      </c>
      <c r="I784" s="4">
        <f>raw_order_lines!I784</f>
        <v>0</v>
      </c>
      <c r="J784" s="5">
        <f>raw_order_lines!J784</f>
        <v>4.9000000000000004</v>
      </c>
      <c r="K784" s="2" t="str">
        <f>raw_order_lines!K784</f>
        <v>正常交付</v>
      </c>
      <c r="L784" s="2" t="str">
        <f>raw_order_lines!L784</f>
        <v>true</v>
      </c>
      <c r="M784" s="2" t="str">
        <f>INDEX(dim_products!$B$2:$B$21,MATCH($E784,dim_products!$A$2:$A$21,0))</f>
        <v>丝瓜</v>
      </c>
      <c r="N784" s="2" t="str">
        <f>INDEX(dim_products!$C$2:$C$21,MATCH($E784,dim_products!$A$2:$A$21,0))</f>
        <v>散装鲜菜</v>
      </c>
      <c r="O784" s="2" t="str">
        <f>INDEX(dim_customers!$B$2:$B$7,MATCH($C784,dim_customers!$A$2:$A$7,0))</f>
        <v>模拟_青禾小学食堂</v>
      </c>
      <c r="P784" s="6">
        <f>INT((ROUND(raw_order_lines!H784*10,0)*ROUND(raw_order_lines!J784*100,0)+5)/10)/100</f>
        <v>65.66</v>
      </c>
      <c r="Q784" s="6">
        <f>INT((ROUND(raw_order_lines!I784*10,0)*ROUND(raw_order_lines!J784*100,0)+5)/10)/100</f>
        <v>0</v>
      </c>
      <c r="R784" s="6">
        <f t="shared" si="36"/>
        <v>65.66</v>
      </c>
      <c r="S784" s="2" t="str">
        <f>IF(OR(ROUND(raw_order_lines!I784*10,0)&gt;ROUND(raw_order_lines!H784*10,0),ROUND(raw_order_lines!H784*10,0)&gt;ROUND(raw_order_lines!G784*10,0),ROUND(raw_order_lines!G784*10,0)&lt;=0),"数量关系异常","")</f>
        <v/>
      </c>
      <c r="T784" s="2" t="str">
        <f>IF($F784&lt;&gt;INDEX(dim_products!$D$2:$D$21,MATCH($E784,dim_products!$A$2:$A$21,0)),"单位不一致","")</f>
        <v/>
      </c>
      <c r="U784" s="2" t="str">
        <f>IF(OR(ROUND(raw_order_lines!J784*100,0)&lt;ROUND(INDEX(dim_products!$F$2:$F$21,MATCH($E784,dim_products!$A$2:$A$21,0))*100,0),ROUND(raw_order_lines!J784*100,0)&gt;ROUND(INDEX(dim_products!$G$2:$G$21,MATCH($E784,dim_products!$A$2:$A$21,0))*100,0)),"单价越界","")</f>
        <v/>
      </c>
      <c r="V784" s="2" t="str">
        <f t="shared" si="37"/>
        <v/>
      </c>
      <c r="W784" s="2" t="str">
        <f t="shared" si="38"/>
        <v>通过</v>
      </c>
    </row>
    <row r="785" spans="1:23" ht="15">
      <c r="A785" s="2" t="str">
        <f>raw_order_lines!A785</f>
        <v>SIM-20260924-C005</v>
      </c>
      <c r="B785" s="2">
        <f>raw_order_lines!B785</f>
        <v>4</v>
      </c>
      <c r="C785" s="2" t="str">
        <f>raw_order_lines!C785</f>
        <v>C005</v>
      </c>
      <c r="D785" s="3">
        <f>raw_order_lines!D785</f>
        <v>46289</v>
      </c>
      <c r="E785" s="2" t="str">
        <f>raw_order_lines!E785</f>
        <v>P003</v>
      </c>
      <c r="F785" s="2" t="str">
        <f>raw_order_lines!F785</f>
        <v>公斤</v>
      </c>
      <c r="G785" s="4">
        <f>raw_order_lines!G785</f>
        <v>10.9</v>
      </c>
      <c r="H785" s="4">
        <f>raw_order_lines!H785</f>
        <v>10.9</v>
      </c>
      <c r="I785" s="4">
        <f>raw_order_lines!I785</f>
        <v>0</v>
      </c>
      <c r="J785" s="5">
        <f>raw_order_lines!J785</f>
        <v>2.9</v>
      </c>
      <c r="K785" s="2" t="str">
        <f>raw_order_lines!K785</f>
        <v>正常交付</v>
      </c>
      <c r="L785" s="2" t="str">
        <f>raw_order_lines!L785</f>
        <v>true</v>
      </c>
      <c r="M785" s="2" t="str">
        <f>INDEX(dim_products!$B$2:$B$21,MATCH($E785,dim_products!$A$2:$A$21,0))</f>
        <v>包菜</v>
      </c>
      <c r="N785" s="2" t="str">
        <f>INDEX(dim_products!$C$2:$C$21,MATCH($E785,dim_products!$A$2:$A$21,0))</f>
        <v>散装鲜菜</v>
      </c>
      <c r="O785" s="2" t="str">
        <f>INDEX(dim_customers!$B$2:$B$7,MATCH($C785,dim_customers!$A$2:$A$7,0))</f>
        <v>模拟_青禾小学食堂</v>
      </c>
      <c r="P785" s="6">
        <f>INT((ROUND(raw_order_lines!H785*10,0)*ROUND(raw_order_lines!J785*100,0)+5)/10)/100</f>
        <v>31.61</v>
      </c>
      <c r="Q785" s="6">
        <f>INT((ROUND(raw_order_lines!I785*10,0)*ROUND(raw_order_lines!J785*100,0)+5)/10)/100</f>
        <v>0</v>
      </c>
      <c r="R785" s="6">
        <f t="shared" si="36"/>
        <v>31.61</v>
      </c>
      <c r="S785" s="2" t="str">
        <f>IF(OR(ROUND(raw_order_lines!I785*10,0)&gt;ROUND(raw_order_lines!H785*10,0),ROUND(raw_order_lines!H785*10,0)&gt;ROUND(raw_order_lines!G785*10,0),ROUND(raw_order_lines!G785*10,0)&lt;=0),"数量关系异常","")</f>
        <v/>
      </c>
      <c r="T785" s="2" t="str">
        <f>IF($F785&lt;&gt;INDEX(dim_products!$D$2:$D$21,MATCH($E785,dim_products!$A$2:$A$21,0)),"单位不一致","")</f>
        <v/>
      </c>
      <c r="U785" s="2" t="str">
        <f>IF(OR(ROUND(raw_order_lines!J785*100,0)&lt;ROUND(INDEX(dim_products!$F$2:$F$21,MATCH($E785,dim_products!$A$2:$A$21,0))*100,0),ROUND(raw_order_lines!J785*100,0)&gt;ROUND(INDEX(dim_products!$G$2:$G$21,MATCH($E785,dim_products!$A$2:$A$21,0))*100,0)),"单价越界","")</f>
        <v/>
      </c>
      <c r="V785" s="2" t="str">
        <f t="shared" si="37"/>
        <v/>
      </c>
      <c r="W785" s="2" t="str">
        <f t="shared" si="38"/>
        <v>通过</v>
      </c>
    </row>
    <row r="786" spans="1:23" ht="15">
      <c r="A786" s="2" t="str">
        <f>raw_order_lines!A786</f>
        <v>SIM-20260924-C005</v>
      </c>
      <c r="B786" s="2">
        <f>raw_order_lines!B786</f>
        <v>5</v>
      </c>
      <c r="C786" s="2" t="str">
        <f>raw_order_lines!C786</f>
        <v>C005</v>
      </c>
      <c r="D786" s="3">
        <f>raw_order_lines!D786</f>
        <v>46289</v>
      </c>
      <c r="E786" s="2" t="str">
        <f>raw_order_lines!E786</f>
        <v>P004</v>
      </c>
      <c r="F786" s="2" t="str">
        <f>raw_order_lines!F786</f>
        <v>公斤</v>
      </c>
      <c r="G786" s="4">
        <f>raw_order_lines!G786</f>
        <v>10</v>
      </c>
      <c r="H786" s="4">
        <f>raw_order_lines!H786</f>
        <v>10</v>
      </c>
      <c r="I786" s="4">
        <f>raw_order_lines!I786</f>
        <v>0</v>
      </c>
      <c r="J786" s="5">
        <f>raw_order_lines!J786</f>
        <v>2.2999999999999998</v>
      </c>
      <c r="K786" s="2" t="str">
        <f>raw_order_lines!K786</f>
        <v>正常交付</v>
      </c>
      <c r="L786" s="2" t="str">
        <f>raw_order_lines!L786</f>
        <v>true</v>
      </c>
      <c r="M786" s="2" t="str">
        <f>INDEX(dim_products!$B$2:$B$21,MATCH($E786,dim_products!$A$2:$A$21,0))</f>
        <v>冬瓜</v>
      </c>
      <c r="N786" s="2" t="str">
        <f>INDEX(dim_products!$C$2:$C$21,MATCH($E786,dim_products!$A$2:$A$21,0))</f>
        <v>散装鲜菜</v>
      </c>
      <c r="O786" s="2" t="str">
        <f>INDEX(dim_customers!$B$2:$B$7,MATCH($C786,dim_customers!$A$2:$A$7,0))</f>
        <v>模拟_青禾小学食堂</v>
      </c>
      <c r="P786" s="6">
        <f>INT((ROUND(raw_order_lines!H786*10,0)*ROUND(raw_order_lines!J786*100,0)+5)/10)/100</f>
        <v>23</v>
      </c>
      <c r="Q786" s="6">
        <f>INT((ROUND(raw_order_lines!I786*10,0)*ROUND(raw_order_lines!J786*100,0)+5)/10)/100</f>
        <v>0</v>
      </c>
      <c r="R786" s="6">
        <f t="shared" si="36"/>
        <v>23</v>
      </c>
      <c r="S786" s="2" t="str">
        <f>IF(OR(ROUND(raw_order_lines!I786*10,0)&gt;ROUND(raw_order_lines!H786*10,0),ROUND(raw_order_lines!H786*10,0)&gt;ROUND(raw_order_lines!G786*10,0),ROUND(raw_order_lines!G786*10,0)&lt;=0),"数量关系异常","")</f>
        <v/>
      </c>
      <c r="T786" s="2" t="str">
        <f>IF($F786&lt;&gt;INDEX(dim_products!$D$2:$D$21,MATCH($E786,dim_products!$A$2:$A$21,0)),"单位不一致","")</f>
        <v/>
      </c>
      <c r="U786" s="2" t="str">
        <f>IF(OR(ROUND(raw_order_lines!J786*100,0)&lt;ROUND(INDEX(dim_products!$F$2:$F$21,MATCH($E786,dim_products!$A$2:$A$21,0))*100,0),ROUND(raw_order_lines!J786*100,0)&gt;ROUND(INDEX(dim_products!$G$2:$G$21,MATCH($E786,dim_products!$A$2:$A$21,0))*100,0)),"单价越界","")</f>
        <v/>
      </c>
      <c r="V786" s="2" t="str">
        <f t="shared" si="37"/>
        <v/>
      </c>
      <c r="W786" s="2" t="str">
        <f t="shared" si="38"/>
        <v>通过</v>
      </c>
    </row>
    <row r="787" spans="1:23" ht="15">
      <c r="A787" s="2" t="str">
        <f>raw_order_lines!A787</f>
        <v>SIM-20260924-C005</v>
      </c>
      <c r="B787" s="2">
        <f>raw_order_lines!B787</f>
        <v>6</v>
      </c>
      <c r="C787" s="2" t="str">
        <f>raw_order_lines!C787</f>
        <v>C005</v>
      </c>
      <c r="D787" s="3">
        <f>raw_order_lines!D787</f>
        <v>46289</v>
      </c>
      <c r="E787" s="2" t="str">
        <f>raw_order_lines!E787</f>
        <v>P008</v>
      </c>
      <c r="F787" s="2" t="str">
        <f>raw_order_lines!F787</f>
        <v>公斤</v>
      </c>
      <c r="G787" s="4">
        <f>raw_order_lines!G787</f>
        <v>13.4</v>
      </c>
      <c r="H787" s="4">
        <f>raw_order_lines!H787</f>
        <v>13.4</v>
      </c>
      <c r="I787" s="4">
        <f>raw_order_lines!I787</f>
        <v>0</v>
      </c>
      <c r="J787" s="5">
        <f>raw_order_lines!J787</f>
        <v>3.9</v>
      </c>
      <c r="K787" s="2" t="str">
        <f>raw_order_lines!K787</f>
        <v>正常交付</v>
      </c>
      <c r="L787" s="2" t="str">
        <f>raw_order_lines!L787</f>
        <v>true</v>
      </c>
      <c r="M787" s="2" t="str">
        <f>INDEX(dim_products!$B$2:$B$21,MATCH($E787,dim_products!$A$2:$A$21,0))</f>
        <v>黄瓜</v>
      </c>
      <c r="N787" s="2" t="str">
        <f>INDEX(dim_products!$C$2:$C$21,MATCH($E787,dim_products!$A$2:$A$21,0))</f>
        <v>散装鲜菜</v>
      </c>
      <c r="O787" s="2" t="str">
        <f>INDEX(dim_customers!$B$2:$B$7,MATCH($C787,dim_customers!$A$2:$A$7,0))</f>
        <v>模拟_青禾小学食堂</v>
      </c>
      <c r="P787" s="6">
        <f>INT((ROUND(raw_order_lines!H787*10,0)*ROUND(raw_order_lines!J787*100,0)+5)/10)/100</f>
        <v>52.26</v>
      </c>
      <c r="Q787" s="6">
        <f>INT((ROUND(raw_order_lines!I787*10,0)*ROUND(raw_order_lines!J787*100,0)+5)/10)/100</f>
        <v>0</v>
      </c>
      <c r="R787" s="6">
        <f t="shared" si="36"/>
        <v>52.26</v>
      </c>
      <c r="S787" s="2" t="str">
        <f>IF(OR(ROUND(raw_order_lines!I787*10,0)&gt;ROUND(raw_order_lines!H787*10,0),ROUND(raw_order_lines!H787*10,0)&gt;ROUND(raw_order_lines!G787*10,0),ROUND(raw_order_lines!G787*10,0)&lt;=0),"数量关系异常","")</f>
        <v/>
      </c>
      <c r="T787" s="2" t="str">
        <f>IF($F787&lt;&gt;INDEX(dim_products!$D$2:$D$21,MATCH($E787,dim_products!$A$2:$A$21,0)),"单位不一致","")</f>
        <v/>
      </c>
      <c r="U787" s="2" t="str">
        <f>IF(OR(ROUND(raw_order_lines!J787*100,0)&lt;ROUND(INDEX(dim_products!$F$2:$F$21,MATCH($E787,dim_products!$A$2:$A$21,0))*100,0),ROUND(raw_order_lines!J787*100,0)&gt;ROUND(INDEX(dim_products!$G$2:$G$21,MATCH($E787,dim_products!$A$2:$A$21,0))*100,0)),"单价越界","")</f>
        <v/>
      </c>
      <c r="V787" s="2" t="str">
        <f t="shared" si="37"/>
        <v/>
      </c>
      <c r="W787" s="2" t="str">
        <f t="shared" si="38"/>
        <v>通过</v>
      </c>
    </row>
    <row r="788" spans="1:23" ht="15">
      <c r="A788" s="2" t="str">
        <f>raw_order_lines!A788</f>
        <v>SIM-20260924-C005</v>
      </c>
      <c r="B788" s="2">
        <f>raw_order_lines!B788</f>
        <v>7</v>
      </c>
      <c r="C788" s="2" t="str">
        <f>raw_order_lines!C788</f>
        <v>C005</v>
      </c>
      <c r="D788" s="3">
        <f>raw_order_lines!D788</f>
        <v>46289</v>
      </c>
      <c r="E788" s="2" t="str">
        <f>raw_order_lines!E788</f>
        <v>P016</v>
      </c>
      <c r="F788" s="2" t="str">
        <f>raw_order_lines!F788</f>
        <v>公斤</v>
      </c>
      <c r="G788" s="4">
        <f>raw_order_lines!G788</f>
        <v>12</v>
      </c>
      <c r="H788" s="4">
        <f>raw_order_lines!H788</f>
        <v>12</v>
      </c>
      <c r="I788" s="4">
        <f>raw_order_lines!I788</f>
        <v>0</v>
      </c>
      <c r="J788" s="5">
        <f>raw_order_lines!J788</f>
        <v>10.4</v>
      </c>
      <c r="K788" s="2" t="str">
        <f>raw_order_lines!K788</f>
        <v>正常交付</v>
      </c>
      <c r="L788" s="2" t="str">
        <f>raw_order_lines!L788</f>
        <v>true</v>
      </c>
      <c r="M788" s="2" t="str">
        <f>INDEX(dim_products!$B$2:$B$21,MATCH($E788,dim_products!$A$2:$A$21,0))</f>
        <v>鸡蛋</v>
      </c>
      <c r="N788" s="2" t="str">
        <f>INDEX(dim_products!$C$2:$C$21,MATCH($E788,dim_products!$A$2:$A$21,0))</f>
        <v>普通鲜鸡蛋按净重</v>
      </c>
      <c r="O788" s="2" t="str">
        <f>INDEX(dim_customers!$B$2:$B$7,MATCH($C788,dim_customers!$A$2:$A$7,0))</f>
        <v>模拟_青禾小学食堂</v>
      </c>
      <c r="P788" s="6">
        <f>INT((ROUND(raw_order_lines!H788*10,0)*ROUND(raw_order_lines!J788*100,0)+5)/10)/100</f>
        <v>124.8</v>
      </c>
      <c r="Q788" s="6">
        <f>INT((ROUND(raw_order_lines!I788*10,0)*ROUND(raw_order_lines!J788*100,0)+5)/10)/100</f>
        <v>0</v>
      </c>
      <c r="R788" s="6">
        <f t="shared" si="36"/>
        <v>124.8</v>
      </c>
      <c r="S788" s="2" t="str">
        <f>IF(OR(ROUND(raw_order_lines!I788*10,0)&gt;ROUND(raw_order_lines!H788*10,0),ROUND(raw_order_lines!H788*10,0)&gt;ROUND(raw_order_lines!G788*10,0),ROUND(raw_order_lines!G788*10,0)&lt;=0),"数量关系异常","")</f>
        <v/>
      </c>
      <c r="T788" s="2" t="str">
        <f>IF($F788&lt;&gt;INDEX(dim_products!$D$2:$D$21,MATCH($E788,dim_products!$A$2:$A$21,0)),"单位不一致","")</f>
        <v/>
      </c>
      <c r="U788" s="2" t="str">
        <f>IF(OR(ROUND(raw_order_lines!J788*100,0)&lt;ROUND(INDEX(dim_products!$F$2:$F$21,MATCH($E788,dim_products!$A$2:$A$21,0))*100,0),ROUND(raw_order_lines!J788*100,0)&gt;ROUND(INDEX(dim_products!$G$2:$G$21,MATCH($E788,dim_products!$A$2:$A$21,0))*100,0)),"单价越界","")</f>
        <v/>
      </c>
      <c r="V788" s="2" t="str">
        <f t="shared" si="37"/>
        <v/>
      </c>
      <c r="W788" s="2" t="str">
        <f t="shared" si="38"/>
        <v>通过</v>
      </c>
    </row>
    <row r="789" spans="1:23" ht="15">
      <c r="A789" s="2" t="str">
        <f>raw_order_lines!A789</f>
        <v>SIM-20260924-C005</v>
      </c>
      <c r="B789" s="2">
        <f>raw_order_lines!B789</f>
        <v>8</v>
      </c>
      <c r="C789" s="2" t="str">
        <f>raw_order_lines!C789</f>
        <v>C005</v>
      </c>
      <c r="D789" s="3">
        <f>raw_order_lines!D789</f>
        <v>46289</v>
      </c>
      <c r="E789" s="2" t="str">
        <f>raw_order_lines!E789</f>
        <v>P015</v>
      </c>
      <c r="F789" s="2" t="str">
        <f>raw_order_lines!F789</f>
        <v>公斤</v>
      </c>
      <c r="G789" s="4">
        <f>raw_order_lines!G789</f>
        <v>1</v>
      </c>
      <c r="H789" s="4">
        <f>raw_order_lines!H789</f>
        <v>1</v>
      </c>
      <c r="I789" s="4">
        <f>raw_order_lines!I789</f>
        <v>0</v>
      </c>
      <c r="J789" s="5">
        <f>raw_order_lines!J789</f>
        <v>7.8</v>
      </c>
      <c r="K789" s="2" t="str">
        <f>raw_order_lines!K789</f>
        <v>正常交付</v>
      </c>
      <c r="L789" s="2" t="str">
        <f>raw_order_lines!L789</f>
        <v>true</v>
      </c>
      <c r="M789" s="2" t="str">
        <f>INDEX(dim_products!$B$2:$B$21,MATCH($E789,dim_products!$A$2:$A$21,0))</f>
        <v>小葱</v>
      </c>
      <c r="N789" s="2" t="str">
        <f>INDEX(dim_products!$C$2:$C$21,MATCH($E789,dim_products!$A$2:$A$21,0))</f>
        <v>散装鲜菜</v>
      </c>
      <c r="O789" s="2" t="str">
        <f>INDEX(dim_customers!$B$2:$B$7,MATCH($C789,dim_customers!$A$2:$A$7,0))</f>
        <v>模拟_青禾小学食堂</v>
      </c>
      <c r="P789" s="6">
        <f>INT((ROUND(raw_order_lines!H789*10,0)*ROUND(raw_order_lines!J789*100,0)+5)/10)/100</f>
        <v>7.8</v>
      </c>
      <c r="Q789" s="6">
        <f>INT((ROUND(raw_order_lines!I789*10,0)*ROUND(raw_order_lines!J789*100,0)+5)/10)/100</f>
        <v>0</v>
      </c>
      <c r="R789" s="6">
        <f t="shared" si="36"/>
        <v>7.8</v>
      </c>
      <c r="S789" s="2" t="str">
        <f>IF(OR(ROUND(raw_order_lines!I789*10,0)&gt;ROUND(raw_order_lines!H789*10,0),ROUND(raw_order_lines!H789*10,0)&gt;ROUND(raw_order_lines!G789*10,0),ROUND(raw_order_lines!G789*10,0)&lt;=0),"数量关系异常","")</f>
        <v/>
      </c>
      <c r="T789" s="2" t="str">
        <f>IF($F789&lt;&gt;INDEX(dim_products!$D$2:$D$21,MATCH($E789,dim_products!$A$2:$A$21,0)),"单位不一致","")</f>
        <v/>
      </c>
      <c r="U789" s="2" t="str">
        <f>IF(OR(ROUND(raw_order_lines!J789*100,0)&lt;ROUND(INDEX(dim_products!$F$2:$F$21,MATCH($E789,dim_products!$A$2:$A$21,0))*100,0),ROUND(raw_order_lines!J789*100,0)&gt;ROUND(INDEX(dim_products!$G$2:$G$21,MATCH($E789,dim_products!$A$2:$A$21,0))*100,0)),"单价越界","")</f>
        <v/>
      </c>
      <c r="V789" s="2" t="str">
        <f t="shared" si="37"/>
        <v/>
      </c>
      <c r="W789" s="2" t="str">
        <f t="shared" si="38"/>
        <v>通过</v>
      </c>
    </row>
    <row r="790" spans="1:23" ht="15">
      <c r="A790" s="2" t="str">
        <f>raw_order_lines!A790</f>
        <v>SIM-20260924-C006</v>
      </c>
      <c r="B790" s="2">
        <f>raw_order_lines!B790</f>
        <v>1</v>
      </c>
      <c r="C790" s="2" t="str">
        <f>raw_order_lines!C790</f>
        <v>C006</v>
      </c>
      <c r="D790" s="3">
        <f>raw_order_lines!D790</f>
        <v>46289</v>
      </c>
      <c r="E790" s="2" t="str">
        <f>raw_order_lines!E790</f>
        <v>P010</v>
      </c>
      <c r="F790" s="2" t="str">
        <f>raw_order_lines!F790</f>
        <v>公斤</v>
      </c>
      <c r="G790" s="4">
        <f>raw_order_lines!G790</f>
        <v>10.9</v>
      </c>
      <c r="H790" s="4">
        <f>raw_order_lines!H790</f>
        <v>10.9</v>
      </c>
      <c r="I790" s="4">
        <f>raw_order_lines!I790</f>
        <v>0</v>
      </c>
      <c r="J790" s="5">
        <f>raw_order_lines!J790</f>
        <v>4.9000000000000004</v>
      </c>
      <c r="K790" s="2" t="str">
        <f>raw_order_lines!K790</f>
        <v>正常交付</v>
      </c>
      <c r="L790" s="2" t="str">
        <f>raw_order_lines!L790</f>
        <v>true</v>
      </c>
      <c r="M790" s="2" t="str">
        <f>INDEX(dim_products!$B$2:$B$21,MATCH($E790,dim_products!$A$2:$A$21,0))</f>
        <v>空心菜</v>
      </c>
      <c r="N790" s="2" t="str">
        <f>INDEX(dim_products!$C$2:$C$21,MATCH($E790,dim_products!$A$2:$A$21,0))</f>
        <v>散装鲜菜</v>
      </c>
      <c r="O790" s="2" t="str">
        <f>INDEX(dim_customers!$B$2:$B$7,MATCH($C790,dim_customers!$A$2:$A$7,0))</f>
        <v>模拟_溪桥医院食堂</v>
      </c>
      <c r="P790" s="6">
        <f>INT((ROUND(raw_order_lines!H790*10,0)*ROUND(raw_order_lines!J790*100,0)+5)/10)/100</f>
        <v>53.41</v>
      </c>
      <c r="Q790" s="6">
        <f>INT((ROUND(raw_order_lines!I790*10,0)*ROUND(raw_order_lines!J790*100,0)+5)/10)/100</f>
        <v>0</v>
      </c>
      <c r="R790" s="6">
        <f t="shared" si="36"/>
        <v>53.41</v>
      </c>
      <c r="S790" s="2" t="str">
        <f>IF(OR(ROUND(raw_order_lines!I790*10,0)&gt;ROUND(raw_order_lines!H790*10,0),ROUND(raw_order_lines!H790*10,0)&gt;ROUND(raw_order_lines!G790*10,0),ROUND(raw_order_lines!G790*10,0)&lt;=0),"数量关系异常","")</f>
        <v/>
      </c>
      <c r="T790" s="2" t="str">
        <f>IF($F790&lt;&gt;INDEX(dim_products!$D$2:$D$21,MATCH($E790,dim_products!$A$2:$A$21,0)),"单位不一致","")</f>
        <v/>
      </c>
      <c r="U790" s="2" t="str">
        <f>IF(OR(ROUND(raw_order_lines!J790*100,0)&lt;ROUND(INDEX(dim_products!$F$2:$F$21,MATCH($E790,dim_products!$A$2:$A$21,0))*100,0),ROUND(raw_order_lines!J790*100,0)&gt;ROUND(INDEX(dim_products!$G$2:$G$21,MATCH($E790,dim_products!$A$2:$A$21,0))*100,0)),"单价越界","")</f>
        <v/>
      </c>
      <c r="V790" s="2" t="str">
        <f t="shared" si="37"/>
        <v/>
      </c>
      <c r="W790" s="2" t="str">
        <f t="shared" si="38"/>
        <v>通过</v>
      </c>
    </row>
    <row r="791" spans="1:23" ht="15">
      <c r="A791" s="2" t="str">
        <f>raw_order_lines!A791</f>
        <v>SIM-20260924-C006</v>
      </c>
      <c r="B791" s="2">
        <f>raw_order_lines!B791</f>
        <v>2</v>
      </c>
      <c r="C791" s="2" t="str">
        <f>raw_order_lines!C791</f>
        <v>C006</v>
      </c>
      <c r="D791" s="3">
        <f>raw_order_lines!D791</f>
        <v>46289</v>
      </c>
      <c r="E791" s="2" t="str">
        <f>raw_order_lines!E791</f>
        <v>P008</v>
      </c>
      <c r="F791" s="2" t="str">
        <f>raw_order_lines!F791</f>
        <v>公斤</v>
      </c>
      <c r="G791" s="4">
        <f>raw_order_lines!G791</f>
        <v>6.2</v>
      </c>
      <c r="H791" s="4">
        <f>raw_order_lines!H791</f>
        <v>6.2</v>
      </c>
      <c r="I791" s="4">
        <f>raw_order_lines!I791</f>
        <v>0</v>
      </c>
      <c r="J791" s="5">
        <f>raw_order_lines!J791</f>
        <v>3.9</v>
      </c>
      <c r="K791" s="2" t="str">
        <f>raw_order_lines!K791</f>
        <v>正常交付</v>
      </c>
      <c r="L791" s="2" t="str">
        <f>raw_order_lines!L791</f>
        <v>true</v>
      </c>
      <c r="M791" s="2" t="str">
        <f>INDEX(dim_products!$B$2:$B$21,MATCH($E791,dim_products!$A$2:$A$21,0))</f>
        <v>黄瓜</v>
      </c>
      <c r="N791" s="2" t="str">
        <f>INDEX(dim_products!$C$2:$C$21,MATCH($E791,dim_products!$A$2:$A$21,0))</f>
        <v>散装鲜菜</v>
      </c>
      <c r="O791" s="2" t="str">
        <f>INDEX(dim_customers!$B$2:$B$7,MATCH($C791,dim_customers!$A$2:$A$7,0))</f>
        <v>模拟_溪桥医院食堂</v>
      </c>
      <c r="P791" s="6">
        <f>INT((ROUND(raw_order_lines!H791*10,0)*ROUND(raw_order_lines!J791*100,0)+5)/10)/100</f>
        <v>24.18</v>
      </c>
      <c r="Q791" s="6">
        <f>INT((ROUND(raw_order_lines!I791*10,0)*ROUND(raw_order_lines!J791*100,0)+5)/10)/100</f>
        <v>0</v>
      </c>
      <c r="R791" s="6">
        <f t="shared" si="36"/>
        <v>24.18</v>
      </c>
      <c r="S791" s="2" t="str">
        <f>IF(OR(ROUND(raw_order_lines!I791*10,0)&gt;ROUND(raw_order_lines!H791*10,0),ROUND(raw_order_lines!H791*10,0)&gt;ROUND(raw_order_lines!G791*10,0),ROUND(raw_order_lines!G791*10,0)&lt;=0),"数量关系异常","")</f>
        <v/>
      </c>
      <c r="T791" s="2" t="str">
        <f>IF($F791&lt;&gt;INDEX(dim_products!$D$2:$D$21,MATCH($E791,dim_products!$A$2:$A$21,0)),"单位不一致","")</f>
        <v/>
      </c>
      <c r="U791" s="2" t="str">
        <f>IF(OR(ROUND(raw_order_lines!J791*100,0)&lt;ROUND(INDEX(dim_products!$F$2:$F$21,MATCH($E791,dim_products!$A$2:$A$21,0))*100,0),ROUND(raw_order_lines!J791*100,0)&gt;ROUND(INDEX(dim_products!$G$2:$G$21,MATCH($E791,dim_products!$A$2:$A$21,0))*100,0)),"单价越界","")</f>
        <v/>
      </c>
      <c r="V791" s="2" t="str">
        <f t="shared" si="37"/>
        <v/>
      </c>
      <c r="W791" s="2" t="str">
        <f t="shared" si="38"/>
        <v>通过</v>
      </c>
    </row>
    <row r="792" spans="1:23" ht="15">
      <c r="A792" s="2" t="str">
        <f>raw_order_lines!A792</f>
        <v>SIM-20260924-C006</v>
      </c>
      <c r="B792" s="2">
        <f>raw_order_lines!B792</f>
        <v>3</v>
      </c>
      <c r="C792" s="2" t="str">
        <f>raw_order_lines!C792</f>
        <v>C006</v>
      </c>
      <c r="D792" s="3">
        <f>raw_order_lines!D792</f>
        <v>46289</v>
      </c>
      <c r="E792" s="2" t="str">
        <f>raw_order_lines!E792</f>
        <v>P001</v>
      </c>
      <c r="F792" s="2" t="str">
        <f>raw_order_lines!F792</f>
        <v>公斤</v>
      </c>
      <c r="G792" s="4">
        <f>raw_order_lines!G792</f>
        <v>10.199999999999999</v>
      </c>
      <c r="H792" s="4">
        <f>raw_order_lines!H792</f>
        <v>10.199999999999999</v>
      </c>
      <c r="I792" s="4">
        <f>raw_order_lines!I792</f>
        <v>0</v>
      </c>
      <c r="J792" s="5">
        <f>raw_order_lines!J792</f>
        <v>3.5</v>
      </c>
      <c r="K792" s="2" t="str">
        <f>raw_order_lines!K792</f>
        <v>正常交付</v>
      </c>
      <c r="L792" s="2" t="str">
        <f>raw_order_lines!L792</f>
        <v>true</v>
      </c>
      <c r="M792" s="2" t="str">
        <f>INDEX(dim_products!$B$2:$B$21,MATCH($E792,dim_products!$A$2:$A$21,0))</f>
        <v>土豆</v>
      </c>
      <c r="N792" s="2" t="str">
        <f>INDEX(dim_products!$C$2:$C$21,MATCH($E792,dim_products!$A$2:$A$21,0))</f>
        <v>散装鲜菜</v>
      </c>
      <c r="O792" s="2" t="str">
        <f>INDEX(dim_customers!$B$2:$B$7,MATCH($C792,dim_customers!$A$2:$A$7,0))</f>
        <v>模拟_溪桥医院食堂</v>
      </c>
      <c r="P792" s="6">
        <f>INT((ROUND(raw_order_lines!H792*10,0)*ROUND(raw_order_lines!J792*100,0)+5)/10)/100</f>
        <v>35.700000000000003</v>
      </c>
      <c r="Q792" s="6">
        <f>INT((ROUND(raw_order_lines!I792*10,0)*ROUND(raw_order_lines!J792*100,0)+5)/10)/100</f>
        <v>0</v>
      </c>
      <c r="R792" s="6">
        <f t="shared" si="36"/>
        <v>35.700000000000003</v>
      </c>
      <c r="S792" s="2" t="str">
        <f>IF(OR(ROUND(raw_order_lines!I792*10,0)&gt;ROUND(raw_order_lines!H792*10,0),ROUND(raw_order_lines!H792*10,0)&gt;ROUND(raw_order_lines!G792*10,0),ROUND(raw_order_lines!G792*10,0)&lt;=0),"数量关系异常","")</f>
        <v/>
      </c>
      <c r="T792" s="2" t="str">
        <f>IF($F792&lt;&gt;INDEX(dim_products!$D$2:$D$21,MATCH($E792,dim_products!$A$2:$A$21,0)),"单位不一致","")</f>
        <v/>
      </c>
      <c r="U792" s="2" t="str">
        <f>IF(OR(ROUND(raw_order_lines!J792*100,0)&lt;ROUND(INDEX(dim_products!$F$2:$F$21,MATCH($E792,dim_products!$A$2:$A$21,0))*100,0),ROUND(raw_order_lines!J792*100,0)&gt;ROUND(INDEX(dim_products!$G$2:$G$21,MATCH($E792,dim_products!$A$2:$A$21,0))*100,0)),"单价越界","")</f>
        <v/>
      </c>
      <c r="V792" s="2" t="str">
        <f t="shared" si="37"/>
        <v/>
      </c>
      <c r="W792" s="2" t="str">
        <f t="shared" si="38"/>
        <v>通过</v>
      </c>
    </row>
    <row r="793" spans="1:23" ht="15">
      <c r="A793" s="2" t="str">
        <f>raw_order_lines!A793</f>
        <v>SIM-20260924-C006</v>
      </c>
      <c r="B793" s="2">
        <f>raw_order_lines!B793</f>
        <v>4</v>
      </c>
      <c r="C793" s="2" t="str">
        <f>raw_order_lines!C793</f>
        <v>C006</v>
      </c>
      <c r="D793" s="3">
        <f>raw_order_lines!D793</f>
        <v>46289</v>
      </c>
      <c r="E793" s="2" t="str">
        <f>raw_order_lines!E793</f>
        <v>P006</v>
      </c>
      <c r="F793" s="2" t="str">
        <f>raw_order_lines!F793</f>
        <v>公斤</v>
      </c>
      <c r="G793" s="4">
        <f>raw_order_lines!G793</f>
        <v>7.8</v>
      </c>
      <c r="H793" s="4">
        <f>raw_order_lines!H793</f>
        <v>7.8</v>
      </c>
      <c r="I793" s="4">
        <f>raw_order_lines!I793</f>
        <v>0</v>
      </c>
      <c r="J793" s="5">
        <f>raw_order_lines!J793</f>
        <v>4.5999999999999996</v>
      </c>
      <c r="K793" s="2" t="str">
        <f>raw_order_lines!K793</f>
        <v>正常交付</v>
      </c>
      <c r="L793" s="2" t="str">
        <f>raw_order_lines!L793</f>
        <v>true</v>
      </c>
      <c r="M793" s="2" t="str">
        <f>INDEX(dim_products!$B$2:$B$21,MATCH($E793,dim_products!$A$2:$A$21,0))</f>
        <v>茄子</v>
      </c>
      <c r="N793" s="2" t="str">
        <f>INDEX(dim_products!$C$2:$C$21,MATCH($E793,dim_products!$A$2:$A$21,0))</f>
        <v>散装鲜菜</v>
      </c>
      <c r="O793" s="2" t="str">
        <f>INDEX(dim_customers!$B$2:$B$7,MATCH($C793,dim_customers!$A$2:$A$7,0))</f>
        <v>模拟_溪桥医院食堂</v>
      </c>
      <c r="P793" s="6">
        <f>INT((ROUND(raw_order_lines!H793*10,0)*ROUND(raw_order_lines!J793*100,0)+5)/10)/100</f>
        <v>35.880000000000003</v>
      </c>
      <c r="Q793" s="6">
        <f>INT((ROUND(raw_order_lines!I793*10,0)*ROUND(raw_order_lines!J793*100,0)+5)/10)/100</f>
        <v>0</v>
      </c>
      <c r="R793" s="6">
        <f t="shared" si="36"/>
        <v>35.880000000000003</v>
      </c>
      <c r="S793" s="2" t="str">
        <f>IF(OR(ROUND(raw_order_lines!I793*10,0)&gt;ROUND(raw_order_lines!H793*10,0),ROUND(raw_order_lines!H793*10,0)&gt;ROUND(raw_order_lines!G793*10,0),ROUND(raw_order_lines!G793*10,0)&lt;=0),"数量关系异常","")</f>
        <v/>
      </c>
      <c r="T793" s="2" t="str">
        <f>IF($F793&lt;&gt;INDEX(dim_products!$D$2:$D$21,MATCH($E793,dim_products!$A$2:$A$21,0)),"单位不一致","")</f>
        <v/>
      </c>
      <c r="U793" s="2" t="str">
        <f>IF(OR(ROUND(raw_order_lines!J793*100,0)&lt;ROUND(INDEX(dim_products!$F$2:$F$21,MATCH($E793,dim_products!$A$2:$A$21,0))*100,0),ROUND(raw_order_lines!J793*100,0)&gt;ROUND(INDEX(dim_products!$G$2:$G$21,MATCH($E793,dim_products!$A$2:$A$21,0))*100,0)),"单价越界","")</f>
        <v/>
      </c>
      <c r="V793" s="2" t="str">
        <f t="shared" si="37"/>
        <v/>
      </c>
      <c r="W793" s="2" t="str">
        <f t="shared" si="38"/>
        <v>通过</v>
      </c>
    </row>
    <row r="794" spans="1:23" ht="15">
      <c r="A794" s="2" t="str">
        <f>raw_order_lines!A794</f>
        <v>SIM-20260924-C006</v>
      </c>
      <c r="B794" s="2">
        <f>raw_order_lines!B794</f>
        <v>5</v>
      </c>
      <c r="C794" s="2" t="str">
        <f>raw_order_lines!C794</f>
        <v>C006</v>
      </c>
      <c r="D794" s="3">
        <f>raw_order_lines!D794</f>
        <v>46289</v>
      </c>
      <c r="E794" s="2" t="str">
        <f>raw_order_lines!E794</f>
        <v>P007</v>
      </c>
      <c r="F794" s="2" t="str">
        <f>raw_order_lines!F794</f>
        <v>公斤</v>
      </c>
      <c r="G794" s="4">
        <f>raw_order_lines!G794</f>
        <v>5.5</v>
      </c>
      <c r="H794" s="4">
        <f>raw_order_lines!H794</f>
        <v>5.5</v>
      </c>
      <c r="I794" s="4">
        <f>raw_order_lines!I794</f>
        <v>0</v>
      </c>
      <c r="J794" s="5">
        <f>raw_order_lines!J794</f>
        <v>4.95</v>
      </c>
      <c r="K794" s="2" t="str">
        <f>raw_order_lines!K794</f>
        <v>正常交付</v>
      </c>
      <c r="L794" s="2" t="str">
        <f>raw_order_lines!L794</f>
        <v>true</v>
      </c>
      <c r="M794" s="2" t="str">
        <f>INDEX(dim_products!$B$2:$B$21,MATCH($E794,dim_products!$A$2:$A$21,0))</f>
        <v>青椒</v>
      </c>
      <c r="N794" s="2" t="str">
        <f>INDEX(dim_products!$C$2:$C$21,MATCH($E794,dim_products!$A$2:$A$21,0))</f>
        <v>散装鲜菜</v>
      </c>
      <c r="O794" s="2" t="str">
        <f>INDEX(dim_customers!$B$2:$B$7,MATCH($C794,dim_customers!$A$2:$A$7,0))</f>
        <v>模拟_溪桥医院食堂</v>
      </c>
      <c r="P794" s="6">
        <f>INT((ROUND(raw_order_lines!H794*10,0)*ROUND(raw_order_lines!J794*100,0)+5)/10)/100</f>
        <v>27.23</v>
      </c>
      <c r="Q794" s="6">
        <f>INT((ROUND(raw_order_lines!I794*10,0)*ROUND(raw_order_lines!J794*100,0)+5)/10)/100</f>
        <v>0</v>
      </c>
      <c r="R794" s="6">
        <f t="shared" si="36"/>
        <v>27.23</v>
      </c>
      <c r="S794" s="2" t="str">
        <f>IF(OR(ROUND(raw_order_lines!I794*10,0)&gt;ROUND(raw_order_lines!H794*10,0),ROUND(raw_order_lines!H794*10,0)&gt;ROUND(raw_order_lines!G794*10,0),ROUND(raw_order_lines!G794*10,0)&lt;=0),"数量关系异常","")</f>
        <v/>
      </c>
      <c r="T794" s="2" t="str">
        <f>IF($F794&lt;&gt;INDEX(dim_products!$D$2:$D$21,MATCH($E794,dim_products!$A$2:$A$21,0)),"单位不一致","")</f>
        <v/>
      </c>
      <c r="U794" s="2" t="str">
        <f>IF(OR(ROUND(raw_order_lines!J794*100,0)&lt;ROUND(INDEX(dim_products!$F$2:$F$21,MATCH($E794,dim_products!$A$2:$A$21,0))*100,0),ROUND(raw_order_lines!J794*100,0)&gt;ROUND(INDEX(dim_products!$G$2:$G$21,MATCH($E794,dim_products!$A$2:$A$21,0))*100,0)),"单价越界","")</f>
        <v/>
      </c>
      <c r="V794" s="2" t="str">
        <f t="shared" si="37"/>
        <v/>
      </c>
      <c r="W794" s="2" t="str">
        <f t="shared" si="38"/>
        <v>通过</v>
      </c>
    </row>
    <row r="795" spans="1:23" ht="15">
      <c r="A795" s="2" t="str">
        <f>raw_order_lines!A795</f>
        <v>SIM-20260924-C006</v>
      </c>
      <c r="B795" s="2">
        <f>raw_order_lines!B795</f>
        <v>6</v>
      </c>
      <c r="C795" s="2" t="str">
        <f>raw_order_lines!C795</f>
        <v>C006</v>
      </c>
      <c r="D795" s="3">
        <f>raw_order_lines!D795</f>
        <v>46289</v>
      </c>
      <c r="E795" s="2" t="str">
        <f>raw_order_lines!E795</f>
        <v>P009</v>
      </c>
      <c r="F795" s="2" t="str">
        <f>raw_order_lines!F795</f>
        <v>公斤</v>
      </c>
      <c r="G795" s="4">
        <f>raw_order_lines!G795</f>
        <v>5.5</v>
      </c>
      <c r="H795" s="4">
        <f>raw_order_lines!H795</f>
        <v>5.5</v>
      </c>
      <c r="I795" s="4">
        <f>raw_order_lines!I795</f>
        <v>0</v>
      </c>
      <c r="J795" s="5">
        <f>raw_order_lines!J795</f>
        <v>4.9000000000000004</v>
      </c>
      <c r="K795" s="2" t="str">
        <f>raw_order_lines!K795</f>
        <v>正常交付</v>
      </c>
      <c r="L795" s="2" t="str">
        <f>raw_order_lines!L795</f>
        <v>true</v>
      </c>
      <c r="M795" s="2" t="str">
        <f>INDEX(dim_products!$B$2:$B$21,MATCH($E795,dim_products!$A$2:$A$21,0))</f>
        <v>西红柿</v>
      </c>
      <c r="N795" s="2" t="str">
        <f>INDEX(dim_products!$C$2:$C$21,MATCH($E795,dim_products!$A$2:$A$21,0))</f>
        <v>散装鲜菜</v>
      </c>
      <c r="O795" s="2" t="str">
        <f>INDEX(dim_customers!$B$2:$B$7,MATCH($C795,dim_customers!$A$2:$A$7,0))</f>
        <v>模拟_溪桥医院食堂</v>
      </c>
      <c r="P795" s="6">
        <f>INT((ROUND(raw_order_lines!H795*10,0)*ROUND(raw_order_lines!J795*100,0)+5)/10)/100</f>
        <v>26.95</v>
      </c>
      <c r="Q795" s="6">
        <f>INT((ROUND(raw_order_lines!I795*10,0)*ROUND(raw_order_lines!J795*100,0)+5)/10)/100</f>
        <v>0</v>
      </c>
      <c r="R795" s="6">
        <f t="shared" si="36"/>
        <v>26.95</v>
      </c>
      <c r="S795" s="2" t="str">
        <f>IF(OR(ROUND(raw_order_lines!I795*10,0)&gt;ROUND(raw_order_lines!H795*10,0),ROUND(raw_order_lines!H795*10,0)&gt;ROUND(raw_order_lines!G795*10,0),ROUND(raw_order_lines!G795*10,0)&lt;=0),"数量关系异常","")</f>
        <v/>
      </c>
      <c r="T795" s="2" t="str">
        <f>IF($F795&lt;&gt;INDEX(dim_products!$D$2:$D$21,MATCH($E795,dim_products!$A$2:$A$21,0)),"单位不一致","")</f>
        <v/>
      </c>
      <c r="U795" s="2" t="str">
        <f>IF(OR(ROUND(raw_order_lines!J795*100,0)&lt;ROUND(INDEX(dim_products!$F$2:$F$21,MATCH($E795,dim_products!$A$2:$A$21,0))*100,0),ROUND(raw_order_lines!J795*100,0)&gt;ROUND(INDEX(dim_products!$G$2:$G$21,MATCH($E795,dim_products!$A$2:$A$21,0))*100,0)),"单价越界","")</f>
        <v/>
      </c>
      <c r="V795" s="2" t="str">
        <f t="shared" si="37"/>
        <v/>
      </c>
      <c r="W795" s="2" t="str">
        <f t="shared" si="38"/>
        <v>通过</v>
      </c>
    </row>
    <row r="796" spans="1:23" ht="15">
      <c r="A796" s="2" t="str">
        <f>raw_order_lines!A796</f>
        <v>SIM-20260925-C001</v>
      </c>
      <c r="B796" s="2">
        <f>raw_order_lines!B796</f>
        <v>1</v>
      </c>
      <c r="C796" s="2" t="str">
        <f>raw_order_lines!C796</f>
        <v>C001</v>
      </c>
      <c r="D796" s="3">
        <f>raw_order_lines!D796</f>
        <v>46290</v>
      </c>
      <c r="E796" s="2" t="str">
        <f>raw_order_lines!E796</f>
        <v>P011</v>
      </c>
      <c r="F796" s="2" t="str">
        <f>raw_order_lines!F796</f>
        <v>公斤</v>
      </c>
      <c r="G796" s="4">
        <f>raw_order_lines!G796</f>
        <v>3.1</v>
      </c>
      <c r="H796" s="4">
        <f>raw_order_lines!H796</f>
        <v>3.1</v>
      </c>
      <c r="I796" s="4">
        <f>raw_order_lines!I796</f>
        <v>0</v>
      </c>
      <c r="J796" s="5">
        <f>raw_order_lines!J796</f>
        <v>4.8</v>
      </c>
      <c r="K796" s="2" t="str">
        <f>raw_order_lines!K796</f>
        <v>正常交付</v>
      </c>
      <c r="L796" s="2" t="str">
        <f>raw_order_lines!L796</f>
        <v>true</v>
      </c>
      <c r="M796" s="2" t="str">
        <f>INDEX(dim_products!$B$2:$B$21,MATCH($E796,dim_products!$A$2:$A$21,0))</f>
        <v>红薯叶</v>
      </c>
      <c r="N796" s="2" t="str">
        <f>INDEX(dim_products!$C$2:$C$21,MATCH($E796,dim_products!$A$2:$A$21,0))</f>
        <v>散装鲜菜</v>
      </c>
      <c r="O796" s="2" t="str">
        <f>INDEX(dim_customers!$B$2:$B$7,MATCH($C796,dim_customers!$A$2:$A$7,0))</f>
        <v>模拟_榕树下粉面店</v>
      </c>
      <c r="P796" s="6">
        <f>INT((ROUND(raw_order_lines!H796*10,0)*ROUND(raw_order_lines!J796*100,0)+5)/10)/100</f>
        <v>14.88</v>
      </c>
      <c r="Q796" s="6">
        <f>INT((ROUND(raw_order_lines!I796*10,0)*ROUND(raw_order_lines!J796*100,0)+5)/10)/100</f>
        <v>0</v>
      </c>
      <c r="R796" s="6">
        <f t="shared" si="36"/>
        <v>14.88</v>
      </c>
      <c r="S796" s="2" t="str">
        <f>IF(OR(ROUND(raw_order_lines!I796*10,0)&gt;ROUND(raw_order_lines!H796*10,0),ROUND(raw_order_lines!H796*10,0)&gt;ROUND(raw_order_lines!G796*10,0),ROUND(raw_order_lines!G796*10,0)&lt;=0),"数量关系异常","")</f>
        <v/>
      </c>
      <c r="T796" s="2" t="str">
        <f>IF($F796&lt;&gt;INDEX(dim_products!$D$2:$D$21,MATCH($E796,dim_products!$A$2:$A$21,0)),"单位不一致","")</f>
        <v/>
      </c>
      <c r="U796" s="2" t="str">
        <f>IF(OR(ROUND(raw_order_lines!J796*100,0)&lt;ROUND(INDEX(dim_products!$F$2:$F$21,MATCH($E796,dim_products!$A$2:$A$21,0))*100,0),ROUND(raw_order_lines!J796*100,0)&gt;ROUND(INDEX(dim_products!$G$2:$G$21,MATCH($E796,dim_products!$A$2:$A$21,0))*100,0)),"单价越界","")</f>
        <v/>
      </c>
      <c r="V796" s="2" t="str">
        <f t="shared" si="37"/>
        <v/>
      </c>
      <c r="W796" s="2" t="str">
        <f t="shared" si="38"/>
        <v>通过</v>
      </c>
    </row>
    <row r="797" spans="1:23" ht="15">
      <c r="A797" s="2" t="str">
        <f>raw_order_lines!A797</f>
        <v>SIM-20260925-C001</v>
      </c>
      <c r="B797" s="2">
        <f>raw_order_lines!B797</f>
        <v>2</v>
      </c>
      <c r="C797" s="2" t="str">
        <f>raw_order_lines!C797</f>
        <v>C001</v>
      </c>
      <c r="D797" s="3">
        <f>raw_order_lines!D797</f>
        <v>46290</v>
      </c>
      <c r="E797" s="2" t="str">
        <f>raw_order_lines!E797</f>
        <v>P002</v>
      </c>
      <c r="F797" s="2" t="str">
        <f>raw_order_lines!F797</f>
        <v>公斤</v>
      </c>
      <c r="G797" s="4">
        <f>raw_order_lines!G797</f>
        <v>2</v>
      </c>
      <c r="H797" s="4">
        <f>raw_order_lines!H797</f>
        <v>2</v>
      </c>
      <c r="I797" s="4">
        <f>raw_order_lines!I797</f>
        <v>0</v>
      </c>
      <c r="J797" s="5">
        <f>raw_order_lines!J797</f>
        <v>2.5</v>
      </c>
      <c r="K797" s="2" t="str">
        <f>raw_order_lines!K797</f>
        <v>正常交付</v>
      </c>
      <c r="L797" s="2" t="str">
        <f>raw_order_lines!L797</f>
        <v>true</v>
      </c>
      <c r="M797" s="2" t="str">
        <f>INDEX(dim_products!$B$2:$B$21,MATCH($E797,dim_products!$A$2:$A$21,0))</f>
        <v>白萝卜</v>
      </c>
      <c r="N797" s="2" t="str">
        <f>INDEX(dim_products!$C$2:$C$21,MATCH($E797,dim_products!$A$2:$A$21,0))</f>
        <v>散装鲜菜</v>
      </c>
      <c r="O797" s="2" t="str">
        <f>INDEX(dim_customers!$B$2:$B$7,MATCH($C797,dim_customers!$A$2:$A$7,0))</f>
        <v>模拟_榕树下粉面店</v>
      </c>
      <c r="P797" s="6">
        <f>INT((ROUND(raw_order_lines!H797*10,0)*ROUND(raw_order_lines!J797*100,0)+5)/10)/100</f>
        <v>5</v>
      </c>
      <c r="Q797" s="6">
        <f>INT((ROUND(raw_order_lines!I797*10,0)*ROUND(raw_order_lines!J797*100,0)+5)/10)/100</f>
        <v>0</v>
      </c>
      <c r="R797" s="6">
        <f t="shared" si="36"/>
        <v>5</v>
      </c>
      <c r="S797" s="2" t="str">
        <f>IF(OR(ROUND(raw_order_lines!I797*10,0)&gt;ROUND(raw_order_lines!H797*10,0),ROUND(raw_order_lines!H797*10,0)&gt;ROUND(raw_order_lines!G797*10,0),ROUND(raw_order_lines!G797*10,0)&lt;=0),"数量关系异常","")</f>
        <v/>
      </c>
      <c r="T797" s="2" t="str">
        <f>IF($F797&lt;&gt;INDEX(dim_products!$D$2:$D$21,MATCH($E797,dim_products!$A$2:$A$21,0)),"单位不一致","")</f>
        <v/>
      </c>
      <c r="U797" s="2" t="str">
        <f>IF(OR(ROUND(raw_order_lines!J797*100,0)&lt;ROUND(INDEX(dim_products!$F$2:$F$21,MATCH($E797,dim_products!$A$2:$A$21,0))*100,0),ROUND(raw_order_lines!J797*100,0)&gt;ROUND(INDEX(dim_products!$G$2:$G$21,MATCH($E797,dim_products!$A$2:$A$21,0))*100,0)),"单价越界","")</f>
        <v/>
      </c>
      <c r="V797" s="2" t="str">
        <f t="shared" si="37"/>
        <v/>
      </c>
      <c r="W797" s="2" t="str">
        <f t="shared" si="38"/>
        <v>通过</v>
      </c>
    </row>
    <row r="798" spans="1:23" ht="15">
      <c r="A798" s="2" t="str">
        <f>raw_order_lines!A798</f>
        <v>SIM-20260925-C001</v>
      </c>
      <c r="B798" s="2">
        <f>raw_order_lines!B798</f>
        <v>3</v>
      </c>
      <c r="C798" s="2" t="str">
        <f>raw_order_lines!C798</f>
        <v>C001</v>
      </c>
      <c r="D798" s="3">
        <f>raw_order_lines!D798</f>
        <v>46290</v>
      </c>
      <c r="E798" s="2" t="str">
        <f>raw_order_lines!E798</f>
        <v>P004</v>
      </c>
      <c r="F798" s="2" t="str">
        <f>raw_order_lines!F798</f>
        <v>公斤</v>
      </c>
      <c r="G798" s="4">
        <f>raw_order_lines!G798</f>
        <v>3.1</v>
      </c>
      <c r="H798" s="4">
        <f>raw_order_lines!H798</f>
        <v>3.1</v>
      </c>
      <c r="I798" s="4">
        <f>raw_order_lines!I798</f>
        <v>0</v>
      </c>
      <c r="J798" s="5">
        <f>raw_order_lines!J798</f>
        <v>2.2999999999999998</v>
      </c>
      <c r="K798" s="2" t="str">
        <f>raw_order_lines!K798</f>
        <v>正常交付</v>
      </c>
      <c r="L798" s="2" t="str">
        <f>raw_order_lines!L798</f>
        <v>true</v>
      </c>
      <c r="M798" s="2" t="str">
        <f>INDEX(dim_products!$B$2:$B$21,MATCH($E798,dim_products!$A$2:$A$21,0))</f>
        <v>冬瓜</v>
      </c>
      <c r="N798" s="2" t="str">
        <f>INDEX(dim_products!$C$2:$C$21,MATCH($E798,dim_products!$A$2:$A$21,0))</f>
        <v>散装鲜菜</v>
      </c>
      <c r="O798" s="2" t="str">
        <f>INDEX(dim_customers!$B$2:$B$7,MATCH($C798,dim_customers!$A$2:$A$7,0))</f>
        <v>模拟_榕树下粉面店</v>
      </c>
      <c r="P798" s="6">
        <f>INT((ROUND(raw_order_lines!H798*10,0)*ROUND(raw_order_lines!J798*100,0)+5)/10)/100</f>
        <v>7.13</v>
      </c>
      <c r="Q798" s="6">
        <f>INT((ROUND(raw_order_lines!I798*10,0)*ROUND(raw_order_lines!J798*100,0)+5)/10)/100</f>
        <v>0</v>
      </c>
      <c r="R798" s="6">
        <f t="shared" si="36"/>
        <v>7.13</v>
      </c>
      <c r="S798" s="2" t="str">
        <f>IF(OR(ROUND(raw_order_lines!I798*10,0)&gt;ROUND(raw_order_lines!H798*10,0),ROUND(raw_order_lines!H798*10,0)&gt;ROUND(raw_order_lines!G798*10,0),ROUND(raw_order_lines!G798*10,0)&lt;=0),"数量关系异常","")</f>
        <v/>
      </c>
      <c r="T798" s="2" t="str">
        <f>IF($F798&lt;&gt;INDEX(dim_products!$D$2:$D$21,MATCH($E798,dim_products!$A$2:$A$21,0)),"单位不一致","")</f>
        <v/>
      </c>
      <c r="U798" s="2" t="str">
        <f>IF(OR(ROUND(raw_order_lines!J798*100,0)&lt;ROUND(INDEX(dim_products!$F$2:$F$21,MATCH($E798,dim_products!$A$2:$A$21,0))*100,0),ROUND(raw_order_lines!J798*100,0)&gt;ROUND(INDEX(dim_products!$G$2:$G$21,MATCH($E798,dim_products!$A$2:$A$21,0))*100,0)),"单价越界","")</f>
        <v/>
      </c>
      <c r="V798" s="2" t="str">
        <f t="shared" si="37"/>
        <v/>
      </c>
      <c r="W798" s="2" t="str">
        <f t="shared" si="38"/>
        <v>通过</v>
      </c>
    </row>
    <row r="799" spans="1:23" ht="15">
      <c r="A799" s="2" t="str">
        <f>raw_order_lines!A799</f>
        <v>SIM-20260925-C001</v>
      </c>
      <c r="B799" s="2">
        <f>raw_order_lines!B799</f>
        <v>4</v>
      </c>
      <c r="C799" s="2" t="str">
        <f>raw_order_lines!C799</f>
        <v>C001</v>
      </c>
      <c r="D799" s="3">
        <f>raw_order_lines!D799</f>
        <v>46290</v>
      </c>
      <c r="E799" s="2" t="str">
        <f>raw_order_lines!E799</f>
        <v>P005</v>
      </c>
      <c r="F799" s="2" t="str">
        <f>raw_order_lines!F799</f>
        <v>公斤</v>
      </c>
      <c r="G799" s="4">
        <f>raw_order_lines!G799</f>
        <v>3.6</v>
      </c>
      <c r="H799" s="4">
        <f>raw_order_lines!H799</f>
        <v>3.6</v>
      </c>
      <c r="I799" s="4">
        <f>raw_order_lines!I799</f>
        <v>0</v>
      </c>
      <c r="J799" s="5">
        <f>raw_order_lines!J799</f>
        <v>2.7</v>
      </c>
      <c r="K799" s="2" t="str">
        <f>raw_order_lines!K799</f>
        <v>正常交付</v>
      </c>
      <c r="L799" s="2" t="str">
        <f>raw_order_lines!L799</f>
        <v>true</v>
      </c>
      <c r="M799" s="2" t="str">
        <f>INDEX(dim_products!$B$2:$B$21,MATCH($E799,dim_products!$A$2:$A$21,0))</f>
        <v>南瓜</v>
      </c>
      <c r="N799" s="2" t="str">
        <f>INDEX(dim_products!$C$2:$C$21,MATCH($E799,dim_products!$A$2:$A$21,0))</f>
        <v>散装鲜菜</v>
      </c>
      <c r="O799" s="2" t="str">
        <f>INDEX(dim_customers!$B$2:$B$7,MATCH($C799,dim_customers!$A$2:$A$7,0))</f>
        <v>模拟_榕树下粉面店</v>
      </c>
      <c r="P799" s="6">
        <f>INT((ROUND(raw_order_lines!H799*10,0)*ROUND(raw_order_lines!J799*100,0)+5)/10)/100</f>
        <v>9.7200000000000006</v>
      </c>
      <c r="Q799" s="6">
        <f>INT((ROUND(raw_order_lines!I799*10,0)*ROUND(raw_order_lines!J799*100,0)+5)/10)/100</f>
        <v>0</v>
      </c>
      <c r="R799" s="6">
        <f t="shared" si="36"/>
        <v>9.7200000000000006</v>
      </c>
      <c r="S799" s="2" t="str">
        <f>IF(OR(ROUND(raw_order_lines!I799*10,0)&gt;ROUND(raw_order_lines!H799*10,0),ROUND(raw_order_lines!H799*10,0)&gt;ROUND(raw_order_lines!G799*10,0),ROUND(raw_order_lines!G799*10,0)&lt;=0),"数量关系异常","")</f>
        <v/>
      </c>
      <c r="T799" s="2" t="str">
        <f>IF($F799&lt;&gt;INDEX(dim_products!$D$2:$D$21,MATCH($E799,dim_products!$A$2:$A$21,0)),"单位不一致","")</f>
        <v/>
      </c>
      <c r="U799" s="2" t="str">
        <f>IF(OR(ROUND(raw_order_lines!J799*100,0)&lt;ROUND(INDEX(dim_products!$F$2:$F$21,MATCH($E799,dim_products!$A$2:$A$21,0))*100,0),ROUND(raw_order_lines!J799*100,0)&gt;ROUND(INDEX(dim_products!$G$2:$G$21,MATCH($E799,dim_products!$A$2:$A$21,0))*100,0)),"单价越界","")</f>
        <v/>
      </c>
      <c r="V799" s="2" t="str">
        <f t="shared" si="37"/>
        <v/>
      </c>
      <c r="W799" s="2" t="str">
        <f t="shared" si="38"/>
        <v>通过</v>
      </c>
    </row>
    <row r="800" spans="1:23" ht="15">
      <c r="A800" s="2" t="str">
        <f>raw_order_lines!A800</f>
        <v>SIM-20260925-C001</v>
      </c>
      <c r="B800" s="2">
        <f>raw_order_lines!B800</f>
        <v>5</v>
      </c>
      <c r="C800" s="2" t="str">
        <f>raw_order_lines!C800</f>
        <v>C001</v>
      </c>
      <c r="D800" s="3">
        <f>raw_order_lines!D800</f>
        <v>46290</v>
      </c>
      <c r="E800" s="2" t="str">
        <f>raw_order_lines!E800</f>
        <v>P015</v>
      </c>
      <c r="F800" s="2" t="str">
        <f>raw_order_lines!F800</f>
        <v>公斤</v>
      </c>
      <c r="G800" s="4">
        <f>raw_order_lines!G800</f>
        <v>0.5</v>
      </c>
      <c r="H800" s="4">
        <f>raw_order_lines!H800</f>
        <v>0.3</v>
      </c>
      <c r="I800" s="4">
        <f>raw_order_lines!I800</f>
        <v>0</v>
      </c>
      <c r="J800" s="5">
        <f>raw_order_lines!J800</f>
        <v>7.8</v>
      </c>
      <c r="K800" s="2" t="str">
        <f>raw_order_lines!K800</f>
        <v>到货不足；按实际交付计费</v>
      </c>
      <c r="L800" s="2" t="str">
        <f>raw_order_lines!L800</f>
        <v>true</v>
      </c>
      <c r="M800" s="2" t="str">
        <f>INDEX(dim_products!$B$2:$B$21,MATCH($E800,dim_products!$A$2:$A$21,0))</f>
        <v>小葱</v>
      </c>
      <c r="N800" s="2" t="str">
        <f>INDEX(dim_products!$C$2:$C$21,MATCH($E800,dim_products!$A$2:$A$21,0))</f>
        <v>散装鲜菜</v>
      </c>
      <c r="O800" s="2" t="str">
        <f>INDEX(dim_customers!$B$2:$B$7,MATCH($C800,dim_customers!$A$2:$A$7,0))</f>
        <v>模拟_榕树下粉面店</v>
      </c>
      <c r="P800" s="6">
        <f>INT((ROUND(raw_order_lines!H800*10,0)*ROUND(raw_order_lines!J800*100,0)+5)/10)/100</f>
        <v>2.34</v>
      </c>
      <c r="Q800" s="6">
        <f>INT((ROUND(raw_order_lines!I800*10,0)*ROUND(raw_order_lines!J800*100,0)+5)/10)/100</f>
        <v>0</v>
      </c>
      <c r="R800" s="6">
        <f t="shared" si="36"/>
        <v>2.34</v>
      </c>
      <c r="S800" s="2" t="str">
        <f>IF(OR(ROUND(raw_order_lines!I800*10,0)&gt;ROUND(raw_order_lines!H800*10,0),ROUND(raw_order_lines!H800*10,0)&gt;ROUND(raw_order_lines!G800*10,0),ROUND(raw_order_lines!G800*10,0)&lt;=0),"数量关系异常","")</f>
        <v/>
      </c>
      <c r="T800" s="2" t="str">
        <f>IF($F800&lt;&gt;INDEX(dim_products!$D$2:$D$21,MATCH($E800,dim_products!$A$2:$A$21,0)),"单位不一致","")</f>
        <v/>
      </c>
      <c r="U800" s="2" t="str">
        <f>IF(OR(ROUND(raw_order_lines!J800*100,0)&lt;ROUND(INDEX(dim_products!$F$2:$F$21,MATCH($E800,dim_products!$A$2:$A$21,0))*100,0),ROUND(raw_order_lines!J800*100,0)&gt;ROUND(INDEX(dim_products!$G$2:$G$21,MATCH($E800,dim_products!$A$2:$A$21,0))*100,0)),"单价越界","")</f>
        <v/>
      </c>
      <c r="V800" s="2" t="str">
        <f t="shared" si="37"/>
        <v/>
      </c>
      <c r="W800" s="2" t="str">
        <f t="shared" si="38"/>
        <v>通过</v>
      </c>
    </row>
    <row r="801" spans="1:23" ht="15">
      <c r="A801" s="2" t="str">
        <f>raw_order_lines!A801</f>
        <v>SIM-20260925-C002</v>
      </c>
      <c r="B801" s="2">
        <f>raw_order_lines!B801</f>
        <v>1</v>
      </c>
      <c r="C801" s="2" t="str">
        <f>raw_order_lines!C801</f>
        <v>C002</v>
      </c>
      <c r="D801" s="3">
        <f>raw_order_lines!D801</f>
        <v>46290</v>
      </c>
      <c r="E801" s="2" t="str">
        <f>raw_order_lines!E801</f>
        <v>P012</v>
      </c>
      <c r="F801" s="2" t="str">
        <f>raw_order_lines!F801</f>
        <v>公斤</v>
      </c>
      <c r="G801" s="4">
        <f>raw_order_lines!G801</f>
        <v>4.2</v>
      </c>
      <c r="H801" s="4">
        <f>raw_order_lines!H801</f>
        <v>4.2</v>
      </c>
      <c r="I801" s="4">
        <f>raw_order_lines!I801</f>
        <v>0</v>
      </c>
      <c r="J801" s="5">
        <f>raw_order_lines!J801</f>
        <v>5</v>
      </c>
      <c r="K801" s="2" t="str">
        <f>raw_order_lines!K801</f>
        <v>正常交付</v>
      </c>
      <c r="L801" s="2" t="str">
        <f>raw_order_lines!L801</f>
        <v>true</v>
      </c>
      <c r="M801" s="2" t="str">
        <f>INDEX(dim_products!$B$2:$B$21,MATCH($E801,dim_products!$A$2:$A$21,0))</f>
        <v>小白菜</v>
      </c>
      <c r="N801" s="2" t="str">
        <f>INDEX(dim_products!$C$2:$C$21,MATCH($E801,dim_products!$A$2:$A$21,0))</f>
        <v>散装鲜菜</v>
      </c>
      <c r="O801" s="2" t="str">
        <f>INDEX(dim_customers!$B$2:$B$7,MATCH($C801,dim_customers!$A$2:$A$7,0))</f>
        <v>模拟_桥头家常菜馆</v>
      </c>
      <c r="P801" s="6">
        <f>INT((ROUND(raw_order_lines!H801*10,0)*ROUND(raw_order_lines!J801*100,0)+5)/10)/100</f>
        <v>21</v>
      </c>
      <c r="Q801" s="6">
        <f>INT((ROUND(raw_order_lines!I801*10,0)*ROUND(raw_order_lines!J801*100,0)+5)/10)/100</f>
        <v>0</v>
      </c>
      <c r="R801" s="6">
        <f t="shared" si="36"/>
        <v>21</v>
      </c>
      <c r="S801" s="2" t="str">
        <f>IF(OR(ROUND(raw_order_lines!I801*10,0)&gt;ROUND(raw_order_lines!H801*10,0),ROUND(raw_order_lines!H801*10,0)&gt;ROUND(raw_order_lines!G801*10,0),ROUND(raw_order_lines!G801*10,0)&lt;=0),"数量关系异常","")</f>
        <v/>
      </c>
      <c r="T801" s="2" t="str">
        <f>IF($F801&lt;&gt;INDEX(dim_products!$D$2:$D$21,MATCH($E801,dim_products!$A$2:$A$21,0)),"单位不一致","")</f>
        <v/>
      </c>
      <c r="U801" s="2" t="str">
        <f>IF(OR(ROUND(raw_order_lines!J801*100,0)&lt;ROUND(INDEX(dim_products!$F$2:$F$21,MATCH($E801,dim_products!$A$2:$A$21,0))*100,0),ROUND(raw_order_lines!J801*100,0)&gt;ROUND(INDEX(dim_products!$G$2:$G$21,MATCH($E801,dim_products!$A$2:$A$21,0))*100,0)),"单价越界","")</f>
        <v/>
      </c>
      <c r="V801" s="2" t="str">
        <f t="shared" si="37"/>
        <v/>
      </c>
      <c r="W801" s="2" t="str">
        <f t="shared" si="38"/>
        <v>通过</v>
      </c>
    </row>
    <row r="802" spans="1:23" ht="15">
      <c r="A802" s="2" t="str">
        <f>raw_order_lines!A802</f>
        <v>SIM-20260925-C002</v>
      </c>
      <c r="B802" s="2">
        <f>raw_order_lines!B802</f>
        <v>2</v>
      </c>
      <c r="C802" s="2" t="str">
        <f>raw_order_lines!C802</f>
        <v>C002</v>
      </c>
      <c r="D802" s="3">
        <f>raw_order_lines!D802</f>
        <v>46290</v>
      </c>
      <c r="E802" s="2" t="str">
        <f>raw_order_lines!E802</f>
        <v>P002</v>
      </c>
      <c r="F802" s="2" t="str">
        <f>raw_order_lines!F802</f>
        <v>公斤</v>
      </c>
      <c r="G802" s="4">
        <f>raw_order_lines!G802</f>
        <v>6.1</v>
      </c>
      <c r="H802" s="4">
        <f>raw_order_lines!H802</f>
        <v>6.1</v>
      </c>
      <c r="I802" s="4">
        <f>raw_order_lines!I802</f>
        <v>0</v>
      </c>
      <c r="J802" s="5">
        <f>raw_order_lines!J802</f>
        <v>2.5</v>
      </c>
      <c r="K802" s="2" t="str">
        <f>raw_order_lines!K802</f>
        <v>正常交付</v>
      </c>
      <c r="L802" s="2" t="str">
        <f>raw_order_lines!L802</f>
        <v>true</v>
      </c>
      <c r="M802" s="2" t="str">
        <f>INDEX(dim_products!$B$2:$B$21,MATCH($E802,dim_products!$A$2:$A$21,0))</f>
        <v>白萝卜</v>
      </c>
      <c r="N802" s="2" t="str">
        <f>INDEX(dim_products!$C$2:$C$21,MATCH($E802,dim_products!$A$2:$A$21,0))</f>
        <v>散装鲜菜</v>
      </c>
      <c r="O802" s="2" t="str">
        <f>INDEX(dim_customers!$B$2:$B$7,MATCH($C802,dim_customers!$A$2:$A$7,0))</f>
        <v>模拟_桥头家常菜馆</v>
      </c>
      <c r="P802" s="6">
        <f>INT((ROUND(raw_order_lines!H802*10,0)*ROUND(raw_order_lines!J802*100,0)+5)/10)/100</f>
        <v>15.25</v>
      </c>
      <c r="Q802" s="6">
        <f>INT((ROUND(raw_order_lines!I802*10,0)*ROUND(raw_order_lines!J802*100,0)+5)/10)/100</f>
        <v>0</v>
      </c>
      <c r="R802" s="6">
        <f t="shared" si="36"/>
        <v>15.25</v>
      </c>
      <c r="S802" s="2" t="str">
        <f>IF(OR(ROUND(raw_order_lines!I802*10,0)&gt;ROUND(raw_order_lines!H802*10,0),ROUND(raw_order_lines!H802*10,0)&gt;ROUND(raw_order_lines!G802*10,0),ROUND(raw_order_lines!G802*10,0)&lt;=0),"数量关系异常","")</f>
        <v/>
      </c>
      <c r="T802" s="2" t="str">
        <f>IF($F802&lt;&gt;INDEX(dim_products!$D$2:$D$21,MATCH($E802,dim_products!$A$2:$A$21,0)),"单位不一致","")</f>
        <v/>
      </c>
      <c r="U802" s="2" t="str">
        <f>IF(OR(ROUND(raw_order_lines!J802*100,0)&lt;ROUND(INDEX(dim_products!$F$2:$F$21,MATCH($E802,dim_products!$A$2:$A$21,0))*100,0),ROUND(raw_order_lines!J802*100,0)&gt;ROUND(INDEX(dim_products!$G$2:$G$21,MATCH($E802,dim_products!$A$2:$A$21,0))*100,0)),"单价越界","")</f>
        <v/>
      </c>
      <c r="V802" s="2" t="str">
        <f t="shared" si="37"/>
        <v/>
      </c>
      <c r="W802" s="2" t="str">
        <f t="shared" si="38"/>
        <v>通过</v>
      </c>
    </row>
    <row r="803" spans="1:23" ht="15">
      <c r="A803" s="2" t="str">
        <f>raw_order_lines!A803</f>
        <v>SIM-20260925-C002</v>
      </c>
      <c r="B803" s="2">
        <f>raw_order_lines!B803</f>
        <v>3</v>
      </c>
      <c r="C803" s="2" t="str">
        <f>raw_order_lines!C803</f>
        <v>C002</v>
      </c>
      <c r="D803" s="3">
        <f>raw_order_lines!D803</f>
        <v>46290</v>
      </c>
      <c r="E803" s="2" t="str">
        <f>raw_order_lines!E803</f>
        <v>P009</v>
      </c>
      <c r="F803" s="2" t="str">
        <f>raw_order_lines!F803</f>
        <v>公斤</v>
      </c>
      <c r="G803" s="4">
        <f>raw_order_lines!G803</f>
        <v>6.1</v>
      </c>
      <c r="H803" s="4">
        <f>raw_order_lines!H803</f>
        <v>6.1</v>
      </c>
      <c r="I803" s="4">
        <f>raw_order_lines!I803</f>
        <v>0</v>
      </c>
      <c r="J803" s="5">
        <f>raw_order_lines!J803</f>
        <v>4.9000000000000004</v>
      </c>
      <c r="K803" s="2" t="str">
        <f>raw_order_lines!K803</f>
        <v>正常交付</v>
      </c>
      <c r="L803" s="2" t="str">
        <f>raw_order_lines!L803</f>
        <v>true</v>
      </c>
      <c r="M803" s="2" t="str">
        <f>INDEX(dim_products!$B$2:$B$21,MATCH($E803,dim_products!$A$2:$A$21,0))</f>
        <v>西红柿</v>
      </c>
      <c r="N803" s="2" t="str">
        <f>INDEX(dim_products!$C$2:$C$21,MATCH($E803,dim_products!$A$2:$A$21,0))</f>
        <v>散装鲜菜</v>
      </c>
      <c r="O803" s="2" t="str">
        <f>INDEX(dim_customers!$B$2:$B$7,MATCH($C803,dim_customers!$A$2:$A$7,0))</f>
        <v>模拟_桥头家常菜馆</v>
      </c>
      <c r="P803" s="6">
        <f>INT((ROUND(raw_order_lines!H803*10,0)*ROUND(raw_order_lines!J803*100,0)+5)/10)/100</f>
        <v>29.89</v>
      </c>
      <c r="Q803" s="6">
        <f>INT((ROUND(raw_order_lines!I803*10,0)*ROUND(raw_order_lines!J803*100,0)+5)/10)/100</f>
        <v>0</v>
      </c>
      <c r="R803" s="6">
        <f t="shared" si="36"/>
        <v>29.89</v>
      </c>
      <c r="S803" s="2" t="str">
        <f>IF(OR(ROUND(raw_order_lines!I803*10,0)&gt;ROUND(raw_order_lines!H803*10,0),ROUND(raw_order_lines!H803*10,0)&gt;ROUND(raw_order_lines!G803*10,0),ROUND(raw_order_lines!G803*10,0)&lt;=0),"数量关系异常","")</f>
        <v/>
      </c>
      <c r="T803" s="2" t="str">
        <f>IF($F803&lt;&gt;INDEX(dim_products!$D$2:$D$21,MATCH($E803,dim_products!$A$2:$A$21,0)),"单位不一致","")</f>
        <v/>
      </c>
      <c r="U803" s="2" t="str">
        <f>IF(OR(ROUND(raw_order_lines!J803*100,0)&lt;ROUND(INDEX(dim_products!$F$2:$F$21,MATCH($E803,dim_products!$A$2:$A$21,0))*100,0),ROUND(raw_order_lines!J803*100,0)&gt;ROUND(INDEX(dim_products!$G$2:$G$21,MATCH($E803,dim_products!$A$2:$A$21,0))*100,0)),"单价越界","")</f>
        <v/>
      </c>
      <c r="V803" s="2" t="str">
        <f t="shared" si="37"/>
        <v/>
      </c>
      <c r="W803" s="2" t="str">
        <f t="shared" si="38"/>
        <v>通过</v>
      </c>
    </row>
    <row r="804" spans="1:23" ht="15">
      <c r="A804" s="2" t="str">
        <f>raw_order_lines!A804</f>
        <v>SIM-20260925-C002</v>
      </c>
      <c r="B804" s="2">
        <f>raw_order_lines!B804</f>
        <v>4</v>
      </c>
      <c r="C804" s="2" t="str">
        <f>raw_order_lines!C804</f>
        <v>C002</v>
      </c>
      <c r="D804" s="3">
        <f>raw_order_lines!D804</f>
        <v>46290</v>
      </c>
      <c r="E804" s="2" t="str">
        <f>raw_order_lines!E804</f>
        <v>P013</v>
      </c>
      <c r="F804" s="2" t="str">
        <f>raw_order_lines!F804</f>
        <v>公斤</v>
      </c>
      <c r="G804" s="4">
        <f>raw_order_lines!G804</f>
        <v>9.6999999999999993</v>
      </c>
      <c r="H804" s="4">
        <f>raw_order_lines!H804</f>
        <v>9.6999999999999993</v>
      </c>
      <c r="I804" s="4">
        <f>raw_order_lines!I804</f>
        <v>0</v>
      </c>
      <c r="J804" s="5">
        <f>raw_order_lines!J804</f>
        <v>6.1</v>
      </c>
      <c r="K804" s="2" t="str">
        <f>raw_order_lines!K804</f>
        <v>正常交付</v>
      </c>
      <c r="L804" s="2" t="str">
        <f>raw_order_lines!L804</f>
        <v>true</v>
      </c>
      <c r="M804" s="2" t="str">
        <f>INDEX(dim_products!$B$2:$B$21,MATCH($E804,dim_products!$A$2:$A$21,0))</f>
        <v>豇豆</v>
      </c>
      <c r="N804" s="2" t="str">
        <f>INDEX(dim_products!$C$2:$C$21,MATCH($E804,dim_products!$A$2:$A$21,0))</f>
        <v>散装鲜菜</v>
      </c>
      <c r="O804" s="2" t="str">
        <f>INDEX(dim_customers!$B$2:$B$7,MATCH($C804,dim_customers!$A$2:$A$7,0))</f>
        <v>模拟_桥头家常菜馆</v>
      </c>
      <c r="P804" s="6">
        <f>INT((ROUND(raw_order_lines!H804*10,0)*ROUND(raw_order_lines!J804*100,0)+5)/10)/100</f>
        <v>59.17</v>
      </c>
      <c r="Q804" s="6">
        <f>INT((ROUND(raw_order_lines!I804*10,0)*ROUND(raw_order_lines!J804*100,0)+5)/10)/100</f>
        <v>0</v>
      </c>
      <c r="R804" s="6">
        <f t="shared" si="36"/>
        <v>59.17</v>
      </c>
      <c r="S804" s="2" t="str">
        <f>IF(OR(ROUND(raw_order_lines!I804*10,0)&gt;ROUND(raw_order_lines!H804*10,0),ROUND(raw_order_lines!H804*10,0)&gt;ROUND(raw_order_lines!G804*10,0),ROUND(raw_order_lines!G804*10,0)&lt;=0),"数量关系异常","")</f>
        <v/>
      </c>
      <c r="T804" s="2" t="str">
        <f>IF($F804&lt;&gt;INDEX(dim_products!$D$2:$D$21,MATCH($E804,dim_products!$A$2:$A$21,0)),"单位不一致","")</f>
        <v/>
      </c>
      <c r="U804" s="2" t="str">
        <f>IF(OR(ROUND(raw_order_lines!J804*100,0)&lt;ROUND(INDEX(dim_products!$F$2:$F$21,MATCH($E804,dim_products!$A$2:$A$21,0))*100,0),ROUND(raw_order_lines!J804*100,0)&gt;ROUND(INDEX(dim_products!$G$2:$G$21,MATCH($E804,dim_products!$A$2:$A$21,0))*100,0)),"单价越界","")</f>
        <v/>
      </c>
      <c r="V804" s="2" t="str">
        <f t="shared" si="37"/>
        <v/>
      </c>
      <c r="W804" s="2" t="str">
        <f t="shared" si="38"/>
        <v>通过</v>
      </c>
    </row>
    <row r="805" spans="1:23" ht="15">
      <c r="A805" s="2" t="str">
        <f>raw_order_lines!A805</f>
        <v>SIM-20260925-C002</v>
      </c>
      <c r="B805" s="2">
        <f>raw_order_lines!B805</f>
        <v>5</v>
      </c>
      <c r="C805" s="2" t="str">
        <f>raw_order_lines!C805</f>
        <v>C002</v>
      </c>
      <c r="D805" s="3">
        <f>raw_order_lines!D805</f>
        <v>46290</v>
      </c>
      <c r="E805" s="2" t="str">
        <f>raw_order_lines!E805</f>
        <v>P001</v>
      </c>
      <c r="F805" s="2" t="str">
        <f>raw_order_lines!F805</f>
        <v>公斤</v>
      </c>
      <c r="G805" s="4">
        <f>raw_order_lines!G805</f>
        <v>5.5</v>
      </c>
      <c r="H805" s="4">
        <f>raw_order_lines!H805</f>
        <v>5.5</v>
      </c>
      <c r="I805" s="4">
        <f>raw_order_lines!I805</f>
        <v>0</v>
      </c>
      <c r="J805" s="5">
        <f>raw_order_lines!J805</f>
        <v>3.5</v>
      </c>
      <c r="K805" s="2" t="str">
        <f>raw_order_lines!K805</f>
        <v>正常交付</v>
      </c>
      <c r="L805" s="2" t="str">
        <f>raw_order_lines!L805</f>
        <v>true</v>
      </c>
      <c r="M805" s="2" t="str">
        <f>INDEX(dim_products!$B$2:$B$21,MATCH($E805,dim_products!$A$2:$A$21,0))</f>
        <v>土豆</v>
      </c>
      <c r="N805" s="2" t="str">
        <f>INDEX(dim_products!$C$2:$C$21,MATCH($E805,dim_products!$A$2:$A$21,0))</f>
        <v>散装鲜菜</v>
      </c>
      <c r="O805" s="2" t="str">
        <f>INDEX(dim_customers!$B$2:$B$7,MATCH($C805,dim_customers!$A$2:$A$7,0))</f>
        <v>模拟_桥头家常菜馆</v>
      </c>
      <c r="P805" s="6">
        <f>INT((ROUND(raw_order_lines!H805*10,0)*ROUND(raw_order_lines!J805*100,0)+5)/10)/100</f>
        <v>19.25</v>
      </c>
      <c r="Q805" s="6">
        <f>INT((ROUND(raw_order_lines!I805*10,0)*ROUND(raw_order_lines!J805*100,0)+5)/10)/100</f>
        <v>0</v>
      </c>
      <c r="R805" s="6">
        <f t="shared" si="36"/>
        <v>19.25</v>
      </c>
      <c r="S805" s="2" t="str">
        <f>IF(OR(ROUND(raw_order_lines!I805*10,0)&gt;ROUND(raw_order_lines!H805*10,0),ROUND(raw_order_lines!H805*10,0)&gt;ROUND(raw_order_lines!G805*10,0),ROUND(raw_order_lines!G805*10,0)&lt;=0),"数量关系异常","")</f>
        <v/>
      </c>
      <c r="T805" s="2" t="str">
        <f>IF($F805&lt;&gt;INDEX(dim_products!$D$2:$D$21,MATCH($E805,dim_products!$A$2:$A$21,0)),"单位不一致","")</f>
        <v/>
      </c>
      <c r="U805" s="2" t="str">
        <f>IF(OR(ROUND(raw_order_lines!J805*100,0)&lt;ROUND(INDEX(dim_products!$F$2:$F$21,MATCH($E805,dim_products!$A$2:$A$21,0))*100,0),ROUND(raw_order_lines!J805*100,0)&gt;ROUND(INDEX(dim_products!$G$2:$G$21,MATCH($E805,dim_products!$A$2:$A$21,0))*100,0)),"单价越界","")</f>
        <v/>
      </c>
      <c r="V805" s="2" t="str">
        <f t="shared" si="37"/>
        <v/>
      </c>
      <c r="W805" s="2" t="str">
        <f t="shared" si="38"/>
        <v>通过</v>
      </c>
    </row>
    <row r="806" spans="1:23" ht="15">
      <c r="A806" s="2" t="str">
        <f>raw_order_lines!A806</f>
        <v>SIM-20260925-C002</v>
      </c>
      <c r="B806" s="2">
        <f>raw_order_lines!B806</f>
        <v>6</v>
      </c>
      <c r="C806" s="2" t="str">
        <f>raw_order_lines!C806</f>
        <v>C002</v>
      </c>
      <c r="D806" s="3">
        <f>raw_order_lines!D806</f>
        <v>46290</v>
      </c>
      <c r="E806" s="2" t="str">
        <f>raw_order_lines!E806</f>
        <v>P015</v>
      </c>
      <c r="F806" s="2" t="str">
        <f>raw_order_lines!F806</f>
        <v>公斤</v>
      </c>
      <c r="G806" s="4">
        <f>raw_order_lines!G806</f>
        <v>1</v>
      </c>
      <c r="H806" s="4">
        <f>raw_order_lines!H806</f>
        <v>1</v>
      </c>
      <c r="I806" s="4">
        <f>raw_order_lines!I806</f>
        <v>0</v>
      </c>
      <c r="J806" s="5">
        <f>raw_order_lines!J806</f>
        <v>7.8</v>
      </c>
      <c r="K806" s="2" t="str">
        <f>raw_order_lines!K806</f>
        <v>正常交付</v>
      </c>
      <c r="L806" s="2" t="str">
        <f>raw_order_lines!L806</f>
        <v>true</v>
      </c>
      <c r="M806" s="2" t="str">
        <f>INDEX(dim_products!$B$2:$B$21,MATCH($E806,dim_products!$A$2:$A$21,0))</f>
        <v>小葱</v>
      </c>
      <c r="N806" s="2" t="str">
        <f>INDEX(dim_products!$C$2:$C$21,MATCH($E806,dim_products!$A$2:$A$21,0))</f>
        <v>散装鲜菜</v>
      </c>
      <c r="O806" s="2" t="str">
        <f>INDEX(dim_customers!$B$2:$B$7,MATCH($C806,dim_customers!$A$2:$A$7,0))</f>
        <v>模拟_桥头家常菜馆</v>
      </c>
      <c r="P806" s="6">
        <f>INT((ROUND(raw_order_lines!H806*10,0)*ROUND(raw_order_lines!J806*100,0)+5)/10)/100</f>
        <v>7.8</v>
      </c>
      <c r="Q806" s="6">
        <f>INT((ROUND(raw_order_lines!I806*10,0)*ROUND(raw_order_lines!J806*100,0)+5)/10)/100</f>
        <v>0</v>
      </c>
      <c r="R806" s="6">
        <f t="shared" si="36"/>
        <v>7.8</v>
      </c>
      <c r="S806" s="2" t="str">
        <f>IF(OR(ROUND(raw_order_lines!I806*10,0)&gt;ROUND(raw_order_lines!H806*10,0),ROUND(raw_order_lines!H806*10,0)&gt;ROUND(raw_order_lines!G806*10,0),ROUND(raw_order_lines!G806*10,0)&lt;=0),"数量关系异常","")</f>
        <v/>
      </c>
      <c r="T806" s="2" t="str">
        <f>IF($F806&lt;&gt;INDEX(dim_products!$D$2:$D$21,MATCH($E806,dim_products!$A$2:$A$21,0)),"单位不一致","")</f>
        <v/>
      </c>
      <c r="U806" s="2" t="str">
        <f>IF(OR(ROUND(raw_order_lines!J806*100,0)&lt;ROUND(INDEX(dim_products!$F$2:$F$21,MATCH($E806,dim_products!$A$2:$A$21,0))*100,0),ROUND(raw_order_lines!J806*100,0)&gt;ROUND(INDEX(dim_products!$G$2:$G$21,MATCH($E806,dim_products!$A$2:$A$21,0))*100,0)),"单价越界","")</f>
        <v/>
      </c>
      <c r="V806" s="2" t="str">
        <f t="shared" si="37"/>
        <v/>
      </c>
      <c r="W806" s="2" t="str">
        <f t="shared" si="38"/>
        <v>通过</v>
      </c>
    </row>
    <row r="807" spans="1:23" ht="15">
      <c r="A807" s="2" t="str">
        <f>raw_order_lines!A807</f>
        <v>SIM-20260925-C003</v>
      </c>
      <c r="B807" s="2">
        <f>raw_order_lines!B807</f>
        <v>1</v>
      </c>
      <c r="C807" s="2" t="str">
        <f>raw_order_lines!C807</f>
        <v>C003</v>
      </c>
      <c r="D807" s="3">
        <f>raw_order_lines!D807</f>
        <v>46290</v>
      </c>
      <c r="E807" s="2" t="str">
        <f>raw_order_lines!E807</f>
        <v>P010</v>
      </c>
      <c r="F807" s="2" t="str">
        <f>raw_order_lines!F807</f>
        <v>公斤</v>
      </c>
      <c r="G807" s="4">
        <f>raw_order_lines!G807</f>
        <v>4.5999999999999996</v>
      </c>
      <c r="H807" s="4">
        <f>raw_order_lines!H807</f>
        <v>4.5999999999999996</v>
      </c>
      <c r="I807" s="4">
        <f>raw_order_lines!I807</f>
        <v>0</v>
      </c>
      <c r="J807" s="5">
        <f>raw_order_lines!J807</f>
        <v>4.9000000000000004</v>
      </c>
      <c r="K807" s="2" t="str">
        <f>raw_order_lines!K807</f>
        <v>正常交付</v>
      </c>
      <c r="L807" s="2" t="str">
        <f>raw_order_lines!L807</f>
        <v>true</v>
      </c>
      <c r="M807" s="2" t="str">
        <f>INDEX(dim_products!$B$2:$B$21,MATCH($E807,dim_products!$A$2:$A$21,0))</f>
        <v>空心菜</v>
      </c>
      <c r="N807" s="2" t="str">
        <f>INDEX(dim_products!$C$2:$C$21,MATCH($E807,dim_products!$A$2:$A$21,0))</f>
        <v>散装鲜菜</v>
      </c>
      <c r="O807" s="2" t="str">
        <f>INDEX(dim_customers!$B$2:$B$7,MATCH($C807,dim_customers!$A$2:$A$7,0))</f>
        <v>模拟_兴街快餐店</v>
      </c>
      <c r="P807" s="6">
        <f>INT((ROUND(raw_order_lines!H807*10,0)*ROUND(raw_order_lines!J807*100,0)+5)/10)/100</f>
        <v>22.54</v>
      </c>
      <c r="Q807" s="6">
        <f>INT((ROUND(raw_order_lines!I807*10,0)*ROUND(raw_order_lines!J807*100,0)+5)/10)/100</f>
        <v>0</v>
      </c>
      <c r="R807" s="6">
        <f t="shared" si="36"/>
        <v>22.54</v>
      </c>
      <c r="S807" s="2" t="str">
        <f>IF(OR(ROUND(raw_order_lines!I807*10,0)&gt;ROUND(raw_order_lines!H807*10,0),ROUND(raw_order_lines!H807*10,0)&gt;ROUND(raw_order_lines!G807*10,0),ROUND(raw_order_lines!G807*10,0)&lt;=0),"数量关系异常","")</f>
        <v/>
      </c>
      <c r="T807" s="2" t="str">
        <f>IF($F807&lt;&gt;INDEX(dim_products!$D$2:$D$21,MATCH($E807,dim_products!$A$2:$A$21,0)),"单位不一致","")</f>
        <v/>
      </c>
      <c r="U807" s="2" t="str">
        <f>IF(OR(ROUND(raw_order_lines!J807*100,0)&lt;ROUND(INDEX(dim_products!$F$2:$F$21,MATCH($E807,dim_products!$A$2:$A$21,0))*100,0),ROUND(raw_order_lines!J807*100,0)&gt;ROUND(INDEX(dim_products!$G$2:$G$21,MATCH($E807,dim_products!$A$2:$A$21,0))*100,0)),"单价越界","")</f>
        <v/>
      </c>
      <c r="V807" s="2" t="str">
        <f t="shared" si="37"/>
        <v/>
      </c>
      <c r="W807" s="2" t="str">
        <f t="shared" si="38"/>
        <v>通过</v>
      </c>
    </row>
    <row r="808" spans="1:23" ht="15">
      <c r="A808" s="2" t="str">
        <f>raw_order_lines!A808</f>
        <v>SIM-20260925-C003</v>
      </c>
      <c r="B808" s="2">
        <f>raw_order_lines!B808</f>
        <v>2</v>
      </c>
      <c r="C808" s="2" t="str">
        <f>raw_order_lines!C808</f>
        <v>C003</v>
      </c>
      <c r="D808" s="3">
        <f>raw_order_lines!D808</f>
        <v>46290</v>
      </c>
      <c r="E808" s="2" t="str">
        <f>raw_order_lines!E808</f>
        <v>P005</v>
      </c>
      <c r="F808" s="2" t="str">
        <f>raw_order_lines!F808</f>
        <v>公斤</v>
      </c>
      <c r="G808" s="4">
        <f>raw_order_lines!G808</f>
        <v>8.6</v>
      </c>
      <c r="H808" s="4">
        <f>raw_order_lines!H808</f>
        <v>8.6</v>
      </c>
      <c r="I808" s="4">
        <f>raw_order_lines!I808</f>
        <v>0</v>
      </c>
      <c r="J808" s="5">
        <f>raw_order_lines!J808</f>
        <v>2.7</v>
      </c>
      <c r="K808" s="2" t="str">
        <f>raw_order_lines!K808</f>
        <v>正常交付</v>
      </c>
      <c r="L808" s="2" t="str">
        <f>raw_order_lines!L808</f>
        <v>true</v>
      </c>
      <c r="M808" s="2" t="str">
        <f>INDEX(dim_products!$B$2:$B$21,MATCH($E808,dim_products!$A$2:$A$21,0))</f>
        <v>南瓜</v>
      </c>
      <c r="N808" s="2" t="str">
        <f>INDEX(dim_products!$C$2:$C$21,MATCH($E808,dim_products!$A$2:$A$21,0))</f>
        <v>散装鲜菜</v>
      </c>
      <c r="O808" s="2" t="str">
        <f>INDEX(dim_customers!$B$2:$B$7,MATCH($C808,dim_customers!$A$2:$A$7,0))</f>
        <v>模拟_兴街快餐店</v>
      </c>
      <c r="P808" s="6">
        <f>INT((ROUND(raw_order_lines!H808*10,0)*ROUND(raw_order_lines!J808*100,0)+5)/10)/100</f>
        <v>23.22</v>
      </c>
      <c r="Q808" s="6">
        <f>INT((ROUND(raw_order_lines!I808*10,0)*ROUND(raw_order_lines!J808*100,0)+5)/10)/100</f>
        <v>0</v>
      </c>
      <c r="R808" s="6">
        <f t="shared" si="36"/>
        <v>23.22</v>
      </c>
      <c r="S808" s="2" t="str">
        <f>IF(OR(ROUND(raw_order_lines!I808*10,0)&gt;ROUND(raw_order_lines!H808*10,0),ROUND(raw_order_lines!H808*10,0)&gt;ROUND(raw_order_lines!G808*10,0),ROUND(raw_order_lines!G808*10,0)&lt;=0),"数量关系异常","")</f>
        <v/>
      </c>
      <c r="T808" s="2" t="str">
        <f>IF($F808&lt;&gt;INDEX(dim_products!$D$2:$D$21,MATCH($E808,dim_products!$A$2:$A$21,0)),"单位不一致","")</f>
        <v/>
      </c>
      <c r="U808" s="2" t="str">
        <f>IF(OR(ROUND(raw_order_lines!J808*100,0)&lt;ROUND(INDEX(dim_products!$F$2:$F$21,MATCH($E808,dim_products!$A$2:$A$21,0))*100,0),ROUND(raw_order_lines!J808*100,0)&gt;ROUND(INDEX(dim_products!$G$2:$G$21,MATCH($E808,dim_products!$A$2:$A$21,0))*100,0)),"单价越界","")</f>
        <v/>
      </c>
      <c r="V808" s="2" t="str">
        <f t="shared" si="37"/>
        <v/>
      </c>
      <c r="W808" s="2" t="str">
        <f t="shared" si="38"/>
        <v>通过</v>
      </c>
    </row>
    <row r="809" spans="1:23" ht="15">
      <c r="A809" s="2" t="str">
        <f>raw_order_lines!A809</f>
        <v>SIM-20260925-C003</v>
      </c>
      <c r="B809" s="2">
        <f>raw_order_lines!B809</f>
        <v>3</v>
      </c>
      <c r="C809" s="2" t="str">
        <f>raw_order_lines!C809</f>
        <v>C003</v>
      </c>
      <c r="D809" s="3">
        <f>raw_order_lines!D809</f>
        <v>46290</v>
      </c>
      <c r="E809" s="2" t="str">
        <f>raw_order_lines!E809</f>
        <v>P003</v>
      </c>
      <c r="F809" s="2" t="str">
        <f>raw_order_lines!F809</f>
        <v>公斤</v>
      </c>
      <c r="G809" s="4">
        <f>raw_order_lines!G809</f>
        <v>9.9</v>
      </c>
      <c r="H809" s="4">
        <f>raw_order_lines!H809</f>
        <v>9.9</v>
      </c>
      <c r="I809" s="4">
        <f>raw_order_lines!I809</f>
        <v>0</v>
      </c>
      <c r="J809" s="5">
        <f>raw_order_lines!J809</f>
        <v>2.9</v>
      </c>
      <c r="K809" s="2" t="str">
        <f>raw_order_lines!K809</f>
        <v>正常交付</v>
      </c>
      <c r="L809" s="2" t="str">
        <f>raw_order_lines!L809</f>
        <v>true</v>
      </c>
      <c r="M809" s="2" t="str">
        <f>INDEX(dim_products!$B$2:$B$21,MATCH($E809,dim_products!$A$2:$A$21,0))</f>
        <v>包菜</v>
      </c>
      <c r="N809" s="2" t="str">
        <f>INDEX(dim_products!$C$2:$C$21,MATCH($E809,dim_products!$A$2:$A$21,0))</f>
        <v>散装鲜菜</v>
      </c>
      <c r="O809" s="2" t="str">
        <f>INDEX(dim_customers!$B$2:$B$7,MATCH($C809,dim_customers!$A$2:$A$7,0))</f>
        <v>模拟_兴街快餐店</v>
      </c>
      <c r="P809" s="6">
        <f>INT((ROUND(raw_order_lines!H809*10,0)*ROUND(raw_order_lines!J809*100,0)+5)/10)/100</f>
        <v>28.71</v>
      </c>
      <c r="Q809" s="6">
        <f>INT((ROUND(raw_order_lines!I809*10,0)*ROUND(raw_order_lines!J809*100,0)+5)/10)/100</f>
        <v>0</v>
      </c>
      <c r="R809" s="6">
        <f t="shared" si="36"/>
        <v>28.71</v>
      </c>
      <c r="S809" s="2" t="str">
        <f>IF(OR(ROUND(raw_order_lines!I809*10,0)&gt;ROUND(raw_order_lines!H809*10,0),ROUND(raw_order_lines!H809*10,0)&gt;ROUND(raw_order_lines!G809*10,0),ROUND(raw_order_lines!G809*10,0)&lt;=0),"数量关系异常","")</f>
        <v/>
      </c>
      <c r="T809" s="2" t="str">
        <f>IF($F809&lt;&gt;INDEX(dim_products!$D$2:$D$21,MATCH($E809,dim_products!$A$2:$A$21,0)),"单位不一致","")</f>
        <v/>
      </c>
      <c r="U809" s="2" t="str">
        <f>IF(OR(ROUND(raw_order_lines!J809*100,0)&lt;ROUND(INDEX(dim_products!$F$2:$F$21,MATCH($E809,dim_products!$A$2:$A$21,0))*100,0),ROUND(raw_order_lines!J809*100,0)&gt;ROUND(INDEX(dim_products!$G$2:$G$21,MATCH($E809,dim_products!$A$2:$A$21,0))*100,0)),"单价越界","")</f>
        <v/>
      </c>
      <c r="V809" s="2" t="str">
        <f t="shared" si="37"/>
        <v/>
      </c>
      <c r="W809" s="2" t="str">
        <f t="shared" si="38"/>
        <v>通过</v>
      </c>
    </row>
    <row r="810" spans="1:23" ht="15">
      <c r="A810" s="2" t="str">
        <f>raw_order_lines!A810</f>
        <v>SIM-20260925-C003</v>
      </c>
      <c r="B810" s="2">
        <f>raw_order_lines!B810</f>
        <v>4</v>
      </c>
      <c r="C810" s="2" t="str">
        <f>raw_order_lines!C810</f>
        <v>C003</v>
      </c>
      <c r="D810" s="3">
        <f>raw_order_lines!D810</f>
        <v>46290</v>
      </c>
      <c r="E810" s="2" t="str">
        <f>raw_order_lines!E810</f>
        <v>P013</v>
      </c>
      <c r="F810" s="2" t="str">
        <f>raw_order_lines!F810</f>
        <v>公斤</v>
      </c>
      <c r="G810" s="4">
        <f>raw_order_lines!G810</f>
        <v>6.6</v>
      </c>
      <c r="H810" s="4">
        <f>raw_order_lines!H810</f>
        <v>6.6</v>
      </c>
      <c r="I810" s="4">
        <f>raw_order_lines!I810</f>
        <v>0</v>
      </c>
      <c r="J810" s="5">
        <f>raw_order_lines!J810</f>
        <v>6.1</v>
      </c>
      <c r="K810" s="2" t="str">
        <f>raw_order_lines!K810</f>
        <v>正常交付</v>
      </c>
      <c r="L810" s="2" t="str">
        <f>raw_order_lines!L810</f>
        <v>true</v>
      </c>
      <c r="M810" s="2" t="str">
        <f>INDEX(dim_products!$B$2:$B$21,MATCH($E810,dim_products!$A$2:$A$21,0))</f>
        <v>豇豆</v>
      </c>
      <c r="N810" s="2" t="str">
        <f>INDEX(dim_products!$C$2:$C$21,MATCH($E810,dim_products!$A$2:$A$21,0))</f>
        <v>散装鲜菜</v>
      </c>
      <c r="O810" s="2" t="str">
        <f>INDEX(dim_customers!$B$2:$B$7,MATCH($C810,dim_customers!$A$2:$A$7,0))</f>
        <v>模拟_兴街快餐店</v>
      </c>
      <c r="P810" s="6">
        <f>INT((ROUND(raw_order_lines!H810*10,0)*ROUND(raw_order_lines!J810*100,0)+5)/10)/100</f>
        <v>40.26</v>
      </c>
      <c r="Q810" s="6">
        <f>INT((ROUND(raw_order_lines!I810*10,0)*ROUND(raw_order_lines!J810*100,0)+5)/10)/100</f>
        <v>0</v>
      </c>
      <c r="R810" s="6">
        <f t="shared" si="36"/>
        <v>40.26</v>
      </c>
      <c r="S810" s="2" t="str">
        <f>IF(OR(ROUND(raw_order_lines!I810*10,0)&gt;ROUND(raw_order_lines!H810*10,0),ROUND(raw_order_lines!H810*10,0)&gt;ROUND(raw_order_lines!G810*10,0),ROUND(raw_order_lines!G810*10,0)&lt;=0),"数量关系异常","")</f>
        <v/>
      </c>
      <c r="T810" s="2" t="str">
        <f>IF($F810&lt;&gt;INDEX(dim_products!$D$2:$D$21,MATCH($E810,dim_products!$A$2:$A$21,0)),"单位不一致","")</f>
        <v/>
      </c>
      <c r="U810" s="2" t="str">
        <f>IF(OR(ROUND(raw_order_lines!J810*100,0)&lt;ROUND(INDEX(dim_products!$F$2:$F$21,MATCH($E810,dim_products!$A$2:$A$21,0))*100,0),ROUND(raw_order_lines!J810*100,0)&gt;ROUND(INDEX(dim_products!$G$2:$G$21,MATCH($E810,dim_products!$A$2:$A$21,0))*100,0)),"单价越界","")</f>
        <v/>
      </c>
      <c r="V810" s="2" t="str">
        <f t="shared" si="37"/>
        <v/>
      </c>
      <c r="W810" s="2" t="str">
        <f t="shared" si="38"/>
        <v>通过</v>
      </c>
    </row>
    <row r="811" spans="1:23" ht="15">
      <c r="A811" s="2" t="str">
        <f>raw_order_lines!A811</f>
        <v>SIM-20260925-C003</v>
      </c>
      <c r="B811" s="2">
        <f>raw_order_lines!B811</f>
        <v>5</v>
      </c>
      <c r="C811" s="2" t="str">
        <f>raw_order_lines!C811</f>
        <v>C003</v>
      </c>
      <c r="D811" s="3">
        <f>raw_order_lines!D811</f>
        <v>46290</v>
      </c>
      <c r="E811" s="2" t="str">
        <f>raw_order_lines!E811</f>
        <v>P006</v>
      </c>
      <c r="F811" s="2" t="str">
        <f>raw_order_lines!F811</f>
        <v>公斤</v>
      </c>
      <c r="G811" s="4">
        <f>raw_order_lines!G811</f>
        <v>9.1999999999999993</v>
      </c>
      <c r="H811" s="4">
        <f>raw_order_lines!H811</f>
        <v>9.1999999999999993</v>
      </c>
      <c r="I811" s="4">
        <f>raw_order_lines!I811</f>
        <v>0</v>
      </c>
      <c r="J811" s="5">
        <f>raw_order_lines!J811</f>
        <v>4.5999999999999996</v>
      </c>
      <c r="K811" s="2" t="str">
        <f>raw_order_lines!K811</f>
        <v>正常交付</v>
      </c>
      <c r="L811" s="2" t="str">
        <f>raw_order_lines!L811</f>
        <v>true</v>
      </c>
      <c r="M811" s="2" t="str">
        <f>INDEX(dim_products!$B$2:$B$21,MATCH($E811,dim_products!$A$2:$A$21,0))</f>
        <v>茄子</v>
      </c>
      <c r="N811" s="2" t="str">
        <f>INDEX(dim_products!$C$2:$C$21,MATCH($E811,dim_products!$A$2:$A$21,0))</f>
        <v>散装鲜菜</v>
      </c>
      <c r="O811" s="2" t="str">
        <f>INDEX(dim_customers!$B$2:$B$7,MATCH($C811,dim_customers!$A$2:$A$7,0))</f>
        <v>模拟_兴街快餐店</v>
      </c>
      <c r="P811" s="6">
        <f>INT((ROUND(raw_order_lines!H811*10,0)*ROUND(raw_order_lines!J811*100,0)+5)/10)/100</f>
        <v>42.32</v>
      </c>
      <c r="Q811" s="6">
        <f>INT((ROUND(raw_order_lines!I811*10,0)*ROUND(raw_order_lines!J811*100,0)+5)/10)/100</f>
        <v>0</v>
      </c>
      <c r="R811" s="6">
        <f t="shared" si="36"/>
        <v>42.32</v>
      </c>
      <c r="S811" s="2" t="str">
        <f>IF(OR(ROUND(raw_order_lines!I811*10,0)&gt;ROUND(raw_order_lines!H811*10,0),ROUND(raw_order_lines!H811*10,0)&gt;ROUND(raw_order_lines!G811*10,0),ROUND(raw_order_lines!G811*10,0)&lt;=0),"数量关系异常","")</f>
        <v/>
      </c>
      <c r="T811" s="2" t="str">
        <f>IF($F811&lt;&gt;INDEX(dim_products!$D$2:$D$21,MATCH($E811,dim_products!$A$2:$A$21,0)),"单位不一致","")</f>
        <v/>
      </c>
      <c r="U811" s="2" t="str">
        <f>IF(OR(ROUND(raw_order_lines!J811*100,0)&lt;ROUND(INDEX(dim_products!$F$2:$F$21,MATCH($E811,dim_products!$A$2:$A$21,0))*100,0),ROUND(raw_order_lines!J811*100,0)&gt;ROUND(INDEX(dim_products!$G$2:$G$21,MATCH($E811,dim_products!$A$2:$A$21,0))*100,0)),"单价越界","")</f>
        <v/>
      </c>
      <c r="V811" s="2" t="str">
        <f t="shared" si="37"/>
        <v/>
      </c>
      <c r="W811" s="2" t="str">
        <f t="shared" si="38"/>
        <v>通过</v>
      </c>
    </row>
    <row r="812" spans="1:23" ht="15">
      <c r="A812" s="2" t="str">
        <f>raw_order_lines!A812</f>
        <v>SIM-20260925-C003</v>
      </c>
      <c r="B812" s="2">
        <f>raw_order_lines!B812</f>
        <v>6</v>
      </c>
      <c r="C812" s="2" t="str">
        <f>raw_order_lines!C812</f>
        <v>C003</v>
      </c>
      <c r="D812" s="3">
        <f>raw_order_lines!D812</f>
        <v>46290</v>
      </c>
      <c r="E812" s="2" t="str">
        <f>raw_order_lines!E812</f>
        <v>P014</v>
      </c>
      <c r="F812" s="2" t="str">
        <f>raw_order_lines!F812</f>
        <v>公斤</v>
      </c>
      <c r="G812" s="4">
        <f>raw_order_lines!G812</f>
        <v>7.3</v>
      </c>
      <c r="H812" s="4">
        <f>raw_order_lines!H812</f>
        <v>7.3</v>
      </c>
      <c r="I812" s="4">
        <f>raw_order_lines!I812</f>
        <v>0</v>
      </c>
      <c r="J812" s="5">
        <f>raw_order_lines!J812</f>
        <v>4.9000000000000004</v>
      </c>
      <c r="K812" s="2" t="str">
        <f>raw_order_lines!K812</f>
        <v>正常交付</v>
      </c>
      <c r="L812" s="2" t="str">
        <f>raw_order_lines!L812</f>
        <v>true</v>
      </c>
      <c r="M812" s="2" t="str">
        <f>INDEX(dim_products!$B$2:$B$21,MATCH($E812,dim_products!$A$2:$A$21,0))</f>
        <v>丝瓜</v>
      </c>
      <c r="N812" s="2" t="str">
        <f>INDEX(dim_products!$C$2:$C$21,MATCH($E812,dim_products!$A$2:$A$21,0))</f>
        <v>散装鲜菜</v>
      </c>
      <c r="O812" s="2" t="str">
        <f>INDEX(dim_customers!$B$2:$B$7,MATCH($C812,dim_customers!$A$2:$A$7,0))</f>
        <v>模拟_兴街快餐店</v>
      </c>
      <c r="P812" s="6">
        <f>INT((ROUND(raw_order_lines!H812*10,0)*ROUND(raw_order_lines!J812*100,0)+5)/10)/100</f>
        <v>35.770000000000003</v>
      </c>
      <c r="Q812" s="6">
        <f>INT((ROUND(raw_order_lines!I812*10,0)*ROUND(raw_order_lines!J812*100,0)+5)/10)/100</f>
        <v>0</v>
      </c>
      <c r="R812" s="6">
        <f t="shared" si="36"/>
        <v>35.770000000000003</v>
      </c>
      <c r="S812" s="2" t="str">
        <f>IF(OR(ROUND(raw_order_lines!I812*10,0)&gt;ROUND(raw_order_lines!H812*10,0),ROUND(raw_order_lines!H812*10,0)&gt;ROUND(raw_order_lines!G812*10,0),ROUND(raw_order_lines!G812*10,0)&lt;=0),"数量关系异常","")</f>
        <v/>
      </c>
      <c r="T812" s="2" t="str">
        <f>IF($F812&lt;&gt;INDEX(dim_products!$D$2:$D$21,MATCH($E812,dim_products!$A$2:$A$21,0)),"单位不一致","")</f>
        <v/>
      </c>
      <c r="U812" s="2" t="str">
        <f>IF(OR(ROUND(raw_order_lines!J812*100,0)&lt;ROUND(INDEX(dim_products!$F$2:$F$21,MATCH($E812,dim_products!$A$2:$A$21,0))*100,0),ROUND(raw_order_lines!J812*100,0)&gt;ROUND(INDEX(dim_products!$G$2:$G$21,MATCH($E812,dim_products!$A$2:$A$21,0))*100,0)),"单价越界","")</f>
        <v/>
      </c>
      <c r="V812" s="2" t="str">
        <f t="shared" si="37"/>
        <v/>
      </c>
      <c r="W812" s="2" t="str">
        <f t="shared" si="38"/>
        <v>通过</v>
      </c>
    </row>
    <row r="813" spans="1:23" ht="15">
      <c r="A813" s="2" t="str">
        <f>raw_order_lines!A813</f>
        <v>SIM-20260925-C003</v>
      </c>
      <c r="B813" s="2">
        <f>raw_order_lines!B813</f>
        <v>7</v>
      </c>
      <c r="C813" s="2" t="str">
        <f>raw_order_lines!C813</f>
        <v>C003</v>
      </c>
      <c r="D813" s="3">
        <f>raw_order_lines!D813</f>
        <v>46290</v>
      </c>
      <c r="E813" s="2" t="str">
        <f>raw_order_lines!E813</f>
        <v>P015</v>
      </c>
      <c r="F813" s="2" t="str">
        <f>raw_order_lines!F813</f>
        <v>公斤</v>
      </c>
      <c r="G813" s="4">
        <f>raw_order_lines!G813</f>
        <v>1</v>
      </c>
      <c r="H813" s="4">
        <f>raw_order_lines!H813</f>
        <v>1</v>
      </c>
      <c r="I813" s="4">
        <f>raw_order_lines!I813</f>
        <v>0</v>
      </c>
      <c r="J813" s="5">
        <f>raw_order_lines!J813</f>
        <v>7.8</v>
      </c>
      <c r="K813" s="2" t="str">
        <f>raw_order_lines!K813</f>
        <v>正常交付</v>
      </c>
      <c r="L813" s="2" t="str">
        <f>raw_order_lines!L813</f>
        <v>true</v>
      </c>
      <c r="M813" s="2" t="str">
        <f>INDEX(dim_products!$B$2:$B$21,MATCH($E813,dim_products!$A$2:$A$21,0))</f>
        <v>小葱</v>
      </c>
      <c r="N813" s="2" t="str">
        <f>INDEX(dim_products!$C$2:$C$21,MATCH($E813,dim_products!$A$2:$A$21,0))</f>
        <v>散装鲜菜</v>
      </c>
      <c r="O813" s="2" t="str">
        <f>INDEX(dim_customers!$B$2:$B$7,MATCH($C813,dim_customers!$A$2:$A$7,0))</f>
        <v>模拟_兴街快餐店</v>
      </c>
      <c r="P813" s="6">
        <f>INT((ROUND(raw_order_lines!H813*10,0)*ROUND(raw_order_lines!J813*100,0)+5)/10)/100</f>
        <v>7.8</v>
      </c>
      <c r="Q813" s="6">
        <f>INT((ROUND(raw_order_lines!I813*10,0)*ROUND(raw_order_lines!J813*100,0)+5)/10)/100</f>
        <v>0</v>
      </c>
      <c r="R813" s="6">
        <f t="shared" si="36"/>
        <v>7.8</v>
      </c>
      <c r="S813" s="2" t="str">
        <f>IF(OR(ROUND(raw_order_lines!I813*10,0)&gt;ROUND(raw_order_lines!H813*10,0),ROUND(raw_order_lines!H813*10,0)&gt;ROUND(raw_order_lines!G813*10,0),ROUND(raw_order_lines!G813*10,0)&lt;=0),"数量关系异常","")</f>
        <v/>
      </c>
      <c r="T813" s="2" t="str">
        <f>IF($F813&lt;&gt;INDEX(dim_products!$D$2:$D$21,MATCH($E813,dim_products!$A$2:$A$21,0)),"单位不一致","")</f>
        <v/>
      </c>
      <c r="U813" s="2" t="str">
        <f>IF(OR(ROUND(raw_order_lines!J813*100,0)&lt;ROUND(INDEX(dim_products!$F$2:$F$21,MATCH($E813,dim_products!$A$2:$A$21,0))*100,0),ROUND(raw_order_lines!J813*100,0)&gt;ROUND(INDEX(dim_products!$G$2:$G$21,MATCH($E813,dim_products!$A$2:$A$21,0))*100,0)),"单价越界","")</f>
        <v/>
      </c>
      <c r="V813" s="2" t="str">
        <f t="shared" si="37"/>
        <v/>
      </c>
      <c r="W813" s="2" t="str">
        <f t="shared" si="38"/>
        <v>通过</v>
      </c>
    </row>
    <row r="814" spans="1:23" ht="15">
      <c r="A814" s="2" t="str">
        <f>raw_order_lines!A814</f>
        <v>SIM-20260925-C006</v>
      </c>
      <c r="B814" s="2">
        <f>raw_order_lines!B814</f>
        <v>1</v>
      </c>
      <c r="C814" s="2" t="str">
        <f>raw_order_lines!C814</f>
        <v>C006</v>
      </c>
      <c r="D814" s="3">
        <f>raw_order_lines!D814</f>
        <v>46290</v>
      </c>
      <c r="E814" s="2" t="str">
        <f>raw_order_lines!E814</f>
        <v>P012</v>
      </c>
      <c r="F814" s="2" t="str">
        <f>raw_order_lines!F814</f>
        <v>公斤</v>
      </c>
      <c r="G814" s="4">
        <f>raw_order_lines!G814</f>
        <v>9.1</v>
      </c>
      <c r="H814" s="4">
        <f>raw_order_lines!H814</f>
        <v>9.1</v>
      </c>
      <c r="I814" s="4">
        <f>raw_order_lines!I814</f>
        <v>0</v>
      </c>
      <c r="J814" s="5">
        <f>raw_order_lines!J814</f>
        <v>5</v>
      </c>
      <c r="K814" s="2" t="str">
        <f>raw_order_lines!K814</f>
        <v>正常交付</v>
      </c>
      <c r="L814" s="2" t="str">
        <f>raw_order_lines!L814</f>
        <v>true</v>
      </c>
      <c r="M814" s="2" t="str">
        <f>INDEX(dim_products!$B$2:$B$21,MATCH($E814,dim_products!$A$2:$A$21,0))</f>
        <v>小白菜</v>
      </c>
      <c r="N814" s="2" t="str">
        <f>INDEX(dim_products!$C$2:$C$21,MATCH($E814,dim_products!$A$2:$A$21,0))</f>
        <v>散装鲜菜</v>
      </c>
      <c r="O814" s="2" t="str">
        <f>INDEX(dim_customers!$B$2:$B$7,MATCH($C814,dim_customers!$A$2:$A$7,0))</f>
        <v>模拟_溪桥医院食堂</v>
      </c>
      <c r="P814" s="6">
        <f>INT((ROUND(raw_order_lines!H814*10,0)*ROUND(raw_order_lines!J814*100,0)+5)/10)/100</f>
        <v>45.5</v>
      </c>
      <c r="Q814" s="6">
        <f>INT((ROUND(raw_order_lines!I814*10,0)*ROUND(raw_order_lines!J814*100,0)+5)/10)/100</f>
        <v>0</v>
      </c>
      <c r="R814" s="6">
        <f t="shared" si="36"/>
        <v>45.5</v>
      </c>
      <c r="S814" s="2" t="str">
        <f>IF(OR(ROUND(raw_order_lines!I814*10,0)&gt;ROUND(raw_order_lines!H814*10,0),ROUND(raw_order_lines!H814*10,0)&gt;ROUND(raw_order_lines!G814*10,0),ROUND(raw_order_lines!G814*10,0)&lt;=0),"数量关系异常","")</f>
        <v/>
      </c>
      <c r="T814" s="2" t="str">
        <f>IF($F814&lt;&gt;INDEX(dim_products!$D$2:$D$21,MATCH($E814,dim_products!$A$2:$A$21,0)),"单位不一致","")</f>
        <v/>
      </c>
      <c r="U814" s="2" t="str">
        <f>IF(OR(ROUND(raw_order_lines!J814*100,0)&lt;ROUND(INDEX(dim_products!$F$2:$F$21,MATCH($E814,dim_products!$A$2:$A$21,0))*100,0),ROUND(raw_order_lines!J814*100,0)&gt;ROUND(INDEX(dim_products!$G$2:$G$21,MATCH($E814,dim_products!$A$2:$A$21,0))*100,0)),"单价越界","")</f>
        <v/>
      </c>
      <c r="V814" s="2" t="str">
        <f t="shared" si="37"/>
        <v/>
      </c>
      <c r="W814" s="2" t="str">
        <f t="shared" si="38"/>
        <v>通过</v>
      </c>
    </row>
    <row r="815" spans="1:23" ht="15">
      <c r="A815" s="2" t="str">
        <f>raw_order_lines!A815</f>
        <v>SIM-20260925-C006</v>
      </c>
      <c r="B815" s="2">
        <f>raw_order_lines!B815</f>
        <v>2</v>
      </c>
      <c r="C815" s="2" t="str">
        <f>raw_order_lines!C815</f>
        <v>C006</v>
      </c>
      <c r="D815" s="3">
        <f>raw_order_lines!D815</f>
        <v>46290</v>
      </c>
      <c r="E815" s="2" t="str">
        <f>raw_order_lines!E815</f>
        <v>P009</v>
      </c>
      <c r="F815" s="2" t="str">
        <f>raw_order_lines!F815</f>
        <v>公斤</v>
      </c>
      <c r="G815" s="4">
        <f>raw_order_lines!G815</f>
        <v>5.9</v>
      </c>
      <c r="H815" s="4">
        <f>raw_order_lines!H815</f>
        <v>5.9</v>
      </c>
      <c r="I815" s="4">
        <f>raw_order_lines!I815</f>
        <v>0</v>
      </c>
      <c r="J815" s="5">
        <f>raw_order_lines!J815</f>
        <v>4.9000000000000004</v>
      </c>
      <c r="K815" s="2" t="str">
        <f>raw_order_lines!K815</f>
        <v>正常交付</v>
      </c>
      <c r="L815" s="2" t="str">
        <f>raw_order_lines!L815</f>
        <v>true</v>
      </c>
      <c r="M815" s="2" t="str">
        <f>INDEX(dim_products!$B$2:$B$21,MATCH($E815,dim_products!$A$2:$A$21,0))</f>
        <v>西红柿</v>
      </c>
      <c r="N815" s="2" t="str">
        <f>INDEX(dim_products!$C$2:$C$21,MATCH($E815,dim_products!$A$2:$A$21,0))</f>
        <v>散装鲜菜</v>
      </c>
      <c r="O815" s="2" t="str">
        <f>INDEX(dim_customers!$B$2:$B$7,MATCH($C815,dim_customers!$A$2:$A$7,0))</f>
        <v>模拟_溪桥医院食堂</v>
      </c>
      <c r="P815" s="6">
        <f>INT((ROUND(raw_order_lines!H815*10,0)*ROUND(raw_order_lines!J815*100,0)+5)/10)/100</f>
        <v>28.91</v>
      </c>
      <c r="Q815" s="6">
        <f>INT((ROUND(raw_order_lines!I815*10,0)*ROUND(raw_order_lines!J815*100,0)+5)/10)/100</f>
        <v>0</v>
      </c>
      <c r="R815" s="6">
        <f t="shared" si="36"/>
        <v>28.91</v>
      </c>
      <c r="S815" s="2" t="str">
        <f>IF(OR(ROUND(raw_order_lines!I815*10,0)&gt;ROUND(raw_order_lines!H815*10,0),ROUND(raw_order_lines!H815*10,0)&gt;ROUND(raw_order_lines!G815*10,0),ROUND(raw_order_lines!G815*10,0)&lt;=0),"数量关系异常","")</f>
        <v/>
      </c>
      <c r="T815" s="2" t="str">
        <f>IF($F815&lt;&gt;INDEX(dim_products!$D$2:$D$21,MATCH($E815,dim_products!$A$2:$A$21,0)),"单位不一致","")</f>
        <v/>
      </c>
      <c r="U815" s="2" t="str">
        <f>IF(OR(ROUND(raw_order_lines!J815*100,0)&lt;ROUND(INDEX(dim_products!$F$2:$F$21,MATCH($E815,dim_products!$A$2:$A$21,0))*100,0),ROUND(raw_order_lines!J815*100,0)&gt;ROUND(INDEX(dim_products!$G$2:$G$21,MATCH($E815,dim_products!$A$2:$A$21,0))*100,0)),"单价越界","")</f>
        <v/>
      </c>
      <c r="V815" s="2" t="str">
        <f t="shared" si="37"/>
        <v/>
      </c>
      <c r="W815" s="2" t="str">
        <f t="shared" si="38"/>
        <v>通过</v>
      </c>
    </row>
    <row r="816" spans="1:23" ht="15">
      <c r="A816" s="2" t="str">
        <f>raw_order_lines!A816</f>
        <v>SIM-20260925-C006</v>
      </c>
      <c r="B816" s="2">
        <f>raw_order_lines!B816</f>
        <v>3</v>
      </c>
      <c r="C816" s="2" t="str">
        <f>raw_order_lines!C816</f>
        <v>C006</v>
      </c>
      <c r="D816" s="3">
        <f>raw_order_lines!D816</f>
        <v>46290</v>
      </c>
      <c r="E816" s="2" t="str">
        <f>raw_order_lines!E816</f>
        <v>P008</v>
      </c>
      <c r="F816" s="2" t="str">
        <f>raw_order_lines!F816</f>
        <v>公斤</v>
      </c>
      <c r="G816" s="4">
        <f>raw_order_lines!G816</f>
        <v>10.4</v>
      </c>
      <c r="H816" s="4">
        <f>raw_order_lines!H816</f>
        <v>10.4</v>
      </c>
      <c r="I816" s="4">
        <f>raw_order_lines!I816</f>
        <v>0</v>
      </c>
      <c r="J816" s="5">
        <f>raw_order_lines!J816</f>
        <v>3.9</v>
      </c>
      <c r="K816" s="2" t="str">
        <f>raw_order_lines!K816</f>
        <v>正常交付</v>
      </c>
      <c r="L816" s="2" t="str">
        <f>raw_order_lines!L816</f>
        <v>true</v>
      </c>
      <c r="M816" s="2" t="str">
        <f>INDEX(dim_products!$B$2:$B$21,MATCH($E816,dim_products!$A$2:$A$21,0))</f>
        <v>黄瓜</v>
      </c>
      <c r="N816" s="2" t="str">
        <f>INDEX(dim_products!$C$2:$C$21,MATCH($E816,dim_products!$A$2:$A$21,0))</f>
        <v>散装鲜菜</v>
      </c>
      <c r="O816" s="2" t="str">
        <f>INDEX(dim_customers!$B$2:$B$7,MATCH($C816,dim_customers!$A$2:$A$7,0))</f>
        <v>模拟_溪桥医院食堂</v>
      </c>
      <c r="P816" s="6">
        <f>INT((ROUND(raw_order_lines!H816*10,0)*ROUND(raw_order_lines!J816*100,0)+5)/10)/100</f>
        <v>40.56</v>
      </c>
      <c r="Q816" s="6">
        <f>INT((ROUND(raw_order_lines!I816*10,0)*ROUND(raw_order_lines!J816*100,0)+5)/10)/100</f>
        <v>0</v>
      </c>
      <c r="R816" s="6">
        <f t="shared" si="36"/>
        <v>40.56</v>
      </c>
      <c r="S816" s="2" t="str">
        <f>IF(OR(ROUND(raw_order_lines!I816*10,0)&gt;ROUND(raw_order_lines!H816*10,0),ROUND(raw_order_lines!H816*10,0)&gt;ROUND(raw_order_lines!G816*10,0),ROUND(raw_order_lines!G816*10,0)&lt;=0),"数量关系异常","")</f>
        <v/>
      </c>
      <c r="T816" s="2" t="str">
        <f>IF($F816&lt;&gt;INDEX(dim_products!$D$2:$D$21,MATCH($E816,dim_products!$A$2:$A$21,0)),"单位不一致","")</f>
        <v/>
      </c>
      <c r="U816" s="2" t="str">
        <f>IF(OR(ROUND(raw_order_lines!J816*100,0)&lt;ROUND(INDEX(dim_products!$F$2:$F$21,MATCH($E816,dim_products!$A$2:$A$21,0))*100,0),ROUND(raw_order_lines!J816*100,0)&gt;ROUND(INDEX(dim_products!$G$2:$G$21,MATCH($E816,dim_products!$A$2:$A$21,0))*100,0)),"单价越界","")</f>
        <v/>
      </c>
      <c r="V816" s="2" t="str">
        <f t="shared" si="37"/>
        <v/>
      </c>
      <c r="W816" s="2" t="str">
        <f t="shared" si="38"/>
        <v>通过</v>
      </c>
    </row>
    <row r="817" spans="1:23" ht="15">
      <c r="A817" s="2" t="str">
        <f>raw_order_lines!A817</f>
        <v>SIM-20260925-C006</v>
      </c>
      <c r="B817" s="2">
        <f>raw_order_lines!B817</f>
        <v>4</v>
      </c>
      <c r="C817" s="2" t="str">
        <f>raw_order_lines!C817</f>
        <v>C006</v>
      </c>
      <c r="D817" s="3">
        <f>raw_order_lines!D817</f>
        <v>46290</v>
      </c>
      <c r="E817" s="2" t="str">
        <f>raw_order_lines!E817</f>
        <v>P006</v>
      </c>
      <c r="F817" s="2" t="str">
        <f>raw_order_lines!F817</f>
        <v>公斤</v>
      </c>
      <c r="G817" s="4">
        <f>raw_order_lines!G817</f>
        <v>9.1</v>
      </c>
      <c r="H817" s="4">
        <f>raw_order_lines!H817</f>
        <v>9.1</v>
      </c>
      <c r="I817" s="4">
        <f>raw_order_lines!I817</f>
        <v>0</v>
      </c>
      <c r="J817" s="5">
        <f>raw_order_lines!J817</f>
        <v>4.5999999999999996</v>
      </c>
      <c r="K817" s="2" t="str">
        <f>raw_order_lines!K817</f>
        <v>正常交付</v>
      </c>
      <c r="L817" s="2" t="str">
        <f>raw_order_lines!L817</f>
        <v>true</v>
      </c>
      <c r="M817" s="2" t="str">
        <f>INDEX(dim_products!$B$2:$B$21,MATCH($E817,dim_products!$A$2:$A$21,0))</f>
        <v>茄子</v>
      </c>
      <c r="N817" s="2" t="str">
        <f>INDEX(dim_products!$C$2:$C$21,MATCH($E817,dim_products!$A$2:$A$21,0))</f>
        <v>散装鲜菜</v>
      </c>
      <c r="O817" s="2" t="str">
        <f>INDEX(dim_customers!$B$2:$B$7,MATCH($C817,dim_customers!$A$2:$A$7,0))</f>
        <v>模拟_溪桥医院食堂</v>
      </c>
      <c r="P817" s="6">
        <f>INT((ROUND(raw_order_lines!H817*10,0)*ROUND(raw_order_lines!J817*100,0)+5)/10)/100</f>
        <v>41.86</v>
      </c>
      <c r="Q817" s="6">
        <f>INT((ROUND(raw_order_lines!I817*10,0)*ROUND(raw_order_lines!J817*100,0)+5)/10)/100</f>
        <v>0</v>
      </c>
      <c r="R817" s="6">
        <f t="shared" si="36"/>
        <v>41.86</v>
      </c>
      <c r="S817" s="2" t="str">
        <f>IF(OR(ROUND(raw_order_lines!I817*10,0)&gt;ROUND(raw_order_lines!H817*10,0),ROUND(raw_order_lines!H817*10,0)&gt;ROUND(raw_order_lines!G817*10,0),ROUND(raw_order_lines!G817*10,0)&lt;=0),"数量关系异常","")</f>
        <v/>
      </c>
      <c r="T817" s="2" t="str">
        <f>IF($F817&lt;&gt;INDEX(dim_products!$D$2:$D$21,MATCH($E817,dim_products!$A$2:$A$21,0)),"单位不一致","")</f>
        <v/>
      </c>
      <c r="U817" s="2" t="str">
        <f>IF(OR(ROUND(raw_order_lines!J817*100,0)&lt;ROUND(INDEX(dim_products!$F$2:$F$21,MATCH($E817,dim_products!$A$2:$A$21,0))*100,0),ROUND(raw_order_lines!J817*100,0)&gt;ROUND(INDEX(dim_products!$G$2:$G$21,MATCH($E817,dim_products!$A$2:$A$21,0))*100,0)),"单价越界","")</f>
        <v/>
      </c>
      <c r="V817" s="2" t="str">
        <f t="shared" si="37"/>
        <v/>
      </c>
      <c r="W817" s="2" t="str">
        <f t="shared" si="38"/>
        <v>通过</v>
      </c>
    </row>
    <row r="818" spans="1:23" ht="15">
      <c r="A818" s="2" t="str">
        <f>raw_order_lines!A818</f>
        <v>SIM-20260925-C006</v>
      </c>
      <c r="B818" s="2">
        <f>raw_order_lines!B818</f>
        <v>5</v>
      </c>
      <c r="C818" s="2" t="str">
        <f>raw_order_lines!C818</f>
        <v>C006</v>
      </c>
      <c r="D818" s="3">
        <f>raw_order_lines!D818</f>
        <v>46290</v>
      </c>
      <c r="E818" s="2" t="str">
        <f>raw_order_lines!E818</f>
        <v>P007</v>
      </c>
      <c r="F818" s="2" t="str">
        <f>raw_order_lines!F818</f>
        <v>公斤</v>
      </c>
      <c r="G818" s="4">
        <f>raw_order_lines!G818</f>
        <v>7.8</v>
      </c>
      <c r="H818" s="4">
        <f>raw_order_lines!H818</f>
        <v>7.8</v>
      </c>
      <c r="I818" s="4">
        <f>raw_order_lines!I818</f>
        <v>0</v>
      </c>
      <c r="J818" s="5">
        <f>raw_order_lines!J818</f>
        <v>4.95</v>
      </c>
      <c r="K818" s="2" t="str">
        <f>raw_order_lines!K818</f>
        <v>正常交付</v>
      </c>
      <c r="L818" s="2" t="str">
        <f>raw_order_lines!L818</f>
        <v>true</v>
      </c>
      <c r="M818" s="2" t="str">
        <f>INDEX(dim_products!$B$2:$B$21,MATCH($E818,dim_products!$A$2:$A$21,0))</f>
        <v>青椒</v>
      </c>
      <c r="N818" s="2" t="str">
        <f>INDEX(dim_products!$C$2:$C$21,MATCH($E818,dim_products!$A$2:$A$21,0))</f>
        <v>散装鲜菜</v>
      </c>
      <c r="O818" s="2" t="str">
        <f>INDEX(dim_customers!$B$2:$B$7,MATCH($C818,dim_customers!$A$2:$A$7,0))</f>
        <v>模拟_溪桥医院食堂</v>
      </c>
      <c r="P818" s="6">
        <f>INT((ROUND(raw_order_lines!H818*10,0)*ROUND(raw_order_lines!J818*100,0)+5)/10)/100</f>
        <v>38.61</v>
      </c>
      <c r="Q818" s="6">
        <f>INT((ROUND(raw_order_lines!I818*10,0)*ROUND(raw_order_lines!J818*100,0)+5)/10)/100</f>
        <v>0</v>
      </c>
      <c r="R818" s="6">
        <f t="shared" si="36"/>
        <v>38.61</v>
      </c>
      <c r="S818" s="2" t="str">
        <f>IF(OR(ROUND(raw_order_lines!I818*10,0)&gt;ROUND(raw_order_lines!H818*10,0),ROUND(raw_order_lines!H818*10,0)&gt;ROUND(raw_order_lines!G818*10,0),ROUND(raw_order_lines!G818*10,0)&lt;=0),"数量关系异常","")</f>
        <v/>
      </c>
      <c r="T818" s="2" t="str">
        <f>IF($F818&lt;&gt;INDEX(dim_products!$D$2:$D$21,MATCH($E818,dim_products!$A$2:$A$21,0)),"单位不一致","")</f>
        <v/>
      </c>
      <c r="U818" s="2" t="str">
        <f>IF(OR(ROUND(raw_order_lines!J818*100,0)&lt;ROUND(INDEX(dim_products!$F$2:$F$21,MATCH($E818,dim_products!$A$2:$A$21,0))*100,0),ROUND(raw_order_lines!J818*100,0)&gt;ROUND(INDEX(dim_products!$G$2:$G$21,MATCH($E818,dim_products!$A$2:$A$21,0))*100,0)),"单价越界","")</f>
        <v/>
      </c>
      <c r="V818" s="2" t="str">
        <f t="shared" si="37"/>
        <v/>
      </c>
      <c r="W818" s="2" t="str">
        <f t="shared" si="38"/>
        <v>通过</v>
      </c>
    </row>
    <row r="819" spans="1:23" ht="15">
      <c r="A819" s="2" t="str">
        <f>raw_order_lines!A819</f>
        <v>SIM-20260925-C006</v>
      </c>
      <c r="B819" s="2">
        <f>raw_order_lines!B819</f>
        <v>6</v>
      </c>
      <c r="C819" s="2" t="str">
        <f>raw_order_lines!C819</f>
        <v>C006</v>
      </c>
      <c r="D819" s="3">
        <f>raw_order_lines!D819</f>
        <v>46290</v>
      </c>
      <c r="E819" s="2" t="str">
        <f>raw_order_lines!E819</f>
        <v>P005</v>
      </c>
      <c r="F819" s="2" t="str">
        <f>raw_order_lines!F819</f>
        <v>公斤</v>
      </c>
      <c r="G819" s="4">
        <f>raw_order_lines!G819</f>
        <v>5.2</v>
      </c>
      <c r="H819" s="4">
        <f>raw_order_lines!H819</f>
        <v>5.2</v>
      </c>
      <c r="I819" s="4">
        <f>raw_order_lines!I819</f>
        <v>0</v>
      </c>
      <c r="J819" s="5">
        <f>raw_order_lines!J819</f>
        <v>2.7</v>
      </c>
      <c r="K819" s="2" t="str">
        <f>raw_order_lines!K819</f>
        <v>正常交付</v>
      </c>
      <c r="L819" s="2" t="str">
        <f>raw_order_lines!L819</f>
        <v>true</v>
      </c>
      <c r="M819" s="2" t="str">
        <f>INDEX(dim_products!$B$2:$B$21,MATCH($E819,dim_products!$A$2:$A$21,0))</f>
        <v>南瓜</v>
      </c>
      <c r="N819" s="2" t="str">
        <f>INDEX(dim_products!$C$2:$C$21,MATCH($E819,dim_products!$A$2:$A$21,0))</f>
        <v>散装鲜菜</v>
      </c>
      <c r="O819" s="2" t="str">
        <f>INDEX(dim_customers!$B$2:$B$7,MATCH($C819,dim_customers!$A$2:$A$7,0))</f>
        <v>模拟_溪桥医院食堂</v>
      </c>
      <c r="P819" s="6">
        <f>INT((ROUND(raw_order_lines!H819*10,0)*ROUND(raw_order_lines!J819*100,0)+5)/10)/100</f>
        <v>14.04</v>
      </c>
      <c r="Q819" s="6">
        <f>INT((ROUND(raw_order_lines!I819*10,0)*ROUND(raw_order_lines!J819*100,0)+5)/10)/100</f>
        <v>0</v>
      </c>
      <c r="R819" s="6">
        <f t="shared" si="36"/>
        <v>14.04</v>
      </c>
      <c r="S819" s="2" t="str">
        <f>IF(OR(ROUND(raw_order_lines!I819*10,0)&gt;ROUND(raw_order_lines!H819*10,0),ROUND(raw_order_lines!H819*10,0)&gt;ROUND(raw_order_lines!G819*10,0),ROUND(raw_order_lines!G819*10,0)&lt;=0),"数量关系异常","")</f>
        <v/>
      </c>
      <c r="T819" s="2" t="str">
        <f>IF($F819&lt;&gt;INDEX(dim_products!$D$2:$D$21,MATCH($E819,dim_products!$A$2:$A$21,0)),"单位不一致","")</f>
        <v/>
      </c>
      <c r="U819" s="2" t="str">
        <f>IF(OR(ROUND(raw_order_lines!J819*100,0)&lt;ROUND(INDEX(dim_products!$F$2:$F$21,MATCH($E819,dim_products!$A$2:$A$21,0))*100,0),ROUND(raw_order_lines!J819*100,0)&gt;ROUND(INDEX(dim_products!$G$2:$G$21,MATCH($E819,dim_products!$A$2:$A$21,0))*100,0)),"单价越界","")</f>
        <v/>
      </c>
      <c r="V819" s="2" t="str">
        <f t="shared" si="37"/>
        <v/>
      </c>
      <c r="W819" s="2" t="str">
        <f t="shared" si="38"/>
        <v>通过</v>
      </c>
    </row>
    <row r="820" spans="1:23" ht="15">
      <c r="A820" s="2" t="str">
        <f>raw_order_lines!A820</f>
        <v>SIM-20260925-C006</v>
      </c>
      <c r="B820" s="2">
        <f>raw_order_lines!B820</f>
        <v>7</v>
      </c>
      <c r="C820" s="2" t="str">
        <f>raw_order_lines!C820</f>
        <v>C006</v>
      </c>
      <c r="D820" s="3">
        <f>raw_order_lines!D820</f>
        <v>46290</v>
      </c>
      <c r="E820" s="2" t="str">
        <f>raw_order_lines!E820</f>
        <v>P016</v>
      </c>
      <c r="F820" s="2" t="str">
        <f>raw_order_lines!F820</f>
        <v>公斤</v>
      </c>
      <c r="G820" s="4">
        <f>raw_order_lines!G820</f>
        <v>9</v>
      </c>
      <c r="H820" s="4">
        <f>raw_order_lines!H820</f>
        <v>9</v>
      </c>
      <c r="I820" s="4">
        <f>raw_order_lines!I820</f>
        <v>0</v>
      </c>
      <c r="J820" s="5">
        <f>raw_order_lines!J820</f>
        <v>10.4</v>
      </c>
      <c r="K820" s="2" t="str">
        <f>raw_order_lines!K820</f>
        <v>正常交付</v>
      </c>
      <c r="L820" s="2" t="str">
        <f>raw_order_lines!L820</f>
        <v>true</v>
      </c>
      <c r="M820" s="2" t="str">
        <f>INDEX(dim_products!$B$2:$B$21,MATCH($E820,dim_products!$A$2:$A$21,0))</f>
        <v>鸡蛋</v>
      </c>
      <c r="N820" s="2" t="str">
        <f>INDEX(dim_products!$C$2:$C$21,MATCH($E820,dim_products!$A$2:$A$21,0))</f>
        <v>普通鲜鸡蛋按净重</v>
      </c>
      <c r="O820" s="2" t="str">
        <f>INDEX(dim_customers!$B$2:$B$7,MATCH($C820,dim_customers!$A$2:$A$7,0))</f>
        <v>模拟_溪桥医院食堂</v>
      </c>
      <c r="P820" s="6">
        <f>INT((ROUND(raw_order_lines!H820*10,0)*ROUND(raw_order_lines!J820*100,0)+5)/10)/100</f>
        <v>93.6</v>
      </c>
      <c r="Q820" s="6">
        <f>INT((ROUND(raw_order_lines!I820*10,0)*ROUND(raw_order_lines!J820*100,0)+5)/10)/100</f>
        <v>0</v>
      </c>
      <c r="R820" s="6">
        <f t="shared" si="36"/>
        <v>93.6</v>
      </c>
      <c r="S820" s="2" t="str">
        <f>IF(OR(ROUND(raw_order_lines!I820*10,0)&gt;ROUND(raw_order_lines!H820*10,0),ROUND(raw_order_lines!H820*10,0)&gt;ROUND(raw_order_lines!G820*10,0),ROUND(raw_order_lines!G820*10,0)&lt;=0),"数量关系异常","")</f>
        <v/>
      </c>
      <c r="T820" s="2" t="str">
        <f>IF($F820&lt;&gt;INDEX(dim_products!$D$2:$D$21,MATCH($E820,dim_products!$A$2:$A$21,0)),"单位不一致","")</f>
        <v/>
      </c>
      <c r="U820" s="2" t="str">
        <f>IF(OR(ROUND(raw_order_lines!J820*100,0)&lt;ROUND(INDEX(dim_products!$F$2:$F$21,MATCH($E820,dim_products!$A$2:$A$21,0))*100,0),ROUND(raw_order_lines!J820*100,0)&gt;ROUND(INDEX(dim_products!$G$2:$G$21,MATCH($E820,dim_products!$A$2:$A$21,0))*100,0)),"单价越界","")</f>
        <v/>
      </c>
      <c r="V820" s="2" t="str">
        <f t="shared" si="37"/>
        <v/>
      </c>
      <c r="W820" s="2" t="str">
        <f t="shared" si="38"/>
        <v>通过</v>
      </c>
    </row>
    <row r="821" spans="1:23" ht="15">
      <c r="A821" s="2" t="str">
        <f>raw_order_lines!A821</f>
        <v>SIM-20260925-C006</v>
      </c>
      <c r="B821" s="2">
        <f>raw_order_lines!B821</f>
        <v>8</v>
      </c>
      <c r="C821" s="2" t="str">
        <f>raw_order_lines!C821</f>
        <v>C006</v>
      </c>
      <c r="D821" s="3">
        <f>raw_order_lines!D821</f>
        <v>46290</v>
      </c>
      <c r="E821" s="2" t="str">
        <f>raw_order_lines!E821</f>
        <v>P015</v>
      </c>
      <c r="F821" s="2" t="str">
        <f>raw_order_lines!F821</f>
        <v>公斤</v>
      </c>
      <c r="G821" s="4">
        <f>raw_order_lines!G821</f>
        <v>1</v>
      </c>
      <c r="H821" s="4">
        <f>raw_order_lines!H821</f>
        <v>1</v>
      </c>
      <c r="I821" s="4">
        <f>raw_order_lines!I821</f>
        <v>0</v>
      </c>
      <c r="J821" s="5">
        <f>raw_order_lines!J821</f>
        <v>7.8</v>
      </c>
      <c r="K821" s="2" t="str">
        <f>raw_order_lines!K821</f>
        <v>正常交付</v>
      </c>
      <c r="L821" s="2" t="str">
        <f>raw_order_lines!L821</f>
        <v>true</v>
      </c>
      <c r="M821" s="2" t="str">
        <f>INDEX(dim_products!$B$2:$B$21,MATCH($E821,dim_products!$A$2:$A$21,0))</f>
        <v>小葱</v>
      </c>
      <c r="N821" s="2" t="str">
        <f>INDEX(dim_products!$C$2:$C$21,MATCH($E821,dim_products!$A$2:$A$21,0))</f>
        <v>散装鲜菜</v>
      </c>
      <c r="O821" s="2" t="str">
        <f>INDEX(dim_customers!$B$2:$B$7,MATCH($C821,dim_customers!$A$2:$A$7,0))</f>
        <v>模拟_溪桥医院食堂</v>
      </c>
      <c r="P821" s="6">
        <f>INT((ROUND(raw_order_lines!H821*10,0)*ROUND(raw_order_lines!J821*100,0)+5)/10)/100</f>
        <v>7.8</v>
      </c>
      <c r="Q821" s="6">
        <f>INT((ROUND(raw_order_lines!I821*10,0)*ROUND(raw_order_lines!J821*100,0)+5)/10)/100</f>
        <v>0</v>
      </c>
      <c r="R821" s="6">
        <f t="shared" si="36"/>
        <v>7.8</v>
      </c>
      <c r="S821" s="2" t="str">
        <f>IF(OR(ROUND(raw_order_lines!I821*10,0)&gt;ROUND(raw_order_lines!H821*10,0),ROUND(raw_order_lines!H821*10,0)&gt;ROUND(raw_order_lines!G821*10,0),ROUND(raw_order_lines!G821*10,0)&lt;=0),"数量关系异常","")</f>
        <v/>
      </c>
      <c r="T821" s="2" t="str">
        <f>IF($F821&lt;&gt;INDEX(dim_products!$D$2:$D$21,MATCH($E821,dim_products!$A$2:$A$21,0)),"单位不一致","")</f>
        <v/>
      </c>
      <c r="U821" s="2" t="str">
        <f>IF(OR(ROUND(raw_order_lines!J821*100,0)&lt;ROUND(INDEX(dim_products!$F$2:$F$21,MATCH($E821,dim_products!$A$2:$A$21,0))*100,0),ROUND(raw_order_lines!J821*100,0)&gt;ROUND(INDEX(dim_products!$G$2:$G$21,MATCH($E821,dim_products!$A$2:$A$21,0))*100,0)),"单价越界","")</f>
        <v/>
      </c>
      <c r="V821" s="2" t="str">
        <f t="shared" si="37"/>
        <v/>
      </c>
      <c r="W821" s="2" t="str">
        <f t="shared" si="38"/>
        <v>通过</v>
      </c>
    </row>
    <row r="822" spans="1:23" ht="15">
      <c r="A822" s="2" t="str">
        <f>raw_order_lines!A822</f>
        <v>SIM-20260926-C001</v>
      </c>
      <c r="B822" s="2">
        <f>raw_order_lines!B822</f>
        <v>1</v>
      </c>
      <c r="C822" s="2" t="str">
        <f>raw_order_lines!C822</f>
        <v>C001</v>
      </c>
      <c r="D822" s="3">
        <f>raw_order_lines!D822</f>
        <v>46291</v>
      </c>
      <c r="E822" s="2" t="str">
        <f>raw_order_lines!E822</f>
        <v>P011</v>
      </c>
      <c r="F822" s="2" t="str">
        <f>raw_order_lines!F822</f>
        <v>公斤</v>
      </c>
      <c r="G822" s="4">
        <f>raw_order_lines!G822</f>
        <v>2.5</v>
      </c>
      <c r="H822" s="4">
        <f>raw_order_lines!H822</f>
        <v>2.5</v>
      </c>
      <c r="I822" s="4">
        <f>raw_order_lines!I822</f>
        <v>0</v>
      </c>
      <c r="J822" s="5">
        <f>raw_order_lines!J822</f>
        <v>4.8</v>
      </c>
      <c r="K822" s="2" t="str">
        <f>raw_order_lines!K822</f>
        <v>正常交付</v>
      </c>
      <c r="L822" s="2" t="str">
        <f>raw_order_lines!L822</f>
        <v>true</v>
      </c>
      <c r="M822" s="2" t="str">
        <f>INDEX(dim_products!$B$2:$B$21,MATCH($E822,dim_products!$A$2:$A$21,0))</f>
        <v>红薯叶</v>
      </c>
      <c r="N822" s="2" t="str">
        <f>INDEX(dim_products!$C$2:$C$21,MATCH($E822,dim_products!$A$2:$A$21,0))</f>
        <v>散装鲜菜</v>
      </c>
      <c r="O822" s="2" t="str">
        <f>INDEX(dim_customers!$B$2:$B$7,MATCH($C822,dim_customers!$A$2:$A$7,0))</f>
        <v>模拟_榕树下粉面店</v>
      </c>
      <c r="P822" s="6">
        <f>INT((ROUND(raw_order_lines!H822*10,0)*ROUND(raw_order_lines!J822*100,0)+5)/10)/100</f>
        <v>12</v>
      </c>
      <c r="Q822" s="6">
        <f>INT((ROUND(raw_order_lines!I822*10,0)*ROUND(raw_order_lines!J822*100,0)+5)/10)/100</f>
        <v>0</v>
      </c>
      <c r="R822" s="6">
        <f t="shared" si="36"/>
        <v>12</v>
      </c>
      <c r="S822" s="2" t="str">
        <f>IF(OR(ROUND(raw_order_lines!I822*10,0)&gt;ROUND(raw_order_lines!H822*10,0),ROUND(raw_order_lines!H822*10,0)&gt;ROUND(raw_order_lines!G822*10,0),ROUND(raw_order_lines!G822*10,0)&lt;=0),"数量关系异常","")</f>
        <v/>
      </c>
      <c r="T822" s="2" t="str">
        <f>IF($F822&lt;&gt;INDEX(dim_products!$D$2:$D$21,MATCH($E822,dim_products!$A$2:$A$21,0)),"单位不一致","")</f>
        <v/>
      </c>
      <c r="U822" s="2" t="str">
        <f>IF(OR(ROUND(raw_order_lines!J822*100,0)&lt;ROUND(INDEX(dim_products!$F$2:$F$21,MATCH($E822,dim_products!$A$2:$A$21,0))*100,0),ROUND(raw_order_lines!J822*100,0)&gt;ROUND(INDEX(dim_products!$G$2:$G$21,MATCH($E822,dim_products!$A$2:$A$21,0))*100,0)),"单价越界","")</f>
        <v/>
      </c>
      <c r="V822" s="2" t="str">
        <f t="shared" si="37"/>
        <v/>
      </c>
      <c r="W822" s="2" t="str">
        <f t="shared" si="38"/>
        <v>通过</v>
      </c>
    </row>
    <row r="823" spans="1:23" ht="15">
      <c r="A823" s="2" t="str">
        <f>raw_order_lines!A823</f>
        <v>SIM-20260926-C001</v>
      </c>
      <c r="B823" s="2">
        <f>raw_order_lines!B823</f>
        <v>2</v>
      </c>
      <c r="C823" s="2" t="str">
        <f>raw_order_lines!C823</f>
        <v>C001</v>
      </c>
      <c r="D823" s="3">
        <f>raw_order_lines!D823</f>
        <v>46291</v>
      </c>
      <c r="E823" s="2" t="str">
        <f>raw_order_lines!E823</f>
        <v>P009</v>
      </c>
      <c r="F823" s="2" t="str">
        <f>raw_order_lines!F823</f>
        <v>公斤</v>
      </c>
      <c r="G823" s="4">
        <f>raw_order_lines!G823</f>
        <v>4</v>
      </c>
      <c r="H823" s="4">
        <f>raw_order_lines!H823</f>
        <v>4</v>
      </c>
      <c r="I823" s="4">
        <f>raw_order_lines!I823</f>
        <v>0</v>
      </c>
      <c r="J823" s="5">
        <f>raw_order_lines!J823</f>
        <v>4.9000000000000004</v>
      </c>
      <c r="K823" s="2" t="str">
        <f>raw_order_lines!K823</f>
        <v>正常交付</v>
      </c>
      <c r="L823" s="2" t="str">
        <f>raw_order_lines!L823</f>
        <v>true</v>
      </c>
      <c r="M823" s="2" t="str">
        <f>INDEX(dim_products!$B$2:$B$21,MATCH($E823,dim_products!$A$2:$A$21,0))</f>
        <v>西红柿</v>
      </c>
      <c r="N823" s="2" t="str">
        <f>INDEX(dim_products!$C$2:$C$21,MATCH($E823,dim_products!$A$2:$A$21,0))</f>
        <v>散装鲜菜</v>
      </c>
      <c r="O823" s="2" t="str">
        <f>INDEX(dim_customers!$B$2:$B$7,MATCH($C823,dim_customers!$A$2:$A$7,0))</f>
        <v>模拟_榕树下粉面店</v>
      </c>
      <c r="P823" s="6">
        <f>INT((ROUND(raw_order_lines!H823*10,0)*ROUND(raw_order_lines!J823*100,0)+5)/10)/100</f>
        <v>19.600000000000001</v>
      </c>
      <c r="Q823" s="6">
        <f>INT((ROUND(raw_order_lines!I823*10,0)*ROUND(raw_order_lines!J823*100,0)+5)/10)/100</f>
        <v>0</v>
      </c>
      <c r="R823" s="6">
        <f t="shared" si="36"/>
        <v>19.600000000000001</v>
      </c>
      <c r="S823" s="2" t="str">
        <f>IF(OR(ROUND(raw_order_lines!I823*10,0)&gt;ROUND(raw_order_lines!H823*10,0),ROUND(raw_order_lines!H823*10,0)&gt;ROUND(raw_order_lines!G823*10,0),ROUND(raw_order_lines!G823*10,0)&lt;=0),"数量关系异常","")</f>
        <v/>
      </c>
      <c r="T823" s="2" t="str">
        <f>IF($F823&lt;&gt;INDEX(dim_products!$D$2:$D$21,MATCH($E823,dim_products!$A$2:$A$21,0)),"单位不一致","")</f>
        <v/>
      </c>
      <c r="U823" s="2" t="str">
        <f>IF(OR(ROUND(raw_order_lines!J823*100,0)&lt;ROUND(INDEX(dim_products!$F$2:$F$21,MATCH($E823,dim_products!$A$2:$A$21,0))*100,0),ROUND(raw_order_lines!J823*100,0)&gt;ROUND(INDEX(dim_products!$G$2:$G$21,MATCH($E823,dim_products!$A$2:$A$21,0))*100,0)),"单价越界","")</f>
        <v/>
      </c>
      <c r="V823" s="2" t="str">
        <f t="shared" si="37"/>
        <v/>
      </c>
      <c r="W823" s="2" t="str">
        <f t="shared" si="38"/>
        <v>通过</v>
      </c>
    </row>
    <row r="824" spans="1:23" ht="15">
      <c r="A824" s="2" t="str">
        <f>raw_order_lines!A824</f>
        <v>SIM-20260926-C001</v>
      </c>
      <c r="B824" s="2">
        <f>raw_order_lines!B824</f>
        <v>3</v>
      </c>
      <c r="C824" s="2" t="str">
        <f>raw_order_lines!C824</f>
        <v>C001</v>
      </c>
      <c r="D824" s="3">
        <f>raw_order_lines!D824</f>
        <v>46291</v>
      </c>
      <c r="E824" s="2" t="str">
        <f>raw_order_lines!E824</f>
        <v>P005</v>
      </c>
      <c r="F824" s="2" t="str">
        <f>raw_order_lines!F824</f>
        <v>公斤</v>
      </c>
      <c r="G824" s="4">
        <f>raw_order_lines!G824</f>
        <v>3</v>
      </c>
      <c r="H824" s="4">
        <f>raw_order_lines!H824</f>
        <v>3</v>
      </c>
      <c r="I824" s="4">
        <f>raw_order_lines!I824</f>
        <v>0</v>
      </c>
      <c r="J824" s="5">
        <f>raw_order_lines!J824</f>
        <v>2.7</v>
      </c>
      <c r="K824" s="2" t="str">
        <f>raw_order_lines!K824</f>
        <v>正常交付</v>
      </c>
      <c r="L824" s="2" t="str">
        <f>raw_order_lines!L824</f>
        <v>true</v>
      </c>
      <c r="M824" s="2" t="str">
        <f>INDEX(dim_products!$B$2:$B$21,MATCH($E824,dim_products!$A$2:$A$21,0))</f>
        <v>南瓜</v>
      </c>
      <c r="N824" s="2" t="str">
        <f>INDEX(dim_products!$C$2:$C$21,MATCH($E824,dim_products!$A$2:$A$21,0))</f>
        <v>散装鲜菜</v>
      </c>
      <c r="O824" s="2" t="str">
        <f>INDEX(dim_customers!$B$2:$B$7,MATCH($C824,dim_customers!$A$2:$A$7,0))</f>
        <v>模拟_榕树下粉面店</v>
      </c>
      <c r="P824" s="6">
        <f>INT((ROUND(raw_order_lines!H824*10,0)*ROUND(raw_order_lines!J824*100,0)+5)/10)/100</f>
        <v>8.1</v>
      </c>
      <c r="Q824" s="6">
        <f>INT((ROUND(raw_order_lines!I824*10,0)*ROUND(raw_order_lines!J824*100,0)+5)/10)/100</f>
        <v>0</v>
      </c>
      <c r="R824" s="6">
        <f t="shared" si="36"/>
        <v>8.1</v>
      </c>
      <c r="S824" s="2" t="str">
        <f>IF(OR(ROUND(raw_order_lines!I824*10,0)&gt;ROUND(raw_order_lines!H824*10,0),ROUND(raw_order_lines!H824*10,0)&gt;ROUND(raw_order_lines!G824*10,0),ROUND(raw_order_lines!G824*10,0)&lt;=0),"数量关系异常","")</f>
        <v/>
      </c>
      <c r="T824" s="2" t="str">
        <f>IF($F824&lt;&gt;INDEX(dim_products!$D$2:$D$21,MATCH($E824,dim_products!$A$2:$A$21,0)),"单位不一致","")</f>
        <v/>
      </c>
      <c r="U824" s="2" t="str">
        <f>IF(OR(ROUND(raw_order_lines!J824*100,0)&lt;ROUND(INDEX(dim_products!$F$2:$F$21,MATCH($E824,dim_products!$A$2:$A$21,0))*100,0),ROUND(raw_order_lines!J824*100,0)&gt;ROUND(INDEX(dim_products!$G$2:$G$21,MATCH($E824,dim_products!$A$2:$A$21,0))*100,0)),"单价越界","")</f>
        <v/>
      </c>
      <c r="V824" s="2" t="str">
        <f t="shared" si="37"/>
        <v/>
      </c>
      <c r="W824" s="2" t="str">
        <f t="shared" si="38"/>
        <v>通过</v>
      </c>
    </row>
    <row r="825" spans="1:23" ht="15">
      <c r="A825" s="2" t="str">
        <f>raw_order_lines!A825</f>
        <v>SIM-20260926-C001</v>
      </c>
      <c r="B825" s="2">
        <f>raw_order_lines!B825</f>
        <v>4</v>
      </c>
      <c r="C825" s="2" t="str">
        <f>raw_order_lines!C825</f>
        <v>C001</v>
      </c>
      <c r="D825" s="3">
        <f>raw_order_lines!D825</f>
        <v>46291</v>
      </c>
      <c r="E825" s="2" t="str">
        <f>raw_order_lines!E825</f>
        <v>P006</v>
      </c>
      <c r="F825" s="2" t="str">
        <f>raw_order_lines!F825</f>
        <v>公斤</v>
      </c>
      <c r="G825" s="4">
        <f>raw_order_lines!G825</f>
        <v>2</v>
      </c>
      <c r="H825" s="4">
        <f>raw_order_lines!H825</f>
        <v>2</v>
      </c>
      <c r="I825" s="4">
        <f>raw_order_lines!I825</f>
        <v>0</v>
      </c>
      <c r="J825" s="5">
        <f>raw_order_lines!J825</f>
        <v>4.5999999999999996</v>
      </c>
      <c r="K825" s="2" t="str">
        <f>raw_order_lines!K825</f>
        <v>正常交付</v>
      </c>
      <c r="L825" s="2" t="str">
        <f>raw_order_lines!L825</f>
        <v>true</v>
      </c>
      <c r="M825" s="2" t="str">
        <f>INDEX(dim_products!$B$2:$B$21,MATCH($E825,dim_products!$A$2:$A$21,0))</f>
        <v>茄子</v>
      </c>
      <c r="N825" s="2" t="str">
        <f>INDEX(dim_products!$C$2:$C$21,MATCH($E825,dim_products!$A$2:$A$21,0))</f>
        <v>散装鲜菜</v>
      </c>
      <c r="O825" s="2" t="str">
        <f>INDEX(dim_customers!$B$2:$B$7,MATCH($C825,dim_customers!$A$2:$A$7,0))</f>
        <v>模拟_榕树下粉面店</v>
      </c>
      <c r="P825" s="6">
        <f>INT((ROUND(raw_order_lines!H825*10,0)*ROUND(raw_order_lines!J825*100,0)+5)/10)/100</f>
        <v>9.1999999999999993</v>
      </c>
      <c r="Q825" s="6">
        <f>INT((ROUND(raw_order_lines!I825*10,0)*ROUND(raw_order_lines!J825*100,0)+5)/10)/100</f>
        <v>0</v>
      </c>
      <c r="R825" s="6">
        <f t="shared" si="36"/>
        <v>9.1999999999999993</v>
      </c>
      <c r="S825" s="2" t="str">
        <f>IF(OR(ROUND(raw_order_lines!I825*10,0)&gt;ROUND(raw_order_lines!H825*10,0),ROUND(raw_order_lines!H825*10,0)&gt;ROUND(raw_order_lines!G825*10,0),ROUND(raw_order_lines!G825*10,0)&lt;=0),"数量关系异常","")</f>
        <v/>
      </c>
      <c r="T825" s="2" t="str">
        <f>IF($F825&lt;&gt;INDEX(dim_products!$D$2:$D$21,MATCH($E825,dim_products!$A$2:$A$21,0)),"单位不一致","")</f>
        <v/>
      </c>
      <c r="U825" s="2" t="str">
        <f>IF(OR(ROUND(raw_order_lines!J825*100,0)&lt;ROUND(INDEX(dim_products!$F$2:$F$21,MATCH($E825,dim_products!$A$2:$A$21,0))*100,0),ROUND(raw_order_lines!J825*100,0)&gt;ROUND(INDEX(dim_products!$G$2:$G$21,MATCH($E825,dim_products!$A$2:$A$21,0))*100,0)),"单价越界","")</f>
        <v/>
      </c>
      <c r="V825" s="2" t="str">
        <f t="shared" si="37"/>
        <v/>
      </c>
      <c r="W825" s="2" t="str">
        <f t="shared" si="38"/>
        <v>通过</v>
      </c>
    </row>
    <row r="826" spans="1:23" ht="15">
      <c r="A826" s="2" t="str">
        <f>raw_order_lines!A826</f>
        <v>SIM-20260926-C001</v>
      </c>
      <c r="B826" s="2">
        <f>raw_order_lines!B826</f>
        <v>5</v>
      </c>
      <c r="C826" s="2" t="str">
        <f>raw_order_lines!C826</f>
        <v>C001</v>
      </c>
      <c r="D826" s="3">
        <f>raw_order_lines!D826</f>
        <v>46291</v>
      </c>
      <c r="E826" s="2" t="str">
        <f>raw_order_lines!E826</f>
        <v>P016</v>
      </c>
      <c r="F826" s="2" t="str">
        <f>raw_order_lines!F826</f>
        <v>公斤</v>
      </c>
      <c r="G826" s="4">
        <f>raw_order_lines!G826</f>
        <v>3</v>
      </c>
      <c r="H826" s="4">
        <f>raw_order_lines!H826</f>
        <v>3</v>
      </c>
      <c r="I826" s="4">
        <f>raw_order_lines!I826</f>
        <v>0.1</v>
      </c>
      <c r="J826" s="5">
        <f>raw_order_lines!J826</f>
        <v>10.4</v>
      </c>
      <c r="K826" s="2" t="str">
        <f>raw_order_lines!K826</f>
        <v>正常交付；签收时破损退回</v>
      </c>
      <c r="L826" s="2" t="str">
        <f>raw_order_lines!L826</f>
        <v>true</v>
      </c>
      <c r="M826" s="2" t="str">
        <f>INDEX(dim_products!$B$2:$B$21,MATCH($E826,dim_products!$A$2:$A$21,0))</f>
        <v>鸡蛋</v>
      </c>
      <c r="N826" s="2" t="str">
        <f>INDEX(dim_products!$C$2:$C$21,MATCH($E826,dim_products!$A$2:$A$21,0))</f>
        <v>普通鲜鸡蛋按净重</v>
      </c>
      <c r="O826" s="2" t="str">
        <f>INDEX(dim_customers!$B$2:$B$7,MATCH($C826,dim_customers!$A$2:$A$7,0))</f>
        <v>模拟_榕树下粉面店</v>
      </c>
      <c r="P826" s="6">
        <f>INT((ROUND(raw_order_lines!H826*10,0)*ROUND(raw_order_lines!J826*100,0)+5)/10)/100</f>
        <v>31.2</v>
      </c>
      <c r="Q826" s="6">
        <f>INT((ROUND(raw_order_lines!I826*10,0)*ROUND(raw_order_lines!J826*100,0)+5)/10)/100</f>
        <v>1.04</v>
      </c>
      <c r="R826" s="6">
        <f t="shared" si="36"/>
        <v>30.16</v>
      </c>
      <c r="S826" s="2" t="str">
        <f>IF(OR(ROUND(raw_order_lines!I826*10,0)&gt;ROUND(raw_order_lines!H826*10,0),ROUND(raw_order_lines!H826*10,0)&gt;ROUND(raw_order_lines!G826*10,0),ROUND(raw_order_lines!G826*10,0)&lt;=0),"数量关系异常","")</f>
        <v/>
      </c>
      <c r="T826" s="2" t="str">
        <f>IF($F826&lt;&gt;INDEX(dim_products!$D$2:$D$21,MATCH($E826,dim_products!$A$2:$A$21,0)),"单位不一致","")</f>
        <v/>
      </c>
      <c r="U826" s="2" t="str">
        <f>IF(OR(ROUND(raw_order_lines!J826*100,0)&lt;ROUND(INDEX(dim_products!$F$2:$F$21,MATCH($E826,dim_products!$A$2:$A$21,0))*100,0),ROUND(raw_order_lines!J826*100,0)&gt;ROUND(INDEX(dim_products!$G$2:$G$21,MATCH($E826,dim_products!$A$2:$A$21,0))*100,0)),"单价越界","")</f>
        <v/>
      </c>
      <c r="V826" s="2" t="str">
        <f t="shared" si="37"/>
        <v/>
      </c>
      <c r="W826" s="2" t="str">
        <f t="shared" si="38"/>
        <v>通过</v>
      </c>
    </row>
    <row r="827" spans="1:23" ht="15">
      <c r="A827" s="2" t="str">
        <f>raw_order_lines!A827</f>
        <v>SIM-20260926-C002</v>
      </c>
      <c r="B827" s="2">
        <f>raw_order_lines!B827</f>
        <v>1</v>
      </c>
      <c r="C827" s="2" t="str">
        <f>raw_order_lines!C827</f>
        <v>C002</v>
      </c>
      <c r="D827" s="3">
        <f>raw_order_lines!D827</f>
        <v>46291</v>
      </c>
      <c r="E827" s="2" t="str">
        <f>raw_order_lines!E827</f>
        <v>P011</v>
      </c>
      <c r="F827" s="2" t="str">
        <f>raw_order_lines!F827</f>
        <v>公斤</v>
      </c>
      <c r="G827" s="4">
        <f>raw_order_lines!G827</f>
        <v>6.4</v>
      </c>
      <c r="H827" s="4">
        <f>raw_order_lines!H827</f>
        <v>6.4</v>
      </c>
      <c r="I827" s="4">
        <f>raw_order_lines!I827</f>
        <v>0</v>
      </c>
      <c r="J827" s="5">
        <f>raw_order_lines!J827</f>
        <v>4.8</v>
      </c>
      <c r="K827" s="2" t="str">
        <f>raw_order_lines!K827</f>
        <v>正常交付</v>
      </c>
      <c r="L827" s="2" t="str">
        <f>raw_order_lines!L827</f>
        <v>true</v>
      </c>
      <c r="M827" s="2" t="str">
        <f>INDEX(dim_products!$B$2:$B$21,MATCH($E827,dim_products!$A$2:$A$21,0))</f>
        <v>红薯叶</v>
      </c>
      <c r="N827" s="2" t="str">
        <f>INDEX(dim_products!$C$2:$C$21,MATCH($E827,dim_products!$A$2:$A$21,0))</f>
        <v>散装鲜菜</v>
      </c>
      <c r="O827" s="2" t="str">
        <f>INDEX(dim_customers!$B$2:$B$7,MATCH($C827,dim_customers!$A$2:$A$7,0))</f>
        <v>模拟_桥头家常菜馆</v>
      </c>
      <c r="P827" s="6">
        <f>INT((ROUND(raw_order_lines!H827*10,0)*ROUND(raw_order_lines!J827*100,0)+5)/10)/100</f>
        <v>30.72</v>
      </c>
      <c r="Q827" s="6">
        <f>INT((ROUND(raw_order_lines!I827*10,0)*ROUND(raw_order_lines!J827*100,0)+5)/10)/100</f>
        <v>0</v>
      </c>
      <c r="R827" s="6">
        <f t="shared" si="36"/>
        <v>30.72</v>
      </c>
      <c r="S827" s="2" t="str">
        <f>IF(OR(ROUND(raw_order_lines!I827*10,0)&gt;ROUND(raw_order_lines!H827*10,0),ROUND(raw_order_lines!H827*10,0)&gt;ROUND(raw_order_lines!G827*10,0),ROUND(raw_order_lines!G827*10,0)&lt;=0),"数量关系异常","")</f>
        <v/>
      </c>
      <c r="T827" s="2" t="str">
        <f>IF($F827&lt;&gt;INDEX(dim_products!$D$2:$D$21,MATCH($E827,dim_products!$A$2:$A$21,0)),"单位不一致","")</f>
        <v/>
      </c>
      <c r="U827" s="2" t="str">
        <f>IF(OR(ROUND(raw_order_lines!J827*100,0)&lt;ROUND(INDEX(dim_products!$F$2:$F$21,MATCH($E827,dim_products!$A$2:$A$21,0))*100,0),ROUND(raw_order_lines!J827*100,0)&gt;ROUND(INDEX(dim_products!$G$2:$G$21,MATCH($E827,dim_products!$A$2:$A$21,0))*100,0)),"单价越界","")</f>
        <v/>
      </c>
      <c r="V827" s="2" t="str">
        <f t="shared" si="37"/>
        <v/>
      </c>
      <c r="W827" s="2" t="str">
        <f t="shared" si="38"/>
        <v>通过</v>
      </c>
    </row>
    <row r="828" spans="1:23" ht="15">
      <c r="A828" s="2" t="str">
        <f>raw_order_lines!A828</f>
        <v>SIM-20260926-C002</v>
      </c>
      <c r="B828" s="2">
        <f>raw_order_lines!B828</f>
        <v>2</v>
      </c>
      <c r="C828" s="2" t="str">
        <f>raw_order_lines!C828</f>
        <v>C002</v>
      </c>
      <c r="D828" s="3">
        <f>raw_order_lines!D828</f>
        <v>46291</v>
      </c>
      <c r="E828" s="2" t="str">
        <f>raw_order_lines!E828</f>
        <v>P001</v>
      </c>
      <c r="F828" s="2" t="str">
        <f>raw_order_lines!F828</f>
        <v>公斤</v>
      </c>
      <c r="G828" s="4">
        <f>raw_order_lines!G828</f>
        <v>6.4</v>
      </c>
      <c r="H828" s="4">
        <f>raw_order_lines!H828</f>
        <v>6.4</v>
      </c>
      <c r="I828" s="4">
        <f>raw_order_lines!I828</f>
        <v>0</v>
      </c>
      <c r="J828" s="5">
        <f>raw_order_lines!J828</f>
        <v>3.5</v>
      </c>
      <c r="K828" s="2" t="str">
        <f>raw_order_lines!K828</f>
        <v>正常交付</v>
      </c>
      <c r="L828" s="2" t="str">
        <f>raw_order_lines!L828</f>
        <v>true</v>
      </c>
      <c r="M828" s="2" t="str">
        <f>INDEX(dim_products!$B$2:$B$21,MATCH($E828,dim_products!$A$2:$A$21,0))</f>
        <v>土豆</v>
      </c>
      <c r="N828" s="2" t="str">
        <f>INDEX(dim_products!$C$2:$C$21,MATCH($E828,dim_products!$A$2:$A$21,0))</f>
        <v>散装鲜菜</v>
      </c>
      <c r="O828" s="2" t="str">
        <f>INDEX(dim_customers!$B$2:$B$7,MATCH($C828,dim_customers!$A$2:$A$7,0))</f>
        <v>模拟_桥头家常菜馆</v>
      </c>
      <c r="P828" s="6">
        <f>INT((ROUND(raw_order_lines!H828*10,0)*ROUND(raw_order_lines!J828*100,0)+5)/10)/100</f>
        <v>22.4</v>
      </c>
      <c r="Q828" s="6">
        <f>INT((ROUND(raw_order_lines!I828*10,0)*ROUND(raw_order_lines!J828*100,0)+5)/10)/100</f>
        <v>0</v>
      </c>
      <c r="R828" s="6">
        <f t="shared" si="36"/>
        <v>22.4</v>
      </c>
      <c r="S828" s="2" t="str">
        <f>IF(OR(ROUND(raw_order_lines!I828*10,0)&gt;ROUND(raw_order_lines!H828*10,0),ROUND(raw_order_lines!H828*10,0)&gt;ROUND(raw_order_lines!G828*10,0),ROUND(raw_order_lines!G828*10,0)&lt;=0),"数量关系异常","")</f>
        <v/>
      </c>
      <c r="T828" s="2" t="str">
        <f>IF($F828&lt;&gt;INDEX(dim_products!$D$2:$D$21,MATCH($E828,dim_products!$A$2:$A$21,0)),"单位不一致","")</f>
        <v/>
      </c>
      <c r="U828" s="2" t="str">
        <f>IF(OR(ROUND(raw_order_lines!J828*100,0)&lt;ROUND(INDEX(dim_products!$F$2:$F$21,MATCH($E828,dim_products!$A$2:$A$21,0))*100,0),ROUND(raw_order_lines!J828*100,0)&gt;ROUND(INDEX(dim_products!$G$2:$G$21,MATCH($E828,dim_products!$A$2:$A$21,0))*100,0)),"单价越界","")</f>
        <v/>
      </c>
      <c r="V828" s="2" t="str">
        <f t="shared" si="37"/>
        <v/>
      </c>
      <c r="W828" s="2" t="str">
        <f t="shared" si="38"/>
        <v>通过</v>
      </c>
    </row>
    <row r="829" spans="1:23" ht="15">
      <c r="A829" s="2" t="str">
        <f>raw_order_lines!A829</f>
        <v>SIM-20260926-C002</v>
      </c>
      <c r="B829" s="2">
        <f>raw_order_lines!B829</f>
        <v>3</v>
      </c>
      <c r="C829" s="2" t="str">
        <f>raw_order_lines!C829</f>
        <v>C002</v>
      </c>
      <c r="D829" s="3">
        <f>raw_order_lines!D829</f>
        <v>46291</v>
      </c>
      <c r="E829" s="2" t="str">
        <f>raw_order_lines!E829</f>
        <v>P002</v>
      </c>
      <c r="F829" s="2" t="str">
        <f>raw_order_lines!F829</f>
        <v>公斤</v>
      </c>
      <c r="G829" s="4">
        <f>raw_order_lines!G829</f>
        <v>5.7</v>
      </c>
      <c r="H829" s="4">
        <f>raw_order_lines!H829</f>
        <v>5.7</v>
      </c>
      <c r="I829" s="4">
        <f>raw_order_lines!I829</f>
        <v>0</v>
      </c>
      <c r="J829" s="5">
        <f>raw_order_lines!J829</f>
        <v>2.5</v>
      </c>
      <c r="K829" s="2" t="str">
        <f>raw_order_lines!K829</f>
        <v>正常交付</v>
      </c>
      <c r="L829" s="2" t="str">
        <f>raw_order_lines!L829</f>
        <v>true</v>
      </c>
      <c r="M829" s="2" t="str">
        <f>INDEX(dim_products!$B$2:$B$21,MATCH($E829,dim_products!$A$2:$A$21,0))</f>
        <v>白萝卜</v>
      </c>
      <c r="N829" s="2" t="str">
        <f>INDEX(dim_products!$C$2:$C$21,MATCH($E829,dim_products!$A$2:$A$21,0))</f>
        <v>散装鲜菜</v>
      </c>
      <c r="O829" s="2" t="str">
        <f>INDEX(dim_customers!$B$2:$B$7,MATCH($C829,dim_customers!$A$2:$A$7,0))</f>
        <v>模拟_桥头家常菜馆</v>
      </c>
      <c r="P829" s="6">
        <f>INT((ROUND(raw_order_lines!H829*10,0)*ROUND(raw_order_lines!J829*100,0)+5)/10)/100</f>
        <v>14.25</v>
      </c>
      <c r="Q829" s="6">
        <f>INT((ROUND(raw_order_lines!I829*10,0)*ROUND(raw_order_lines!J829*100,0)+5)/10)/100</f>
        <v>0</v>
      </c>
      <c r="R829" s="6">
        <f t="shared" si="36"/>
        <v>14.25</v>
      </c>
      <c r="S829" s="2" t="str">
        <f>IF(OR(ROUND(raw_order_lines!I829*10,0)&gt;ROUND(raw_order_lines!H829*10,0),ROUND(raw_order_lines!H829*10,0)&gt;ROUND(raw_order_lines!G829*10,0),ROUND(raw_order_lines!G829*10,0)&lt;=0),"数量关系异常","")</f>
        <v/>
      </c>
      <c r="T829" s="2" t="str">
        <f>IF($F829&lt;&gt;INDEX(dim_products!$D$2:$D$21,MATCH($E829,dim_products!$A$2:$A$21,0)),"单位不一致","")</f>
        <v/>
      </c>
      <c r="U829" s="2" t="str">
        <f>IF(OR(ROUND(raw_order_lines!J829*100,0)&lt;ROUND(INDEX(dim_products!$F$2:$F$21,MATCH($E829,dim_products!$A$2:$A$21,0))*100,0),ROUND(raw_order_lines!J829*100,0)&gt;ROUND(INDEX(dim_products!$G$2:$G$21,MATCH($E829,dim_products!$A$2:$A$21,0))*100,0)),"单价越界","")</f>
        <v/>
      </c>
      <c r="V829" s="2" t="str">
        <f t="shared" si="37"/>
        <v/>
      </c>
      <c r="W829" s="2" t="str">
        <f t="shared" si="38"/>
        <v>通过</v>
      </c>
    </row>
    <row r="830" spans="1:23" ht="15">
      <c r="A830" s="2" t="str">
        <f>raw_order_lines!A830</f>
        <v>SIM-20260926-C002</v>
      </c>
      <c r="B830" s="2">
        <f>raw_order_lines!B830</f>
        <v>4</v>
      </c>
      <c r="C830" s="2" t="str">
        <f>raw_order_lines!C830</f>
        <v>C002</v>
      </c>
      <c r="D830" s="3">
        <f>raw_order_lines!D830</f>
        <v>46291</v>
      </c>
      <c r="E830" s="2" t="str">
        <f>raw_order_lines!E830</f>
        <v>P006</v>
      </c>
      <c r="F830" s="2" t="str">
        <f>raw_order_lines!F830</f>
        <v>公斤</v>
      </c>
      <c r="G830" s="4">
        <f>raw_order_lines!G830</f>
        <v>7.8</v>
      </c>
      <c r="H830" s="4">
        <f>raw_order_lines!H830</f>
        <v>7.8</v>
      </c>
      <c r="I830" s="4">
        <f>raw_order_lines!I830</f>
        <v>0</v>
      </c>
      <c r="J830" s="5">
        <f>raw_order_lines!J830</f>
        <v>4.5999999999999996</v>
      </c>
      <c r="K830" s="2" t="str">
        <f>raw_order_lines!K830</f>
        <v>正常交付</v>
      </c>
      <c r="L830" s="2" t="str">
        <f>raw_order_lines!L830</f>
        <v>true</v>
      </c>
      <c r="M830" s="2" t="str">
        <f>INDEX(dim_products!$B$2:$B$21,MATCH($E830,dim_products!$A$2:$A$21,0))</f>
        <v>茄子</v>
      </c>
      <c r="N830" s="2" t="str">
        <f>INDEX(dim_products!$C$2:$C$21,MATCH($E830,dim_products!$A$2:$A$21,0))</f>
        <v>散装鲜菜</v>
      </c>
      <c r="O830" s="2" t="str">
        <f>INDEX(dim_customers!$B$2:$B$7,MATCH($C830,dim_customers!$A$2:$A$7,0))</f>
        <v>模拟_桥头家常菜馆</v>
      </c>
      <c r="P830" s="6">
        <f>INT((ROUND(raw_order_lines!H830*10,0)*ROUND(raw_order_lines!J830*100,0)+5)/10)/100</f>
        <v>35.880000000000003</v>
      </c>
      <c r="Q830" s="6">
        <f>INT((ROUND(raw_order_lines!I830*10,0)*ROUND(raw_order_lines!J830*100,0)+5)/10)/100</f>
        <v>0</v>
      </c>
      <c r="R830" s="6">
        <f t="shared" si="36"/>
        <v>35.880000000000003</v>
      </c>
      <c r="S830" s="2" t="str">
        <f>IF(OR(ROUND(raw_order_lines!I830*10,0)&gt;ROUND(raw_order_lines!H830*10,0),ROUND(raw_order_lines!H830*10,0)&gt;ROUND(raw_order_lines!G830*10,0),ROUND(raw_order_lines!G830*10,0)&lt;=0),"数量关系异常","")</f>
        <v/>
      </c>
      <c r="T830" s="2" t="str">
        <f>IF($F830&lt;&gt;INDEX(dim_products!$D$2:$D$21,MATCH($E830,dim_products!$A$2:$A$21,0)),"单位不一致","")</f>
        <v/>
      </c>
      <c r="U830" s="2" t="str">
        <f>IF(OR(ROUND(raw_order_lines!J830*100,0)&lt;ROUND(INDEX(dim_products!$F$2:$F$21,MATCH($E830,dim_products!$A$2:$A$21,0))*100,0),ROUND(raw_order_lines!J830*100,0)&gt;ROUND(INDEX(dim_products!$G$2:$G$21,MATCH($E830,dim_products!$A$2:$A$21,0))*100,0)),"单价越界","")</f>
        <v/>
      </c>
      <c r="V830" s="2" t="str">
        <f t="shared" si="37"/>
        <v/>
      </c>
      <c r="W830" s="2" t="str">
        <f t="shared" si="38"/>
        <v>通过</v>
      </c>
    </row>
    <row r="831" spans="1:23" ht="15">
      <c r="A831" s="2" t="str">
        <f>raw_order_lines!A831</f>
        <v>SIM-20260926-C002</v>
      </c>
      <c r="B831" s="2">
        <f>raw_order_lines!B831</f>
        <v>5</v>
      </c>
      <c r="C831" s="2" t="str">
        <f>raw_order_lines!C831</f>
        <v>C002</v>
      </c>
      <c r="D831" s="3">
        <f>raw_order_lines!D831</f>
        <v>46291</v>
      </c>
      <c r="E831" s="2" t="str">
        <f>raw_order_lines!E831</f>
        <v>P007</v>
      </c>
      <c r="F831" s="2" t="str">
        <f>raw_order_lines!F831</f>
        <v>公斤</v>
      </c>
      <c r="G831" s="4">
        <f>raw_order_lines!G831</f>
        <v>10.7</v>
      </c>
      <c r="H831" s="4">
        <f>raw_order_lines!H831</f>
        <v>10.7</v>
      </c>
      <c r="I831" s="4">
        <f>raw_order_lines!I831</f>
        <v>0</v>
      </c>
      <c r="J831" s="5">
        <f>raw_order_lines!J831</f>
        <v>4.95</v>
      </c>
      <c r="K831" s="2" t="str">
        <f>raw_order_lines!K831</f>
        <v>正常交付</v>
      </c>
      <c r="L831" s="2" t="str">
        <f>raw_order_lines!L831</f>
        <v>true</v>
      </c>
      <c r="M831" s="2" t="str">
        <f>INDEX(dim_products!$B$2:$B$21,MATCH($E831,dim_products!$A$2:$A$21,0))</f>
        <v>青椒</v>
      </c>
      <c r="N831" s="2" t="str">
        <f>INDEX(dim_products!$C$2:$C$21,MATCH($E831,dim_products!$A$2:$A$21,0))</f>
        <v>散装鲜菜</v>
      </c>
      <c r="O831" s="2" t="str">
        <f>INDEX(dim_customers!$B$2:$B$7,MATCH($C831,dim_customers!$A$2:$A$7,0))</f>
        <v>模拟_桥头家常菜馆</v>
      </c>
      <c r="P831" s="6">
        <f>INT((ROUND(raw_order_lines!H831*10,0)*ROUND(raw_order_lines!J831*100,0)+5)/10)/100</f>
        <v>52.97</v>
      </c>
      <c r="Q831" s="6">
        <f>INT((ROUND(raw_order_lines!I831*10,0)*ROUND(raw_order_lines!J831*100,0)+5)/10)/100</f>
        <v>0</v>
      </c>
      <c r="R831" s="6">
        <f t="shared" si="36"/>
        <v>52.97</v>
      </c>
      <c r="S831" s="2" t="str">
        <f>IF(OR(ROUND(raw_order_lines!I831*10,0)&gt;ROUND(raw_order_lines!H831*10,0),ROUND(raw_order_lines!H831*10,0)&gt;ROUND(raw_order_lines!G831*10,0),ROUND(raw_order_lines!G831*10,0)&lt;=0),"数量关系异常","")</f>
        <v/>
      </c>
      <c r="T831" s="2" t="str">
        <f>IF($F831&lt;&gt;INDEX(dim_products!$D$2:$D$21,MATCH($E831,dim_products!$A$2:$A$21,0)),"单位不一致","")</f>
        <v/>
      </c>
      <c r="U831" s="2" t="str">
        <f>IF(OR(ROUND(raw_order_lines!J831*100,0)&lt;ROUND(INDEX(dim_products!$F$2:$F$21,MATCH($E831,dim_products!$A$2:$A$21,0))*100,0),ROUND(raw_order_lines!J831*100,0)&gt;ROUND(INDEX(dim_products!$G$2:$G$21,MATCH($E831,dim_products!$A$2:$A$21,0))*100,0)),"单价越界","")</f>
        <v/>
      </c>
      <c r="V831" s="2" t="str">
        <f t="shared" si="37"/>
        <v/>
      </c>
      <c r="W831" s="2" t="str">
        <f t="shared" si="38"/>
        <v>通过</v>
      </c>
    </row>
    <row r="832" spans="1:23" ht="15">
      <c r="A832" s="2" t="str">
        <f>raw_order_lines!A832</f>
        <v>SIM-20260926-C002</v>
      </c>
      <c r="B832" s="2">
        <f>raw_order_lines!B832</f>
        <v>6</v>
      </c>
      <c r="C832" s="2" t="str">
        <f>raw_order_lines!C832</f>
        <v>C002</v>
      </c>
      <c r="D832" s="3">
        <f>raw_order_lines!D832</f>
        <v>46291</v>
      </c>
      <c r="E832" s="2" t="str">
        <f>raw_order_lines!E832</f>
        <v>P016</v>
      </c>
      <c r="F832" s="2" t="str">
        <f>raw_order_lines!F832</f>
        <v>公斤</v>
      </c>
      <c r="G832" s="4">
        <f>raw_order_lines!G832</f>
        <v>4</v>
      </c>
      <c r="H832" s="4">
        <f>raw_order_lines!H832</f>
        <v>4</v>
      </c>
      <c r="I832" s="4">
        <f>raw_order_lines!I832</f>
        <v>0</v>
      </c>
      <c r="J832" s="5">
        <f>raw_order_lines!J832</f>
        <v>10.4</v>
      </c>
      <c r="K832" s="2" t="str">
        <f>raw_order_lines!K832</f>
        <v>正常交付</v>
      </c>
      <c r="L832" s="2" t="str">
        <f>raw_order_lines!L832</f>
        <v>true</v>
      </c>
      <c r="M832" s="2" t="str">
        <f>INDEX(dim_products!$B$2:$B$21,MATCH($E832,dim_products!$A$2:$A$21,0))</f>
        <v>鸡蛋</v>
      </c>
      <c r="N832" s="2" t="str">
        <f>INDEX(dim_products!$C$2:$C$21,MATCH($E832,dim_products!$A$2:$A$21,0))</f>
        <v>普通鲜鸡蛋按净重</v>
      </c>
      <c r="O832" s="2" t="str">
        <f>INDEX(dim_customers!$B$2:$B$7,MATCH($C832,dim_customers!$A$2:$A$7,0))</f>
        <v>模拟_桥头家常菜馆</v>
      </c>
      <c r="P832" s="6">
        <f>INT((ROUND(raw_order_lines!H832*10,0)*ROUND(raw_order_lines!J832*100,0)+5)/10)/100</f>
        <v>41.6</v>
      </c>
      <c r="Q832" s="6">
        <f>INT((ROUND(raw_order_lines!I832*10,0)*ROUND(raw_order_lines!J832*100,0)+5)/10)/100</f>
        <v>0</v>
      </c>
      <c r="R832" s="6">
        <f t="shared" si="36"/>
        <v>41.6</v>
      </c>
      <c r="S832" s="2" t="str">
        <f>IF(OR(ROUND(raw_order_lines!I832*10,0)&gt;ROUND(raw_order_lines!H832*10,0),ROUND(raw_order_lines!H832*10,0)&gt;ROUND(raw_order_lines!G832*10,0),ROUND(raw_order_lines!G832*10,0)&lt;=0),"数量关系异常","")</f>
        <v/>
      </c>
      <c r="T832" s="2" t="str">
        <f>IF($F832&lt;&gt;INDEX(dim_products!$D$2:$D$21,MATCH($E832,dim_products!$A$2:$A$21,0)),"单位不一致","")</f>
        <v/>
      </c>
      <c r="U832" s="2" t="str">
        <f>IF(OR(ROUND(raw_order_lines!J832*100,0)&lt;ROUND(INDEX(dim_products!$F$2:$F$21,MATCH($E832,dim_products!$A$2:$A$21,0))*100,0),ROUND(raw_order_lines!J832*100,0)&gt;ROUND(INDEX(dim_products!$G$2:$G$21,MATCH($E832,dim_products!$A$2:$A$21,0))*100,0)),"单价越界","")</f>
        <v/>
      </c>
      <c r="V832" s="2" t="str">
        <f t="shared" si="37"/>
        <v/>
      </c>
      <c r="W832" s="2" t="str">
        <f t="shared" si="38"/>
        <v>通过</v>
      </c>
    </row>
    <row r="833" spans="1:23" ht="15">
      <c r="A833" s="2" t="str">
        <f>raw_order_lines!A833</f>
        <v>SIM-20260926-C003</v>
      </c>
      <c r="B833" s="2">
        <f>raw_order_lines!B833</f>
        <v>1</v>
      </c>
      <c r="C833" s="2" t="str">
        <f>raw_order_lines!C833</f>
        <v>C003</v>
      </c>
      <c r="D833" s="3">
        <f>raw_order_lines!D833</f>
        <v>46291</v>
      </c>
      <c r="E833" s="2" t="str">
        <f>raw_order_lines!E833</f>
        <v>P011</v>
      </c>
      <c r="F833" s="2" t="str">
        <f>raw_order_lines!F833</f>
        <v>公斤</v>
      </c>
      <c r="G833" s="4">
        <f>raw_order_lines!G833</f>
        <v>9.6</v>
      </c>
      <c r="H833" s="4">
        <f>raw_order_lines!H833</f>
        <v>9.6</v>
      </c>
      <c r="I833" s="4">
        <f>raw_order_lines!I833</f>
        <v>0</v>
      </c>
      <c r="J833" s="5">
        <f>raw_order_lines!J833</f>
        <v>4.8</v>
      </c>
      <c r="K833" s="2" t="str">
        <f>raw_order_lines!K833</f>
        <v>正常交付</v>
      </c>
      <c r="L833" s="2" t="str">
        <f>raw_order_lines!L833</f>
        <v>true</v>
      </c>
      <c r="M833" s="2" t="str">
        <f>INDEX(dim_products!$B$2:$B$21,MATCH($E833,dim_products!$A$2:$A$21,0))</f>
        <v>红薯叶</v>
      </c>
      <c r="N833" s="2" t="str">
        <f>INDEX(dim_products!$C$2:$C$21,MATCH($E833,dim_products!$A$2:$A$21,0))</f>
        <v>散装鲜菜</v>
      </c>
      <c r="O833" s="2" t="str">
        <f>INDEX(dim_customers!$B$2:$B$7,MATCH($C833,dim_customers!$A$2:$A$7,0))</f>
        <v>模拟_兴街快餐店</v>
      </c>
      <c r="P833" s="6">
        <f>INT((ROUND(raw_order_lines!H833*10,0)*ROUND(raw_order_lines!J833*100,0)+5)/10)/100</f>
        <v>46.08</v>
      </c>
      <c r="Q833" s="6">
        <f>INT((ROUND(raw_order_lines!I833*10,0)*ROUND(raw_order_lines!J833*100,0)+5)/10)/100</f>
        <v>0</v>
      </c>
      <c r="R833" s="6">
        <f t="shared" si="36"/>
        <v>46.08</v>
      </c>
      <c r="S833" s="2" t="str">
        <f>IF(OR(ROUND(raw_order_lines!I833*10,0)&gt;ROUND(raw_order_lines!H833*10,0),ROUND(raw_order_lines!H833*10,0)&gt;ROUND(raw_order_lines!G833*10,0),ROUND(raw_order_lines!G833*10,0)&lt;=0),"数量关系异常","")</f>
        <v/>
      </c>
      <c r="T833" s="2" t="str">
        <f>IF($F833&lt;&gt;INDEX(dim_products!$D$2:$D$21,MATCH($E833,dim_products!$A$2:$A$21,0)),"单位不一致","")</f>
        <v/>
      </c>
      <c r="U833" s="2" t="str">
        <f>IF(OR(ROUND(raw_order_lines!J833*100,0)&lt;ROUND(INDEX(dim_products!$F$2:$F$21,MATCH($E833,dim_products!$A$2:$A$21,0))*100,0),ROUND(raw_order_lines!J833*100,0)&gt;ROUND(INDEX(dim_products!$G$2:$G$21,MATCH($E833,dim_products!$A$2:$A$21,0))*100,0)),"单价越界","")</f>
        <v/>
      </c>
      <c r="V833" s="2" t="str">
        <f t="shared" si="37"/>
        <v/>
      </c>
      <c r="W833" s="2" t="str">
        <f t="shared" si="38"/>
        <v>通过</v>
      </c>
    </row>
    <row r="834" spans="1:23" ht="15">
      <c r="A834" s="2" t="str">
        <f>raw_order_lines!A834</f>
        <v>SIM-20260926-C003</v>
      </c>
      <c r="B834" s="2">
        <f>raw_order_lines!B834</f>
        <v>2</v>
      </c>
      <c r="C834" s="2" t="str">
        <f>raw_order_lines!C834</f>
        <v>C003</v>
      </c>
      <c r="D834" s="3">
        <f>raw_order_lines!D834</f>
        <v>46291</v>
      </c>
      <c r="E834" s="2" t="str">
        <f>raw_order_lines!E834</f>
        <v>P006</v>
      </c>
      <c r="F834" s="2" t="str">
        <f>raw_order_lines!F834</f>
        <v>公斤</v>
      </c>
      <c r="G834" s="4">
        <f>raw_order_lines!G834</f>
        <v>7.7</v>
      </c>
      <c r="H834" s="4">
        <f>raw_order_lines!H834</f>
        <v>7.7</v>
      </c>
      <c r="I834" s="4">
        <f>raw_order_lines!I834</f>
        <v>0</v>
      </c>
      <c r="J834" s="5">
        <f>raw_order_lines!J834</f>
        <v>4.5999999999999996</v>
      </c>
      <c r="K834" s="2" t="str">
        <f>raw_order_lines!K834</f>
        <v>正常交付</v>
      </c>
      <c r="L834" s="2" t="str">
        <f>raw_order_lines!L834</f>
        <v>true</v>
      </c>
      <c r="M834" s="2" t="str">
        <f>INDEX(dim_products!$B$2:$B$21,MATCH($E834,dim_products!$A$2:$A$21,0))</f>
        <v>茄子</v>
      </c>
      <c r="N834" s="2" t="str">
        <f>INDEX(dim_products!$C$2:$C$21,MATCH($E834,dim_products!$A$2:$A$21,0))</f>
        <v>散装鲜菜</v>
      </c>
      <c r="O834" s="2" t="str">
        <f>INDEX(dim_customers!$B$2:$B$7,MATCH($C834,dim_customers!$A$2:$A$7,0))</f>
        <v>模拟_兴街快餐店</v>
      </c>
      <c r="P834" s="6">
        <f>INT((ROUND(raw_order_lines!H834*10,0)*ROUND(raw_order_lines!J834*100,0)+5)/10)/100</f>
        <v>35.42</v>
      </c>
      <c r="Q834" s="6">
        <f>INT((ROUND(raw_order_lines!I834*10,0)*ROUND(raw_order_lines!J834*100,0)+5)/10)/100</f>
        <v>0</v>
      </c>
      <c r="R834" s="6">
        <f t="shared" ref="R834:R897" si="39">$P834-$Q834</f>
        <v>35.42</v>
      </c>
      <c r="S834" s="2" t="str">
        <f>IF(OR(ROUND(raw_order_lines!I834*10,0)&gt;ROUND(raw_order_lines!H834*10,0),ROUND(raw_order_lines!H834*10,0)&gt;ROUND(raw_order_lines!G834*10,0),ROUND(raw_order_lines!G834*10,0)&lt;=0),"数量关系异常","")</f>
        <v/>
      </c>
      <c r="T834" s="2" t="str">
        <f>IF($F834&lt;&gt;INDEX(dim_products!$D$2:$D$21,MATCH($E834,dim_products!$A$2:$A$21,0)),"单位不一致","")</f>
        <v/>
      </c>
      <c r="U834" s="2" t="str">
        <f>IF(OR(ROUND(raw_order_lines!J834*100,0)&lt;ROUND(INDEX(dim_products!$F$2:$F$21,MATCH($E834,dim_products!$A$2:$A$21,0))*100,0),ROUND(raw_order_lines!J834*100,0)&gt;ROUND(INDEX(dim_products!$G$2:$G$21,MATCH($E834,dim_products!$A$2:$A$21,0))*100,0)),"单价越界","")</f>
        <v/>
      </c>
      <c r="V834" s="2" t="str">
        <f t="shared" ref="V834:V897" si="40">IF(COUNTIFS($A$2:$A$967,$A834,$B$2:$B$967,$B834)&gt;1,"主键重复","")</f>
        <v/>
      </c>
      <c r="W834" s="2" t="str">
        <f t="shared" ref="W834:W897" si="41">IF(COUNTIF($S834:$T834,"?*")+COUNTIF($V834:$V834,"?*")&gt;0,"阻断",IF(COUNTIF($U834:$U834,"?*")&gt;0,"提示","通过"))</f>
        <v>通过</v>
      </c>
    </row>
    <row r="835" spans="1:23" ht="15">
      <c r="A835" s="2" t="str">
        <f>raw_order_lines!A835</f>
        <v>SIM-20260926-C003</v>
      </c>
      <c r="B835" s="2">
        <f>raw_order_lines!B835</f>
        <v>3</v>
      </c>
      <c r="C835" s="2" t="str">
        <f>raw_order_lines!C835</f>
        <v>C003</v>
      </c>
      <c r="D835" s="3">
        <f>raw_order_lines!D835</f>
        <v>46291</v>
      </c>
      <c r="E835" s="2" t="str">
        <f>raw_order_lines!E835</f>
        <v>P007</v>
      </c>
      <c r="F835" s="2" t="str">
        <f>raw_order_lines!F835</f>
        <v>公斤</v>
      </c>
      <c r="G835" s="4">
        <f>raw_order_lines!G835</f>
        <v>7</v>
      </c>
      <c r="H835" s="4">
        <f>raw_order_lines!H835</f>
        <v>7</v>
      </c>
      <c r="I835" s="4">
        <f>raw_order_lines!I835</f>
        <v>0</v>
      </c>
      <c r="J835" s="5">
        <f>raw_order_lines!J835</f>
        <v>4.95</v>
      </c>
      <c r="K835" s="2" t="str">
        <f>raw_order_lines!K835</f>
        <v>正常交付</v>
      </c>
      <c r="L835" s="2" t="str">
        <f>raw_order_lines!L835</f>
        <v>true</v>
      </c>
      <c r="M835" s="2" t="str">
        <f>INDEX(dim_products!$B$2:$B$21,MATCH($E835,dim_products!$A$2:$A$21,0))</f>
        <v>青椒</v>
      </c>
      <c r="N835" s="2" t="str">
        <f>INDEX(dim_products!$C$2:$C$21,MATCH($E835,dim_products!$A$2:$A$21,0))</f>
        <v>散装鲜菜</v>
      </c>
      <c r="O835" s="2" t="str">
        <f>INDEX(dim_customers!$B$2:$B$7,MATCH($C835,dim_customers!$A$2:$A$7,0))</f>
        <v>模拟_兴街快餐店</v>
      </c>
      <c r="P835" s="6">
        <f>INT((ROUND(raw_order_lines!H835*10,0)*ROUND(raw_order_lines!J835*100,0)+5)/10)/100</f>
        <v>34.65</v>
      </c>
      <c r="Q835" s="6">
        <f>INT((ROUND(raw_order_lines!I835*10,0)*ROUND(raw_order_lines!J835*100,0)+5)/10)/100</f>
        <v>0</v>
      </c>
      <c r="R835" s="6">
        <f t="shared" si="39"/>
        <v>34.65</v>
      </c>
      <c r="S835" s="2" t="str">
        <f>IF(OR(ROUND(raw_order_lines!I835*10,0)&gt;ROUND(raw_order_lines!H835*10,0),ROUND(raw_order_lines!H835*10,0)&gt;ROUND(raw_order_lines!G835*10,0),ROUND(raw_order_lines!G835*10,0)&lt;=0),"数量关系异常","")</f>
        <v/>
      </c>
      <c r="T835" s="2" t="str">
        <f>IF($F835&lt;&gt;INDEX(dim_products!$D$2:$D$21,MATCH($E835,dim_products!$A$2:$A$21,0)),"单位不一致","")</f>
        <v/>
      </c>
      <c r="U835" s="2" t="str">
        <f>IF(OR(ROUND(raw_order_lines!J835*100,0)&lt;ROUND(INDEX(dim_products!$F$2:$F$21,MATCH($E835,dim_products!$A$2:$A$21,0))*100,0),ROUND(raw_order_lines!J835*100,0)&gt;ROUND(INDEX(dim_products!$G$2:$G$21,MATCH($E835,dim_products!$A$2:$A$21,0))*100,0)),"单价越界","")</f>
        <v/>
      </c>
      <c r="V835" s="2" t="str">
        <f t="shared" si="40"/>
        <v/>
      </c>
      <c r="W835" s="2" t="str">
        <f t="shared" si="41"/>
        <v>通过</v>
      </c>
    </row>
    <row r="836" spans="1:23" ht="15">
      <c r="A836" s="2" t="str">
        <f>raw_order_lines!A836</f>
        <v>SIM-20260926-C003</v>
      </c>
      <c r="B836" s="2">
        <f>raw_order_lines!B836</f>
        <v>4</v>
      </c>
      <c r="C836" s="2" t="str">
        <f>raw_order_lines!C836</f>
        <v>C003</v>
      </c>
      <c r="D836" s="3">
        <f>raw_order_lines!D836</f>
        <v>46291</v>
      </c>
      <c r="E836" s="2" t="str">
        <f>raw_order_lines!E836</f>
        <v>P013</v>
      </c>
      <c r="F836" s="2" t="str">
        <f>raw_order_lines!F836</f>
        <v>公斤</v>
      </c>
      <c r="G836" s="4">
        <f>raw_order_lines!G836</f>
        <v>7</v>
      </c>
      <c r="H836" s="4">
        <f>raw_order_lines!H836</f>
        <v>7</v>
      </c>
      <c r="I836" s="4">
        <f>raw_order_lines!I836</f>
        <v>0</v>
      </c>
      <c r="J836" s="5">
        <f>raw_order_lines!J836</f>
        <v>6.1</v>
      </c>
      <c r="K836" s="2" t="str">
        <f>raw_order_lines!K836</f>
        <v>正常交付</v>
      </c>
      <c r="L836" s="2" t="str">
        <f>raw_order_lines!L836</f>
        <v>true</v>
      </c>
      <c r="M836" s="2" t="str">
        <f>INDEX(dim_products!$B$2:$B$21,MATCH($E836,dim_products!$A$2:$A$21,0))</f>
        <v>豇豆</v>
      </c>
      <c r="N836" s="2" t="str">
        <f>INDEX(dim_products!$C$2:$C$21,MATCH($E836,dim_products!$A$2:$A$21,0))</f>
        <v>散装鲜菜</v>
      </c>
      <c r="O836" s="2" t="str">
        <f>INDEX(dim_customers!$B$2:$B$7,MATCH($C836,dim_customers!$A$2:$A$7,0))</f>
        <v>模拟_兴街快餐店</v>
      </c>
      <c r="P836" s="6">
        <f>INT((ROUND(raw_order_lines!H836*10,0)*ROUND(raw_order_lines!J836*100,0)+5)/10)/100</f>
        <v>42.7</v>
      </c>
      <c r="Q836" s="6">
        <f>INT((ROUND(raw_order_lines!I836*10,0)*ROUND(raw_order_lines!J836*100,0)+5)/10)/100</f>
        <v>0</v>
      </c>
      <c r="R836" s="6">
        <f t="shared" si="39"/>
        <v>42.7</v>
      </c>
      <c r="S836" s="2" t="str">
        <f>IF(OR(ROUND(raw_order_lines!I836*10,0)&gt;ROUND(raw_order_lines!H836*10,0),ROUND(raw_order_lines!H836*10,0)&gt;ROUND(raw_order_lines!G836*10,0),ROUND(raw_order_lines!G836*10,0)&lt;=0),"数量关系异常","")</f>
        <v/>
      </c>
      <c r="T836" s="2" t="str">
        <f>IF($F836&lt;&gt;INDEX(dim_products!$D$2:$D$21,MATCH($E836,dim_products!$A$2:$A$21,0)),"单位不一致","")</f>
        <v/>
      </c>
      <c r="U836" s="2" t="str">
        <f>IF(OR(ROUND(raw_order_lines!J836*100,0)&lt;ROUND(INDEX(dim_products!$F$2:$F$21,MATCH($E836,dim_products!$A$2:$A$21,0))*100,0),ROUND(raw_order_lines!J836*100,0)&gt;ROUND(INDEX(dim_products!$G$2:$G$21,MATCH($E836,dim_products!$A$2:$A$21,0))*100,0)),"单价越界","")</f>
        <v/>
      </c>
      <c r="V836" s="2" t="str">
        <f t="shared" si="40"/>
        <v/>
      </c>
      <c r="W836" s="2" t="str">
        <f t="shared" si="41"/>
        <v>通过</v>
      </c>
    </row>
    <row r="837" spans="1:23" ht="15">
      <c r="A837" s="2" t="str">
        <f>raw_order_lines!A837</f>
        <v>SIM-20260926-C003</v>
      </c>
      <c r="B837" s="2">
        <f>raw_order_lines!B837</f>
        <v>5</v>
      </c>
      <c r="C837" s="2" t="str">
        <f>raw_order_lines!C837</f>
        <v>C003</v>
      </c>
      <c r="D837" s="3">
        <f>raw_order_lines!D837</f>
        <v>46291</v>
      </c>
      <c r="E837" s="2" t="str">
        <f>raw_order_lines!E837</f>
        <v>P004</v>
      </c>
      <c r="F837" s="2" t="str">
        <f>raw_order_lines!F837</f>
        <v>公斤</v>
      </c>
      <c r="G837" s="4">
        <f>raw_order_lines!G837</f>
        <v>6.4</v>
      </c>
      <c r="H837" s="4">
        <f>raw_order_lines!H837</f>
        <v>6.4</v>
      </c>
      <c r="I837" s="4">
        <f>raw_order_lines!I837</f>
        <v>0</v>
      </c>
      <c r="J837" s="5">
        <f>raw_order_lines!J837</f>
        <v>2.2999999999999998</v>
      </c>
      <c r="K837" s="2" t="str">
        <f>raw_order_lines!K837</f>
        <v>正常交付</v>
      </c>
      <c r="L837" s="2" t="str">
        <f>raw_order_lines!L837</f>
        <v>true</v>
      </c>
      <c r="M837" s="2" t="str">
        <f>INDEX(dim_products!$B$2:$B$21,MATCH($E837,dim_products!$A$2:$A$21,0))</f>
        <v>冬瓜</v>
      </c>
      <c r="N837" s="2" t="str">
        <f>INDEX(dim_products!$C$2:$C$21,MATCH($E837,dim_products!$A$2:$A$21,0))</f>
        <v>散装鲜菜</v>
      </c>
      <c r="O837" s="2" t="str">
        <f>INDEX(dim_customers!$B$2:$B$7,MATCH($C837,dim_customers!$A$2:$A$7,0))</f>
        <v>模拟_兴街快餐店</v>
      </c>
      <c r="P837" s="6">
        <f>INT((ROUND(raw_order_lines!H837*10,0)*ROUND(raw_order_lines!J837*100,0)+5)/10)/100</f>
        <v>14.72</v>
      </c>
      <c r="Q837" s="6">
        <f>INT((ROUND(raw_order_lines!I837*10,0)*ROUND(raw_order_lines!J837*100,0)+5)/10)/100</f>
        <v>0</v>
      </c>
      <c r="R837" s="6">
        <f t="shared" si="39"/>
        <v>14.72</v>
      </c>
      <c r="S837" s="2" t="str">
        <f>IF(OR(ROUND(raw_order_lines!I837*10,0)&gt;ROUND(raw_order_lines!H837*10,0),ROUND(raw_order_lines!H837*10,0)&gt;ROUND(raw_order_lines!G837*10,0),ROUND(raw_order_lines!G837*10,0)&lt;=0),"数量关系异常","")</f>
        <v/>
      </c>
      <c r="T837" s="2" t="str">
        <f>IF($F837&lt;&gt;INDEX(dim_products!$D$2:$D$21,MATCH($E837,dim_products!$A$2:$A$21,0)),"单位不一致","")</f>
        <v/>
      </c>
      <c r="U837" s="2" t="str">
        <f>IF(OR(ROUND(raw_order_lines!J837*100,0)&lt;ROUND(INDEX(dim_products!$F$2:$F$21,MATCH($E837,dim_products!$A$2:$A$21,0))*100,0),ROUND(raw_order_lines!J837*100,0)&gt;ROUND(INDEX(dim_products!$G$2:$G$21,MATCH($E837,dim_products!$A$2:$A$21,0))*100,0)),"单价越界","")</f>
        <v/>
      </c>
      <c r="V837" s="2" t="str">
        <f t="shared" si="40"/>
        <v/>
      </c>
      <c r="W837" s="2" t="str">
        <f t="shared" si="41"/>
        <v>通过</v>
      </c>
    </row>
    <row r="838" spans="1:23" ht="15">
      <c r="A838" s="2" t="str">
        <f>raw_order_lines!A838</f>
        <v>SIM-20260926-C003</v>
      </c>
      <c r="B838" s="2">
        <f>raw_order_lines!B838</f>
        <v>6</v>
      </c>
      <c r="C838" s="2" t="str">
        <f>raw_order_lines!C838</f>
        <v>C003</v>
      </c>
      <c r="D838" s="3">
        <f>raw_order_lines!D838</f>
        <v>46291</v>
      </c>
      <c r="E838" s="2" t="str">
        <f>raw_order_lines!E838</f>
        <v>P001</v>
      </c>
      <c r="F838" s="2" t="str">
        <f>raw_order_lines!F838</f>
        <v>公斤</v>
      </c>
      <c r="G838" s="4">
        <f>raw_order_lines!G838</f>
        <v>6.4</v>
      </c>
      <c r="H838" s="4">
        <f>raw_order_lines!H838</f>
        <v>6.4</v>
      </c>
      <c r="I838" s="4">
        <f>raw_order_lines!I838</f>
        <v>0</v>
      </c>
      <c r="J838" s="5">
        <f>raw_order_lines!J838</f>
        <v>3.5</v>
      </c>
      <c r="K838" s="2" t="str">
        <f>raw_order_lines!K838</f>
        <v>正常交付</v>
      </c>
      <c r="L838" s="2" t="str">
        <f>raw_order_lines!L838</f>
        <v>true</v>
      </c>
      <c r="M838" s="2" t="str">
        <f>INDEX(dim_products!$B$2:$B$21,MATCH($E838,dim_products!$A$2:$A$21,0))</f>
        <v>土豆</v>
      </c>
      <c r="N838" s="2" t="str">
        <f>INDEX(dim_products!$C$2:$C$21,MATCH($E838,dim_products!$A$2:$A$21,0))</f>
        <v>散装鲜菜</v>
      </c>
      <c r="O838" s="2" t="str">
        <f>INDEX(dim_customers!$B$2:$B$7,MATCH($C838,dim_customers!$A$2:$A$7,0))</f>
        <v>模拟_兴街快餐店</v>
      </c>
      <c r="P838" s="6">
        <f>INT((ROUND(raw_order_lines!H838*10,0)*ROUND(raw_order_lines!J838*100,0)+5)/10)/100</f>
        <v>22.4</v>
      </c>
      <c r="Q838" s="6">
        <f>INT((ROUND(raw_order_lines!I838*10,0)*ROUND(raw_order_lines!J838*100,0)+5)/10)/100</f>
        <v>0</v>
      </c>
      <c r="R838" s="6">
        <f t="shared" si="39"/>
        <v>22.4</v>
      </c>
      <c r="S838" s="2" t="str">
        <f>IF(OR(ROUND(raw_order_lines!I838*10,0)&gt;ROUND(raw_order_lines!H838*10,0),ROUND(raw_order_lines!H838*10,0)&gt;ROUND(raw_order_lines!G838*10,0),ROUND(raw_order_lines!G838*10,0)&lt;=0),"数量关系异常","")</f>
        <v/>
      </c>
      <c r="T838" s="2" t="str">
        <f>IF($F838&lt;&gt;INDEX(dim_products!$D$2:$D$21,MATCH($E838,dim_products!$A$2:$A$21,0)),"单位不一致","")</f>
        <v/>
      </c>
      <c r="U838" s="2" t="str">
        <f>IF(OR(ROUND(raw_order_lines!J838*100,0)&lt;ROUND(INDEX(dim_products!$F$2:$F$21,MATCH($E838,dim_products!$A$2:$A$21,0))*100,0),ROUND(raw_order_lines!J838*100,0)&gt;ROUND(INDEX(dim_products!$G$2:$G$21,MATCH($E838,dim_products!$A$2:$A$21,0))*100,0)),"单价越界","")</f>
        <v/>
      </c>
      <c r="V838" s="2" t="str">
        <f t="shared" si="40"/>
        <v/>
      </c>
      <c r="W838" s="2" t="str">
        <f t="shared" si="41"/>
        <v>通过</v>
      </c>
    </row>
    <row r="839" spans="1:23" ht="15">
      <c r="A839" s="2" t="str">
        <f>raw_order_lines!A839</f>
        <v>SIM-20260926-C003</v>
      </c>
      <c r="B839" s="2">
        <f>raw_order_lines!B839</f>
        <v>7</v>
      </c>
      <c r="C839" s="2" t="str">
        <f>raw_order_lines!C839</f>
        <v>C003</v>
      </c>
      <c r="D839" s="3">
        <f>raw_order_lines!D839</f>
        <v>46291</v>
      </c>
      <c r="E839" s="2" t="str">
        <f>raw_order_lines!E839</f>
        <v>P016</v>
      </c>
      <c r="F839" s="2" t="str">
        <f>raw_order_lines!F839</f>
        <v>公斤</v>
      </c>
      <c r="G839" s="4">
        <f>raw_order_lines!G839</f>
        <v>6</v>
      </c>
      <c r="H839" s="4">
        <f>raw_order_lines!H839</f>
        <v>5.7</v>
      </c>
      <c r="I839" s="4">
        <f>raw_order_lines!I839</f>
        <v>0</v>
      </c>
      <c r="J839" s="5">
        <f>raw_order_lines!J839</f>
        <v>10.4</v>
      </c>
      <c r="K839" s="2" t="str">
        <f>raw_order_lines!K839</f>
        <v>到货不足；按实际交付计费</v>
      </c>
      <c r="L839" s="2" t="str">
        <f>raw_order_lines!L839</f>
        <v>true</v>
      </c>
      <c r="M839" s="2" t="str">
        <f>INDEX(dim_products!$B$2:$B$21,MATCH($E839,dim_products!$A$2:$A$21,0))</f>
        <v>鸡蛋</v>
      </c>
      <c r="N839" s="2" t="str">
        <f>INDEX(dim_products!$C$2:$C$21,MATCH($E839,dim_products!$A$2:$A$21,0))</f>
        <v>普通鲜鸡蛋按净重</v>
      </c>
      <c r="O839" s="2" t="str">
        <f>INDEX(dim_customers!$B$2:$B$7,MATCH($C839,dim_customers!$A$2:$A$7,0))</f>
        <v>模拟_兴街快餐店</v>
      </c>
      <c r="P839" s="6">
        <f>INT((ROUND(raw_order_lines!H839*10,0)*ROUND(raw_order_lines!J839*100,0)+5)/10)/100</f>
        <v>59.28</v>
      </c>
      <c r="Q839" s="6">
        <f>INT((ROUND(raw_order_lines!I839*10,0)*ROUND(raw_order_lines!J839*100,0)+5)/10)/100</f>
        <v>0</v>
      </c>
      <c r="R839" s="6">
        <f t="shared" si="39"/>
        <v>59.28</v>
      </c>
      <c r="S839" s="2" t="str">
        <f>IF(OR(ROUND(raw_order_lines!I839*10,0)&gt;ROUND(raw_order_lines!H839*10,0),ROUND(raw_order_lines!H839*10,0)&gt;ROUND(raw_order_lines!G839*10,0),ROUND(raw_order_lines!G839*10,0)&lt;=0),"数量关系异常","")</f>
        <v/>
      </c>
      <c r="T839" s="2" t="str">
        <f>IF($F839&lt;&gt;INDEX(dim_products!$D$2:$D$21,MATCH($E839,dim_products!$A$2:$A$21,0)),"单位不一致","")</f>
        <v/>
      </c>
      <c r="U839" s="2" t="str">
        <f>IF(OR(ROUND(raw_order_lines!J839*100,0)&lt;ROUND(INDEX(dim_products!$F$2:$F$21,MATCH($E839,dim_products!$A$2:$A$21,0))*100,0),ROUND(raw_order_lines!J839*100,0)&gt;ROUND(INDEX(dim_products!$G$2:$G$21,MATCH($E839,dim_products!$A$2:$A$21,0))*100,0)),"单价越界","")</f>
        <v/>
      </c>
      <c r="V839" s="2" t="str">
        <f t="shared" si="40"/>
        <v/>
      </c>
      <c r="W839" s="2" t="str">
        <f t="shared" si="41"/>
        <v>通过</v>
      </c>
    </row>
    <row r="840" spans="1:23" ht="15">
      <c r="A840" s="2" t="str">
        <f>raw_order_lines!A840</f>
        <v>SIM-20260926-C004</v>
      </c>
      <c r="B840" s="2">
        <f>raw_order_lines!B840</f>
        <v>1</v>
      </c>
      <c r="C840" s="2" t="str">
        <f>raw_order_lines!C840</f>
        <v>C004</v>
      </c>
      <c r="D840" s="3">
        <f>raw_order_lines!D840</f>
        <v>46291</v>
      </c>
      <c r="E840" s="2" t="str">
        <f>raw_order_lines!E840</f>
        <v>P010</v>
      </c>
      <c r="F840" s="2" t="str">
        <f>raw_order_lines!F840</f>
        <v>公斤</v>
      </c>
      <c r="G840" s="4">
        <f>raw_order_lines!G840</f>
        <v>9.1</v>
      </c>
      <c r="H840" s="4">
        <f>raw_order_lines!H840</f>
        <v>9.1</v>
      </c>
      <c r="I840" s="4">
        <f>raw_order_lines!I840</f>
        <v>0</v>
      </c>
      <c r="J840" s="5">
        <f>raw_order_lines!J840</f>
        <v>4.9000000000000004</v>
      </c>
      <c r="K840" s="2" t="str">
        <f>raw_order_lines!K840</f>
        <v>正常交付</v>
      </c>
      <c r="L840" s="2" t="str">
        <f>raw_order_lines!L840</f>
        <v>true</v>
      </c>
      <c r="M840" s="2" t="str">
        <f>INDEX(dim_products!$B$2:$B$21,MATCH($E840,dim_products!$A$2:$A$21,0))</f>
        <v>空心菜</v>
      </c>
      <c r="N840" s="2" t="str">
        <f>INDEX(dim_products!$C$2:$C$21,MATCH($E840,dim_products!$A$2:$A$21,0))</f>
        <v>散装鲜菜</v>
      </c>
      <c r="O840" s="2" t="str">
        <f>INDEX(dim_customers!$B$2:$B$7,MATCH($C840,dim_customers!$A$2:$A$7,0))</f>
        <v>模拟_田畔饭店</v>
      </c>
      <c r="P840" s="6">
        <f>INT((ROUND(raw_order_lines!H840*10,0)*ROUND(raw_order_lines!J840*100,0)+5)/10)/100</f>
        <v>44.59</v>
      </c>
      <c r="Q840" s="6">
        <f>INT((ROUND(raw_order_lines!I840*10,0)*ROUND(raw_order_lines!J840*100,0)+5)/10)/100</f>
        <v>0</v>
      </c>
      <c r="R840" s="6">
        <f t="shared" si="39"/>
        <v>44.59</v>
      </c>
      <c r="S840" s="2" t="str">
        <f>IF(OR(ROUND(raw_order_lines!I840*10,0)&gt;ROUND(raw_order_lines!H840*10,0),ROUND(raw_order_lines!H840*10,0)&gt;ROUND(raw_order_lines!G840*10,0),ROUND(raw_order_lines!G840*10,0)&lt;=0),"数量关系异常","")</f>
        <v/>
      </c>
      <c r="T840" s="2" t="str">
        <f>IF($F840&lt;&gt;INDEX(dim_products!$D$2:$D$21,MATCH($E840,dim_products!$A$2:$A$21,0)),"单位不一致","")</f>
        <v/>
      </c>
      <c r="U840" s="2" t="str">
        <f>IF(OR(ROUND(raw_order_lines!J840*100,0)&lt;ROUND(INDEX(dim_products!$F$2:$F$21,MATCH($E840,dim_products!$A$2:$A$21,0))*100,0),ROUND(raw_order_lines!J840*100,0)&gt;ROUND(INDEX(dim_products!$G$2:$G$21,MATCH($E840,dim_products!$A$2:$A$21,0))*100,0)),"单价越界","")</f>
        <v/>
      </c>
      <c r="V840" s="2" t="str">
        <f t="shared" si="40"/>
        <v/>
      </c>
      <c r="W840" s="2" t="str">
        <f t="shared" si="41"/>
        <v>通过</v>
      </c>
    </row>
    <row r="841" spans="1:23" ht="15">
      <c r="A841" s="2" t="str">
        <f>raw_order_lines!A841</f>
        <v>SIM-20260926-C004</v>
      </c>
      <c r="B841" s="2">
        <f>raw_order_lines!B841</f>
        <v>2</v>
      </c>
      <c r="C841" s="2" t="str">
        <f>raw_order_lines!C841</f>
        <v>C004</v>
      </c>
      <c r="D841" s="3">
        <f>raw_order_lines!D841</f>
        <v>46291</v>
      </c>
      <c r="E841" s="2" t="str">
        <f>raw_order_lines!E841</f>
        <v>P008</v>
      </c>
      <c r="F841" s="2" t="str">
        <f>raw_order_lines!F841</f>
        <v>公斤</v>
      </c>
      <c r="G841" s="4">
        <f>raw_order_lines!G841</f>
        <v>9.1</v>
      </c>
      <c r="H841" s="4">
        <f>raw_order_lines!H841</f>
        <v>9.1</v>
      </c>
      <c r="I841" s="4">
        <f>raw_order_lines!I841</f>
        <v>0</v>
      </c>
      <c r="J841" s="5">
        <f>raw_order_lines!J841</f>
        <v>3.9</v>
      </c>
      <c r="K841" s="2" t="str">
        <f>raw_order_lines!K841</f>
        <v>正常交付</v>
      </c>
      <c r="L841" s="2" t="str">
        <f>raw_order_lines!L841</f>
        <v>true</v>
      </c>
      <c r="M841" s="2" t="str">
        <f>INDEX(dim_products!$B$2:$B$21,MATCH($E841,dim_products!$A$2:$A$21,0))</f>
        <v>黄瓜</v>
      </c>
      <c r="N841" s="2" t="str">
        <f>INDEX(dim_products!$C$2:$C$21,MATCH($E841,dim_products!$A$2:$A$21,0))</f>
        <v>散装鲜菜</v>
      </c>
      <c r="O841" s="2" t="str">
        <f>INDEX(dim_customers!$B$2:$B$7,MATCH($C841,dim_customers!$A$2:$A$7,0))</f>
        <v>模拟_田畔饭店</v>
      </c>
      <c r="P841" s="6">
        <f>INT((ROUND(raw_order_lines!H841*10,0)*ROUND(raw_order_lines!J841*100,0)+5)/10)/100</f>
        <v>35.49</v>
      </c>
      <c r="Q841" s="6">
        <f>INT((ROUND(raw_order_lines!I841*10,0)*ROUND(raw_order_lines!J841*100,0)+5)/10)/100</f>
        <v>0</v>
      </c>
      <c r="R841" s="6">
        <f t="shared" si="39"/>
        <v>35.49</v>
      </c>
      <c r="S841" s="2" t="str">
        <f>IF(OR(ROUND(raw_order_lines!I841*10,0)&gt;ROUND(raw_order_lines!H841*10,0),ROUND(raw_order_lines!H841*10,0)&gt;ROUND(raw_order_lines!G841*10,0),ROUND(raw_order_lines!G841*10,0)&lt;=0),"数量关系异常","")</f>
        <v/>
      </c>
      <c r="T841" s="2" t="str">
        <f>IF($F841&lt;&gt;INDEX(dim_products!$D$2:$D$21,MATCH($E841,dim_products!$A$2:$A$21,0)),"单位不一致","")</f>
        <v/>
      </c>
      <c r="U841" s="2" t="str">
        <f>IF(OR(ROUND(raw_order_lines!J841*100,0)&lt;ROUND(INDEX(dim_products!$F$2:$F$21,MATCH($E841,dim_products!$A$2:$A$21,0))*100,0),ROUND(raw_order_lines!J841*100,0)&gt;ROUND(INDEX(dim_products!$G$2:$G$21,MATCH($E841,dim_products!$A$2:$A$21,0))*100,0)),"单价越界","")</f>
        <v/>
      </c>
      <c r="V841" s="2" t="str">
        <f t="shared" si="40"/>
        <v/>
      </c>
      <c r="W841" s="2" t="str">
        <f t="shared" si="41"/>
        <v>通过</v>
      </c>
    </row>
    <row r="842" spans="1:23" ht="15">
      <c r="A842" s="2" t="str">
        <f>raw_order_lines!A842</f>
        <v>SIM-20260926-C004</v>
      </c>
      <c r="B842" s="2">
        <f>raw_order_lines!B842</f>
        <v>3</v>
      </c>
      <c r="C842" s="2" t="str">
        <f>raw_order_lines!C842</f>
        <v>C004</v>
      </c>
      <c r="D842" s="3">
        <f>raw_order_lines!D842</f>
        <v>46291</v>
      </c>
      <c r="E842" s="2" t="str">
        <f>raw_order_lines!E842</f>
        <v>P003</v>
      </c>
      <c r="F842" s="2" t="str">
        <f>raw_order_lines!F842</f>
        <v>公斤</v>
      </c>
      <c r="G842" s="4">
        <f>raw_order_lines!G842</f>
        <v>9.1</v>
      </c>
      <c r="H842" s="4">
        <f>raw_order_lines!H842</f>
        <v>9.1</v>
      </c>
      <c r="I842" s="4">
        <f>raw_order_lines!I842</f>
        <v>0</v>
      </c>
      <c r="J842" s="5">
        <f>raw_order_lines!J842</f>
        <v>2.9</v>
      </c>
      <c r="K842" s="2" t="str">
        <f>raw_order_lines!K842</f>
        <v>正常交付</v>
      </c>
      <c r="L842" s="2" t="str">
        <f>raw_order_lines!L842</f>
        <v>true</v>
      </c>
      <c r="M842" s="2" t="str">
        <f>INDEX(dim_products!$B$2:$B$21,MATCH($E842,dim_products!$A$2:$A$21,0))</f>
        <v>包菜</v>
      </c>
      <c r="N842" s="2" t="str">
        <f>INDEX(dim_products!$C$2:$C$21,MATCH($E842,dim_products!$A$2:$A$21,0))</f>
        <v>散装鲜菜</v>
      </c>
      <c r="O842" s="2" t="str">
        <f>INDEX(dim_customers!$B$2:$B$7,MATCH($C842,dim_customers!$A$2:$A$7,0))</f>
        <v>模拟_田畔饭店</v>
      </c>
      <c r="P842" s="6">
        <f>INT((ROUND(raw_order_lines!H842*10,0)*ROUND(raw_order_lines!J842*100,0)+5)/10)/100</f>
        <v>26.39</v>
      </c>
      <c r="Q842" s="6">
        <f>INT((ROUND(raw_order_lines!I842*10,0)*ROUND(raw_order_lines!J842*100,0)+5)/10)/100</f>
        <v>0</v>
      </c>
      <c r="R842" s="6">
        <f t="shared" si="39"/>
        <v>26.39</v>
      </c>
      <c r="S842" s="2" t="str">
        <f>IF(OR(ROUND(raw_order_lines!I842*10,0)&gt;ROUND(raw_order_lines!H842*10,0),ROUND(raw_order_lines!H842*10,0)&gt;ROUND(raw_order_lines!G842*10,0),ROUND(raw_order_lines!G842*10,0)&lt;=0),"数量关系异常","")</f>
        <v/>
      </c>
      <c r="T842" s="2" t="str">
        <f>IF($F842&lt;&gt;INDEX(dim_products!$D$2:$D$21,MATCH($E842,dim_products!$A$2:$A$21,0)),"单位不一致","")</f>
        <v/>
      </c>
      <c r="U842" s="2" t="str">
        <f>IF(OR(ROUND(raw_order_lines!J842*100,0)&lt;ROUND(INDEX(dim_products!$F$2:$F$21,MATCH($E842,dim_products!$A$2:$A$21,0))*100,0),ROUND(raw_order_lines!J842*100,0)&gt;ROUND(INDEX(dim_products!$G$2:$G$21,MATCH($E842,dim_products!$A$2:$A$21,0))*100,0)),"单价越界","")</f>
        <v/>
      </c>
      <c r="V842" s="2" t="str">
        <f t="shared" si="40"/>
        <v/>
      </c>
      <c r="W842" s="2" t="str">
        <f t="shared" si="41"/>
        <v>通过</v>
      </c>
    </row>
    <row r="843" spans="1:23" ht="15">
      <c r="A843" s="2" t="str">
        <f>raw_order_lines!A843</f>
        <v>SIM-20260926-C004</v>
      </c>
      <c r="B843" s="2">
        <f>raw_order_lines!B843</f>
        <v>4</v>
      </c>
      <c r="C843" s="2" t="str">
        <f>raw_order_lines!C843</f>
        <v>C004</v>
      </c>
      <c r="D843" s="3">
        <f>raw_order_lines!D843</f>
        <v>46291</v>
      </c>
      <c r="E843" s="2" t="str">
        <f>raw_order_lines!E843</f>
        <v>P007</v>
      </c>
      <c r="F843" s="2" t="str">
        <f>raw_order_lines!F843</f>
        <v>公斤</v>
      </c>
      <c r="G843" s="4">
        <f>raw_order_lines!G843</f>
        <v>6.6</v>
      </c>
      <c r="H843" s="4">
        <f>raw_order_lines!H843</f>
        <v>6.6</v>
      </c>
      <c r="I843" s="4">
        <f>raw_order_lines!I843</f>
        <v>0</v>
      </c>
      <c r="J843" s="5">
        <f>raw_order_lines!J843</f>
        <v>4.95</v>
      </c>
      <c r="K843" s="2" t="str">
        <f>raw_order_lines!K843</f>
        <v>正常交付</v>
      </c>
      <c r="L843" s="2" t="str">
        <f>raw_order_lines!L843</f>
        <v>true</v>
      </c>
      <c r="M843" s="2" t="str">
        <f>INDEX(dim_products!$B$2:$B$21,MATCH($E843,dim_products!$A$2:$A$21,0))</f>
        <v>青椒</v>
      </c>
      <c r="N843" s="2" t="str">
        <f>INDEX(dim_products!$C$2:$C$21,MATCH($E843,dim_products!$A$2:$A$21,0))</f>
        <v>散装鲜菜</v>
      </c>
      <c r="O843" s="2" t="str">
        <f>INDEX(dim_customers!$B$2:$B$7,MATCH($C843,dim_customers!$A$2:$A$7,0))</f>
        <v>模拟_田畔饭店</v>
      </c>
      <c r="P843" s="6">
        <f>INT((ROUND(raw_order_lines!H843*10,0)*ROUND(raw_order_lines!J843*100,0)+5)/10)/100</f>
        <v>32.67</v>
      </c>
      <c r="Q843" s="6">
        <f>INT((ROUND(raw_order_lines!I843*10,0)*ROUND(raw_order_lines!J843*100,0)+5)/10)/100</f>
        <v>0</v>
      </c>
      <c r="R843" s="6">
        <f t="shared" si="39"/>
        <v>32.67</v>
      </c>
      <c r="S843" s="2" t="str">
        <f>IF(OR(ROUND(raw_order_lines!I843*10,0)&gt;ROUND(raw_order_lines!H843*10,0),ROUND(raw_order_lines!H843*10,0)&gt;ROUND(raw_order_lines!G843*10,0),ROUND(raw_order_lines!G843*10,0)&lt;=0),"数量关系异常","")</f>
        <v/>
      </c>
      <c r="T843" s="2" t="str">
        <f>IF($F843&lt;&gt;INDEX(dim_products!$D$2:$D$21,MATCH($E843,dim_products!$A$2:$A$21,0)),"单位不一致","")</f>
        <v/>
      </c>
      <c r="U843" s="2" t="str">
        <f>IF(OR(ROUND(raw_order_lines!J843*100,0)&lt;ROUND(INDEX(dim_products!$F$2:$F$21,MATCH($E843,dim_products!$A$2:$A$21,0))*100,0),ROUND(raw_order_lines!J843*100,0)&gt;ROUND(INDEX(dim_products!$G$2:$G$21,MATCH($E843,dim_products!$A$2:$A$21,0))*100,0)),"单价越界","")</f>
        <v/>
      </c>
      <c r="V843" s="2" t="str">
        <f t="shared" si="40"/>
        <v/>
      </c>
      <c r="W843" s="2" t="str">
        <f t="shared" si="41"/>
        <v>通过</v>
      </c>
    </row>
    <row r="844" spans="1:23" ht="15">
      <c r="A844" s="2" t="str">
        <f>raw_order_lines!A844</f>
        <v>SIM-20260926-C004</v>
      </c>
      <c r="B844" s="2">
        <f>raw_order_lines!B844</f>
        <v>5</v>
      </c>
      <c r="C844" s="2" t="str">
        <f>raw_order_lines!C844</f>
        <v>C004</v>
      </c>
      <c r="D844" s="3">
        <f>raw_order_lines!D844</f>
        <v>46291</v>
      </c>
      <c r="E844" s="2" t="str">
        <f>raw_order_lines!E844</f>
        <v>P002</v>
      </c>
      <c r="F844" s="2" t="str">
        <f>raw_order_lines!F844</f>
        <v>公斤</v>
      </c>
      <c r="G844" s="4">
        <f>raw_order_lines!G844</f>
        <v>12.4</v>
      </c>
      <c r="H844" s="4">
        <f>raw_order_lines!H844</f>
        <v>12.4</v>
      </c>
      <c r="I844" s="4">
        <f>raw_order_lines!I844</f>
        <v>0</v>
      </c>
      <c r="J844" s="5">
        <f>raw_order_lines!J844</f>
        <v>2.5</v>
      </c>
      <c r="K844" s="2" t="str">
        <f>raw_order_lines!K844</f>
        <v>正常交付</v>
      </c>
      <c r="L844" s="2" t="str">
        <f>raw_order_lines!L844</f>
        <v>true</v>
      </c>
      <c r="M844" s="2" t="str">
        <f>INDEX(dim_products!$B$2:$B$21,MATCH($E844,dim_products!$A$2:$A$21,0))</f>
        <v>白萝卜</v>
      </c>
      <c r="N844" s="2" t="str">
        <f>INDEX(dim_products!$C$2:$C$21,MATCH($E844,dim_products!$A$2:$A$21,0))</f>
        <v>散装鲜菜</v>
      </c>
      <c r="O844" s="2" t="str">
        <f>INDEX(dim_customers!$B$2:$B$7,MATCH($C844,dim_customers!$A$2:$A$7,0))</f>
        <v>模拟_田畔饭店</v>
      </c>
      <c r="P844" s="6">
        <f>INT((ROUND(raw_order_lines!H844*10,0)*ROUND(raw_order_lines!J844*100,0)+5)/10)/100</f>
        <v>31</v>
      </c>
      <c r="Q844" s="6">
        <f>INT((ROUND(raw_order_lines!I844*10,0)*ROUND(raw_order_lines!J844*100,0)+5)/10)/100</f>
        <v>0</v>
      </c>
      <c r="R844" s="6">
        <f t="shared" si="39"/>
        <v>31</v>
      </c>
      <c r="S844" s="2" t="str">
        <f>IF(OR(ROUND(raw_order_lines!I844*10,0)&gt;ROUND(raw_order_lines!H844*10,0),ROUND(raw_order_lines!H844*10,0)&gt;ROUND(raw_order_lines!G844*10,0),ROUND(raw_order_lines!G844*10,0)&lt;=0),"数量关系异常","")</f>
        <v/>
      </c>
      <c r="T844" s="2" t="str">
        <f>IF($F844&lt;&gt;INDEX(dim_products!$D$2:$D$21,MATCH($E844,dim_products!$A$2:$A$21,0)),"单位不一致","")</f>
        <v/>
      </c>
      <c r="U844" s="2" t="str">
        <f>IF(OR(ROUND(raw_order_lines!J844*100,0)&lt;ROUND(INDEX(dim_products!$F$2:$F$21,MATCH($E844,dim_products!$A$2:$A$21,0))*100,0),ROUND(raw_order_lines!J844*100,0)&gt;ROUND(INDEX(dim_products!$G$2:$G$21,MATCH($E844,dim_products!$A$2:$A$21,0))*100,0)),"单价越界","")</f>
        <v/>
      </c>
      <c r="V844" s="2" t="str">
        <f t="shared" si="40"/>
        <v/>
      </c>
      <c r="W844" s="2" t="str">
        <f t="shared" si="41"/>
        <v>通过</v>
      </c>
    </row>
    <row r="845" spans="1:23" ht="15">
      <c r="A845" s="2" t="str">
        <f>raw_order_lines!A845</f>
        <v>SIM-20260926-C004</v>
      </c>
      <c r="B845" s="2">
        <f>raw_order_lines!B845</f>
        <v>6</v>
      </c>
      <c r="C845" s="2" t="str">
        <f>raw_order_lines!C845</f>
        <v>C004</v>
      </c>
      <c r="D845" s="3">
        <f>raw_order_lines!D845</f>
        <v>46291</v>
      </c>
      <c r="E845" s="2" t="str">
        <f>raw_order_lines!E845</f>
        <v>P001</v>
      </c>
      <c r="F845" s="2" t="str">
        <f>raw_order_lines!F845</f>
        <v>公斤</v>
      </c>
      <c r="G845" s="4">
        <f>raw_order_lines!G845</f>
        <v>5.8</v>
      </c>
      <c r="H845" s="4">
        <f>raw_order_lines!H845</f>
        <v>5.8</v>
      </c>
      <c r="I845" s="4">
        <f>raw_order_lines!I845</f>
        <v>0</v>
      </c>
      <c r="J845" s="5">
        <f>raw_order_lines!J845</f>
        <v>3.5</v>
      </c>
      <c r="K845" s="2" t="str">
        <f>raw_order_lines!K845</f>
        <v>正常交付</v>
      </c>
      <c r="L845" s="2" t="str">
        <f>raw_order_lines!L845</f>
        <v>true</v>
      </c>
      <c r="M845" s="2" t="str">
        <f>INDEX(dim_products!$B$2:$B$21,MATCH($E845,dim_products!$A$2:$A$21,0))</f>
        <v>土豆</v>
      </c>
      <c r="N845" s="2" t="str">
        <f>INDEX(dim_products!$C$2:$C$21,MATCH($E845,dim_products!$A$2:$A$21,0))</f>
        <v>散装鲜菜</v>
      </c>
      <c r="O845" s="2" t="str">
        <f>INDEX(dim_customers!$B$2:$B$7,MATCH($C845,dim_customers!$A$2:$A$7,0))</f>
        <v>模拟_田畔饭店</v>
      </c>
      <c r="P845" s="6">
        <f>INT((ROUND(raw_order_lines!H845*10,0)*ROUND(raw_order_lines!J845*100,0)+5)/10)/100</f>
        <v>20.3</v>
      </c>
      <c r="Q845" s="6">
        <f>INT((ROUND(raw_order_lines!I845*10,0)*ROUND(raw_order_lines!J845*100,0)+5)/10)/100</f>
        <v>0</v>
      </c>
      <c r="R845" s="6">
        <f t="shared" si="39"/>
        <v>20.3</v>
      </c>
      <c r="S845" s="2" t="str">
        <f>IF(OR(ROUND(raw_order_lines!I845*10,0)&gt;ROUND(raw_order_lines!H845*10,0),ROUND(raw_order_lines!H845*10,0)&gt;ROUND(raw_order_lines!G845*10,0),ROUND(raw_order_lines!G845*10,0)&lt;=0),"数量关系异常","")</f>
        <v/>
      </c>
      <c r="T845" s="2" t="str">
        <f>IF($F845&lt;&gt;INDEX(dim_products!$D$2:$D$21,MATCH($E845,dim_products!$A$2:$A$21,0)),"单位不一致","")</f>
        <v/>
      </c>
      <c r="U845" s="2" t="str">
        <f>IF(OR(ROUND(raw_order_lines!J845*100,0)&lt;ROUND(INDEX(dim_products!$F$2:$F$21,MATCH($E845,dim_products!$A$2:$A$21,0))*100,0),ROUND(raw_order_lines!J845*100,0)&gt;ROUND(INDEX(dim_products!$G$2:$G$21,MATCH($E845,dim_products!$A$2:$A$21,0))*100,0)),"单价越界","")</f>
        <v/>
      </c>
      <c r="V845" s="2" t="str">
        <f t="shared" si="40"/>
        <v/>
      </c>
      <c r="W845" s="2" t="str">
        <f t="shared" si="41"/>
        <v>通过</v>
      </c>
    </row>
    <row r="846" spans="1:23" ht="15">
      <c r="A846" s="2" t="str">
        <f>raw_order_lines!A846</f>
        <v>SIM-20260926-C006</v>
      </c>
      <c r="B846" s="2">
        <f>raw_order_lines!B846</f>
        <v>1</v>
      </c>
      <c r="C846" s="2" t="str">
        <f>raw_order_lines!C846</f>
        <v>C006</v>
      </c>
      <c r="D846" s="3">
        <f>raw_order_lines!D846</f>
        <v>46291</v>
      </c>
      <c r="E846" s="2" t="str">
        <f>raw_order_lines!E846</f>
        <v>P010</v>
      </c>
      <c r="F846" s="2" t="str">
        <f>raw_order_lines!F846</f>
        <v>公斤</v>
      </c>
      <c r="G846" s="4">
        <f>raw_order_lines!G846</f>
        <v>8.9</v>
      </c>
      <c r="H846" s="4">
        <f>raw_order_lines!H846</f>
        <v>8.9</v>
      </c>
      <c r="I846" s="4">
        <f>raw_order_lines!I846</f>
        <v>0</v>
      </c>
      <c r="J846" s="5">
        <f>raw_order_lines!J846</f>
        <v>4.9000000000000004</v>
      </c>
      <c r="K846" s="2" t="str">
        <f>raw_order_lines!K846</f>
        <v>正常交付</v>
      </c>
      <c r="L846" s="2" t="str">
        <f>raw_order_lines!L846</f>
        <v>true</v>
      </c>
      <c r="M846" s="2" t="str">
        <f>INDEX(dim_products!$B$2:$B$21,MATCH($E846,dim_products!$A$2:$A$21,0))</f>
        <v>空心菜</v>
      </c>
      <c r="N846" s="2" t="str">
        <f>INDEX(dim_products!$C$2:$C$21,MATCH($E846,dim_products!$A$2:$A$21,0))</f>
        <v>散装鲜菜</v>
      </c>
      <c r="O846" s="2" t="str">
        <f>INDEX(dim_customers!$B$2:$B$7,MATCH($C846,dim_customers!$A$2:$A$7,0))</f>
        <v>模拟_溪桥医院食堂</v>
      </c>
      <c r="P846" s="6">
        <f>INT((ROUND(raw_order_lines!H846*10,0)*ROUND(raw_order_lines!J846*100,0)+5)/10)/100</f>
        <v>43.61</v>
      </c>
      <c r="Q846" s="6">
        <f>INT((ROUND(raw_order_lines!I846*10,0)*ROUND(raw_order_lines!J846*100,0)+5)/10)/100</f>
        <v>0</v>
      </c>
      <c r="R846" s="6">
        <f t="shared" si="39"/>
        <v>43.61</v>
      </c>
      <c r="S846" s="2" t="str">
        <f>IF(OR(ROUND(raw_order_lines!I846*10,0)&gt;ROUND(raw_order_lines!H846*10,0),ROUND(raw_order_lines!H846*10,0)&gt;ROUND(raw_order_lines!G846*10,0),ROUND(raw_order_lines!G846*10,0)&lt;=0),"数量关系异常","")</f>
        <v/>
      </c>
      <c r="T846" s="2" t="str">
        <f>IF($F846&lt;&gt;INDEX(dim_products!$D$2:$D$21,MATCH($E846,dim_products!$A$2:$A$21,0)),"单位不一致","")</f>
        <v/>
      </c>
      <c r="U846" s="2" t="str">
        <f>IF(OR(ROUND(raw_order_lines!J846*100,0)&lt;ROUND(INDEX(dim_products!$F$2:$F$21,MATCH($E846,dim_products!$A$2:$A$21,0))*100,0),ROUND(raw_order_lines!J846*100,0)&gt;ROUND(INDEX(dim_products!$G$2:$G$21,MATCH($E846,dim_products!$A$2:$A$21,0))*100,0)),"单价越界","")</f>
        <v/>
      </c>
      <c r="V846" s="2" t="str">
        <f t="shared" si="40"/>
        <v/>
      </c>
      <c r="W846" s="2" t="str">
        <f t="shared" si="41"/>
        <v>通过</v>
      </c>
    </row>
    <row r="847" spans="1:23" ht="15">
      <c r="A847" s="2" t="str">
        <f>raw_order_lines!A847</f>
        <v>SIM-20260926-C006</v>
      </c>
      <c r="B847" s="2">
        <f>raw_order_lines!B847</f>
        <v>2</v>
      </c>
      <c r="C847" s="2" t="str">
        <f>raw_order_lines!C847</f>
        <v>C006</v>
      </c>
      <c r="D847" s="3">
        <f>raw_order_lines!D847</f>
        <v>46291</v>
      </c>
      <c r="E847" s="2" t="str">
        <f>raw_order_lines!E847</f>
        <v>P008</v>
      </c>
      <c r="F847" s="2" t="str">
        <f>raw_order_lines!F847</f>
        <v>公斤</v>
      </c>
      <c r="G847" s="4">
        <f>raw_order_lines!G847</f>
        <v>10.199999999999999</v>
      </c>
      <c r="H847" s="4">
        <f>raw_order_lines!H847</f>
        <v>10.199999999999999</v>
      </c>
      <c r="I847" s="4">
        <f>raw_order_lines!I847</f>
        <v>0</v>
      </c>
      <c r="J847" s="5">
        <f>raw_order_lines!J847</f>
        <v>3.9</v>
      </c>
      <c r="K847" s="2" t="str">
        <f>raw_order_lines!K847</f>
        <v>正常交付</v>
      </c>
      <c r="L847" s="2" t="str">
        <f>raw_order_lines!L847</f>
        <v>true</v>
      </c>
      <c r="M847" s="2" t="str">
        <f>INDEX(dim_products!$B$2:$B$21,MATCH($E847,dim_products!$A$2:$A$21,0))</f>
        <v>黄瓜</v>
      </c>
      <c r="N847" s="2" t="str">
        <f>INDEX(dim_products!$C$2:$C$21,MATCH($E847,dim_products!$A$2:$A$21,0))</f>
        <v>散装鲜菜</v>
      </c>
      <c r="O847" s="2" t="str">
        <f>INDEX(dim_customers!$B$2:$B$7,MATCH($C847,dim_customers!$A$2:$A$7,0))</f>
        <v>模拟_溪桥医院食堂</v>
      </c>
      <c r="P847" s="6">
        <f>INT((ROUND(raw_order_lines!H847*10,0)*ROUND(raw_order_lines!J847*100,0)+5)/10)/100</f>
        <v>39.78</v>
      </c>
      <c r="Q847" s="6">
        <f>INT((ROUND(raw_order_lines!I847*10,0)*ROUND(raw_order_lines!J847*100,0)+5)/10)/100</f>
        <v>0</v>
      </c>
      <c r="R847" s="6">
        <f t="shared" si="39"/>
        <v>39.78</v>
      </c>
      <c r="S847" s="2" t="str">
        <f>IF(OR(ROUND(raw_order_lines!I847*10,0)&gt;ROUND(raw_order_lines!H847*10,0),ROUND(raw_order_lines!H847*10,0)&gt;ROUND(raw_order_lines!G847*10,0),ROUND(raw_order_lines!G847*10,0)&lt;=0),"数量关系异常","")</f>
        <v/>
      </c>
      <c r="T847" s="2" t="str">
        <f>IF($F847&lt;&gt;INDEX(dim_products!$D$2:$D$21,MATCH($E847,dim_products!$A$2:$A$21,0)),"单位不一致","")</f>
        <v/>
      </c>
      <c r="U847" s="2" t="str">
        <f>IF(OR(ROUND(raw_order_lines!J847*100,0)&lt;ROUND(INDEX(dim_products!$F$2:$F$21,MATCH($E847,dim_products!$A$2:$A$21,0))*100,0),ROUND(raw_order_lines!J847*100,0)&gt;ROUND(INDEX(dim_products!$G$2:$G$21,MATCH($E847,dim_products!$A$2:$A$21,0))*100,0)),"单价越界","")</f>
        <v/>
      </c>
      <c r="V847" s="2" t="str">
        <f t="shared" si="40"/>
        <v/>
      </c>
      <c r="W847" s="2" t="str">
        <f t="shared" si="41"/>
        <v>通过</v>
      </c>
    </row>
    <row r="848" spans="1:23" ht="15">
      <c r="A848" s="2" t="str">
        <f>raw_order_lines!A848</f>
        <v>SIM-20260926-C006</v>
      </c>
      <c r="B848" s="2">
        <f>raw_order_lines!B848</f>
        <v>3</v>
      </c>
      <c r="C848" s="2" t="str">
        <f>raw_order_lines!C848</f>
        <v>C006</v>
      </c>
      <c r="D848" s="3">
        <f>raw_order_lines!D848</f>
        <v>46291</v>
      </c>
      <c r="E848" s="2" t="str">
        <f>raw_order_lines!E848</f>
        <v>P003</v>
      </c>
      <c r="F848" s="2" t="str">
        <f>raw_order_lines!F848</f>
        <v>公斤</v>
      </c>
      <c r="G848" s="4">
        <f>raw_order_lines!G848</f>
        <v>9.5</v>
      </c>
      <c r="H848" s="4">
        <f>raw_order_lines!H848</f>
        <v>9.5</v>
      </c>
      <c r="I848" s="4">
        <f>raw_order_lines!I848</f>
        <v>0</v>
      </c>
      <c r="J848" s="5">
        <f>raw_order_lines!J848</f>
        <v>2.9</v>
      </c>
      <c r="K848" s="2" t="str">
        <f>raw_order_lines!K848</f>
        <v>正常交付</v>
      </c>
      <c r="L848" s="2" t="str">
        <f>raw_order_lines!L848</f>
        <v>true</v>
      </c>
      <c r="M848" s="2" t="str">
        <f>INDEX(dim_products!$B$2:$B$21,MATCH($E848,dim_products!$A$2:$A$21,0))</f>
        <v>包菜</v>
      </c>
      <c r="N848" s="2" t="str">
        <f>INDEX(dim_products!$C$2:$C$21,MATCH($E848,dim_products!$A$2:$A$21,0))</f>
        <v>散装鲜菜</v>
      </c>
      <c r="O848" s="2" t="str">
        <f>INDEX(dim_customers!$B$2:$B$7,MATCH($C848,dim_customers!$A$2:$A$7,0))</f>
        <v>模拟_溪桥医院食堂</v>
      </c>
      <c r="P848" s="6">
        <f>INT((ROUND(raw_order_lines!H848*10,0)*ROUND(raw_order_lines!J848*100,0)+5)/10)/100</f>
        <v>27.55</v>
      </c>
      <c r="Q848" s="6">
        <f>INT((ROUND(raw_order_lines!I848*10,0)*ROUND(raw_order_lines!J848*100,0)+5)/10)/100</f>
        <v>0</v>
      </c>
      <c r="R848" s="6">
        <f t="shared" si="39"/>
        <v>27.55</v>
      </c>
      <c r="S848" s="2" t="str">
        <f>IF(OR(ROUND(raw_order_lines!I848*10,0)&gt;ROUND(raw_order_lines!H848*10,0),ROUND(raw_order_lines!H848*10,0)&gt;ROUND(raw_order_lines!G848*10,0),ROUND(raw_order_lines!G848*10,0)&lt;=0),"数量关系异常","")</f>
        <v/>
      </c>
      <c r="T848" s="2" t="str">
        <f>IF($F848&lt;&gt;INDEX(dim_products!$D$2:$D$21,MATCH($E848,dim_products!$A$2:$A$21,0)),"单位不一致","")</f>
        <v/>
      </c>
      <c r="U848" s="2" t="str">
        <f>IF(OR(ROUND(raw_order_lines!J848*100,0)&lt;ROUND(INDEX(dim_products!$F$2:$F$21,MATCH($E848,dim_products!$A$2:$A$21,0))*100,0),ROUND(raw_order_lines!J848*100,0)&gt;ROUND(INDEX(dim_products!$G$2:$G$21,MATCH($E848,dim_products!$A$2:$A$21,0))*100,0)),"单价越界","")</f>
        <v/>
      </c>
      <c r="V848" s="2" t="str">
        <f t="shared" si="40"/>
        <v/>
      </c>
      <c r="W848" s="2" t="str">
        <f t="shared" si="41"/>
        <v>通过</v>
      </c>
    </row>
    <row r="849" spans="1:23" ht="15">
      <c r="A849" s="2" t="str">
        <f>raw_order_lines!A849</f>
        <v>SIM-20260926-C006</v>
      </c>
      <c r="B849" s="2">
        <f>raw_order_lines!B849</f>
        <v>4</v>
      </c>
      <c r="C849" s="2" t="str">
        <f>raw_order_lines!C849</f>
        <v>C006</v>
      </c>
      <c r="D849" s="3">
        <f>raw_order_lines!D849</f>
        <v>46291</v>
      </c>
      <c r="E849" s="2" t="str">
        <f>raw_order_lines!E849</f>
        <v>P007</v>
      </c>
      <c r="F849" s="2" t="str">
        <f>raw_order_lines!F849</f>
        <v>公斤</v>
      </c>
      <c r="G849" s="4">
        <f>raw_order_lines!G849</f>
        <v>4.4000000000000004</v>
      </c>
      <c r="H849" s="4">
        <f>raw_order_lines!H849</f>
        <v>4.4000000000000004</v>
      </c>
      <c r="I849" s="4">
        <f>raw_order_lines!I849</f>
        <v>0</v>
      </c>
      <c r="J849" s="5">
        <f>raw_order_lines!J849</f>
        <v>4.95</v>
      </c>
      <c r="K849" s="2" t="str">
        <f>raw_order_lines!K849</f>
        <v>正常交付</v>
      </c>
      <c r="L849" s="2" t="str">
        <f>raw_order_lines!L849</f>
        <v>true</v>
      </c>
      <c r="M849" s="2" t="str">
        <f>INDEX(dim_products!$B$2:$B$21,MATCH($E849,dim_products!$A$2:$A$21,0))</f>
        <v>青椒</v>
      </c>
      <c r="N849" s="2" t="str">
        <f>INDEX(dim_products!$C$2:$C$21,MATCH($E849,dim_products!$A$2:$A$21,0))</f>
        <v>散装鲜菜</v>
      </c>
      <c r="O849" s="2" t="str">
        <f>INDEX(dim_customers!$B$2:$B$7,MATCH($C849,dim_customers!$A$2:$A$7,0))</f>
        <v>模拟_溪桥医院食堂</v>
      </c>
      <c r="P849" s="6">
        <f>INT((ROUND(raw_order_lines!H849*10,0)*ROUND(raw_order_lines!J849*100,0)+5)/10)/100</f>
        <v>21.78</v>
      </c>
      <c r="Q849" s="6">
        <f>INT((ROUND(raw_order_lines!I849*10,0)*ROUND(raw_order_lines!J849*100,0)+5)/10)/100</f>
        <v>0</v>
      </c>
      <c r="R849" s="6">
        <f t="shared" si="39"/>
        <v>21.78</v>
      </c>
      <c r="S849" s="2" t="str">
        <f>IF(OR(ROUND(raw_order_lines!I849*10,0)&gt;ROUND(raw_order_lines!H849*10,0),ROUND(raw_order_lines!H849*10,0)&gt;ROUND(raw_order_lines!G849*10,0),ROUND(raw_order_lines!G849*10,0)&lt;=0),"数量关系异常","")</f>
        <v/>
      </c>
      <c r="T849" s="2" t="str">
        <f>IF($F849&lt;&gt;INDEX(dim_products!$D$2:$D$21,MATCH($E849,dim_products!$A$2:$A$21,0)),"单位不一致","")</f>
        <v/>
      </c>
      <c r="U849" s="2" t="str">
        <f>IF(OR(ROUND(raw_order_lines!J849*100,0)&lt;ROUND(INDEX(dim_products!$F$2:$F$21,MATCH($E849,dim_products!$A$2:$A$21,0))*100,0),ROUND(raw_order_lines!J849*100,0)&gt;ROUND(INDEX(dim_products!$G$2:$G$21,MATCH($E849,dim_products!$A$2:$A$21,0))*100,0)),"单价越界","")</f>
        <v/>
      </c>
      <c r="V849" s="2" t="str">
        <f t="shared" si="40"/>
        <v/>
      </c>
      <c r="W849" s="2" t="str">
        <f t="shared" si="41"/>
        <v>通过</v>
      </c>
    </row>
    <row r="850" spans="1:23" ht="15">
      <c r="A850" s="2" t="str">
        <f>raw_order_lines!A850</f>
        <v>SIM-20260926-C006</v>
      </c>
      <c r="B850" s="2">
        <f>raw_order_lines!B850</f>
        <v>5</v>
      </c>
      <c r="C850" s="2" t="str">
        <f>raw_order_lines!C850</f>
        <v>C006</v>
      </c>
      <c r="D850" s="3">
        <f>raw_order_lines!D850</f>
        <v>46291</v>
      </c>
      <c r="E850" s="2" t="str">
        <f>raw_order_lines!E850</f>
        <v>P004</v>
      </c>
      <c r="F850" s="2" t="str">
        <f>raw_order_lines!F850</f>
        <v>公斤</v>
      </c>
      <c r="G850" s="4">
        <f>raw_order_lines!G850</f>
        <v>4.4000000000000004</v>
      </c>
      <c r="H850" s="4">
        <f>raw_order_lines!H850</f>
        <v>4.4000000000000004</v>
      </c>
      <c r="I850" s="4">
        <f>raw_order_lines!I850</f>
        <v>0</v>
      </c>
      <c r="J850" s="5">
        <f>raw_order_lines!J850</f>
        <v>2.2999999999999998</v>
      </c>
      <c r="K850" s="2" t="str">
        <f>raw_order_lines!K850</f>
        <v>正常交付</v>
      </c>
      <c r="L850" s="2" t="str">
        <f>raw_order_lines!L850</f>
        <v>true</v>
      </c>
      <c r="M850" s="2" t="str">
        <f>INDEX(dim_products!$B$2:$B$21,MATCH($E850,dim_products!$A$2:$A$21,0))</f>
        <v>冬瓜</v>
      </c>
      <c r="N850" s="2" t="str">
        <f>INDEX(dim_products!$C$2:$C$21,MATCH($E850,dim_products!$A$2:$A$21,0))</f>
        <v>散装鲜菜</v>
      </c>
      <c r="O850" s="2" t="str">
        <f>INDEX(dim_customers!$B$2:$B$7,MATCH($C850,dim_customers!$A$2:$A$7,0))</f>
        <v>模拟_溪桥医院食堂</v>
      </c>
      <c r="P850" s="6">
        <f>INT((ROUND(raw_order_lines!H850*10,0)*ROUND(raw_order_lines!J850*100,0)+5)/10)/100</f>
        <v>10.119999999999999</v>
      </c>
      <c r="Q850" s="6">
        <f>INT((ROUND(raw_order_lines!I850*10,0)*ROUND(raw_order_lines!J850*100,0)+5)/10)/100</f>
        <v>0</v>
      </c>
      <c r="R850" s="6">
        <f t="shared" si="39"/>
        <v>10.119999999999999</v>
      </c>
      <c r="S850" s="2" t="str">
        <f>IF(OR(ROUND(raw_order_lines!I850*10,0)&gt;ROUND(raw_order_lines!H850*10,0),ROUND(raw_order_lines!H850*10,0)&gt;ROUND(raw_order_lines!G850*10,0),ROUND(raw_order_lines!G850*10,0)&lt;=0),"数量关系异常","")</f>
        <v/>
      </c>
      <c r="T850" s="2" t="str">
        <f>IF($F850&lt;&gt;INDEX(dim_products!$D$2:$D$21,MATCH($E850,dim_products!$A$2:$A$21,0)),"单位不一致","")</f>
        <v/>
      </c>
      <c r="U850" s="2" t="str">
        <f>IF(OR(ROUND(raw_order_lines!J850*100,0)&lt;ROUND(INDEX(dim_products!$F$2:$F$21,MATCH($E850,dim_products!$A$2:$A$21,0))*100,0),ROUND(raw_order_lines!J850*100,0)&gt;ROUND(INDEX(dim_products!$G$2:$G$21,MATCH($E850,dim_products!$A$2:$A$21,0))*100,0)),"单价越界","")</f>
        <v/>
      </c>
      <c r="V850" s="2" t="str">
        <f t="shared" si="40"/>
        <v/>
      </c>
      <c r="W850" s="2" t="str">
        <f t="shared" si="41"/>
        <v>通过</v>
      </c>
    </row>
    <row r="851" spans="1:23" ht="15">
      <c r="A851" s="2" t="str">
        <f>raw_order_lines!A851</f>
        <v>SIM-20260926-C006</v>
      </c>
      <c r="B851" s="2">
        <f>raw_order_lines!B851</f>
        <v>6</v>
      </c>
      <c r="C851" s="2" t="str">
        <f>raw_order_lines!C851</f>
        <v>C006</v>
      </c>
      <c r="D851" s="3">
        <f>raw_order_lines!D851</f>
        <v>46291</v>
      </c>
      <c r="E851" s="2" t="str">
        <f>raw_order_lines!E851</f>
        <v>P001</v>
      </c>
      <c r="F851" s="2" t="str">
        <f>raw_order_lines!F851</f>
        <v>公斤</v>
      </c>
      <c r="G851" s="4">
        <f>raw_order_lines!G851</f>
        <v>5.7</v>
      </c>
      <c r="H851" s="4">
        <f>raw_order_lines!H851</f>
        <v>5.7</v>
      </c>
      <c r="I851" s="4">
        <f>raw_order_lines!I851</f>
        <v>0</v>
      </c>
      <c r="J851" s="5">
        <f>raw_order_lines!J851</f>
        <v>3.5</v>
      </c>
      <c r="K851" s="2" t="str">
        <f>raw_order_lines!K851</f>
        <v>正常交付</v>
      </c>
      <c r="L851" s="2" t="str">
        <f>raw_order_lines!L851</f>
        <v>true</v>
      </c>
      <c r="M851" s="2" t="str">
        <f>INDEX(dim_products!$B$2:$B$21,MATCH($E851,dim_products!$A$2:$A$21,0))</f>
        <v>土豆</v>
      </c>
      <c r="N851" s="2" t="str">
        <f>INDEX(dim_products!$C$2:$C$21,MATCH($E851,dim_products!$A$2:$A$21,0))</f>
        <v>散装鲜菜</v>
      </c>
      <c r="O851" s="2" t="str">
        <f>INDEX(dim_customers!$B$2:$B$7,MATCH($C851,dim_customers!$A$2:$A$7,0))</f>
        <v>模拟_溪桥医院食堂</v>
      </c>
      <c r="P851" s="6">
        <f>INT((ROUND(raw_order_lines!H851*10,0)*ROUND(raw_order_lines!J851*100,0)+5)/10)/100</f>
        <v>19.95</v>
      </c>
      <c r="Q851" s="6">
        <f>INT((ROUND(raw_order_lines!I851*10,0)*ROUND(raw_order_lines!J851*100,0)+5)/10)/100</f>
        <v>0</v>
      </c>
      <c r="R851" s="6">
        <f t="shared" si="39"/>
        <v>19.95</v>
      </c>
      <c r="S851" s="2" t="str">
        <f>IF(OR(ROUND(raw_order_lines!I851*10,0)&gt;ROUND(raw_order_lines!H851*10,0),ROUND(raw_order_lines!H851*10,0)&gt;ROUND(raw_order_lines!G851*10,0),ROUND(raw_order_lines!G851*10,0)&lt;=0),"数量关系异常","")</f>
        <v/>
      </c>
      <c r="T851" s="2" t="str">
        <f>IF($F851&lt;&gt;INDEX(dim_products!$D$2:$D$21,MATCH($E851,dim_products!$A$2:$A$21,0)),"单位不一致","")</f>
        <v/>
      </c>
      <c r="U851" s="2" t="str">
        <f>IF(OR(ROUND(raw_order_lines!J851*100,0)&lt;ROUND(INDEX(dim_products!$F$2:$F$21,MATCH($E851,dim_products!$A$2:$A$21,0))*100,0),ROUND(raw_order_lines!J851*100,0)&gt;ROUND(INDEX(dim_products!$G$2:$G$21,MATCH($E851,dim_products!$A$2:$A$21,0))*100,0)),"单价越界","")</f>
        <v/>
      </c>
      <c r="V851" s="2" t="str">
        <f t="shared" si="40"/>
        <v/>
      </c>
      <c r="W851" s="2" t="str">
        <f t="shared" si="41"/>
        <v>通过</v>
      </c>
    </row>
    <row r="852" spans="1:23" ht="15">
      <c r="A852" s="2" t="str">
        <f>raw_order_lines!A852</f>
        <v>SIM-20260926-C006</v>
      </c>
      <c r="B852" s="2">
        <f>raw_order_lines!B852</f>
        <v>7</v>
      </c>
      <c r="C852" s="2" t="str">
        <f>raw_order_lines!C852</f>
        <v>C006</v>
      </c>
      <c r="D852" s="3">
        <f>raw_order_lines!D852</f>
        <v>46291</v>
      </c>
      <c r="E852" s="2" t="str">
        <f>raw_order_lines!E852</f>
        <v>P017</v>
      </c>
      <c r="F852" s="2" t="str">
        <f>raw_order_lines!F852</f>
        <v>袋</v>
      </c>
      <c r="G852" s="4">
        <f>raw_order_lines!G852</f>
        <v>4</v>
      </c>
      <c r="H852" s="4">
        <f>raw_order_lines!H852</f>
        <v>4</v>
      </c>
      <c r="I852" s="4">
        <f>raw_order_lines!I852</f>
        <v>0</v>
      </c>
      <c r="J852" s="5">
        <f>raw_order_lines!J852</f>
        <v>117</v>
      </c>
      <c r="K852" s="2" t="str">
        <f>raw_order_lines!K852</f>
        <v>正常交付</v>
      </c>
      <c r="L852" s="2" t="str">
        <f>raw_order_lines!L852</f>
        <v>true</v>
      </c>
      <c r="M852" s="2" t="str">
        <f>INDEX(dim_products!$B$2:$B$21,MATCH($E852,dim_products!$A$2:$A$21,0))</f>
        <v>籼米</v>
      </c>
      <c r="N852" s="2" t="str">
        <f>INDEX(dim_products!$C$2:$C$21,MATCH($E852,dim_products!$A$2:$A$21,0))</f>
        <v>25公斤/袋普通籼米</v>
      </c>
      <c r="O852" s="2" t="str">
        <f>INDEX(dim_customers!$B$2:$B$7,MATCH($C852,dim_customers!$A$2:$A$7,0))</f>
        <v>模拟_溪桥医院食堂</v>
      </c>
      <c r="P852" s="6">
        <f>INT((ROUND(raw_order_lines!H852*10,0)*ROUND(raw_order_lines!J852*100,0)+5)/10)/100</f>
        <v>468</v>
      </c>
      <c r="Q852" s="6">
        <f>INT((ROUND(raw_order_lines!I852*10,0)*ROUND(raw_order_lines!J852*100,0)+5)/10)/100</f>
        <v>0</v>
      </c>
      <c r="R852" s="6">
        <f t="shared" si="39"/>
        <v>468</v>
      </c>
      <c r="S852" s="2" t="str">
        <f>IF(OR(ROUND(raw_order_lines!I852*10,0)&gt;ROUND(raw_order_lines!H852*10,0),ROUND(raw_order_lines!H852*10,0)&gt;ROUND(raw_order_lines!G852*10,0),ROUND(raw_order_lines!G852*10,0)&lt;=0),"数量关系异常","")</f>
        <v/>
      </c>
      <c r="T852" s="2" t="str">
        <f>IF($F852&lt;&gt;INDEX(dim_products!$D$2:$D$21,MATCH($E852,dim_products!$A$2:$A$21,0)),"单位不一致","")</f>
        <v/>
      </c>
      <c r="U852" s="2" t="str">
        <f>IF(OR(ROUND(raw_order_lines!J852*100,0)&lt;ROUND(INDEX(dim_products!$F$2:$F$21,MATCH($E852,dim_products!$A$2:$A$21,0))*100,0),ROUND(raw_order_lines!J852*100,0)&gt;ROUND(INDEX(dim_products!$G$2:$G$21,MATCH($E852,dim_products!$A$2:$A$21,0))*100,0)),"单价越界","")</f>
        <v/>
      </c>
      <c r="V852" s="2" t="str">
        <f t="shared" si="40"/>
        <v/>
      </c>
      <c r="W852" s="2" t="str">
        <f t="shared" si="41"/>
        <v>通过</v>
      </c>
    </row>
    <row r="853" spans="1:23" ht="15">
      <c r="A853" s="2" t="str">
        <f>raw_order_lines!A853</f>
        <v>SIM-20260926-C006</v>
      </c>
      <c r="B853" s="2">
        <f>raw_order_lines!B853</f>
        <v>8</v>
      </c>
      <c r="C853" s="2" t="str">
        <f>raw_order_lines!C853</f>
        <v>C006</v>
      </c>
      <c r="D853" s="3">
        <f>raw_order_lines!D853</f>
        <v>46291</v>
      </c>
      <c r="E853" s="2" t="str">
        <f>raw_order_lines!E853</f>
        <v>P020</v>
      </c>
      <c r="F853" s="2" t="str">
        <f>raw_order_lines!F853</f>
        <v>桶</v>
      </c>
      <c r="G853" s="4">
        <f>raw_order_lines!G853</f>
        <v>2</v>
      </c>
      <c r="H853" s="4">
        <f>raw_order_lines!H853</f>
        <v>2</v>
      </c>
      <c r="I853" s="4">
        <f>raw_order_lines!I853</f>
        <v>0</v>
      </c>
      <c r="J853" s="5">
        <f>raw_order_lines!J853</f>
        <v>60</v>
      </c>
      <c r="K853" s="2" t="str">
        <f>raw_order_lines!K853</f>
        <v>正常交付</v>
      </c>
      <c r="L853" s="2" t="str">
        <f>raw_order_lines!L853</f>
        <v>true</v>
      </c>
      <c r="M853" s="2" t="str">
        <f>INDEX(dim_products!$B$2:$B$21,MATCH($E853,dim_products!$A$2:$A$21,0))</f>
        <v>大豆油</v>
      </c>
      <c r="N853" s="2" t="str">
        <f>INDEX(dim_products!$C$2:$C$21,MATCH($E853,dim_products!$A$2:$A$21,0))</f>
        <v>5升/桶普通大豆油</v>
      </c>
      <c r="O853" s="2" t="str">
        <f>INDEX(dim_customers!$B$2:$B$7,MATCH($C853,dim_customers!$A$2:$A$7,0))</f>
        <v>模拟_溪桥医院食堂</v>
      </c>
      <c r="P853" s="6">
        <f>INT((ROUND(raw_order_lines!H853*10,0)*ROUND(raw_order_lines!J853*100,0)+5)/10)/100</f>
        <v>120</v>
      </c>
      <c r="Q853" s="6">
        <f>INT((ROUND(raw_order_lines!I853*10,0)*ROUND(raw_order_lines!J853*100,0)+5)/10)/100</f>
        <v>0</v>
      </c>
      <c r="R853" s="6">
        <f t="shared" si="39"/>
        <v>120</v>
      </c>
      <c r="S853" s="2" t="str">
        <f>IF(OR(ROUND(raw_order_lines!I853*10,0)&gt;ROUND(raw_order_lines!H853*10,0),ROUND(raw_order_lines!H853*10,0)&gt;ROUND(raw_order_lines!G853*10,0),ROUND(raw_order_lines!G853*10,0)&lt;=0),"数量关系异常","")</f>
        <v/>
      </c>
      <c r="T853" s="2" t="str">
        <f>IF($F853&lt;&gt;INDEX(dim_products!$D$2:$D$21,MATCH($E853,dim_products!$A$2:$A$21,0)),"单位不一致","")</f>
        <v/>
      </c>
      <c r="U853" s="2" t="str">
        <f>IF(OR(ROUND(raw_order_lines!J853*100,0)&lt;ROUND(INDEX(dim_products!$F$2:$F$21,MATCH($E853,dim_products!$A$2:$A$21,0))*100,0),ROUND(raw_order_lines!J853*100,0)&gt;ROUND(INDEX(dim_products!$G$2:$G$21,MATCH($E853,dim_products!$A$2:$A$21,0))*100,0)),"单价越界","")</f>
        <v/>
      </c>
      <c r="V853" s="2" t="str">
        <f t="shared" si="40"/>
        <v/>
      </c>
      <c r="W853" s="2" t="str">
        <f t="shared" si="41"/>
        <v>通过</v>
      </c>
    </row>
    <row r="854" spans="1:23" ht="15">
      <c r="A854" s="2" t="str">
        <f>raw_order_lines!A854</f>
        <v>SIM-20260927-C002</v>
      </c>
      <c r="B854" s="2">
        <f>raw_order_lines!B854</f>
        <v>1</v>
      </c>
      <c r="C854" s="2" t="str">
        <f>raw_order_lines!C854</f>
        <v>C002</v>
      </c>
      <c r="D854" s="3">
        <f>raw_order_lines!D854</f>
        <v>46292</v>
      </c>
      <c r="E854" s="2" t="str">
        <f>raw_order_lines!E854</f>
        <v>P011</v>
      </c>
      <c r="F854" s="2" t="str">
        <f>raw_order_lines!F854</f>
        <v>公斤</v>
      </c>
      <c r="G854" s="4">
        <f>raw_order_lines!G854</f>
        <v>6.4</v>
      </c>
      <c r="H854" s="4">
        <f>raw_order_lines!H854</f>
        <v>6.4</v>
      </c>
      <c r="I854" s="4">
        <f>raw_order_lines!I854</f>
        <v>0</v>
      </c>
      <c r="J854" s="5">
        <f>raw_order_lines!J854</f>
        <v>4.8</v>
      </c>
      <c r="K854" s="2" t="str">
        <f>raw_order_lines!K854</f>
        <v>正常交付</v>
      </c>
      <c r="L854" s="2" t="str">
        <f>raw_order_lines!L854</f>
        <v>true</v>
      </c>
      <c r="M854" s="2" t="str">
        <f>INDEX(dim_products!$B$2:$B$21,MATCH($E854,dim_products!$A$2:$A$21,0))</f>
        <v>红薯叶</v>
      </c>
      <c r="N854" s="2" t="str">
        <f>INDEX(dim_products!$C$2:$C$21,MATCH($E854,dim_products!$A$2:$A$21,0))</f>
        <v>散装鲜菜</v>
      </c>
      <c r="O854" s="2" t="str">
        <f>INDEX(dim_customers!$B$2:$B$7,MATCH($C854,dim_customers!$A$2:$A$7,0))</f>
        <v>模拟_桥头家常菜馆</v>
      </c>
      <c r="P854" s="6">
        <f>INT((ROUND(raw_order_lines!H854*10,0)*ROUND(raw_order_lines!J854*100,0)+5)/10)/100</f>
        <v>30.72</v>
      </c>
      <c r="Q854" s="6">
        <f>INT((ROUND(raw_order_lines!I854*10,0)*ROUND(raw_order_lines!J854*100,0)+5)/10)/100</f>
        <v>0</v>
      </c>
      <c r="R854" s="6">
        <f t="shared" si="39"/>
        <v>30.72</v>
      </c>
      <c r="S854" s="2" t="str">
        <f>IF(OR(ROUND(raw_order_lines!I854*10,0)&gt;ROUND(raw_order_lines!H854*10,0),ROUND(raw_order_lines!H854*10,0)&gt;ROUND(raw_order_lines!G854*10,0),ROUND(raw_order_lines!G854*10,0)&lt;=0),"数量关系异常","")</f>
        <v/>
      </c>
      <c r="T854" s="2" t="str">
        <f>IF($F854&lt;&gt;INDEX(dim_products!$D$2:$D$21,MATCH($E854,dim_products!$A$2:$A$21,0)),"单位不一致","")</f>
        <v/>
      </c>
      <c r="U854" s="2" t="str">
        <f>IF(OR(ROUND(raw_order_lines!J854*100,0)&lt;ROUND(INDEX(dim_products!$F$2:$F$21,MATCH($E854,dim_products!$A$2:$A$21,0))*100,0),ROUND(raw_order_lines!J854*100,0)&gt;ROUND(INDEX(dim_products!$G$2:$G$21,MATCH($E854,dim_products!$A$2:$A$21,0))*100,0)),"单价越界","")</f>
        <v/>
      </c>
      <c r="V854" s="2" t="str">
        <f t="shared" si="40"/>
        <v/>
      </c>
      <c r="W854" s="2" t="str">
        <f t="shared" si="41"/>
        <v>通过</v>
      </c>
    </row>
    <row r="855" spans="1:23" ht="15">
      <c r="A855" s="2" t="str">
        <f>raw_order_lines!A855</f>
        <v>SIM-20260927-C002</v>
      </c>
      <c r="B855" s="2">
        <f>raw_order_lines!B855</f>
        <v>2</v>
      </c>
      <c r="C855" s="2" t="str">
        <f>raw_order_lines!C855</f>
        <v>C002</v>
      </c>
      <c r="D855" s="3">
        <f>raw_order_lines!D855</f>
        <v>46292</v>
      </c>
      <c r="E855" s="2" t="str">
        <f>raw_order_lines!E855</f>
        <v>P013</v>
      </c>
      <c r="F855" s="2" t="str">
        <f>raw_order_lines!F855</f>
        <v>公斤</v>
      </c>
      <c r="G855" s="4">
        <f>raw_order_lines!G855</f>
        <v>6.4</v>
      </c>
      <c r="H855" s="4">
        <f>raw_order_lines!H855</f>
        <v>6.4</v>
      </c>
      <c r="I855" s="4">
        <f>raw_order_lines!I855</f>
        <v>0</v>
      </c>
      <c r="J855" s="5">
        <f>raw_order_lines!J855</f>
        <v>6.1</v>
      </c>
      <c r="K855" s="2" t="str">
        <f>raw_order_lines!K855</f>
        <v>正常交付</v>
      </c>
      <c r="L855" s="2" t="str">
        <f>raw_order_lines!L855</f>
        <v>true</v>
      </c>
      <c r="M855" s="2" t="str">
        <f>INDEX(dim_products!$B$2:$B$21,MATCH($E855,dim_products!$A$2:$A$21,0))</f>
        <v>豇豆</v>
      </c>
      <c r="N855" s="2" t="str">
        <f>INDEX(dim_products!$C$2:$C$21,MATCH($E855,dim_products!$A$2:$A$21,0))</f>
        <v>散装鲜菜</v>
      </c>
      <c r="O855" s="2" t="str">
        <f>INDEX(dim_customers!$B$2:$B$7,MATCH($C855,dim_customers!$A$2:$A$7,0))</f>
        <v>模拟_桥头家常菜馆</v>
      </c>
      <c r="P855" s="6">
        <f>INT((ROUND(raw_order_lines!H855*10,0)*ROUND(raw_order_lines!J855*100,0)+5)/10)/100</f>
        <v>39.04</v>
      </c>
      <c r="Q855" s="6">
        <f>INT((ROUND(raw_order_lines!I855*10,0)*ROUND(raw_order_lines!J855*100,0)+5)/10)/100</f>
        <v>0</v>
      </c>
      <c r="R855" s="6">
        <f t="shared" si="39"/>
        <v>39.04</v>
      </c>
      <c r="S855" s="2" t="str">
        <f>IF(OR(ROUND(raw_order_lines!I855*10,0)&gt;ROUND(raw_order_lines!H855*10,0),ROUND(raw_order_lines!H855*10,0)&gt;ROUND(raw_order_lines!G855*10,0),ROUND(raw_order_lines!G855*10,0)&lt;=0),"数量关系异常","")</f>
        <v/>
      </c>
      <c r="T855" s="2" t="str">
        <f>IF($F855&lt;&gt;INDEX(dim_products!$D$2:$D$21,MATCH($E855,dim_products!$A$2:$A$21,0)),"单位不一致","")</f>
        <v/>
      </c>
      <c r="U855" s="2" t="str">
        <f>IF(OR(ROUND(raw_order_lines!J855*100,0)&lt;ROUND(INDEX(dim_products!$F$2:$F$21,MATCH($E855,dim_products!$A$2:$A$21,0))*100,0),ROUND(raw_order_lines!J855*100,0)&gt;ROUND(INDEX(dim_products!$G$2:$G$21,MATCH($E855,dim_products!$A$2:$A$21,0))*100,0)),"单价越界","")</f>
        <v/>
      </c>
      <c r="V855" s="2" t="str">
        <f t="shared" si="40"/>
        <v/>
      </c>
      <c r="W855" s="2" t="str">
        <f t="shared" si="41"/>
        <v>通过</v>
      </c>
    </row>
    <row r="856" spans="1:23" ht="15">
      <c r="A856" s="2" t="str">
        <f>raw_order_lines!A856</f>
        <v>SIM-20260927-C002</v>
      </c>
      <c r="B856" s="2">
        <f>raw_order_lines!B856</f>
        <v>3</v>
      </c>
      <c r="C856" s="2" t="str">
        <f>raw_order_lines!C856</f>
        <v>C002</v>
      </c>
      <c r="D856" s="3">
        <f>raw_order_lines!D856</f>
        <v>46292</v>
      </c>
      <c r="E856" s="2" t="str">
        <f>raw_order_lines!E856</f>
        <v>P006</v>
      </c>
      <c r="F856" s="2" t="str">
        <f>raw_order_lines!F856</f>
        <v>公斤</v>
      </c>
      <c r="G856" s="4">
        <f>raw_order_lines!G856</f>
        <v>9.1999999999999993</v>
      </c>
      <c r="H856" s="4">
        <f>raw_order_lines!H856</f>
        <v>9.1999999999999993</v>
      </c>
      <c r="I856" s="4">
        <f>raw_order_lines!I856</f>
        <v>0</v>
      </c>
      <c r="J856" s="5">
        <f>raw_order_lines!J856</f>
        <v>4.5999999999999996</v>
      </c>
      <c r="K856" s="2" t="str">
        <f>raw_order_lines!K856</f>
        <v>正常交付</v>
      </c>
      <c r="L856" s="2" t="str">
        <f>raw_order_lines!L856</f>
        <v>true</v>
      </c>
      <c r="M856" s="2" t="str">
        <f>INDEX(dim_products!$B$2:$B$21,MATCH($E856,dim_products!$A$2:$A$21,0))</f>
        <v>茄子</v>
      </c>
      <c r="N856" s="2" t="str">
        <f>INDEX(dim_products!$C$2:$C$21,MATCH($E856,dim_products!$A$2:$A$21,0))</f>
        <v>散装鲜菜</v>
      </c>
      <c r="O856" s="2" t="str">
        <f>INDEX(dim_customers!$B$2:$B$7,MATCH($C856,dim_customers!$A$2:$A$7,0))</f>
        <v>模拟_桥头家常菜馆</v>
      </c>
      <c r="P856" s="6">
        <f>INT((ROUND(raw_order_lines!H856*10,0)*ROUND(raw_order_lines!J856*100,0)+5)/10)/100</f>
        <v>42.32</v>
      </c>
      <c r="Q856" s="6">
        <f>INT((ROUND(raw_order_lines!I856*10,0)*ROUND(raw_order_lines!J856*100,0)+5)/10)/100</f>
        <v>0</v>
      </c>
      <c r="R856" s="6">
        <f t="shared" si="39"/>
        <v>42.32</v>
      </c>
      <c r="S856" s="2" t="str">
        <f>IF(OR(ROUND(raw_order_lines!I856*10,0)&gt;ROUND(raw_order_lines!H856*10,0),ROUND(raw_order_lines!H856*10,0)&gt;ROUND(raw_order_lines!G856*10,0),ROUND(raw_order_lines!G856*10,0)&lt;=0),"数量关系异常","")</f>
        <v/>
      </c>
      <c r="T856" s="2" t="str">
        <f>IF($F856&lt;&gt;INDEX(dim_products!$D$2:$D$21,MATCH($E856,dim_products!$A$2:$A$21,0)),"单位不一致","")</f>
        <v/>
      </c>
      <c r="U856" s="2" t="str">
        <f>IF(OR(ROUND(raw_order_lines!J856*100,0)&lt;ROUND(INDEX(dim_products!$F$2:$F$21,MATCH($E856,dim_products!$A$2:$A$21,0))*100,0),ROUND(raw_order_lines!J856*100,0)&gt;ROUND(INDEX(dim_products!$G$2:$G$21,MATCH($E856,dim_products!$A$2:$A$21,0))*100,0)),"单价越界","")</f>
        <v/>
      </c>
      <c r="V856" s="2" t="str">
        <f t="shared" si="40"/>
        <v/>
      </c>
      <c r="W856" s="2" t="str">
        <f t="shared" si="41"/>
        <v>通过</v>
      </c>
    </row>
    <row r="857" spans="1:23" ht="15">
      <c r="A857" s="2" t="str">
        <f>raw_order_lines!A857</f>
        <v>SIM-20260927-C002</v>
      </c>
      <c r="B857" s="2">
        <f>raw_order_lines!B857</f>
        <v>4</v>
      </c>
      <c r="C857" s="2" t="str">
        <f>raw_order_lines!C857</f>
        <v>C002</v>
      </c>
      <c r="D857" s="3">
        <f>raw_order_lines!D857</f>
        <v>46292</v>
      </c>
      <c r="E857" s="2" t="str">
        <f>raw_order_lines!E857</f>
        <v>P005</v>
      </c>
      <c r="F857" s="2" t="str">
        <f>raw_order_lines!F857</f>
        <v>公斤</v>
      </c>
      <c r="G857" s="4">
        <f>raw_order_lines!G857</f>
        <v>8.5</v>
      </c>
      <c r="H857" s="4">
        <f>raw_order_lines!H857</f>
        <v>8.5</v>
      </c>
      <c r="I857" s="4">
        <f>raw_order_lines!I857</f>
        <v>0</v>
      </c>
      <c r="J857" s="5">
        <f>raw_order_lines!J857</f>
        <v>2.7</v>
      </c>
      <c r="K857" s="2" t="str">
        <f>raw_order_lines!K857</f>
        <v>正常交付</v>
      </c>
      <c r="L857" s="2" t="str">
        <f>raw_order_lines!L857</f>
        <v>true</v>
      </c>
      <c r="M857" s="2" t="str">
        <f>INDEX(dim_products!$B$2:$B$21,MATCH($E857,dim_products!$A$2:$A$21,0))</f>
        <v>南瓜</v>
      </c>
      <c r="N857" s="2" t="str">
        <f>INDEX(dim_products!$C$2:$C$21,MATCH($E857,dim_products!$A$2:$A$21,0))</f>
        <v>散装鲜菜</v>
      </c>
      <c r="O857" s="2" t="str">
        <f>INDEX(dim_customers!$B$2:$B$7,MATCH($C857,dim_customers!$A$2:$A$7,0))</f>
        <v>模拟_桥头家常菜馆</v>
      </c>
      <c r="P857" s="6">
        <f>INT((ROUND(raw_order_lines!H857*10,0)*ROUND(raw_order_lines!J857*100,0)+5)/10)/100</f>
        <v>22.95</v>
      </c>
      <c r="Q857" s="6">
        <f>INT((ROUND(raw_order_lines!I857*10,0)*ROUND(raw_order_lines!J857*100,0)+5)/10)/100</f>
        <v>0</v>
      </c>
      <c r="R857" s="6">
        <f t="shared" si="39"/>
        <v>22.95</v>
      </c>
      <c r="S857" s="2" t="str">
        <f>IF(OR(ROUND(raw_order_lines!I857*10,0)&gt;ROUND(raw_order_lines!H857*10,0),ROUND(raw_order_lines!H857*10,0)&gt;ROUND(raw_order_lines!G857*10,0),ROUND(raw_order_lines!G857*10,0)&lt;=0),"数量关系异常","")</f>
        <v/>
      </c>
      <c r="T857" s="2" t="str">
        <f>IF($F857&lt;&gt;INDEX(dim_products!$D$2:$D$21,MATCH($E857,dim_products!$A$2:$A$21,0)),"单位不一致","")</f>
        <v/>
      </c>
      <c r="U857" s="2" t="str">
        <f>IF(OR(ROUND(raw_order_lines!J857*100,0)&lt;ROUND(INDEX(dim_products!$F$2:$F$21,MATCH($E857,dim_products!$A$2:$A$21,0))*100,0),ROUND(raw_order_lines!J857*100,0)&gt;ROUND(INDEX(dim_products!$G$2:$G$21,MATCH($E857,dim_products!$A$2:$A$21,0))*100,0)),"单价越界","")</f>
        <v/>
      </c>
      <c r="V857" s="2" t="str">
        <f t="shared" si="40"/>
        <v/>
      </c>
      <c r="W857" s="2" t="str">
        <f t="shared" si="41"/>
        <v>通过</v>
      </c>
    </row>
    <row r="858" spans="1:23" ht="15">
      <c r="A858" s="2" t="str">
        <f>raw_order_lines!A858</f>
        <v>SIM-20260927-C002</v>
      </c>
      <c r="B858" s="2">
        <f>raw_order_lines!B858</f>
        <v>5</v>
      </c>
      <c r="C858" s="2" t="str">
        <f>raw_order_lines!C858</f>
        <v>C002</v>
      </c>
      <c r="D858" s="3">
        <f>raw_order_lines!D858</f>
        <v>46292</v>
      </c>
      <c r="E858" s="2" t="str">
        <f>raw_order_lines!E858</f>
        <v>P009</v>
      </c>
      <c r="F858" s="2" t="str">
        <f>raw_order_lines!F858</f>
        <v>公斤</v>
      </c>
      <c r="G858" s="4">
        <f>raw_order_lines!G858</f>
        <v>7.8</v>
      </c>
      <c r="H858" s="4">
        <f>raw_order_lines!H858</f>
        <v>7.8</v>
      </c>
      <c r="I858" s="4">
        <f>raw_order_lines!I858</f>
        <v>0</v>
      </c>
      <c r="J858" s="5">
        <f>raw_order_lines!J858</f>
        <v>4.9000000000000004</v>
      </c>
      <c r="K858" s="2" t="str">
        <f>raw_order_lines!K858</f>
        <v>正常交付</v>
      </c>
      <c r="L858" s="2" t="str">
        <f>raw_order_lines!L858</f>
        <v>true</v>
      </c>
      <c r="M858" s="2" t="str">
        <f>INDEX(dim_products!$B$2:$B$21,MATCH($E858,dim_products!$A$2:$A$21,0))</f>
        <v>西红柿</v>
      </c>
      <c r="N858" s="2" t="str">
        <f>INDEX(dim_products!$C$2:$C$21,MATCH($E858,dim_products!$A$2:$A$21,0))</f>
        <v>散装鲜菜</v>
      </c>
      <c r="O858" s="2" t="str">
        <f>INDEX(dim_customers!$B$2:$B$7,MATCH($C858,dim_customers!$A$2:$A$7,0))</f>
        <v>模拟_桥头家常菜馆</v>
      </c>
      <c r="P858" s="6">
        <f>INT((ROUND(raw_order_lines!H858*10,0)*ROUND(raw_order_lines!J858*100,0)+5)/10)/100</f>
        <v>38.22</v>
      </c>
      <c r="Q858" s="6">
        <f>INT((ROUND(raw_order_lines!I858*10,0)*ROUND(raw_order_lines!J858*100,0)+5)/10)/100</f>
        <v>0</v>
      </c>
      <c r="R858" s="6">
        <f t="shared" si="39"/>
        <v>38.22</v>
      </c>
      <c r="S858" s="2" t="str">
        <f>IF(OR(ROUND(raw_order_lines!I858*10,0)&gt;ROUND(raw_order_lines!H858*10,0),ROUND(raw_order_lines!H858*10,0)&gt;ROUND(raw_order_lines!G858*10,0),ROUND(raw_order_lines!G858*10,0)&lt;=0),"数量关系异常","")</f>
        <v/>
      </c>
      <c r="T858" s="2" t="str">
        <f>IF($F858&lt;&gt;INDEX(dim_products!$D$2:$D$21,MATCH($E858,dim_products!$A$2:$A$21,0)),"单位不一致","")</f>
        <v/>
      </c>
      <c r="U858" s="2" t="str">
        <f>IF(OR(ROUND(raw_order_lines!J858*100,0)&lt;ROUND(INDEX(dim_products!$F$2:$F$21,MATCH($E858,dim_products!$A$2:$A$21,0))*100,0),ROUND(raw_order_lines!J858*100,0)&gt;ROUND(INDEX(dim_products!$G$2:$G$21,MATCH($E858,dim_products!$A$2:$A$21,0))*100,0)),"单价越界","")</f>
        <v/>
      </c>
      <c r="V858" s="2" t="str">
        <f t="shared" si="40"/>
        <v/>
      </c>
      <c r="W858" s="2" t="str">
        <f t="shared" si="41"/>
        <v>通过</v>
      </c>
    </row>
    <row r="859" spans="1:23" ht="15">
      <c r="A859" s="2" t="str">
        <f>raw_order_lines!A859</f>
        <v>SIM-20260927-C006</v>
      </c>
      <c r="B859" s="2">
        <f>raw_order_lines!B859</f>
        <v>1</v>
      </c>
      <c r="C859" s="2" t="str">
        <f>raw_order_lines!C859</f>
        <v>C006</v>
      </c>
      <c r="D859" s="3">
        <f>raw_order_lines!D859</f>
        <v>46292</v>
      </c>
      <c r="E859" s="2" t="str">
        <f>raw_order_lines!E859</f>
        <v>P010</v>
      </c>
      <c r="F859" s="2" t="str">
        <f>raw_order_lines!F859</f>
        <v>公斤</v>
      </c>
      <c r="G859" s="4">
        <f>raw_order_lines!G859</f>
        <v>6.3</v>
      </c>
      <c r="H859" s="4">
        <f>raw_order_lines!H859</f>
        <v>6.3</v>
      </c>
      <c r="I859" s="4">
        <f>raw_order_lines!I859</f>
        <v>0</v>
      </c>
      <c r="J859" s="5">
        <f>raw_order_lines!J859</f>
        <v>4.9000000000000004</v>
      </c>
      <c r="K859" s="2" t="str">
        <f>raw_order_lines!K859</f>
        <v>正常交付</v>
      </c>
      <c r="L859" s="2" t="str">
        <f>raw_order_lines!L859</f>
        <v>true</v>
      </c>
      <c r="M859" s="2" t="str">
        <f>INDEX(dim_products!$B$2:$B$21,MATCH($E859,dim_products!$A$2:$A$21,0))</f>
        <v>空心菜</v>
      </c>
      <c r="N859" s="2" t="str">
        <f>INDEX(dim_products!$C$2:$C$21,MATCH($E859,dim_products!$A$2:$A$21,0))</f>
        <v>散装鲜菜</v>
      </c>
      <c r="O859" s="2" t="str">
        <f>INDEX(dim_customers!$B$2:$B$7,MATCH($C859,dim_customers!$A$2:$A$7,0))</f>
        <v>模拟_溪桥医院食堂</v>
      </c>
      <c r="P859" s="6">
        <f>INT((ROUND(raw_order_lines!H859*10,0)*ROUND(raw_order_lines!J859*100,0)+5)/10)/100</f>
        <v>30.87</v>
      </c>
      <c r="Q859" s="6">
        <f>INT((ROUND(raw_order_lines!I859*10,0)*ROUND(raw_order_lines!J859*100,0)+5)/10)/100</f>
        <v>0</v>
      </c>
      <c r="R859" s="6">
        <f t="shared" si="39"/>
        <v>30.87</v>
      </c>
      <c r="S859" s="2" t="str">
        <f>IF(OR(ROUND(raw_order_lines!I859*10,0)&gt;ROUND(raw_order_lines!H859*10,0),ROUND(raw_order_lines!H859*10,0)&gt;ROUND(raw_order_lines!G859*10,0),ROUND(raw_order_lines!G859*10,0)&lt;=0),"数量关系异常","")</f>
        <v/>
      </c>
      <c r="T859" s="2" t="str">
        <f>IF($F859&lt;&gt;INDEX(dim_products!$D$2:$D$21,MATCH($E859,dim_products!$A$2:$A$21,0)),"单位不一致","")</f>
        <v/>
      </c>
      <c r="U859" s="2" t="str">
        <f>IF(OR(ROUND(raw_order_lines!J859*100,0)&lt;ROUND(INDEX(dim_products!$F$2:$F$21,MATCH($E859,dim_products!$A$2:$A$21,0))*100,0),ROUND(raw_order_lines!J859*100,0)&gt;ROUND(INDEX(dim_products!$G$2:$G$21,MATCH($E859,dim_products!$A$2:$A$21,0))*100,0)),"单价越界","")</f>
        <v/>
      </c>
      <c r="V859" s="2" t="str">
        <f t="shared" si="40"/>
        <v/>
      </c>
      <c r="W859" s="2" t="str">
        <f t="shared" si="41"/>
        <v>通过</v>
      </c>
    </row>
    <row r="860" spans="1:23" ht="15">
      <c r="A860" s="2" t="str">
        <f>raw_order_lines!A860</f>
        <v>SIM-20260927-C006</v>
      </c>
      <c r="B860" s="2">
        <f>raw_order_lines!B860</f>
        <v>2</v>
      </c>
      <c r="C860" s="2" t="str">
        <f>raw_order_lines!C860</f>
        <v>C006</v>
      </c>
      <c r="D860" s="3">
        <f>raw_order_lines!D860</f>
        <v>46292</v>
      </c>
      <c r="E860" s="2" t="str">
        <f>raw_order_lines!E860</f>
        <v>P002</v>
      </c>
      <c r="F860" s="2" t="str">
        <f>raw_order_lines!F860</f>
        <v>公斤</v>
      </c>
      <c r="G860" s="4">
        <f>raw_order_lines!G860</f>
        <v>9.4</v>
      </c>
      <c r="H860" s="4">
        <f>raw_order_lines!H860</f>
        <v>9.4</v>
      </c>
      <c r="I860" s="4">
        <f>raw_order_lines!I860</f>
        <v>0</v>
      </c>
      <c r="J860" s="5">
        <f>raw_order_lines!J860</f>
        <v>2.5</v>
      </c>
      <c r="K860" s="2" t="str">
        <f>raw_order_lines!K860</f>
        <v>正常交付</v>
      </c>
      <c r="L860" s="2" t="str">
        <f>raw_order_lines!L860</f>
        <v>true</v>
      </c>
      <c r="M860" s="2" t="str">
        <f>INDEX(dim_products!$B$2:$B$21,MATCH($E860,dim_products!$A$2:$A$21,0))</f>
        <v>白萝卜</v>
      </c>
      <c r="N860" s="2" t="str">
        <f>INDEX(dim_products!$C$2:$C$21,MATCH($E860,dim_products!$A$2:$A$21,0))</f>
        <v>散装鲜菜</v>
      </c>
      <c r="O860" s="2" t="str">
        <f>INDEX(dim_customers!$B$2:$B$7,MATCH($C860,dim_customers!$A$2:$A$7,0))</f>
        <v>模拟_溪桥医院食堂</v>
      </c>
      <c r="P860" s="6">
        <f>INT((ROUND(raw_order_lines!H860*10,0)*ROUND(raw_order_lines!J860*100,0)+5)/10)/100</f>
        <v>23.5</v>
      </c>
      <c r="Q860" s="6">
        <f>INT((ROUND(raw_order_lines!I860*10,0)*ROUND(raw_order_lines!J860*100,0)+5)/10)/100</f>
        <v>0</v>
      </c>
      <c r="R860" s="6">
        <f t="shared" si="39"/>
        <v>23.5</v>
      </c>
      <c r="S860" s="2" t="str">
        <f>IF(OR(ROUND(raw_order_lines!I860*10,0)&gt;ROUND(raw_order_lines!H860*10,0),ROUND(raw_order_lines!H860*10,0)&gt;ROUND(raw_order_lines!G860*10,0),ROUND(raw_order_lines!G860*10,0)&lt;=0),"数量关系异常","")</f>
        <v/>
      </c>
      <c r="T860" s="2" t="str">
        <f>IF($F860&lt;&gt;INDEX(dim_products!$D$2:$D$21,MATCH($E860,dim_products!$A$2:$A$21,0)),"单位不一致","")</f>
        <v/>
      </c>
      <c r="U860" s="2" t="str">
        <f>IF(OR(ROUND(raw_order_lines!J860*100,0)&lt;ROUND(INDEX(dim_products!$F$2:$F$21,MATCH($E860,dim_products!$A$2:$A$21,0))*100,0),ROUND(raw_order_lines!J860*100,0)&gt;ROUND(INDEX(dim_products!$G$2:$G$21,MATCH($E860,dim_products!$A$2:$A$21,0))*100,0)),"单价越界","")</f>
        <v/>
      </c>
      <c r="V860" s="2" t="str">
        <f t="shared" si="40"/>
        <v/>
      </c>
      <c r="W860" s="2" t="str">
        <f t="shared" si="41"/>
        <v>通过</v>
      </c>
    </row>
    <row r="861" spans="1:23" ht="15">
      <c r="A861" s="2" t="str">
        <f>raw_order_lines!A861</f>
        <v>SIM-20260927-C006</v>
      </c>
      <c r="B861" s="2">
        <f>raw_order_lines!B861</f>
        <v>3</v>
      </c>
      <c r="C861" s="2" t="str">
        <f>raw_order_lines!C861</f>
        <v>C006</v>
      </c>
      <c r="D861" s="3">
        <f>raw_order_lines!D861</f>
        <v>46292</v>
      </c>
      <c r="E861" s="2" t="str">
        <f>raw_order_lines!E861</f>
        <v>P013</v>
      </c>
      <c r="F861" s="2" t="str">
        <f>raw_order_lines!F861</f>
        <v>公斤</v>
      </c>
      <c r="G861" s="4">
        <f>raw_order_lines!G861</f>
        <v>8.8000000000000007</v>
      </c>
      <c r="H861" s="4">
        <f>raw_order_lines!H861</f>
        <v>8.8000000000000007</v>
      </c>
      <c r="I861" s="4">
        <f>raw_order_lines!I861</f>
        <v>0</v>
      </c>
      <c r="J861" s="5">
        <f>raw_order_lines!J861</f>
        <v>6.1</v>
      </c>
      <c r="K861" s="2" t="str">
        <f>raw_order_lines!K861</f>
        <v>正常交付</v>
      </c>
      <c r="L861" s="2" t="str">
        <f>raw_order_lines!L861</f>
        <v>true</v>
      </c>
      <c r="M861" s="2" t="str">
        <f>INDEX(dim_products!$B$2:$B$21,MATCH($E861,dim_products!$A$2:$A$21,0))</f>
        <v>豇豆</v>
      </c>
      <c r="N861" s="2" t="str">
        <f>INDEX(dim_products!$C$2:$C$21,MATCH($E861,dim_products!$A$2:$A$21,0))</f>
        <v>散装鲜菜</v>
      </c>
      <c r="O861" s="2" t="str">
        <f>INDEX(dim_customers!$B$2:$B$7,MATCH($C861,dim_customers!$A$2:$A$7,0))</f>
        <v>模拟_溪桥医院食堂</v>
      </c>
      <c r="P861" s="6">
        <f>INT((ROUND(raw_order_lines!H861*10,0)*ROUND(raw_order_lines!J861*100,0)+5)/10)/100</f>
        <v>53.68</v>
      </c>
      <c r="Q861" s="6">
        <f>INT((ROUND(raw_order_lines!I861*10,0)*ROUND(raw_order_lines!J861*100,0)+5)/10)/100</f>
        <v>0</v>
      </c>
      <c r="R861" s="6">
        <f t="shared" si="39"/>
        <v>53.68</v>
      </c>
      <c r="S861" s="2" t="str">
        <f>IF(OR(ROUND(raw_order_lines!I861*10,0)&gt;ROUND(raw_order_lines!H861*10,0),ROUND(raw_order_lines!H861*10,0)&gt;ROUND(raw_order_lines!G861*10,0),ROUND(raw_order_lines!G861*10,0)&lt;=0),"数量关系异常","")</f>
        <v/>
      </c>
      <c r="T861" s="2" t="str">
        <f>IF($F861&lt;&gt;INDEX(dim_products!$D$2:$D$21,MATCH($E861,dim_products!$A$2:$A$21,0)),"单位不一致","")</f>
        <v/>
      </c>
      <c r="U861" s="2" t="str">
        <f>IF(OR(ROUND(raw_order_lines!J861*100,0)&lt;ROUND(INDEX(dim_products!$F$2:$F$21,MATCH($E861,dim_products!$A$2:$A$21,0))*100,0),ROUND(raw_order_lines!J861*100,0)&gt;ROUND(INDEX(dim_products!$G$2:$G$21,MATCH($E861,dim_products!$A$2:$A$21,0))*100,0)),"单价越界","")</f>
        <v/>
      </c>
      <c r="V861" s="2" t="str">
        <f t="shared" si="40"/>
        <v/>
      </c>
      <c r="W861" s="2" t="str">
        <f t="shared" si="41"/>
        <v>通过</v>
      </c>
    </row>
    <row r="862" spans="1:23" ht="15">
      <c r="A862" s="2" t="str">
        <f>raw_order_lines!A862</f>
        <v>SIM-20260927-C006</v>
      </c>
      <c r="B862" s="2">
        <f>raw_order_lines!B862</f>
        <v>4</v>
      </c>
      <c r="C862" s="2" t="str">
        <f>raw_order_lines!C862</f>
        <v>C006</v>
      </c>
      <c r="D862" s="3">
        <f>raw_order_lines!D862</f>
        <v>46292</v>
      </c>
      <c r="E862" s="2" t="str">
        <f>raw_order_lines!E862</f>
        <v>P007</v>
      </c>
      <c r="F862" s="2" t="str">
        <f>raw_order_lines!F862</f>
        <v>公斤</v>
      </c>
      <c r="G862" s="4">
        <f>raw_order_lines!G862</f>
        <v>6.3</v>
      </c>
      <c r="H862" s="4">
        <f>raw_order_lines!H862</f>
        <v>6.3</v>
      </c>
      <c r="I862" s="4">
        <f>raw_order_lines!I862</f>
        <v>0</v>
      </c>
      <c r="J862" s="5">
        <f>raw_order_lines!J862</f>
        <v>4.95</v>
      </c>
      <c r="K862" s="2" t="str">
        <f>raw_order_lines!K862</f>
        <v>正常交付</v>
      </c>
      <c r="L862" s="2" t="str">
        <f>raw_order_lines!L862</f>
        <v>true</v>
      </c>
      <c r="M862" s="2" t="str">
        <f>INDEX(dim_products!$B$2:$B$21,MATCH($E862,dim_products!$A$2:$A$21,0))</f>
        <v>青椒</v>
      </c>
      <c r="N862" s="2" t="str">
        <f>INDEX(dim_products!$C$2:$C$21,MATCH($E862,dim_products!$A$2:$A$21,0))</f>
        <v>散装鲜菜</v>
      </c>
      <c r="O862" s="2" t="str">
        <f>INDEX(dim_customers!$B$2:$B$7,MATCH($C862,dim_customers!$A$2:$A$7,0))</f>
        <v>模拟_溪桥医院食堂</v>
      </c>
      <c r="P862" s="6">
        <f>INT((ROUND(raw_order_lines!H862*10,0)*ROUND(raw_order_lines!J862*100,0)+5)/10)/100</f>
        <v>31.19</v>
      </c>
      <c r="Q862" s="6">
        <f>INT((ROUND(raw_order_lines!I862*10,0)*ROUND(raw_order_lines!J862*100,0)+5)/10)/100</f>
        <v>0</v>
      </c>
      <c r="R862" s="6">
        <f t="shared" si="39"/>
        <v>31.19</v>
      </c>
      <c r="S862" s="2" t="str">
        <f>IF(OR(ROUND(raw_order_lines!I862*10,0)&gt;ROUND(raw_order_lines!H862*10,0),ROUND(raw_order_lines!H862*10,0)&gt;ROUND(raw_order_lines!G862*10,0),ROUND(raw_order_lines!G862*10,0)&lt;=0),"数量关系异常","")</f>
        <v/>
      </c>
      <c r="T862" s="2" t="str">
        <f>IF($F862&lt;&gt;INDEX(dim_products!$D$2:$D$21,MATCH($E862,dim_products!$A$2:$A$21,0)),"单位不一致","")</f>
        <v/>
      </c>
      <c r="U862" s="2" t="str">
        <f>IF(OR(ROUND(raw_order_lines!J862*100,0)&lt;ROUND(INDEX(dim_products!$F$2:$F$21,MATCH($E862,dim_products!$A$2:$A$21,0))*100,0),ROUND(raw_order_lines!J862*100,0)&gt;ROUND(INDEX(dim_products!$G$2:$G$21,MATCH($E862,dim_products!$A$2:$A$21,0))*100,0)),"单价越界","")</f>
        <v/>
      </c>
      <c r="V862" s="2" t="str">
        <f t="shared" si="40"/>
        <v/>
      </c>
      <c r="W862" s="2" t="str">
        <f t="shared" si="41"/>
        <v>通过</v>
      </c>
    </row>
    <row r="863" spans="1:23" ht="15">
      <c r="A863" s="2" t="str">
        <f>raw_order_lines!A863</f>
        <v>SIM-20260927-C006</v>
      </c>
      <c r="B863" s="2">
        <f>raw_order_lines!B863</f>
        <v>5</v>
      </c>
      <c r="C863" s="2" t="str">
        <f>raw_order_lines!C863</f>
        <v>C006</v>
      </c>
      <c r="D863" s="3">
        <f>raw_order_lines!D863</f>
        <v>46292</v>
      </c>
      <c r="E863" s="2" t="str">
        <f>raw_order_lines!E863</f>
        <v>P004</v>
      </c>
      <c r="F863" s="2" t="str">
        <f>raw_order_lines!F863</f>
        <v>公斤</v>
      </c>
      <c r="G863" s="4">
        <f>raw_order_lines!G863</f>
        <v>8.1999999999999993</v>
      </c>
      <c r="H863" s="4">
        <f>raw_order_lines!H863</f>
        <v>8.1999999999999993</v>
      </c>
      <c r="I863" s="4">
        <f>raw_order_lines!I863</f>
        <v>0</v>
      </c>
      <c r="J863" s="5">
        <f>raw_order_lines!J863</f>
        <v>2.2999999999999998</v>
      </c>
      <c r="K863" s="2" t="str">
        <f>raw_order_lines!K863</f>
        <v>正常交付</v>
      </c>
      <c r="L863" s="2" t="str">
        <f>raw_order_lines!L863</f>
        <v>true</v>
      </c>
      <c r="M863" s="2" t="str">
        <f>INDEX(dim_products!$B$2:$B$21,MATCH($E863,dim_products!$A$2:$A$21,0))</f>
        <v>冬瓜</v>
      </c>
      <c r="N863" s="2" t="str">
        <f>INDEX(dim_products!$C$2:$C$21,MATCH($E863,dim_products!$A$2:$A$21,0))</f>
        <v>散装鲜菜</v>
      </c>
      <c r="O863" s="2" t="str">
        <f>INDEX(dim_customers!$B$2:$B$7,MATCH($C863,dim_customers!$A$2:$A$7,0))</f>
        <v>模拟_溪桥医院食堂</v>
      </c>
      <c r="P863" s="6">
        <f>INT((ROUND(raw_order_lines!H863*10,0)*ROUND(raw_order_lines!J863*100,0)+5)/10)/100</f>
        <v>18.86</v>
      </c>
      <c r="Q863" s="6">
        <f>INT((ROUND(raw_order_lines!I863*10,0)*ROUND(raw_order_lines!J863*100,0)+5)/10)/100</f>
        <v>0</v>
      </c>
      <c r="R863" s="6">
        <f t="shared" si="39"/>
        <v>18.86</v>
      </c>
      <c r="S863" s="2" t="str">
        <f>IF(OR(ROUND(raw_order_lines!I863*10,0)&gt;ROUND(raw_order_lines!H863*10,0),ROUND(raw_order_lines!H863*10,0)&gt;ROUND(raw_order_lines!G863*10,0),ROUND(raw_order_lines!G863*10,0)&lt;=0),"数量关系异常","")</f>
        <v/>
      </c>
      <c r="T863" s="2" t="str">
        <f>IF($F863&lt;&gt;INDEX(dim_products!$D$2:$D$21,MATCH($E863,dim_products!$A$2:$A$21,0)),"单位不一致","")</f>
        <v/>
      </c>
      <c r="U863" s="2" t="str">
        <f>IF(OR(ROUND(raw_order_lines!J863*100,0)&lt;ROUND(INDEX(dim_products!$F$2:$F$21,MATCH($E863,dim_products!$A$2:$A$21,0))*100,0),ROUND(raw_order_lines!J863*100,0)&gt;ROUND(INDEX(dim_products!$G$2:$G$21,MATCH($E863,dim_products!$A$2:$A$21,0))*100,0)),"单价越界","")</f>
        <v/>
      </c>
      <c r="V863" s="2" t="str">
        <f t="shared" si="40"/>
        <v/>
      </c>
      <c r="W863" s="2" t="str">
        <f t="shared" si="41"/>
        <v>通过</v>
      </c>
    </row>
    <row r="864" spans="1:23" ht="15">
      <c r="A864" s="2" t="str">
        <f>raw_order_lines!A864</f>
        <v>SIM-20260927-C006</v>
      </c>
      <c r="B864" s="2">
        <f>raw_order_lines!B864</f>
        <v>6</v>
      </c>
      <c r="C864" s="2" t="str">
        <f>raw_order_lines!C864</f>
        <v>C006</v>
      </c>
      <c r="D864" s="3">
        <f>raw_order_lines!D864</f>
        <v>46292</v>
      </c>
      <c r="E864" s="2" t="str">
        <f>raw_order_lines!E864</f>
        <v>P005</v>
      </c>
      <c r="F864" s="2" t="str">
        <f>raw_order_lines!F864</f>
        <v>公斤</v>
      </c>
      <c r="G864" s="4">
        <f>raw_order_lines!G864</f>
        <v>7.6</v>
      </c>
      <c r="H864" s="4">
        <f>raw_order_lines!H864</f>
        <v>7.6</v>
      </c>
      <c r="I864" s="4">
        <f>raw_order_lines!I864</f>
        <v>0</v>
      </c>
      <c r="J864" s="5">
        <f>raw_order_lines!J864</f>
        <v>2.7</v>
      </c>
      <c r="K864" s="2" t="str">
        <f>raw_order_lines!K864</f>
        <v>正常交付</v>
      </c>
      <c r="L864" s="2" t="str">
        <f>raw_order_lines!L864</f>
        <v>true</v>
      </c>
      <c r="M864" s="2" t="str">
        <f>INDEX(dim_products!$B$2:$B$21,MATCH($E864,dim_products!$A$2:$A$21,0))</f>
        <v>南瓜</v>
      </c>
      <c r="N864" s="2" t="str">
        <f>INDEX(dim_products!$C$2:$C$21,MATCH($E864,dim_products!$A$2:$A$21,0))</f>
        <v>散装鲜菜</v>
      </c>
      <c r="O864" s="2" t="str">
        <f>INDEX(dim_customers!$B$2:$B$7,MATCH($C864,dim_customers!$A$2:$A$7,0))</f>
        <v>模拟_溪桥医院食堂</v>
      </c>
      <c r="P864" s="6">
        <f>INT((ROUND(raw_order_lines!H864*10,0)*ROUND(raw_order_lines!J864*100,0)+5)/10)/100</f>
        <v>20.52</v>
      </c>
      <c r="Q864" s="6">
        <f>INT((ROUND(raw_order_lines!I864*10,0)*ROUND(raw_order_lines!J864*100,0)+5)/10)/100</f>
        <v>0</v>
      </c>
      <c r="R864" s="6">
        <f t="shared" si="39"/>
        <v>20.52</v>
      </c>
      <c r="S864" s="2" t="str">
        <f>IF(OR(ROUND(raw_order_lines!I864*10,0)&gt;ROUND(raw_order_lines!H864*10,0),ROUND(raw_order_lines!H864*10,0)&gt;ROUND(raw_order_lines!G864*10,0),ROUND(raw_order_lines!G864*10,0)&lt;=0),"数量关系异常","")</f>
        <v/>
      </c>
      <c r="T864" s="2" t="str">
        <f>IF($F864&lt;&gt;INDEX(dim_products!$D$2:$D$21,MATCH($E864,dim_products!$A$2:$A$21,0)),"单位不一致","")</f>
        <v/>
      </c>
      <c r="U864" s="2" t="str">
        <f>IF(OR(ROUND(raw_order_lines!J864*100,0)&lt;ROUND(INDEX(dim_products!$F$2:$F$21,MATCH($E864,dim_products!$A$2:$A$21,0))*100,0),ROUND(raw_order_lines!J864*100,0)&gt;ROUND(INDEX(dim_products!$G$2:$G$21,MATCH($E864,dim_products!$A$2:$A$21,0))*100,0)),"单价越界","")</f>
        <v/>
      </c>
      <c r="V864" s="2" t="str">
        <f t="shared" si="40"/>
        <v/>
      </c>
      <c r="W864" s="2" t="str">
        <f t="shared" si="41"/>
        <v>通过</v>
      </c>
    </row>
    <row r="865" spans="1:23" ht="15">
      <c r="A865" s="2" t="str">
        <f>raw_order_lines!A865</f>
        <v>SIM-20260927-C006</v>
      </c>
      <c r="B865" s="2">
        <f>raw_order_lines!B865</f>
        <v>7</v>
      </c>
      <c r="C865" s="2" t="str">
        <f>raw_order_lines!C865</f>
        <v>C006</v>
      </c>
      <c r="D865" s="3">
        <f>raw_order_lines!D865</f>
        <v>46292</v>
      </c>
      <c r="E865" s="2" t="str">
        <f>raw_order_lines!E865</f>
        <v>P016</v>
      </c>
      <c r="F865" s="2" t="str">
        <f>raw_order_lines!F865</f>
        <v>公斤</v>
      </c>
      <c r="G865" s="4">
        <f>raw_order_lines!G865</f>
        <v>9</v>
      </c>
      <c r="H865" s="4">
        <f>raw_order_lines!H865</f>
        <v>9</v>
      </c>
      <c r="I865" s="4">
        <f>raw_order_lines!I865</f>
        <v>0</v>
      </c>
      <c r="J865" s="5">
        <f>raw_order_lines!J865</f>
        <v>10.4</v>
      </c>
      <c r="K865" s="2" t="str">
        <f>raw_order_lines!K865</f>
        <v>正常交付</v>
      </c>
      <c r="L865" s="2" t="str">
        <f>raw_order_lines!L865</f>
        <v>true</v>
      </c>
      <c r="M865" s="2" t="str">
        <f>INDEX(dim_products!$B$2:$B$21,MATCH($E865,dim_products!$A$2:$A$21,0))</f>
        <v>鸡蛋</v>
      </c>
      <c r="N865" s="2" t="str">
        <f>INDEX(dim_products!$C$2:$C$21,MATCH($E865,dim_products!$A$2:$A$21,0))</f>
        <v>普通鲜鸡蛋按净重</v>
      </c>
      <c r="O865" s="2" t="str">
        <f>INDEX(dim_customers!$B$2:$B$7,MATCH($C865,dim_customers!$A$2:$A$7,0))</f>
        <v>模拟_溪桥医院食堂</v>
      </c>
      <c r="P865" s="6">
        <f>INT((ROUND(raw_order_lines!H865*10,0)*ROUND(raw_order_lines!J865*100,0)+5)/10)/100</f>
        <v>93.6</v>
      </c>
      <c r="Q865" s="6">
        <f>INT((ROUND(raw_order_lines!I865*10,0)*ROUND(raw_order_lines!J865*100,0)+5)/10)/100</f>
        <v>0</v>
      </c>
      <c r="R865" s="6">
        <f t="shared" si="39"/>
        <v>93.6</v>
      </c>
      <c r="S865" s="2" t="str">
        <f>IF(OR(ROUND(raw_order_lines!I865*10,0)&gt;ROUND(raw_order_lines!H865*10,0),ROUND(raw_order_lines!H865*10,0)&gt;ROUND(raw_order_lines!G865*10,0),ROUND(raw_order_lines!G865*10,0)&lt;=0),"数量关系异常","")</f>
        <v/>
      </c>
      <c r="T865" s="2" t="str">
        <f>IF($F865&lt;&gt;INDEX(dim_products!$D$2:$D$21,MATCH($E865,dim_products!$A$2:$A$21,0)),"单位不一致","")</f>
        <v/>
      </c>
      <c r="U865" s="2" t="str">
        <f>IF(OR(ROUND(raw_order_lines!J865*100,0)&lt;ROUND(INDEX(dim_products!$F$2:$F$21,MATCH($E865,dim_products!$A$2:$A$21,0))*100,0),ROUND(raw_order_lines!J865*100,0)&gt;ROUND(INDEX(dim_products!$G$2:$G$21,MATCH($E865,dim_products!$A$2:$A$21,0))*100,0)),"单价越界","")</f>
        <v/>
      </c>
      <c r="V865" s="2" t="str">
        <f t="shared" si="40"/>
        <v/>
      </c>
      <c r="W865" s="2" t="str">
        <f t="shared" si="41"/>
        <v>通过</v>
      </c>
    </row>
    <row r="866" spans="1:23" ht="15">
      <c r="A866" s="2" t="str">
        <f>raw_order_lines!A866</f>
        <v>SIM-20260928-C001</v>
      </c>
      <c r="B866" s="2">
        <f>raw_order_lines!B866</f>
        <v>1</v>
      </c>
      <c r="C866" s="2" t="str">
        <f>raw_order_lines!C866</f>
        <v>C001</v>
      </c>
      <c r="D866" s="3">
        <f>raw_order_lines!D866</f>
        <v>46293</v>
      </c>
      <c r="E866" s="2" t="str">
        <f>raw_order_lines!E866</f>
        <v>P012</v>
      </c>
      <c r="F866" s="2" t="str">
        <f>raw_order_lines!F866</f>
        <v>公斤</v>
      </c>
      <c r="G866" s="4">
        <f>raw_order_lines!G866</f>
        <v>1.8</v>
      </c>
      <c r="H866" s="4">
        <f>raw_order_lines!H866</f>
        <v>1.8</v>
      </c>
      <c r="I866" s="4">
        <f>raw_order_lines!I866</f>
        <v>0</v>
      </c>
      <c r="J866" s="5">
        <f>raw_order_lines!J866</f>
        <v>5</v>
      </c>
      <c r="K866" s="2" t="str">
        <f>raw_order_lines!K866</f>
        <v>正常交付</v>
      </c>
      <c r="L866" s="2" t="str">
        <f>raw_order_lines!L866</f>
        <v>true</v>
      </c>
      <c r="M866" s="2" t="str">
        <f>INDEX(dim_products!$B$2:$B$21,MATCH($E866,dim_products!$A$2:$A$21,0))</f>
        <v>小白菜</v>
      </c>
      <c r="N866" s="2" t="str">
        <f>INDEX(dim_products!$C$2:$C$21,MATCH($E866,dim_products!$A$2:$A$21,0))</f>
        <v>散装鲜菜</v>
      </c>
      <c r="O866" s="2" t="str">
        <f>INDEX(dim_customers!$B$2:$B$7,MATCH($C866,dim_customers!$A$2:$A$7,0))</f>
        <v>模拟_榕树下粉面店</v>
      </c>
      <c r="P866" s="6">
        <f>INT((ROUND(raw_order_lines!H866*10,0)*ROUND(raw_order_lines!J866*100,0)+5)/10)/100</f>
        <v>9</v>
      </c>
      <c r="Q866" s="6">
        <f>INT((ROUND(raw_order_lines!I866*10,0)*ROUND(raw_order_lines!J866*100,0)+5)/10)/100</f>
        <v>0</v>
      </c>
      <c r="R866" s="6">
        <f t="shared" si="39"/>
        <v>9</v>
      </c>
      <c r="S866" s="2" t="str">
        <f>IF(OR(ROUND(raw_order_lines!I866*10,0)&gt;ROUND(raw_order_lines!H866*10,0),ROUND(raw_order_lines!H866*10,0)&gt;ROUND(raw_order_lines!G866*10,0),ROUND(raw_order_lines!G866*10,0)&lt;=0),"数量关系异常","")</f>
        <v/>
      </c>
      <c r="T866" s="2" t="str">
        <f>IF($F866&lt;&gt;INDEX(dim_products!$D$2:$D$21,MATCH($E866,dim_products!$A$2:$A$21,0)),"单位不一致","")</f>
        <v/>
      </c>
      <c r="U866" s="2" t="str">
        <f>IF(OR(ROUND(raw_order_lines!J866*100,0)&lt;ROUND(INDEX(dim_products!$F$2:$F$21,MATCH($E866,dim_products!$A$2:$A$21,0))*100,0),ROUND(raw_order_lines!J866*100,0)&gt;ROUND(INDEX(dim_products!$G$2:$G$21,MATCH($E866,dim_products!$A$2:$A$21,0))*100,0)),"单价越界","")</f>
        <v/>
      </c>
      <c r="V866" s="2" t="str">
        <f t="shared" si="40"/>
        <v/>
      </c>
      <c r="W866" s="2" t="str">
        <f t="shared" si="41"/>
        <v>通过</v>
      </c>
    </row>
    <row r="867" spans="1:23" ht="15">
      <c r="A867" s="2" t="str">
        <f>raw_order_lines!A867</f>
        <v>SIM-20260928-C001</v>
      </c>
      <c r="B867" s="2">
        <f>raw_order_lines!B867</f>
        <v>2</v>
      </c>
      <c r="C867" s="2" t="str">
        <f>raw_order_lines!C867</f>
        <v>C001</v>
      </c>
      <c r="D867" s="3">
        <f>raw_order_lines!D867</f>
        <v>46293</v>
      </c>
      <c r="E867" s="2" t="str">
        <f>raw_order_lines!E867</f>
        <v>P013</v>
      </c>
      <c r="F867" s="2" t="str">
        <f>raw_order_lines!F867</f>
        <v>公斤</v>
      </c>
      <c r="G867" s="4">
        <f>raw_order_lines!G867</f>
        <v>2.2999999999999998</v>
      </c>
      <c r="H867" s="4">
        <f>raw_order_lines!H867</f>
        <v>2.2999999999999998</v>
      </c>
      <c r="I867" s="4">
        <f>raw_order_lines!I867</f>
        <v>0</v>
      </c>
      <c r="J867" s="5">
        <f>raw_order_lines!J867</f>
        <v>6.1</v>
      </c>
      <c r="K867" s="2" t="str">
        <f>raw_order_lines!K867</f>
        <v>正常交付</v>
      </c>
      <c r="L867" s="2" t="str">
        <f>raw_order_lines!L867</f>
        <v>true</v>
      </c>
      <c r="M867" s="2" t="str">
        <f>INDEX(dim_products!$B$2:$B$21,MATCH($E867,dim_products!$A$2:$A$21,0))</f>
        <v>豇豆</v>
      </c>
      <c r="N867" s="2" t="str">
        <f>INDEX(dim_products!$C$2:$C$21,MATCH($E867,dim_products!$A$2:$A$21,0))</f>
        <v>散装鲜菜</v>
      </c>
      <c r="O867" s="2" t="str">
        <f>INDEX(dim_customers!$B$2:$B$7,MATCH($C867,dim_customers!$A$2:$A$7,0))</f>
        <v>模拟_榕树下粉面店</v>
      </c>
      <c r="P867" s="6">
        <f>INT((ROUND(raw_order_lines!H867*10,0)*ROUND(raw_order_lines!J867*100,0)+5)/10)/100</f>
        <v>14.03</v>
      </c>
      <c r="Q867" s="6">
        <f>INT((ROUND(raw_order_lines!I867*10,0)*ROUND(raw_order_lines!J867*100,0)+5)/10)/100</f>
        <v>0</v>
      </c>
      <c r="R867" s="6">
        <f t="shared" si="39"/>
        <v>14.03</v>
      </c>
      <c r="S867" s="2" t="str">
        <f>IF(OR(ROUND(raw_order_lines!I867*10,0)&gt;ROUND(raw_order_lines!H867*10,0),ROUND(raw_order_lines!H867*10,0)&gt;ROUND(raw_order_lines!G867*10,0),ROUND(raw_order_lines!G867*10,0)&lt;=0),"数量关系异常","")</f>
        <v/>
      </c>
      <c r="T867" s="2" t="str">
        <f>IF($F867&lt;&gt;INDEX(dim_products!$D$2:$D$21,MATCH($E867,dim_products!$A$2:$A$21,0)),"单位不一致","")</f>
        <v/>
      </c>
      <c r="U867" s="2" t="str">
        <f>IF(OR(ROUND(raw_order_lines!J867*100,0)&lt;ROUND(INDEX(dim_products!$F$2:$F$21,MATCH($E867,dim_products!$A$2:$A$21,0))*100,0),ROUND(raw_order_lines!J867*100,0)&gt;ROUND(INDEX(dim_products!$G$2:$G$21,MATCH($E867,dim_products!$A$2:$A$21,0))*100,0)),"单价越界","")</f>
        <v/>
      </c>
      <c r="V867" s="2" t="str">
        <f t="shared" si="40"/>
        <v/>
      </c>
      <c r="W867" s="2" t="str">
        <f t="shared" si="41"/>
        <v>通过</v>
      </c>
    </row>
    <row r="868" spans="1:23" ht="15">
      <c r="A868" s="2" t="str">
        <f>raw_order_lines!A868</f>
        <v>SIM-20260928-C001</v>
      </c>
      <c r="B868" s="2">
        <f>raw_order_lines!B868</f>
        <v>3</v>
      </c>
      <c r="C868" s="2" t="str">
        <f>raw_order_lines!C868</f>
        <v>C001</v>
      </c>
      <c r="D868" s="3">
        <f>raw_order_lines!D868</f>
        <v>46293</v>
      </c>
      <c r="E868" s="2" t="str">
        <f>raw_order_lines!E868</f>
        <v>P002</v>
      </c>
      <c r="F868" s="2" t="str">
        <f>raw_order_lines!F868</f>
        <v>公斤</v>
      </c>
      <c r="G868" s="4">
        <f>raw_order_lines!G868</f>
        <v>3.4</v>
      </c>
      <c r="H868" s="4">
        <f>raw_order_lines!H868</f>
        <v>3.4</v>
      </c>
      <c r="I868" s="4">
        <f>raw_order_lines!I868</f>
        <v>0</v>
      </c>
      <c r="J868" s="5">
        <f>raw_order_lines!J868</f>
        <v>2.5</v>
      </c>
      <c r="K868" s="2" t="str">
        <f>raw_order_lines!K868</f>
        <v>正常交付</v>
      </c>
      <c r="L868" s="2" t="str">
        <f>raw_order_lines!L868</f>
        <v>true</v>
      </c>
      <c r="M868" s="2" t="str">
        <f>INDEX(dim_products!$B$2:$B$21,MATCH($E868,dim_products!$A$2:$A$21,0))</f>
        <v>白萝卜</v>
      </c>
      <c r="N868" s="2" t="str">
        <f>INDEX(dim_products!$C$2:$C$21,MATCH($E868,dim_products!$A$2:$A$21,0))</f>
        <v>散装鲜菜</v>
      </c>
      <c r="O868" s="2" t="str">
        <f>INDEX(dim_customers!$B$2:$B$7,MATCH($C868,dim_customers!$A$2:$A$7,0))</f>
        <v>模拟_榕树下粉面店</v>
      </c>
      <c r="P868" s="6">
        <f>INT((ROUND(raw_order_lines!H868*10,0)*ROUND(raw_order_lines!J868*100,0)+5)/10)/100</f>
        <v>8.5</v>
      </c>
      <c r="Q868" s="6">
        <f>INT((ROUND(raw_order_lines!I868*10,0)*ROUND(raw_order_lines!J868*100,0)+5)/10)/100</f>
        <v>0</v>
      </c>
      <c r="R868" s="6">
        <f t="shared" si="39"/>
        <v>8.5</v>
      </c>
      <c r="S868" s="2" t="str">
        <f>IF(OR(ROUND(raw_order_lines!I868*10,0)&gt;ROUND(raw_order_lines!H868*10,0),ROUND(raw_order_lines!H868*10,0)&gt;ROUND(raw_order_lines!G868*10,0),ROUND(raw_order_lines!G868*10,0)&lt;=0),"数量关系异常","")</f>
        <v/>
      </c>
      <c r="T868" s="2" t="str">
        <f>IF($F868&lt;&gt;INDEX(dim_products!$D$2:$D$21,MATCH($E868,dim_products!$A$2:$A$21,0)),"单位不一致","")</f>
        <v/>
      </c>
      <c r="U868" s="2" t="str">
        <f>IF(OR(ROUND(raw_order_lines!J868*100,0)&lt;ROUND(INDEX(dim_products!$F$2:$F$21,MATCH($E868,dim_products!$A$2:$A$21,0))*100,0),ROUND(raw_order_lines!J868*100,0)&gt;ROUND(INDEX(dim_products!$G$2:$G$21,MATCH($E868,dim_products!$A$2:$A$21,0))*100,0)),"单价越界","")</f>
        <v/>
      </c>
      <c r="V868" s="2" t="str">
        <f t="shared" si="40"/>
        <v/>
      </c>
      <c r="W868" s="2" t="str">
        <f t="shared" si="41"/>
        <v>通过</v>
      </c>
    </row>
    <row r="869" spans="1:23" ht="15">
      <c r="A869" s="2" t="str">
        <f>raw_order_lines!A869</f>
        <v>SIM-20260928-C001</v>
      </c>
      <c r="B869" s="2">
        <f>raw_order_lines!B869</f>
        <v>4</v>
      </c>
      <c r="C869" s="2" t="str">
        <f>raw_order_lines!C869</f>
        <v>C001</v>
      </c>
      <c r="D869" s="3">
        <f>raw_order_lines!D869</f>
        <v>46293</v>
      </c>
      <c r="E869" s="2" t="str">
        <f>raw_order_lines!E869</f>
        <v>P007</v>
      </c>
      <c r="F869" s="2" t="str">
        <f>raw_order_lines!F869</f>
        <v>公斤</v>
      </c>
      <c r="G869" s="4">
        <f>raw_order_lines!G869</f>
        <v>3.6</v>
      </c>
      <c r="H869" s="4">
        <f>raw_order_lines!H869</f>
        <v>3.6</v>
      </c>
      <c r="I869" s="4">
        <f>raw_order_lines!I869</f>
        <v>0</v>
      </c>
      <c r="J869" s="5">
        <f>raw_order_lines!J869</f>
        <v>4.95</v>
      </c>
      <c r="K869" s="2" t="str">
        <f>raw_order_lines!K869</f>
        <v>正常交付</v>
      </c>
      <c r="L869" s="2" t="str">
        <f>raw_order_lines!L869</f>
        <v>true</v>
      </c>
      <c r="M869" s="2" t="str">
        <f>INDEX(dim_products!$B$2:$B$21,MATCH($E869,dim_products!$A$2:$A$21,0))</f>
        <v>青椒</v>
      </c>
      <c r="N869" s="2" t="str">
        <f>INDEX(dim_products!$C$2:$C$21,MATCH($E869,dim_products!$A$2:$A$21,0))</f>
        <v>散装鲜菜</v>
      </c>
      <c r="O869" s="2" t="str">
        <f>INDEX(dim_customers!$B$2:$B$7,MATCH($C869,dim_customers!$A$2:$A$7,0))</f>
        <v>模拟_榕树下粉面店</v>
      </c>
      <c r="P869" s="6">
        <f>INT((ROUND(raw_order_lines!H869*10,0)*ROUND(raw_order_lines!J869*100,0)+5)/10)/100</f>
        <v>17.82</v>
      </c>
      <c r="Q869" s="6">
        <f>INT((ROUND(raw_order_lines!I869*10,0)*ROUND(raw_order_lines!J869*100,0)+5)/10)/100</f>
        <v>0</v>
      </c>
      <c r="R869" s="6">
        <f t="shared" si="39"/>
        <v>17.82</v>
      </c>
      <c r="S869" s="2" t="str">
        <f>IF(OR(ROUND(raw_order_lines!I869*10,0)&gt;ROUND(raw_order_lines!H869*10,0),ROUND(raw_order_lines!H869*10,0)&gt;ROUND(raw_order_lines!G869*10,0),ROUND(raw_order_lines!G869*10,0)&lt;=0),"数量关系异常","")</f>
        <v/>
      </c>
      <c r="T869" s="2" t="str">
        <f>IF($F869&lt;&gt;INDEX(dim_products!$D$2:$D$21,MATCH($E869,dim_products!$A$2:$A$21,0)),"单位不一致","")</f>
        <v/>
      </c>
      <c r="U869" s="2" t="str">
        <f>IF(OR(ROUND(raw_order_lines!J869*100,0)&lt;ROUND(INDEX(dim_products!$F$2:$F$21,MATCH($E869,dim_products!$A$2:$A$21,0))*100,0),ROUND(raw_order_lines!J869*100,0)&gt;ROUND(INDEX(dim_products!$G$2:$G$21,MATCH($E869,dim_products!$A$2:$A$21,0))*100,0)),"单价越界","")</f>
        <v/>
      </c>
      <c r="V869" s="2" t="str">
        <f t="shared" si="40"/>
        <v/>
      </c>
      <c r="W869" s="2" t="str">
        <f t="shared" si="41"/>
        <v>通过</v>
      </c>
    </row>
    <row r="870" spans="1:23" ht="15">
      <c r="A870" s="2" t="str">
        <f>raw_order_lines!A870</f>
        <v>SIM-20260928-C003</v>
      </c>
      <c r="B870" s="2">
        <f>raw_order_lines!B870</f>
        <v>1</v>
      </c>
      <c r="C870" s="2" t="str">
        <f>raw_order_lines!C870</f>
        <v>C003</v>
      </c>
      <c r="D870" s="3">
        <f>raw_order_lines!D870</f>
        <v>46293</v>
      </c>
      <c r="E870" s="2" t="str">
        <f>raw_order_lines!E870</f>
        <v>P012</v>
      </c>
      <c r="F870" s="2" t="str">
        <f>raw_order_lines!F870</f>
        <v>公斤</v>
      </c>
      <c r="G870" s="4">
        <f>raw_order_lines!G870</f>
        <v>8.1</v>
      </c>
      <c r="H870" s="4">
        <f>raw_order_lines!H870</f>
        <v>8.1</v>
      </c>
      <c r="I870" s="4">
        <f>raw_order_lines!I870</f>
        <v>0</v>
      </c>
      <c r="J870" s="5">
        <f>raw_order_lines!J870</f>
        <v>5</v>
      </c>
      <c r="K870" s="2" t="str">
        <f>raw_order_lines!K870</f>
        <v>正常交付</v>
      </c>
      <c r="L870" s="2" t="str">
        <f>raw_order_lines!L870</f>
        <v>true</v>
      </c>
      <c r="M870" s="2" t="str">
        <f>INDEX(dim_products!$B$2:$B$21,MATCH($E870,dim_products!$A$2:$A$21,0))</f>
        <v>小白菜</v>
      </c>
      <c r="N870" s="2" t="str">
        <f>INDEX(dim_products!$C$2:$C$21,MATCH($E870,dim_products!$A$2:$A$21,0))</f>
        <v>散装鲜菜</v>
      </c>
      <c r="O870" s="2" t="str">
        <f>INDEX(dim_customers!$B$2:$B$7,MATCH($C870,dim_customers!$A$2:$A$7,0))</f>
        <v>模拟_兴街快餐店</v>
      </c>
      <c r="P870" s="6">
        <f>INT((ROUND(raw_order_lines!H870*10,0)*ROUND(raw_order_lines!J870*100,0)+5)/10)/100</f>
        <v>40.5</v>
      </c>
      <c r="Q870" s="6">
        <f>INT((ROUND(raw_order_lines!I870*10,0)*ROUND(raw_order_lines!J870*100,0)+5)/10)/100</f>
        <v>0</v>
      </c>
      <c r="R870" s="6">
        <f t="shared" si="39"/>
        <v>40.5</v>
      </c>
      <c r="S870" s="2" t="str">
        <f>IF(OR(ROUND(raw_order_lines!I870*10,0)&gt;ROUND(raw_order_lines!H870*10,0),ROUND(raw_order_lines!H870*10,0)&gt;ROUND(raw_order_lines!G870*10,0),ROUND(raw_order_lines!G870*10,0)&lt;=0),"数量关系异常","")</f>
        <v/>
      </c>
      <c r="T870" s="2" t="str">
        <f>IF($F870&lt;&gt;INDEX(dim_products!$D$2:$D$21,MATCH($E870,dim_products!$A$2:$A$21,0)),"单位不一致","")</f>
        <v/>
      </c>
      <c r="U870" s="2" t="str">
        <f>IF(OR(ROUND(raw_order_lines!J870*100,0)&lt;ROUND(INDEX(dim_products!$F$2:$F$21,MATCH($E870,dim_products!$A$2:$A$21,0))*100,0),ROUND(raw_order_lines!J870*100,0)&gt;ROUND(INDEX(dim_products!$G$2:$G$21,MATCH($E870,dim_products!$A$2:$A$21,0))*100,0)),"单价越界","")</f>
        <v/>
      </c>
      <c r="V870" s="2" t="str">
        <f t="shared" si="40"/>
        <v/>
      </c>
      <c r="W870" s="2" t="str">
        <f t="shared" si="41"/>
        <v>通过</v>
      </c>
    </row>
    <row r="871" spans="1:23" ht="15">
      <c r="A871" s="2" t="str">
        <f>raw_order_lines!A871</f>
        <v>SIM-20260928-C003</v>
      </c>
      <c r="B871" s="2">
        <f>raw_order_lines!B871</f>
        <v>2</v>
      </c>
      <c r="C871" s="2" t="str">
        <f>raw_order_lines!C871</f>
        <v>C003</v>
      </c>
      <c r="D871" s="3">
        <f>raw_order_lines!D871</f>
        <v>46293</v>
      </c>
      <c r="E871" s="2" t="str">
        <f>raw_order_lines!E871</f>
        <v>P005</v>
      </c>
      <c r="F871" s="2" t="str">
        <f>raw_order_lines!F871</f>
        <v>公斤</v>
      </c>
      <c r="G871" s="4">
        <f>raw_order_lines!G871</f>
        <v>8.1</v>
      </c>
      <c r="H871" s="4">
        <f>raw_order_lines!H871</f>
        <v>8.1</v>
      </c>
      <c r="I871" s="4">
        <f>raw_order_lines!I871</f>
        <v>0</v>
      </c>
      <c r="J871" s="5">
        <f>raw_order_lines!J871</f>
        <v>2.7</v>
      </c>
      <c r="K871" s="2" t="str">
        <f>raw_order_lines!K871</f>
        <v>正常交付</v>
      </c>
      <c r="L871" s="2" t="str">
        <f>raw_order_lines!L871</f>
        <v>true</v>
      </c>
      <c r="M871" s="2" t="str">
        <f>INDEX(dim_products!$B$2:$B$21,MATCH($E871,dim_products!$A$2:$A$21,0))</f>
        <v>南瓜</v>
      </c>
      <c r="N871" s="2" t="str">
        <f>INDEX(dim_products!$C$2:$C$21,MATCH($E871,dim_products!$A$2:$A$21,0))</f>
        <v>散装鲜菜</v>
      </c>
      <c r="O871" s="2" t="str">
        <f>INDEX(dim_customers!$B$2:$B$7,MATCH($C871,dim_customers!$A$2:$A$7,0))</f>
        <v>模拟_兴街快餐店</v>
      </c>
      <c r="P871" s="6">
        <f>INT((ROUND(raw_order_lines!H871*10,0)*ROUND(raw_order_lines!J871*100,0)+5)/10)/100</f>
        <v>21.87</v>
      </c>
      <c r="Q871" s="6">
        <f>INT((ROUND(raw_order_lines!I871*10,0)*ROUND(raw_order_lines!J871*100,0)+5)/10)/100</f>
        <v>0</v>
      </c>
      <c r="R871" s="6">
        <f t="shared" si="39"/>
        <v>21.87</v>
      </c>
      <c r="S871" s="2" t="str">
        <f>IF(OR(ROUND(raw_order_lines!I871*10,0)&gt;ROUND(raw_order_lines!H871*10,0),ROUND(raw_order_lines!H871*10,0)&gt;ROUND(raw_order_lines!G871*10,0),ROUND(raw_order_lines!G871*10,0)&lt;=0),"数量关系异常","")</f>
        <v/>
      </c>
      <c r="T871" s="2" t="str">
        <f>IF($F871&lt;&gt;INDEX(dim_products!$D$2:$D$21,MATCH($E871,dim_products!$A$2:$A$21,0)),"单位不一致","")</f>
        <v/>
      </c>
      <c r="U871" s="2" t="str">
        <f>IF(OR(ROUND(raw_order_lines!J871*100,0)&lt;ROUND(INDEX(dim_products!$F$2:$F$21,MATCH($E871,dim_products!$A$2:$A$21,0))*100,0),ROUND(raw_order_lines!J871*100,0)&gt;ROUND(INDEX(dim_products!$G$2:$G$21,MATCH($E871,dim_products!$A$2:$A$21,0))*100,0)),"单价越界","")</f>
        <v/>
      </c>
      <c r="V871" s="2" t="str">
        <f t="shared" si="40"/>
        <v/>
      </c>
      <c r="W871" s="2" t="str">
        <f t="shared" si="41"/>
        <v>通过</v>
      </c>
    </row>
    <row r="872" spans="1:23" ht="15">
      <c r="A872" s="2" t="str">
        <f>raw_order_lines!A872</f>
        <v>SIM-20260928-C003</v>
      </c>
      <c r="B872" s="2">
        <f>raw_order_lines!B872</f>
        <v>3</v>
      </c>
      <c r="C872" s="2" t="str">
        <f>raw_order_lines!C872</f>
        <v>C003</v>
      </c>
      <c r="D872" s="3">
        <f>raw_order_lines!D872</f>
        <v>46293</v>
      </c>
      <c r="E872" s="2" t="str">
        <f>raw_order_lines!E872</f>
        <v>P009</v>
      </c>
      <c r="F872" s="2" t="str">
        <f>raw_order_lines!F872</f>
        <v>公斤</v>
      </c>
      <c r="G872" s="4">
        <f>raw_order_lines!G872</f>
        <v>4.4000000000000004</v>
      </c>
      <c r="H872" s="4">
        <f>raw_order_lines!H872</f>
        <v>3.9</v>
      </c>
      <c r="I872" s="4">
        <f>raw_order_lines!I872</f>
        <v>0</v>
      </c>
      <c r="J872" s="5">
        <f>raw_order_lines!J872</f>
        <v>4.9000000000000004</v>
      </c>
      <c r="K872" s="2" t="str">
        <f>raw_order_lines!K872</f>
        <v>到货不足；按实际交付计费</v>
      </c>
      <c r="L872" s="2" t="str">
        <f>raw_order_lines!L872</f>
        <v>true</v>
      </c>
      <c r="M872" s="2" t="str">
        <f>INDEX(dim_products!$B$2:$B$21,MATCH($E872,dim_products!$A$2:$A$21,0))</f>
        <v>西红柿</v>
      </c>
      <c r="N872" s="2" t="str">
        <f>INDEX(dim_products!$C$2:$C$21,MATCH($E872,dim_products!$A$2:$A$21,0))</f>
        <v>散装鲜菜</v>
      </c>
      <c r="O872" s="2" t="str">
        <f>INDEX(dim_customers!$B$2:$B$7,MATCH($C872,dim_customers!$A$2:$A$7,0))</f>
        <v>模拟_兴街快餐店</v>
      </c>
      <c r="P872" s="6">
        <f>INT((ROUND(raw_order_lines!H872*10,0)*ROUND(raw_order_lines!J872*100,0)+5)/10)/100</f>
        <v>19.11</v>
      </c>
      <c r="Q872" s="6">
        <f>INT((ROUND(raw_order_lines!I872*10,0)*ROUND(raw_order_lines!J872*100,0)+5)/10)/100</f>
        <v>0</v>
      </c>
      <c r="R872" s="6">
        <f t="shared" si="39"/>
        <v>19.11</v>
      </c>
      <c r="S872" s="2" t="str">
        <f>IF(OR(ROUND(raw_order_lines!I872*10,0)&gt;ROUND(raw_order_lines!H872*10,0),ROUND(raw_order_lines!H872*10,0)&gt;ROUND(raw_order_lines!G872*10,0),ROUND(raw_order_lines!G872*10,0)&lt;=0),"数量关系异常","")</f>
        <v/>
      </c>
      <c r="T872" s="2" t="str">
        <f>IF($F872&lt;&gt;INDEX(dim_products!$D$2:$D$21,MATCH($E872,dim_products!$A$2:$A$21,0)),"单位不一致","")</f>
        <v/>
      </c>
      <c r="U872" s="2" t="str">
        <f>IF(OR(ROUND(raw_order_lines!J872*100,0)&lt;ROUND(INDEX(dim_products!$F$2:$F$21,MATCH($E872,dim_products!$A$2:$A$21,0))*100,0),ROUND(raw_order_lines!J872*100,0)&gt;ROUND(INDEX(dim_products!$G$2:$G$21,MATCH($E872,dim_products!$A$2:$A$21,0))*100,0)),"单价越界","")</f>
        <v/>
      </c>
      <c r="V872" s="2" t="str">
        <f t="shared" si="40"/>
        <v/>
      </c>
      <c r="W872" s="2" t="str">
        <f t="shared" si="41"/>
        <v>通过</v>
      </c>
    </row>
    <row r="873" spans="1:23" ht="15">
      <c r="A873" s="2" t="str">
        <f>raw_order_lines!A873</f>
        <v>SIM-20260928-C003</v>
      </c>
      <c r="B873" s="2">
        <f>raw_order_lines!B873</f>
        <v>4</v>
      </c>
      <c r="C873" s="2" t="str">
        <f>raw_order_lines!C873</f>
        <v>C003</v>
      </c>
      <c r="D873" s="3">
        <f>raw_order_lines!D873</f>
        <v>46293</v>
      </c>
      <c r="E873" s="2" t="str">
        <f>raw_order_lines!E873</f>
        <v>P001</v>
      </c>
      <c r="F873" s="2" t="str">
        <f>raw_order_lines!F873</f>
        <v>公斤</v>
      </c>
      <c r="G873" s="4">
        <f>raw_order_lines!G873</f>
        <v>5</v>
      </c>
      <c r="H873" s="4">
        <f>raw_order_lines!H873</f>
        <v>5</v>
      </c>
      <c r="I873" s="4">
        <f>raw_order_lines!I873</f>
        <v>0</v>
      </c>
      <c r="J873" s="5">
        <f>raw_order_lines!J873</f>
        <v>3.5</v>
      </c>
      <c r="K873" s="2" t="str">
        <f>raw_order_lines!K873</f>
        <v>正常交付</v>
      </c>
      <c r="L873" s="2" t="str">
        <f>raw_order_lines!L873</f>
        <v>true</v>
      </c>
      <c r="M873" s="2" t="str">
        <f>INDEX(dim_products!$B$2:$B$21,MATCH($E873,dim_products!$A$2:$A$21,0))</f>
        <v>土豆</v>
      </c>
      <c r="N873" s="2" t="str">
        <f>INDEX(dim_products!$C$2:$C$21,MATCH($E873,dim_products!$A$2:$A$21,0))</f>
        <v>散装鲜菜</v>
      </c>
      <c r="O873" s="2" t="str">
        <f>INDEX(dim_customers!$B$2:$B$7,MATCH($C873,dim_customers!$A$2:$A$7,0))</f>
        <v>模拟_兴街快餐店</v>
      </c>
      <c r="P873" s="6">
        <f>INT((ROUND(raw_order_lines!H873*10,0)*ROUND(raw_order_lines!J873*100,0)+5)/10)/100</f>
        <v>17.5</v>
      </c>
      <c r="Q873" s="6">
        <f>INT((ROUND(raw_order_lines!I873*10,0)*ROUND(raw_order_lines!J873*100,0)+5)/10)/100</f>
        <v>0</v>
      </c>
      <c r="R873" s="6">
        <f t="shared" si="39"/>
        <v>17.5</v>
      </c>
      <c r="S873" s="2" t="str">
        <f>IF(OR(ROUND(raw_order_lines!I873*10,0)&gt;ROUND(raw_order_lines!H873*10,0),ROUND(raw_order_lines!H873*10,0)&gt;ROUND(raw_order_lines!G873*10,0),ROUND(raw_order_lines!G873*10,0)&lt;=0),"数量关系异常","")</f>
        <v/>
      </c>
      <c r="T873" s="2" t="str">
        <f>IF($F873&lt;&gt;INDEX(dim_products!$D$2:$D$21,MATCH($E873,dim_products!$A$2:$A$21,0)),"单位不一致","")</f>
        <v/>
      </c>
      <c r="U873" s="2" t="str">
        <f>IF(OR(ROUND(raw_order_lines!J873*100,0)&lt;ROUND(INDEX(dim_products!$F$2:$F$21,MATCH($E873,dim_products!$A$2:$A$21,0))*100,0),ROUND(raw_order_lines!J873*100,0)&gt;ROUND(INDEX(dim_products!$G$2:$G$21,MATCH($E873,dim_products!$A$2:$A$21,0))*100,0)),"单价越界","")</f>
        <v/>
      </c>
      <c r="V873" s="2" t="str">
        <f t="shared" si="40"/>
        <v/>
      </c>
      <c r="W873" s="2" t="str">
        <f t="shared" si="41"/>
        <v>通过</v>
      </c>
    </row>
    <row r="874" spans="1:23" ht="15">
      <c r="A874" s="2" t="str">
        <f>raw_order_lines!A874</f>
        <v>SIM-20260928-C003</v>
      </c>
      <c r="B874" s="2">
        <f>raw_order_lines!B874</f>
        <v>5</v>
      </c>
      <c r="C874" s="2" t="str">
        <f>raw_order_lines!C874</f>
        <v>C003</v>
      </c>
      <c r="D874" s="3">
        <f>raw_order_lines!D874</f>
        <v>46293</v>
      </c>
      <c r="E874" s="2" t="str">
        <f>raw_order_lines!E874</f>
        <v>P007</v>
      </c>
      <c r="F874" s="2" t="str">
        <f>raw_order_lines!F874</f>
        <v>公斤</v>
      </c>
      <c r="G874" s="4">
        <f>raw_order_lines!G874</f>
        <v>7.5</v>
      </c>
      <c r="H874" s="4">
        <f>raw_order_lines!H874</f>
        <v>7.5</v>
      </c>
      <c r="I874" s="4">
        <f>raw_order_lines!I874</f>
        <v>0</v>
      </c>
      <c r="J874" s="5">
        <f>raw_order_lines!J874</f>
        <v>4.95</v>
      </c>
      <c r="K874" s="2" t="str">
        <f>raw_order_lines!K874</f>
        <v>正常交付</v>
      </c>
      <c r="L874" s="2" t="str">
        <f>raw_order_lines!L874</f>
        <v>true</v>
      </c>
      <c r="M874" s="2" t="str">
        <f>INDEX(dim_products!$B$2:$B$21,MATCH($E874,dim_products!$A$2:$A$21,0))</f>
        <v>青椒</v>
      </c>
      <c r="N874" s="2" t="str">
        <f>INDEX(dim_products!$C$2:$C$21,MATCH($E874,dim_products!$A$2:$A$21,0))</f>
        <v>散装鲜菜</v>
      </c>
      <c r="O874" s="2" t="str">
        <f>INDEX(dim_customers!$B$2:$B$7,MATCH($C874,dim_customers!$A$2:$A$7,0))</f>
        <v>模拟_兴街快餐店</v>
      </c>
      <c r="P874" s="6">
        <f>INT((ROUND(raw_order_lines!H874*10,0)*ROUND(raw_order_lines!J874*100,0)+5)/10)/100</f>
        <v>37.130000000000003</v>
      </c>
      <c r="Q874" s="6">
        <f>INT((ROUND(raw_order_lines!I874*10,0)*ROUND(raw_order_lines!J874*100,0)+5)/10)/100</f>
        <v>0</v>
      </c>
      <c r="R874" s="6">
        <f t="shared" si="39"/>
        <v>37.130000000000003</v>
      </c>
      <c r="S874" s="2" t="str">
        <f>IF(OR(ROUND(raw_order_lines!I874*10,0)&gt;ROUND(raw_order_lines!H874*10,0),ROUND(raw_order_lines!H874*10,0)&gt;ROUND(raw_order_lines!G874*10,0),ROUND(raw_order_lines!G874*10,0)&lt;=0),"数量关系异常","")</f>
        <v/>
      </c>
      <c r="T874" s="2" t="str">
        <f>IF($F874&lt;&gt;INDEX(dim_products!$D$2:$D$21,MATCH($E874,dim_products!$A$2:$A$21,0)),"单位不一致","")</f>
        <v/>
      </c>
      <c r="U874" s="2" t="str">
        <f>IF(OR(ROUND(raw_order_lines!J874*100,0)&lt;ROUND(INDEX(dim_products!$F$2:$F$21,MATCH($E874,dim_products!$A$2:$A$21,0))*100,0),ROUND(raw_order_lines!J874*100,0)&gt;ROUND(INDEX(dim_products!$G$2:$G$21,MATCH($E874,dim_products!$A$2:$A$21,0))*100,0)),"单价越界","")</f>
        <v/>
      </c>
      <c r="V874" s="2" t="str">
        <f t="shared" si="40"/>
        <v/>
      </c>
      <c r="W874" s="2" t="str">
        <f t="shared" si="41"/>
        <v>通过</v>
      </c>
    </row>
    <row r="875" spans="1:23" ht="15">
      <c r="A875" s="2" t="str">
        <f>raw_order_lines!A875</f>
        <v>SIM-20260928-C003</v>
      </c>
      <c r="B875" s="2">
        <f>raw_order_lines!B875</f>
        <v>6</v>
      </c>
      <c r="C875" s="2" t="str">
        <f>raw_order_lines!C875</f>
        <v>C003</v>
      </c>
      <c r="D875" s="3">
        <f>raw_order_lines!D875</f>
        <v>46293</v>
      </c>
      <c r="E875" s="2" t="str">
        <f>raw_order_lines!E875</f>
        <v>P008</v>
      </c>
      <c r="F875" s="2" t="str">
        <f>raw_order_lines!F875</f>
        <v>公斤</v>
      </c>
      <c r="G875" s="4">
        <f>raw_order_lines!G875</f>
        <v>7.5</v>
      </c>
      <c r="H875" s="4">
        <f>raw_order_lines!H875</f>
        <v>7.5</v>
      </c>
      <c r="I875" s="4">
        <f>raw_order_lines!I875</f>
        <v>0</v>
      </c>
      <c r="J875" s="5">
        <f>raw_order_lines!J875</f>
        <v>3.9</v>
      </c>
      <c r="K875" s="2" t="str">
        <f>raw_order_lines!K875</f>
        <v>正常交付</v>
      </c>
      <c r="L875" s="2" t="str">
        <f>raw_order_lines!L875</f>
        <v>true</v>
      </c>
      <c r="M875" s="2" t="str">
        <f>INDEX(dim_products!$B$2:$B$21,MATCH($E875,dim_products!$A$2:$A$21,0))</f>
        <v>黄瓜</v>
      </c>
      <c r="N875" s="2" t="str">
        <f>INDEX(dim_products!$C$2:$C$21,MATCH($E875,dim_products!$A$2:$A$21,0))</f>
        <v>散装鲜菜</v>
      </c>
      <c r="O875" s="2" t="str">
        <f>INDEX(dim_customers!$B$2:$B$7,MATCH($C875,dim_customers!$A$2:$A$7,0))</f>
        <v>模拟_兴街快餐店</v>
      </c>
      <c r="P875" s="6">
        <f>INT((ROUND(raw_order_lines!H875*10,0)*ROUND(raw_order_lines!J875*100,0)+5)/10)/100</f>
        <v>29.25</v>
      </c>
      <c r="Q875" s="6">
        <f>INT((ROUND(raw_order_lines!I875*10,0)*ROUND(raw_order_lines!J875*100,0)+5)/10)/100</f>
        <v>0</v>
      </c>
      <c r="R875" s="6">
        <f t="shared" si="39"/>
        <v>29.25</v>
      </c>
      <c r="S875" s="2" t="str">
        <f>IF(OR(ROUND(raw_order_lines!I875*10,0)&gt;ROUND(raw_order_lines!H875*10,0),ROUND(raw_order_lines!H875*10,0)&gt;ROUND(raw_order_lines!G875*10,0),ROUND(raw_order_lines!G875*10,0)&lt;=0),"数量关系异常","")</f>
        <v/>
      </c>
      <c r="T875" s="2" t="str">
        <f>IF($F875&lt;&gt;INDEX(dim_products!$D$2:$D$21,MATCH($E875,dim_products!$A$2:$A$21,0)),"单位不一致","")</f>
        <v/>
      </c>
      <c r="U875" s="2" t="str">
        <f>IF(OR(ROUND(raw_order_lines!J875*100,0)&lt;ROUND(INDEX(dim_products!$F$2:$F$21,MATCH($E875,dim_products!$A$2:$A$21,0))*100,0),ROUND(raw_order_lines!J875*100,0)&gt;ROUND(INDEX(dim_products!$G$2:$G$21,MATCH($E875,dim_products!$A$2:$A$21,0))*100,0)),"单价越界","")</f>
        <v/>
      </c>
      <c r="V875" s="2" t="str">
        <f t="shared" si="40"/>
        <v/>
      </c>
      <c r="W875" s="2" t="str">
        <f t="shared" si="41"/>
        <v>通过</v>
      </c>
    </row>
    <row r="876" spans="1:23" ht="15">
      <c r="A876" s="2" t="str">
        <f>raw_order_lines!A876</f>
        <v>SIM-20260928-C005</v>
      </c>
      <c r="B876" s="2">
        <f>raw_order_lines!B876</f>
        <v>1</v>
      </c>
      <c r="C876" s="2" t="str">
        <f>raw_order_lines!C876</f>
        <v>C005</v>
      </c>
      <c r="D876" s="3">
        <f>raw_order_lines!D876</f>
        <v>46293</v>
      </c>
      <c r="E876" s="2" t="str">
        <f>raw_order_lines!E876</f>
        <v>P012</v>
      </c>
      <c r="F876" s="2" t="str">
        <f>raw_order_lines!F876</f>
        <v>公斤</v>
      </c>
      <c r="G876" s="4">
        <f>raw_order_lines!G876</f>
        <v>11.6</v>
      </c>
      <c r="H876" s="4">
        <f>raw_order_lines!H876</f>
        <v>11.6</v>
      </c>
      <c r="I876" s="4">
        <f>raw_order_lines!I876</f>
        <v>0</v>
      </c>
      <c r="J876" s="5">
        <f>raw_order_lines!J876</f>
        <v>5</v>
      </c>
      <c r="K876" s="2" t="str">
        <f>raw_order_lines!K876</f>
        <v>正常交付</v>
      </c>
      <c r="L876" s="2" t="str">
        <f>raw_order_lines!L876</f>
        <v>true</v>
      </c>
      <c r="M876" s="2" t="str">
        <f>INDEX(dim_products!$B$2:$B$21,MATCH($E876,dim_products!$A$2:$A$21,0))</f>
        <v>小白菜</v>
      </c>
      <c r="N876" s="2" t="str">
        <f>INDEX(dim_products!$C$2:$C$21,MATCH($E876,dim_products!$A$2:$A$21,0))</f>
        <v>散装鲜菜</v>
      </c>
      <c r="O876" s="2" t="str">
        <f>INDEX(dim_customers!$B$2:$B$7,MATCH($C876,dim_customers!$A$2:$A$7,0))</f>
        <v>模拟_青禾小学食堂</v>
      </c>
      <c r="P876" s="6">
        <f>INT((ROUND(raw_order_lines!H876*10,0)*ROUND(raw_order_lines!J876*100,0)+5)/10)/100</f>
        <v>58</v>
      </c>
      <c r="Q876" s="6">
        <f>INT((ROUND(raw_order_lines!I876*10,0)*ROUND(raw_order_lines!J876*100,0)+5)/10)/100</f>
        <v>0</v>
      </c>
      <c r="R876" s="6">
        <f t="shared" si="39"/>
        <v>58</v>
      </c>
      <c r="S876" s="2" t="str">
        <f>IF(OR(ROUND(raw_order_lines!I876*10,0)&gt;ROUND(raw_order_lines!H876*10,0),ROUND(raw_order_lines!H876*10,0)&gt;ROUND(raw_order_lines!G876*10,0),ROUND(raw_order_lines!G876*10,0)&lt;=0),"数量关系异常","")</f>
        <v/>
      </c>
      <c r="T876" s="2" t="str">
        <f>IF($F876&lt;&gt;INDEX(dim_products!$D$2:$D$21,MATCH($E876,dim_products!$A$2:$A$21,0)),"单位不一致","")</f>
        <v/>
      </c>
      <c r="U876" s="2" t="str">
        <f>IF(OR(ROUND(raw_order_lines!J876*100,0)&lt;ROUND(INDEX(dim_products!$F$2:$F$21,MATCH($E876,dim_products!$A$2:$A$21,0))*100,0),ROUND(raw_order_lines!J876*100,0)&gt;ROUND(INDEX(dim_products!$G$2:$G$21,MATCH($E876,dim_products!$A$2:$A$21,0))*100,0)),"单价越界","")</f>
        <v/>
      </c>
      <c r="V876" s="2" t="str">
        <f t="shared" si="40"/>
        <v/>
      </c>
      <c r="W876" s="2" t="str">
        <f t="shared" si="41"/>
        <v>通过</v>
      </c>
    </row>
    <row r="877" spans="1:23" ht="15">
      <c r="A877" s="2" t="str">
        <f>raw_order_lines!A877</f>
        <v>SIM-20260928-C005</v>
      </c>
      <c r="B877" s="2">
        <f>raw_order_lines!B877</f>
        <v>2</v>
      </c>
      <c r="C877" s="2" t="str">
        <f>raw_order_lines!C877</f>
        <v>C005</v>
      </c>
      <c r="D877" s="3">
        <f>raw_order_lines!D877</f>
        <v>46293</v>
      </c>
      <c r="E877" s="2" t="str">
        <f>raw_order_lines!E877</f>
        <v>P007</v>
      </c>
      <c r="F877" s="2" t="str">
        <f>raw_order_lines!F877</f>
        <v>公斤</v>
      </c>
      <c r="G877" s="4">
        <f>raw_order_lines!G877</f>
        <v>9.3000000000000007</v>
      </c>
      <c r="H877" s="4">
        <f>raw_order_lines!H877</f>
        <v>9.3000000000000007</v>
      </c>
      <c r="I877" s="4">
        <f>raw_order_lines!I877</f>
        <v>0</v>
      </c>
      <c r="J877" s="5">
        <f>raw_order_lines!J877</f>
        <v>4.95</v>
      </c>
      <c r="K877" s="2" t="str">
        <f>raw_order_lines!K877</f>
        <v>正常交付</v>
      </c>
      <c r="L877" s="2" t="str">
        <f>raw_order_lines!L877</f>
        <v>true</v>
      </c>
      <c r="M877" s="2" t="str">
        <f>INDEX(dim_products!$B$2:$B$21,MATCH($E877,dim_products!$A$2:$A$21,0))</f>
        <v>青椒</v>
      </c>
      <c r="N877" s="2" t="str">
        <f>INDEX(dim_products!$C$2:$C$21,MATCH($E877,dim_products!$A$2:$A$21,0))</f>
        <v>散装鲜菜</v>
      </c>
      <c r="O877" s="2" t="str">
        <f>INDEX(dim_customers!$B$2:$B$7,MATCH($C877,dim_customers!$A$2:$A$7,0))</f>
        <v>模拟_青禾小学食堂</v>
      </c>
      <c r="P877" s="6">
        <f>INT((ROUND(raw_order_lines!H877*10,0)*ROUND(raw_order_lines!J877*100,0)+5)/10)/100</f>
        <v>46.04</v>
      </c>
      <c r="Q877" s="6">
        <f>INT((ROUND(raw_order_lines!I877*10,0)*ROUND(raw_order_lines!J877*100,0)+5)/10)/100</f>
        <v>0</v>
      </c>
      <c r="R877" s="6">
        <f t="shared" si="39"/>
        <v>46.04</v>
      </c>
      <c r="S877" s="2" t="str">
        <f>IF(OR(ROUND(raw_order_lines!I877*10,0)&gt;ROUND(raw_order_lines!H877*10,0),ROUND(raw_order_lines!H877*10,0)&gt;ROUND(raw_order_lines!G877*10,0),ROUND(raw_order_lines!G877*10,0)&lt;=0),"数量关系异常","")</f>
        <v/>
      </c>
      <c r="T877" s="2" t="str">
        <f>IF($F877&lt;&gt;INDEX(dim_products!$D$2:$D$21,MATCH($E877,dim_products!$A$2:$A$21,0)),"单位不一致","")</f>
        <v/>
      </c>
      <c r="U877" s="2" t="str">
        <f>IF(OR(ROUND(raw_order_lines!J877*100,0)&lt;ROUND(INDEX(dim_products!$F$2:$F$21,MATCH($E877,dim_products!$A$2:$A$21,0))*100,0),ROUND(raw_order_lines!J877*100,0)&gt;ROUND(INDEX(dim_products!$G$2:$G$21,MATCH($E877,dim_products!$A$2:$A$21,0))*100,0)),"单价越界","")</f>
        <v/>
      </c>
      <c r="V877" s="2" t="str">
        <f t="shared" si="40"/>
        <v/>
      </c>
      <c r="W877" s="2" t="str">
        <f t="shared" si="41"/>
        <v>通过</v>
      </c>
    </row>
    <row r="878" spans="1:23" ht="15">
      <c r="A878" s="2" t="str">
        <f>raw_order_lines!A878</f>
        <v>SIM-20260928-C005</v>
      </c>
      <c r="B878" s="2">
        <f>raw_order_lines!B878</f>
        <v>3</v>
      </c>
      <c r="C878" s="2" t="str">
        <f>raw_order_lines!C878</f>
        <v>C005</v>
      </c>
      <c r="D878" s="3">
        <f>raw_order_lines!D878</f>
        <v>46293</v>
      </c>
      <c r="E878" s="2" t="str">
        <f>raw_order_lines!E878</f>
        <v>P008</v>
      </c>
      <c r="F878" s="2" t="str">
        <f>raw_order_lines!F878</f>
        <v>公斤</v>
      </c>
      <c r="G878" s="4">
        <f>raw_order_lines!G878</f>
        <v>8.5</v>
      </c>
      <c r="H878" s="4">
        <f>raw_order_lines!H878</f>
        <v>8.5</v>
      </c>
      <c r="I878" s="4">
        <f>raw_order_lines!I878</f>
        <v>0</v>
      </c>
      <c r="J878" s="5">
        <f>raw_order_lines!J878</f>
        <v>3.9</v>
      </c>
      <c r="K878" s="2" t="str">
        <f>raw_order_lines!K878</f>
        <v>正常交付</v>
      </c>
      <c r="L878" s="2" t="str">
        <f>raw_order_lines!L878</f>
        <v>true</v>
      </c>
      <c r="M878" s="2" t="str">
        <f>INDEX(dim_products!$B$2:$B$21,MATCH($E878,dim_products!$A$2:$A$21,0))</f>
        <v>黄瓜</v>
      </c>
      <c r="N878" s="2" t="str">
        <f>INDEX(dim_products!$C$2:$C$21,MATCH($E878,dim_products!$A$2:$A$21,0))</f>
        <v>散装鲜菜</v>
      </c>
      <c r="O878" s="2" t="str">
        <f>INDEX(dim_customers!$B$2:$B$7,MATCH($C878,dim_customers!$A$2:$A$7,0))</f>
        <v>模拟_青禾小学食堂</v>
      </c>
      <c r="P878" s="6">
        <f>INT((ROUND(raw_order_lines!H878*10,0)*ROUND(raw_order_lines!J878*100,0)+5)/10)/100</f>
        <v>33.15</v>
      </c>
      <c r="Q878" s="6">
        <f>INT((ROUND(raw_order_lines!I878*10,0)*ROUND(raw_order_lines!J878*100,0)+5)/10)/100</f>
        <v>0</v>
      </c>
      <c r="R878" s="6">
        <f t="shared" si="39"/>
        <v>33.15</v>
      </c>
      <c r="S878" s="2" t="str">
        <f>IF(OR(ROUND(raw_order_lines!I878*10,0)&gt;ROUND(raw_order_lines!H878*10,0),ROUND(raw_order_lines!H878*10,0)&gt;ROUND(raw_order_lines!G878*10,0),ROUND(raw_order_lines!G878*10,0)&lt;=0),"数量关系异常","")</f>
        <v/>
      </c>
      <c r="T878" s="2" t="str">
        <f>IF($F878&lt;&gt;INDEX(dim_products!$D$2:$D$21,MATCH($E878,dim_products!$A$2:$A$21,0)),"单位不一致","")</f>
        <v/>
      </c>
      <c r="U878" s="2" t="str">
        <f>IF(OR(ROUND(raw_order_lines!J878*100,0)&lt;ROUND(INDEX(dim_products!$F$2:$F$21,MATCH($E878,dim_products!$A$2:$A$21,0))*100,0),ROUND(raw_order_lines!J878*100,0)&gt;ROUND(INDEX(dim_products!$G$2:$G$21,MATCH($E878,dim_products!$A$2:$A$21,0))*100,0)),"单价越界","")</f>
        <v/>
      </c>
      <c r="V878" s="2" t="str">
        <f t="shared" si="40"/>
        <v/>
      </c>
      <c r="W878" s="2" t="str">
        <f t="shared" si="41"/>
        <v>通过</v>
      </c>
    </row>
    <row r="879" spans="1:23" ht="15">
      <c r="A879" s="2" t="str">
        <f>raw_order_lines!A879</f>
        <v>SIM-20260928-C005</v>
      </c>
      <c r="B879" s="2">
        <f>raw_order_lines!B879</f>
        <v>4</v>
      </c>
      <c r="C879" s="2" t="str">
        <f>raw_order_lines!C879</f>
        <v>C005</v>
      </c>
      <c r="D879" s="3">
        <f>raw_order_lines!D879</f>
        <v>46293</v>
      </c>
      <c r="E879" s="2" t="str">
        <f>raw_order_lines!E879</f>
        <v>P009</v>
      </c>
      <c r="F879" s="2" t="str">
        <f>raw_order_lines!F879</f>
        <v>公斤</v>
      </c>
      <c r="G879" s="4">
        <f>raw_order_lines!G879</f>
        <v>7.7</v>
      </c>
      <c r="H879" s="4">
        <f>raw_order_lines!H879</f>
        <v>7.7</v>
      </c>
      <c r="I879" s="4">
        <f>raw_order_lines!I879</f>
        <v>0</v>
      </c>
      <c r="J879" s="5">
        <f>raw_order_lines!J879</f>
        <v>4.9000000000000004</v>
      </c>
      <c r="K879" s="2" t="str">
        <f>raw_order_lines!K879</f>
        <v>正常交付</v>
      </c>
      <c r="L879" s="2" t="str">
        <f>raw_order_lines!L879</f>
        <v>true</v>
      </c>
      <c r="M879" s="2" t="str">
        <f>INDEX(dim_products!$B$2:$B$21,MATCH($E879,dim_products!$A$2:$A$21,0))</f>
        <v>西红柿</v>
      </c>
      <c r="N879" s="2" t="str">
        <f>INDEX(dim_products!$C$2:$C$21,MATCH($E879,dim_products!$A$2:$A$21,0))</f>
        <v>散装鲜菜</v>
      </c>
      <c r="O879" s="2" t="str">
        <f>INDEX(dim_customers!$B$2:$B$7,MATCH($C879,dim_customers!$A$2:$A$7,0))</f>
        <v>模拟_青禾小学食堂</v>
      </c>
      <c r="P879" s="6">
        <f>INT((ROUND(raw_order_lines!H879*10,0)*ROUND(raw_order_lines!J879*100,0)+5)/10)/100</f>
        <v>37.729999999999997</v>
      </c>
      <c r="Q879" s="6">
        <f>INT((ROUND(raw_order_lines!I879*10,0)*ROUND(raw_order_lines!J879*100,0)+5)/10)/100</f>
        <v>0</v>
      </c>
      <c r="R879" s="6">
        <f t="shared" si="39"/>
        <v>37.729999999999997</v>
      </c>
      <c r="S879" s="2" t="str">
        <f>IF(OR(ROUND(raw_order_lines!I879*10,0)&gt;ROUND(raw_order_lines!H879*10,0),ROUND(raw_order_lines!H879*10,0)&gt;ROUND(raw_order_lines!G879*10,0),ROUND(raw_order_lines!G879*10,0)&lt;=0),"数量关系异常","")</f>
        <v/>
      </c>
      <c r="T879" s="2" t="str">
        <f>IF($F879&lt;&gt;INDEX(dim_products!$D$2:$D$21,MATCH($E879,dim_products!$A$2:$A$21,0)),"单位不一致","")</f>
        <v/>
      </c>
      <c r="U879" s="2" t="str">
        <f>IF(OR(ROUND(raw_order_lines!J879*100,0)&lt;ROUND(INDEX(dim_products!$F$2:$F$21,MATCH($E879,dim_products!$A$2:$A$21,0))*100,0),ROUND(raw_order_lines!J879*100,0)&gt;ROUND(INDEX(dim_products!$G$2:$G$21,MATCH($E879,dim_products!$A$2:$A$21,0))*100,0)),"单价越界","")</f>
        <v/>
      </c>
      <c r="V879" s="2" t="str">
        <f t="shared" si="40"/>
        <v/>
      </c>
      <c r="W879" s="2" t="str">
        <f t="shared" si="41"/>
        <v>通过</v>
      </c>
    </row>
    <row r="880" spans="1:23" ht="15">
      <c r="A880" s="2" t="str">
        <f>raw_order_lines!A880</f>
        <v>SIM-20260928-C005</v>
      </c>
      <c r="B880" s="2">
        <f>raw_order_lines!B880</f>
        <v>5</v>
      </c>
      <c r="C880" s="2" t="str">
        <f>raw_order_lines!C880</f>
        <v>C005</v>
      </c>
      <c r="D880" s="3">
        <f>raw_order_lines!D880</f>
        <v>46293</v>
      </c>
      <c r="E880" s="2" t="str">
        <f>raw_order_lines!E880</f>
        <v>P013</v>
      </c>
      <c r="F880" s="2" t="str">
        <f>raw_order_lines!F880</f>
        <v>公斤</v>
      </c>
      <c r="G880" s="4">
        <f>raw_order_lines!G880</f>
        <v>10.8</v>
      </c>
      <c r="H880" s="4">
        <f>raw_order_lines!H880</f>
        <v>10.8</v>
      </c>
      <c r="I880" s="4">
        <f>raw_order_lines!I880</f>
        <v>0</v>
      </c>
      <c r="J880" s="5">
        <f>raw_order_lines!J880</f>
        <v>6.1</v>
      </c>
      <c r="K880" s="2" t="str">
        <f>raw_order_lines!K880</f>
        <v>正常交付</v>
      </c>
      <c r="L880" s="2" t="str">
        <f>raw_order_lines!L880</f>
        <v>true</v>
      </c>
      <c r="M880" s="2" t="str">
        <f>INDEX(dim_products!$B$2:$B$21,MATCH($E880,dim_products!$A$2:$A$21,0))</f>
        <v>豇豆</v>
      </c>
      <c r="N880" s="2" t="str">
        <f>INDEX(dim_products!$C$2:$C$21,MATCH($E880,dim_products!$A$2:$A$21,0))</f>
        <v>散装鲜菜</v>
      </c>
      <c r="O880" s="2" t="str">
        <f>INDEX(dim_customers!$B$2:$B$7,MATCH($C880,dim_customers!$A$2:$A$7,0))</f>
        <v>模拟_青禾小学食堂</v>
      </c>
      <c r="P880" s="6">
        <f>INT((ROUND(raw_order_lines!H880*10,0)*ROUND(raw_order_lines!J880*100,0)+5)/10)/100</f>
        <v>65.88</v>
      </c>
      <c r="Q880" s="6">
        <f>INT((ROUND(raw_order_lines!I880*10,0)*ROUND(raw_order_lines!J880*100,0)+5)/10)/100</f>
        <v>0</v>
      </c>
      <c r="R880" s="6">
        <f t="shared" si="39"/>
        <v>65.88</v>
      </c>
      <c r="S880" s="2" t="str">
        <f>IF(OR(ROUND(raw_order_lines!I880*10,0)&gt;ROUND(raw_order_lines!H880*10,0),ROUND(raw_order_lines!H880*10,0)&gt;ROUND(raw_order_lines!G880*10,0),ROUND(raw_order_lines!G880*10,0)&lt;=0),"数量关系异常","")</f>
        <v/>
      </c>
      <c r="T880" s="2" t="str">
        <f>IF($F880&lt;&gt;INDEX(dim_products!$D$2:$D$21,MATCH($E880,dim_products!$A$2:$A$21,0)),"单位不一致","")</f>
        <v/>
      </c>
      <c r="U880" s="2" t="str">
        <f>IF(OR(ROUND(raw_order_lines!J880*100,0)&lt;ROUND(INDEX(dim_products!$F$2:$F$21,MATCH($E880,dim_products!$A$2:$A$21,0))*100,0),ROUND(raw_order_lines!J880*100,0)&gt;ROUND(INDEX(dim_products!$G$2:$G$21,MATCH($E880,dim_products!$A$2:$A$21,0))*100,0)),"单价越界","")</f>
        <v/>
      </c>
      <c r="V880" s="2" t="str">
        <f t="shared" si="40"/>
        <v/>
      </c>
      <c r="W880" s="2" t="str">
        <f t="shared" si="41"/>
        <v>通过</v>
      </c>
    </row>
    <row r="881" spans="1:23" ht="15">
      <c r="A881" s="2" t="str">
        <f>raw_order_lines!A881</f>
        <v>SIM-20260928-C005</v>
      </c>
      <c r="B881" s="2">
        <f>raw_order_lines!B881</f>
        <v>6</v>
      </c>
      <c r="C881" s="2" t="str">
        <f>raw_order_lines!C881</f>
        <v>C005</v>
      </c>
      <c r="D881" s="3">
        <f>raw_order_lines!D881</f>
        <v>46293</v>
      </c>
      <c r="E881" s="2" t="str">
        <f>raw_order_lines!E881</f>
        <v>P003</v>
      </c>
      <c r="F881" s="2" t="str">
        <f>raw_order_lines!F881</f>
        <v>公斤</v>
      </c>
      <c r="G881" s="4">
        <f>raw_order_lines!G881</f>
        <v>11.6</v>
      </c>
      <c r="H881" s="4">
        <f>raw_order_lines!H881</f>
        <v>11.6</v>
      </c>
      <c r="I881" s="4">
        <f>raw_order_lines!I881</f>
        <v>0</v>
      </c>
      <c r="J881" s="5">
        <f>raw_order_lines!J881</f>
        <v>2.9</v>
      </c>
      <c r="K881" s="2" t="str">
        <f>raw_order_lines!K881</f>
        <v>正常交付</v>
      </c>
      <c r="L881" s="2" t="str">
        <f>raw_order_lines!L881</f>
        <v>true</v>
      </c>
      <c r="M881" s="2" t="str">
        <f>INDEX(dim_products!$B$2:$B$21,MATCH($E881,dim_products!$A$2:$A$21,0))</f>
        <v>包菜</v>
      </c>
      <c r="N881" s="2" t="str">
        <f>INDEX(dim_products!$C$2:$C$21,MATCH($E881,dim_products!$A$2:$A$21,0))</f>
        <v>散装鲜菜</v>
      </c>
      <c r="O881" s="2" t="str">
        <f>INDEX(dim_customers!$B$2:$B$7,MATCH($C881,dim_customers!$A$2:$A$7,0))</f>
        <v>模拟_青禾小学食堂</v>
      </c>
      <c r="P881" s="6">
        <f>INT((ROUND(raw_order_lines!H881*10,0)*ROUND(raw_order_lines!J881*100,0)+5)/10)/100</f>
        <v>33.64</v>
      </c>
      <c r="Q881" s="6">
        <f>INT((ROUND(raw_order_lines!I881*10,0)*ROUND(raw_order_lines!J881*100,0)+5)/10)/100</f>
        <v>0</v>
      </c>
      <c r="R881" s="6">
        <f t="shared" si="39"/>
        <v>33.64</v>
      </c>
      <c r="S881" s="2" t="str">
        <f>IF(OR(ROUND(raw_order_lines!I881*10,0)&gt;ROUND(raw_order_lines!H881*10,0),ROUND(raw_order_lines!H881*10,0)&gt;ROUND(raw_order_lines!G881*10,0),ROUND(raw_order_lines!G881*10,0)&lt;=0),"数量关系异常","")</f>
        <v/>
      </c>
      <c r="T881" s="2" t="str">
        <f>IF($F881&lt;&gt;INDEX(dim_products!$D$2:$D$21,MATCH($E881,dim_products!$A$2:$A$21,0)),"单位不一致","")</f>
        <v/>
      </c>
      <c r="U881" s="2" t="str">
        <f>IF(OR(ROUND(raw_order_lines!J881*100,0)&lt;ROUND(INDEX(dim_products!$F$2:$F$21,MATCH($E881,dim_products!$A$2:$A$21,0))*100,0),ROUND(raw_order_lines!J881*100,0)&gt;ROUND(INDEX(dim_products!$G$2:$G$21,MATCH($E881,dim_products!$A$2:$A$21,0))*100,0)),"单价越界","")</f>
        <v/>
      </c>
      <c r="V881" s="2" t="str">
        <f t="shared" si="40"/>
        <v/>
      </c>
      <c r="W881" s="2" t="str">
        <f t="shared" si="41"/>
        <v>通过</v>
      </c>
    </row>
    <row r="882" spans="1:23" ht="15">
      <c r="A882" s="2" t="str">
        <f>raw_order_lines!A882</f>
        <v>SIM-20260928-C006</v>
      </c>
      <c r="B882" s="2">
        <f>raw_order_lines!B882</f>
        <v>1</v>
      </c>
      <c r="C882" s="2" t="str">
        <f>raw_order_lines!C882</f>
        <v>C006</v>
      </c>
      <c r="D882" s="3">
        <f>raw_order_lines!D882</f>
        <v>46293</v>
      </c>
      <c r="E882" s="2" t="str">
        <f>raw_order_lines!E882</f>
        <v>P010</v>
      </c>
      <c r="F882" s="2" t="str">
        <f>raw_order_lines!F882</f>
        <v>公斤</v>
      </c>
      <c r="G882" s="4">
        <f>raw_order_lines!G882</f>
        <v>5</v>
      </c>
      <c r="H882" s="4">
        <f>raw_order_lines!H882</f>
        <v>4.8</v>
      </c>
      <c r="I882" s="4">
        <f>raw_order_lines!I882</f>
        <v>0</v>
      </c>
      <c r="J882" s="5">
        <f>raw_order_lines!J882</f>
        <v>4.9000000000000004</v>
      </c>
      <c r="K882" s="2" t="str">
        <f>raw_order_lines!K882</f>
        <v>到货不足；按实际交付计费</v>
      </c>
      <c r="L882" s="2" t="str">
        <f>raw_order_lines!L882</f>
        <v>true</v>
      </c>
      <c r="M882" s="2" t="str">
        <f>INDEX(dim_products!$B$2:$B$21,MATCH($E882,dim_products!$A$2:$A$21,0))</f>
        <v>空心菜</v>
      </c>
      <c r="N882" s="2" t="str">
        <f>INDEX(dim_products!$C$2:$C$21,MATCH($E882,dim_products!$A$2:$A$21,0))</f>
        <v>散装鲜菜</v>
      </c>
      <c r="O882" s="2" t="str">
        <f>INDEX(dim_customers!$B$2:$B$7,MATCH($C882,dim_customers!$A$2:$A$7,0))</f>
        <v>模拟_溪桥医院食堂</v>
      </c>
      <c r="P882" s="6">
        <f>INT((ROUND(raw_order_lines!H882*10,0)*ROUND(raw_order_lines!J882*100,0)+5)/10)/100</f>
        <v>23.52</v>
      </c>
      <c r="Q882" s="6">
        <f>INT((ROUND(raw_order_lines!I882*10,0)*ROUND(raw_order_lines!J882*100,0)+5)/10)/100</f>
        <v>0</v>
      </c>
      <c r="R882" s="6">
        <f t="shared" si="39"/>
        <v>23.52</v>
      </c>
      <c r="S882" s="2" t="str">
        <f>IF(OR(ROUND(raw_order_lines!I882*10,0)&gt;ROUND(raw_order_lines!H882*10,0),ROUND(raw_order_lines!H882*10,0)&gt;ROUND(raw_order_lines!G882*10,0),ROUND(raw_order_lines!G882*10,0)&lt;=0),"数量关系异常","")</f>
        <v/>
      </c>
      <c r="T882" s="2" t="str">
        <f>IF($F882&lt;&gt;INDEX(dim_products!$D$2:$D$21,MATCH($E882,dim_products!$A$2:$A$21,0)),"单位不一致","")</f>
        <v/>
      </c>
      <c r="U882" s="2" t="str">
        <f>IF(OR(ROUND(raw_order_lines!J882*100,0)&lt;ROUND(INDEX(dim_products!$F$2:$F$21,MATCH($E882,dim_products!$A$2:$A$21,0))*100,0),ROUND(raw_order_lines!J882*100,0)&gt;ROUND(INDEX(dim_products!$G$2:$G$21,MATCH($E882,dim_products!$A$2:$A$21,0))*100,0)),"单价越界","")</f>
        <v/>
      </c>
      <c r="V882" s="2" t="str">
        <f t="shared" si="40"/>
        <v/>
      </c>
      <c r="W882" s="2" t="str">
        <f t="shared" si="41"/>
        <v>通过</v>
      </c>
    </row>
    <row r="883" spans="1:23" ht="15">
      <c r="A883" s="2" t="str">
        <f>raw_order_lines!A883</f>
        <v>SIM-20260928-C006</v>
      </c>
      <c r="B883" s="2">
        <f>raw_order_lines!B883</f>
        <v>2</v>
      </c>
      <c r="C883" s="2" t="str">
        <f>raw_order_lines!C883</f>
        <v>C006</v>
      </c>
      <c r="D883" s="3">
        <f>raw_order_lines!D883</f>
        <v>46293</v>
      </c>
      <c r="E883" s="2" t="str">
        <f>raw_order_lines!E883</f>
        <v>P007</v>
      </c>
      <c r="F883" s="2" t="str">
        <f>raw_order_lines!F883</f>
        <v>公斤</v>
      </c>
      <c r="G883" s="4">
        <f>raw_order_lines!G883</f>
        <v>9.1999999999999993</v>
      </c>
      <c r="H883" s="4">
        <f>raw_order_lines!H883</f>
        <v>9.1999999999999993</v>
      </c>
      <c r="I883" s="4">
        <f>raw_order_lines!I883</f>
        <v>0</v>
      </c>
      <c r="J883" s="5">
        <f>raw_order_lines!J883</f>
        <v>4.95</v>
      </c>
      <c r="K883" s="2" t="str">
        <f>raw_order_lines!K883</f>
        <v>正常交付</v>
      </c>
      <c r="L883" s="2" t="str">
        <f>raw_order_lines!L883</f>
        <v>true</v>
      </c>
      <c r="M883" s="2" t="str">
        <f>INDEX(dim_products!$B$2:$B$21,MATCH($E883,dim_products!$A$2:$A$21,0))</f>
        <v>青椒</v>
      </c>
      <c r="N883" s="2" t="str">
        <f>INDEX(dim_products!$C$2:$C$21,MATCH($E883,dim_products!$A$2:$A$21,0))</f>
        <v>散装鲜菜</v>
      </c>
      <c r="O883" s="2" t="str">
        <f>INDEX(dim_customers!$B$2:$B$7,MATCH($C883,dim_customers!$A$2:$A$7,0))</f>
        <v>模拟_溪桥医院食堂</v>
      </c>
      <c r="P883" s="6">
        <f>INT((ROUND(raw_order_lines!H883*10,0)*ROUND(raw_order_lines!J883*100,0)+5)/10)/100</f>
        <v>45.54</v>
      </c>
      <c r="Q883" s="6">
        <f>INT((ROUND(raw_order_lines!I883*10,0)*ROUND(raw_order_lines!J883*100,0)+5)/10)/100</f>
        <v>0</v>
      </c>
      <c r="R883" s="6">
        <f t="shared" si="39"/>
        <v>45.54</v>
      </c>
      <c r="S883" s="2" t="str">
        <f>IF(OR(ROUND(raw_order_lines!I883*10,0)&gt;ROUND(raw_order_lines!H883*10,0),ROUND(raw_order_lines!H883*10,0)&gt;ROUND(raw_order_lines!G883*10,0),ROUND(raw_order_lines!G883*10,0)&lt;=0),"数量关系异常","")</f>
        <v/>
      </c>
      <c r="T883" s="2" t="str">
        <f>IF($F883&lt;&gt;INDEX(dim_products!$D$2:$D$21,MATCH($E883,dim_products!$A$2:$A$21,0)),"单位不一致","")</f>
        <v/>
      </c>
      <c r="U883" s="2" t="str">
        <f>IF(OR(ROUND(raw_order_lines!J883*100,0)&lt;ROUND(INDEX(dim_products!$F$2:$F$21,MATCH($E883,dim_products!$A$2:$A$21,0))*100,0),ROUND(raw_order_lines!J883*100,0)&gt;ROUND(INDEX(dim_products!$G$2:$G$21,MATCH($E883,dim_products!$A$2:$A$21,0))*100,0)),"单价越界","")</f>
        <v/>
      </c>
      <c r="V883" s="2" t="str">
        <f t="shared" si="40"/>
        <v/>
      </c>
      <c r="W883" s="2" t="str">
        <f t="shared" si="41"/>
        <v>通过</v>
      </c>
    </row>
    <row r="884" spans="1:23" ht="15">
      <c r="A884" s="2" t="str">
        <f>raw_order_lines!A884</f>
        <v>SIM-20260928-C006</v>
      </c>
      <c r="B884" s="2">
        <f>raw_order_lines!B884</f>
        <v>3</v>
      </c>
      <c r="C884" s="2" t="str">
        <f>raw_order_lines!C884</f>
        <v>C006</v>
      </c>
      <c r="D884" s="3">
        <f>raw_order_lines!D884</f>
        <v>46293</v>
      </c>
      <c r="E884" s="2" t="str">
        <f>raw_order_lines!E884</f>
        <v>P006</v>
      </c>
      <c r="F884" s="2" t="str">
        <f>raw_order_lines!F884</f>
        <v>公斤</v>
      </c>
      <c r="G884" s="4">
        <f>raw_order_lines!G884</f>
        <v>7.8</v>
      </c>
      <c r="H884" s="4">
        <f>raw_order_lines!H884</f>
        <v>7.6</v>
      </c>
      <c r="I884" s="4">
        <f>raw_order_lines!I884</f>
        <v>0</v>
      </c>
      <c r="J884" s="5">
        <f>raw_order_lines!J884</f>
        <v>4.5999999999999996</v>
      </c>
      <c r="K884" s="2" t="str">
        <f>raw_order_lines!K884</f>
        <v>到货不足；按实际交付计费</v>
      </c>
      <c r="L884" s="2" t="str">
        <f>raw_order_lines!L884</f>
        <v>true</v>
      </c>
      <c r="M884" s="2" t="str">
        <f>INDEX(dim_products!$B$2:$B$21,MATCH($E884,dim_products!$A$2:$A$21,0))</f>
        <v>茄子</v>
      </c>
      <c r="N884" s="2" t="str">
        <f>INDEX(dim_products!$C$2:$C$21,MATCH($E884,dim_products!$A$2:$A$21,0))</f>
        <v>散装鲜菜</v>
      </c>
      <c r="O884" s="2" t="str">
        <f>INDEX(dim_customers!$B$2:$B$7,MATCH($C884,dim_customers!$A$2:$A$7,0))</f>
        <v>模拟_溪桥医院食堂</v>
      </c>
      <c r="P884" s="6">
        <f>INT((ROUND(raw_order_lines!H884*10,0)*ROUND(raw_order_lines!J884*100,0)+5)/10)/100</f>
        <v>34.96</v>
      </c>
      <c r="Q884" s="6">
        <f>INT((ROUND(raw_order_lines!I884*10,0)*ROUND(raw_order_lines!J884*100,0)+5)/10)/100</f>
        <v>0</v>
      </c>
      <c r="R884" s="6">
        <f t="shared" si="39"/>
        <v>34.96</v>
      </c>
      <c r="S884" s="2" t="str">
        <f>IF(OR(ROUND(raw_order_lines!I884*10,0)&gt;ROUND(raw_order_lines!H884*10,0),ROUND(raw_order_lines!H884*10,0)&gt;ROUND(raw_order_lines!G884*10,0),ROUND(raw_order_lines!G884*10,0)&lt;=0),"数量关系异常","")</f>
        <v/>
      </c>
      <c r="T884" s="2" t="str">
        <f>IF($F884&lt;&gt;INDEX(dim_products!$D$2:$D$21,MATCH($E884,dim_products!$A$2:$A$21,0)),"单位不一致","")</f>
        <v/>
      </c>
      <c r="U884" s="2" t="str">
        <f>IF(OR(ROUND(raw_order_lines!J884*100,0)&lt;ROUND(INDEX(dim_products!$F$2:$F$21,MATCH($E884,dim_products!$A$2:$A$21,0))*100,0),ROUND(raw_order_lines!J884*100,0)&gt;ROUND(INDEX(dim_products!$G$2:$G$21,MATCH($E884,dim_products!$A$2:$A$21,0))*100,0)),"单价越界","")</f>
        <v/>
      </c>
      <c r="V884" s="2" t="str">
        <f t="shared" si="40"/>
        <v/>
      </c>
      <c r="W884" s="2" t="str">
        <f t="shared" si="41"/>
        <v>通过</v>
      </c>
    </row>
    <row r="885" spans="1:23" ht="15">
      <c r="A885" s="2" t="str">
        <f>raw_order_lines!A885</f>
        <v>SIM-20260928-C006</v>
      </c>
      <c r="B885" s="2">
        <f>raw_order_lines!B885</f>
        <v>4</v>
      </c>
      <c r="C885" s="2" t="str">
        <f>raw_order_lines!C885</f>
        <v>C006</v>
      </c>
      <c r="D885" s="3">
        <f>raw_order_lines!D885</f>
        <v>46293</v>
      </c>
      <c r="E885" s="2" t="str">
        <f>raw_order_lines!E885</f>
        <v>P009</v>
      </c>
      <c r="F885" s="2" t="str">
        <f>raw_order_lines!F885</f>
        <v>公斤</v>
      </c>
      <c r="G885" s="4">
        <f>raw_order_lines!G885</f>
        <v>5.7</v>
      </c>
      <c r="H885" s="4">
        <f>raw_order_lines!H885</f>
        <v>5.7</v>
      </c>
      <c r="I885" s="4">
        <f>raw_order_lines!I885</f>
        <v>0</v>
      </c>
      <c r="J885" s="5">
        <f>raw_order_lines!J885</f>
        <v>4.9000000000000004</v>
      </c>
      <c r="K885" s="2" t="str">
        <f>raw_order_lines!K885</f>
        <v>正常交付</v>
      </c>
      <c r="L885" s="2" t="str">
        <f>raw_order_lines!L885</f>
        <v>true</v>
      </c>
      <c r="M885" s="2" t="str">
        <f>INDEX(dim_products!$B$2:$B$21,MATCH($E885,dim_products!$A$2:$A$21,0))</f>
        <v>西红柿</v>
      </c>
      <c r="N885" s="2" t="str">
        <f>INDEX(dim_products!$C$2:$C$21,MATCH($E885,dim_products!$A$2:$A$21,0))</f>
        <v>散装鲜菜</v>
      </c>
      <c r="O885" s="2" t="str">
        <f>INDEX(dim_customers!$B$2:$B$7,MATCH($C885,dim_customers!$A$2:$A$7,0))</f>
        <v>模拟_溪桥医院食堂</v>
      </c>
      <c r="P885" s="6">
        <f>INT((ROUND(raw_order_lines!H885*10,0)*ROUND(raw_order_lines!J885*100,0)+5)/10)/100</f>
        <v>27.93</v>
      </c>
      <c r="Q885" s="6">
        <f>INT((ROUND(raw_order_lines!I885*10,0)*ROUND(raw_order_lines!J885*100,0)+5)/10)/100</f>
        <v>0</v>
      </c>
      <c r="R885" s="6">
        <f t="shared" si="39"/>
        <v>27.93</v>
      </c>
      <c r="S885" s="2" t="str">
        <f>IF(OR(ROUND(raw_order_lines!I885*10,0)&gt;ROUND(raw_order_lines!H885*10,0),ROUND(raw_order_lines!H885*10,0)&gt;ROUND(raw_order_lines!G885*10,0),ROUND(raw_order_lines!G885*10,0)&lt;=0),"数量关系异常","")</f>
        <v/>
      </c>
      <c r="T885" s="2" t="str">
        <f>IF($F885&lt;&gt;INDEX(dim_products!$D$2:$D$21,MATCH($E885,dim_products!$A$2:$A$21,0)),"单位不一致","")</f>
        <v/>
      </c>
      <c r="U885" s="2" t="str">
        <f>IF(OR(ROUND(raw_order_lines!J885*100,0)&lt;ROUND(INDEX(dim_products!$F$2:$F$21,MATCH($E885,dim_products!$A$2:$A$21,0))*100,0),ROUND(raw_order_lines!J885*100,0)&gt;ROUND(INDEX(dim_products!$G$2:$G$21,MATCH($E885,dim_products!$A$2:$A$21,0))*100,0)),"单价越界","")</f>
        <v/>
      </c>
      <c r="V885" s="2" t="str">
        <f t="shared" si="40"/>
        <v/>
      </c>
      <c r="W885" s="2" t="str">
        <f t="shared" si="41"/>
        <v>通过</v>
      </c>
    </row>
    <row r="886" spans="1:23" ht="15">
      <c r="A886" s="2" t="str">
        <f>raw_order_lines!A886</f>
        <v>SIM-20260928-C006</v>
      </c>
      <c r="B886" s="2">
        <f>raw_order_lines!B886</f>
        <v>5</v>
      </c>
      <c r="C886" s="2" t="str">
        <f>raw_order_lines!C886</f>
        <v>C006</v>
      </c>
      <c r="D886" s="3">
        <f>raw_order_lines!D886</f>
        <v>46293</v>
      </c>
      <c r="E886" s="2" t="str">
        <f>raw_order_lines!E886</f>
        <v>P003</v>
      </c>
      <c r="F886" s="2" t="str">
        <f>raw_order_lines!F886</f>
        <v>公斤</v>
      </c>
      <c r="G886" s="4">
        <f>raw_order_lines!G886</f>
        <v>7.1</v>
      </c>
      <c r="H886" s="4">
        <f>raw_order_lines!H886</f>
        <v>7.1</v>
      </c>
      <c r="I886" s="4">
        <f>raw_order_lines!I886</f>
        <v>0</v>
      </c>
      <c r="J886" s="5">
        <f>raw_order_lines!J886</f>
        <v>2.9</v>
      </c>
      <c r="K886" s="2" t="str">
        <f>raw_order_lines!K886</f>
        <v>正常交付</v>
      </c>
      <c r="L886" s="2" t="str">
        <f>raw_order_lines!L886</f>
        <v>true</v>
      </c>
      <c r="M886" s="2" t="str">
        <f>INDEX(dim_products!$B$2:$B$21,MATCH($E886,dim_products!$A$2:$A$21,0))</f>
        <v>包菜</v>
      </c>
      <c r="N886" s="2" t="str">
        <f>INDEX(dim_products!$C$2:$C$21,MATCH($E886,dim_products!$A$2:$A$21,0))</f>
        <v>散装鲜菜</v>
      </c>
      <c r="O886" s="2" t="str">
        <f>INDEX(dim_customers!$B$2:$B$7,MATCH($C886,dim_customers!$A$2:$A$7,0))</f>
        <v>模拟_溪桥医院食堂</v>
      </c>
      <c r="P886" s="6">
        <f>INT((ROUND(raw_order_lines!H886*10,0)*ROUND(raw_order_lines!J886*100,0)+5)/10)/100</f>
        <v>20.59</v>
      </c>
      <c r="Q886" s="6">
        <f>INT((ROUND(raw_order_lines!I886*10,0)*ROUND(raw_order_lines!J886*100,0)+5)/10)/100</f>
        <v>0</v>
      </c>
      <c r="R886" s="6">
        <f t="shared" si="39"/>
        <v>20.59</v>
      </c>
      <c r="S886" s="2" t="str">
        <f>IF(OR(ROUND(raw_order_lines!I886*10,0)&gt;ROUND(raw_order_lines!H886*10,0),ROUND(raw_order_lines!H886*10,0)&gt;ROUND(raw_order_lines!G886*10,0),ROUND(raw_order_lines!G886*10,0)&lt;=0),"数量关系异常","")</f>
        <v/>
      </c>
      <c r="T886" s="2" t="str">
        <f>IF($F886&lt;&gt;INDEX(dim_products!$D$2:$D$21,MATCH($E886,dim_products!$A$2:$A$21,0)),"单位不一致","")</f>
        <v/>
      </c>
      <c r="U886" s="2" t="str">
        <f>IF(OR(ROUND(raw_order_lines!J886*100,0)&lt;ROUND(INDEX(dim_products!$F$2:$F$21,MATCH($E886,dim_products!$A$2:$A$21,0))*100,0),ROUND(raw_order_lines!J886*100,0)&gt;ROUND(INDEX(dim_products!$G$2:$G$21,MATCH($E886,dim_products!$A$2:$A$21,0))*100,0)),"单价越界","")</f>
        <v/>
      </c>
      <c r="V886" s="2" t="str">
        <f t="shared" si="40"/>
        <v/>
      </c>
      <c r="W886" s="2" t="str">
        <f t="shared" si="41"/>
        <v>通过</v>
      </c>
    </row>
    <row r="887" spans="1:23" ht="15">
      <c r="A887" s="2" t="str">
        <f>raw_order_lines!A887</f>
        <v>SIM-20260928-C006</v>
      </c>
      <c r="B887" s="2">
        <f>raw_order_lines!B887</f>
        <v>6</v>
      </c>
      <c r="C887" s="2" t="str">
        <f>raw_order_lines!C887</f>
        <v>C006</v>
      </c>
      <c r="D887" s="3">
        <f>raw_order_lines!D887</f>
        <v>46293</v>
      </c>
      <c r="E887" s="2" t="str">
        <f>raw_order_lines!E887</f>
        <v>P005</v>
      </c>
      <c r="F887" s="2" t="str">
        <f>raw_order_lines!F887</f>
        <v>公斤</v>
      </c>
      <c r="G887" s="4">
        <f>raw_order_lines!G887</f>
        <v>11.3</v>
      </c>
      <c r="H887" s="4">
        <f>raw_order_lines!H887</f>
        <v>11.3</v>
      </c>
      <c r="I887" s="4">
        <f>raw_order_lines!I887</f>
        <v>0</v>
      </c>
      <c r="J887" s="5">
        <f>raw_order_lines!J887</f>
        <v>2.7</v>
      </c>
      <c r="K887" s="2" t="str">
        <f>raw_order_lines!K887</f>
        <v>正常交付</v>
      </c>
      <c r="L887" s="2" t="str">
        <f>raw_order_lines!L887</f>
        <v>true</v>
      </c>
      <c r="M887" s="2" t="str">
        <f>INDEX(dim_products!$B$2:$B$21,MATCH($E887,dim_products!$A$2:$A$21,0))</f>
        <v>南瓜</v>
      </c>
      <c r="N887" s="2" t="str">
        <f>INDEX(dim_products!$C$2:$C$21,MATCH($E887,dim_products!$A$2:$A$21,0))</f>
        <v>散装鲜菜</v>
      </c>
      <c r="O887" s="2" t="str">
        <f>INDEX(dim_customers!$B$2:$B$7,MATCH($C887,dim_customers!$A$2:$A$7,0))</f>
        <v>模拟_溪桥医院食堂</v>
      </c>
      <c r="P887" s="6">
        <f>INT((ROUND(raw_order_lines!H887*10,0)*ROUND(raw_order_lines!J887*100,0)+5)/10)/100</f>
        <v>30.51</v>
      </c>
      <c r="Q887" s="6">
        <f>INT((ROUND(raw_order_lines!I887*10,0)*ROUND(raw_order_lines!J887*100,0)+5)/10)/100</f>
        <v>0</v>
      </c>
      <c r="R887" s="6">
        <f t="shared" si="39"/>
        <v>30.51</v>
      </c>
      <c r="S887" s="2" t="str">
        <f>IF(OR(ROUND(raw_order_lines!I887*10,0)&gt;ROUND(raw_order_lines!H887*10,0),ROUND(raw_order_lines!H887*10,0)&gt;ROUND(raw_order_lines!G887*10,0),ROUND(raw_order_lines!G887*10,0)&lt;=0),"数量关系异常","")</f>
        <v/>
      </c>
      <c r="T887" s="2" t="str">
        <f>IF($F887&lt;&gt;INDEX(dim_products!$D$2:$D$21,MATCH($E887,dim_products!$A$2:$A$21,0)),"单位不一致","")</f>
        <v/>
      </c>
      <c r="U887" s="2" t="str">
        <f>IF(OR(ROUND(raw_order_lines!J887*100,0)&lt;ROUND(INDEX(dim_products!$F$2:$F$21,MATCH($E887,dim_products!$A$2:$A$21,0))*100,0),ROUND(raw_order_lines!J887*100,0)&gt;ROUND(INDEX(dim_products!$G$2:$G$21,MATCH($E887,dim_products!$A$2:$A$21,0))*100,0)),"单价越界","")</f>
        <v/>
      </c>
      <c r="V887" s="2" t="str">
        <f t="shared" si="40"/>
        <v/>
      </c>
      <c r="W887" s="2" t="str">
        <f t="shared" si="41"/>
        <v>通过</v>
      </c>
    </row>
    <row r="888" spans="1:23" ht="15">
      <c r="A888" s="2" t="str">
        <f>raw_order_lines!A888</f>
        <v>SIM-20260928-C006</v>
      </c>
      <c r="B888" s="2">
        <f>raw_order_lines!B888</f>
        <v>7</v>
      </c>
      <c r="C888" s="2" t="str">
        <f>raw_order_lines!C888</f>
        <v>C006</v>
      </c>
      <c r="D888" s="3">
        <f>raw_order_lines!D888</f>
        <v>46293</v>
      </c>
      <c r="E888" s="2" t="str">
        <f>raw_order_lines!E888</f>
        <v>P015</v>
      </c>
      <c r="F888" s="2" t="str">
        <f>raw_order_lines!F888</f>
        <v>公斤</v>
      </c>
      <c r="G888" s="4">
        <f>raw_order_lines!G888</f>
        <v>1</v>
      </c>
      <c r="H888" s="4">
        <f>raw_order_lines!H888</f>
        <v>1</v>
      </c>
      <c r="I888" s="4">
        <f>raw_order_lines!I888</f>
        <v>0</v>
      </c>
      <c r="J888" s="5">
        <f>raw_order_lines!J888</f>
        <v>7.8</v>
      </c>
      <c r="K888" s="2" t="str">
        <f>raw_order_lines!K888</f>
        <v>正常交付</v>
      </c>
      <c r="L888" s="2" t="str">
        <f>raw_order_lines!L888</f>
        <v>true</v>
      </c>
      <c r="M888" s="2" t="str">
        <f>INDEX(dim_products!$B$2:$B$21,MATCH($E888,dim_products!$A$2:$A$21,0))</f>
        <v>小葱</v>
      </c>
      <c r="N888" s="2" t="str">
        <f>INDEX(dim_products!$C$2:$C$21,MATCH($E888,dim_products!$A$2:$A$21,0))</f>
        <v>散装鲜菜</v>
      </c>
      <c r="O888" s="2" t="str">
        <f>INDEX(dim_customers!$B$2:$B$7,MATCH($C888,dim_customers!$A$2:$A$7,0))</f>
        <v>模拟_溪桥医院食堂</v>
      </c>
      <c r="P888" s="6">
        <f>INT((ROUND(raw_order_lines!H888*10,0)*ROUND(raw_order_lines!J888*100,0)+5)/10)/100</f>
        <v>7.8</v>
      </c>
      <c r="Q888" s="6">
        <f>INT((ROUND(raw_order_lines!I888*10,0)*ROUND(raw_order_lines!J888*100,0)+5)/10)/100</f>
        <v>0</v>
      </c>
      <c r="R888" s="6">
        <f t="shared" si="39"/>
        <v>7.8</v>
      </c>
      <c r="S888" s="2" t="str">
        <f>IF(OR(ROUND(raw_order_lines!I888*10,0)&gt;ROUND(raw_order_lines!H888*10,0),ROUND(raw_order_lines!H888*10,0)&gt;ROUND(raw_order_lines!G888*10,0),ROUND(raw_order_lines!G888*10,0)&lt;=0),"数量关系异常","")</f>
        <v/>
      </c>
      <c r="T888" s="2" t="str">
        <f>IF($F888&lt;&gt;INDEX(dim_products!$D$2:$D$21,MATCH($E888,dim_products!$A$2:$A$21,0)),"单位不一致","")</f>
        <v/>
      </c>
      <c r="U888" s="2" t="str">
        <f>IF(OR(ROUND(raw_order_lines!J888*100,0)&lt;ROUND(INDEX(dim_products!$F$2:$F$21,MATCH($E888,dim_products!$A$2:$A$21,0))*100,0),ROUND(raw_order_lines!J888*100,0)&gt;ROUND(INDEX(dim_products!$G$2:$G$21,MATCH($E888,dim_products!$A$2:$A$21,0))*100,0)),"单价越界","")</f>
        <v/>
      </c>
      <c r="V888" s="2" t="str">
        <f t="shared" si="40"/>
        <v/>
      </c>
      <c r="W888" s="2" t="str">
        <f t="shared" si="41"/>
        <v>通过</v>
      </c>
    </row>
    <row r="889" spans="1:23" ht="15">
      <c r="A889" s="2" t="str">
        <f>raw_order_lines!A889</f>
        <v>SIM-20260929-C001</v>
      </c>
      <c r="B889" s="2">
        <f>raw_order_lines!B889</f>
        <v>1</v>
      </c>
      <c r="C889" s="2" t="str">
        <f>raw_order_lines!C889</f>
        <v>C001</v>
      </c>
      <c r="D889" s="3">
        <f>raw_order_lines!D889</f>
        <v>46294</v>
      </c>
      <c r="E889" s="2" t="str">
        <f>raw_order_lines!E889</f>
        <v>P012</v>
      </c>
      <c r="F889" s="2" t="str">
        <f>raw_order_lines!F889</f>
        <v>公斤</v>
      </c>
      <c r="G889" s="4">
        <f>raw_order_lines!G889</f>
        <v>3</v>
      </c>
      <c r="H889" s="4">
        <f>raw_order_lines!H889</f>
        <v>3</v>
      </c>
      <c r="I889" s="4">
        <f>raw_order_lines!I889</f>
        <v>0</v>
      </c>
      <c r="J889" s="5">
        <f>raw_order_lines!J889</f>
        <v>5.2</v>
      </c>
      <c r="K889" s="2" t="str">
        <f>raw_order_lines!K889</f>
        <v>正常交付</v>
      </c>
      <c r="L889" s="2" t="str">
        <f>raw_order_lines!L889</f>
        <v>true</v>
      </c>
      <c r="M889" s="2" t="str">
        <f>INDEX(dim_products!$B$2:$B$21,MATCH($E889,dim_products!$A$2:$A$21,0))</f>
        <v>小白菜</v>
      </c>
      <c r="N889" s="2" t="str">
        <f>INDEX(dim_products!$C$2:$C$21,MATCH($E889,dim_products!$A$2:$A$21,0))</f>
        <v>散装鲜菜</v>
      </c>
      <c r="O889" s="2" t="str">
        <f>INDEX(dim_customers!$B$2:$B$7,MATCH($C889,dim_customers!$A$2:$A$7,0))</f>
        <v>模拟_榕树下粉面店</v>
      </c>
      <c r="P889" s="6">
        <f>INT((ROUND(raw_order_lines!H889*10,0)*ROUND(raw_order_lines!J889*100,0)+5)/10)/100</f>
        <v>15.6</v>
      </c>
      <c r="Q889" s="6">
        <f>INT((ROUND(raw_order_lines!I889*10,0)*ROUND(raw_order_lines!J889*100,0)+5)/10)/100</f>
        <v>0</v>
      </c>
      <c r="R889" s="6">
        <f t="shared" si="39"/>
        <v>15.6</v>
      </c>
      <c r="S889" s="2" t="str">
        <f>IF(OR(ROUND(raw_order_lines!I889*10,0)&gt;ROUND(raw_order_lines!H889*10,0),ROUND(raw_order_lines!H889*10,0)&gt;ROUND(raw_order_lines!G889*10,0),ROUND(raw_order_lines!G889*10,0)&lt;=0),"数量关系异常","")</f>
        <v/>
      </c>
      <c r="T889" s="2" t="str">
        <f>IF($F889&lt;&gt;INDEX(dim_products!$D$2:$D$21,MATCH($E889,dim_products!$A$2:$A$21,0)),"单位不一致","")</f>
        <v/>
      </c>
      <c r="U889" s="2" t="str">
        <f>IF(OR(ROUND(raw_order_lines!J889*100,0)&lt;ROUND(INDEX(dim_products!$F$2:$F$21,MATCH($E889,dim_products!$A$2:$A$21,0))*100,0),ROUND(raw_order_lines!J889*100,0)&gt;ROUND(INDEX(dim_products!$G$2:$G$21,MATCH($E889,dim_products!$A$2:$A$21,0))*100,0)),"单价越界","")</f>
        <v/>
      </c>
      <c r="V889" s="2" t="str">
        <f t="shared" si="40"/>
        <v/>
      </c>
      <c r="W889" s="2" t="str">
        <f t="shared" si="41"/>
        <v>通过</v>
      </c>
    </row>
    <row r="890" spans="1:23" ht="15">
      <c r="A890" s="2" t="str">
        <f>raw_order_lines!A890</f>
        <v>SIM-20260929-C001</v>
      </c>
      <c r="B890" s="2">
        <f>raw_order_lines!B890</f>
        <v>2</v>
      </c>
      <c r="C890" s="2" t="str">
        <f>raw_order_lines!C890</f>
        <v>C001</v>
      </c>
      <c r="D890" s="3">
        <f>raw_order_lines!D890</f>
        <v>46294</v>
      </c>
      <c r="E890" s="2" t="str">
        <f>raw_order_lines!E890</f>
        <v>P007</v>
      </c>
      <c r="F890" s="2" t="str">
        <f>raw_order_lines!F890</f>
        <v>公斤</v>
      </c>
      <c r="G890" s="4">
        <f>raw_order_lines!G890</f>
        <v>5</v>
      </c>
      <c r="H890" s="4">
        <f>raw_order_lines!H890</f>
        <v>5</v>
      </c>
      <c r="I890" s="4">
        <f>raw_order_lines!I890</f>
        <v>0</v>
      </c>
      <c r="J890" s="5">
        <f>raw_order_lines!J890</f>
        <v>5.25</v>
      </c>
      <c r="K890" s="2" t="str">
        <f>raw_order_lines!K890</f>
        <v>正常交付</v>
      </c>
      <c r="L890" s="2" t="str">
        <f>raw_order_lines!L890</f>
        <v>true</v>
      </c>
      <c r="M890" s="2" t="str">
        <f>INDEX(dim_products!$B$2:$B$21,MATCH($E890,dim_products!$A$2:$A$21,0))</f>
        <v>青椒</v>
      </c>
      <c r="N890" s="2" t="str">
        <f>INDEX(dim_products!$C$2:$C$21,MATCH($E890,dim_products!$A$2:$A$21,0))</f>
        <v>散装鲜菜</v>
      </c>
      <c r="O890" s="2" t="str">
        <f>INDEX(dim_customers!$B$2:$B$7,MATCH($C890,dim_customers!$A$2:$A$7,0))</f>
        <v>模拟_榕树下粉面店</v>
      </c>
      <c r="P890" s="6">
        <f>INT((ROUND(raw_order_lines!H890*10,0)*ROUND(raw_order_lines!J890*100,0)+5)/10)/100</f>
        <v>26.25</v>
      </c>
      <c r="Q890" s="6">
        <f>INT((ROUND(raw_order_lines!I890*10,0)*ROUND(raw_order_lines!J890*100,0)+5)/10)/100</f>
        <v>0</v>
      </c>
      <c r="R890" s="6">
        <f t="shared" si="39"/>
        <v>26.25</v>
      </c>
      <c r="S890" s="2" t="str">
        <f>IF(OR(ROUND(raw_order_lines!I890*10,0)&gt;ROUND(raw_order_lines!H890*10,0),ROUND(raw_order_lines!H890*10,0)&gt;ROUND(raw_order_lines!G890*10,0),ROUND(raw_order_lines!G890*10,0)&lt;=0),"数量关系异常","")</f>
        <v/>
      </c>
      <c r="T890" s="2" t="str">
        <f>IF($F890&lt;&gt;INDEX(dim_products!$D$2:$D$21,MATCH($E890,dim_products!$A$2:$A$21,0)),"单位不一致","")</f>
        <v/>
      </c>
      <c r="U890" s="2" t="str">
        <f>IF(OR(ROUND(raw_order_lines!J890*100,0)&lt;ROUND(INDEX(dim_products!$F$2:$F$21,MATCH($E890,dim_products!$A$2:$A$21,0))*100,0),ROUND(raw_order_lines!J890*100,0)&gt;ROUND(INDEX(dim_products!$G$2:$G$21,MATCH($E890,dim_products!$A$2:$A$21,0))*100,0)),"单价越界","")</f>
        <v/>
      </c>
      <c r="V890" s="2" t="str">
        <f t="shared" si="40"/>
        <v/>
      </c>
      <c r="W890" s="2" t="str">
        <f t="shared" si="41"/>
        <v>通过</v>
      </c>
    </row>
    <row r="891" spans="1:23" ht="15">
      <c r="A891" s="2" t="str">
        <f>raw_order_lines!A891</f>
        <v>SIM-20260929-C001</v>
      </c>
      <c r="B891" s="2">
        <f>raw_order_lines!B891</f>
        <v>3</v>
      </c>
      <c r="C891" s="2" t="str">
        <f>raw_order_lines!C891</f>
        <v>C001</v>
      </c>
      <c r="D891" s="3">
        <f>raw_order_lines!D891</f>
        <v>46294</v>
      </c>
      <c r="E891" s="2" t="str">
        <f>raw_order_lines!E891</f>
        <v>P014</v>
      </c>
      <c r="F891" s="2" t="str">
        <f>raw_order_lines!F891</f>
        <v>公斤</v>
      </c>
      <c r="G891" s="4">
        <f>raw_order_lines!G891</f>
        <v>2.6</v>
      </c>
      <c r="H891" s="4">
        <f>raw_order_lines!H891</f>
        <v>2.6</v>
      </c>
      <c r="I891" s="4">
        <f>raw_order_lines!I891</f>
        <v>0</v>
      </c>
      <c r="J891" s="5">
        <f>raw_order_lines!J891</f>
        <v>4.8</v>
      </c>
      <c r="K891" s="2" t="str">
        <f>raw_order_lines!K891</f>
        <v>正常交付</v>
      </c>
      <c r="L891" s="2" t="str">
        <f>raw_order_lines!L891</f>
        <v>true</v>
      </c>
      <c r="M891" s="2" t="str">
        <f>INDEX(dim_products!$B$2:$B$21,MATCH($E891,dim_products!$A$2:$A$21,0))</f>
        <v>丝瓜</v>
      </c>
      <c r="N891" s="2" t="str">
        <f>INDEX(dim_products!$C$2:$C$21,MATCH($E891,dim_products!$A$2:$A$21,0))</f>
        <v>散装鲜菜</v>
      </c>
      <c r="O891" s="2" t="str">
        <f>INDEX(dim_customers!$B$2:$B$7,MATCH($C891,dim_customers!$A$2:$A$7,0))</f>
        <v>模拟_榕树下粉面店</v>
      </c>
      <c r="P891" s="6">
        <f>INT((ROUND(raw_order_lines!H891*10,0)*ROUND(raw_order_lines!J891*100,0)+5)/10)/100</f>
        <v>12.48</v>
      </c>
      <c r="Q891" s="6">
        <f>INT((ROUND(raw_order_lines!I891*10,0)*ROUND(raw_order_lines!J891*100,0)+5)/10)/100</f>
        <v>0</v>
      </c>
      <c r="R891" s="6">
        <f t="shared" si="39"/>
        <v>12.48</v>
      </c>
      <c r="S891" s="2" t="str">
        <f>IF(OR(ROUND(raw_order_lines!I891*10,0)&gt;ROUND(raw_order_lines!H891*10,0),ROUND(raw_order_lines!H891*10,0)&gt;ROUND(raw_order_lines!G891*10,0),ROUND(raw_order_lines!G891*10,0)&lt;=0),"数量关系异常","")</f>
        <v/>
      </c>
      <c r="T891" s="2" t="str">
        <f>IF($F891&lt;&gt;INDEX(dim_products!$D$2:$D$21,MATCH($E891,dim_products!$A$2:$A$21,0)),"单位不一致","")</f>
        <v/>
      </c>
      <c r="U891" s="2" t="str">
        <f>IF(OR(ROUND(raw_order_lines!J891*100,0)&lt;ROUND(INDEX(dim_products!$F$2:$F$21,MATCH($E891,dim_products!$A$2:$A$21,0))*100,0),ROUND(raw_order_lines!J891*100,0)&gt;ROUND(INDEX(dim_products!$G$2:$G$21,MATCH($E891,dim_products!$A$2:$A$21,0))*100,0)),"单价越界","")</f>
        <v/>
      </c>
      <c r="V891" s="2" t="str">
        <f t="shared" si="40"/>
        <v/>
      </c>
      <c r="W891" s="2" t="str">
        <f t="shared" si="41"/>
        <v>通过</v>
      </c>
    </row>
    <row r="892" spans="1:23" ht="15">
      <c r="A892" s="2" t="str">
        <f>raw_order_lines!A892</f>
        <v>SIM-20260929-C001</v>
      </c>
      <c r="B892" s="2">
        <f>raw_order_lines!B892</f>
        <v>4</v>
      </c>
      <c r="C892" s="2" t="str">
        <f>raw_order_lines!C892</f>
        <v>C001</v>
      </c>
      <c r="D892" s="3">
        <f>raw_order_lines!D892</f>
        <v>46294</v>
      </c>
      <c r="E892" s="2" t="str">
        <f>raw_order_lines!E892</f>
        <v>P005</v>
      </c>
      <c r="F892" s="2" t="str">
        <f>raw_order_lines!F892</f>
        <v>公斤</v>
      </c>
      <c r="G892" s="4">
        <f>raw_order_lines!G892</f>
        <v>2.6</v>
      </c>
      <c r="H892" s="4">
        <f>raw_order_lines!H892</f>
        <v>2.6</v>
      </c>
      <c r="I892" s="4">
        <f>raw_order_lines!I892</f>
        <v>0</v>
      </c>
      <c r="J892" s="5">
        <f>raw_order_lines!J892</f>
        <v>2.8</v>
      </c>
      <c r="K892" s="2" t="str">
        <f>raw_order_lines!K892</f>
        <v>正常交付</v>
      </c>
      <c r="L892" s="2" t="str">
        <f>raw_order_lines!L892</f>
        <v>true</v>
      </c>
      <c r="M892" s="2" t="str">
        <f>INDEX(dim_products!$B$2:$B$21,MATCH($E892,dim_products!$A$2:$A$21,0))</f>
        <v>南瓜</v>
      </c>
      <c r="N892" s="2" t="str">
        <f>INDEX(dim_products!$C$2:$C$21,MATCH($E892,dim_products!$A$2:$A$21,0))</f>
        <v>散装鲜菜</v>
      </c>
      <c r="O892" s="2" t="str">
        <f>INDEX(dim_customers!$B$2:$B$7,MATCH($C892,dim_customers!$A$2:$A$7,0))</f>
        <v>模拟_榕树下粉面店</v>
      </c>
      <c r="P892" s="6">
        <f>INT((ROUND(raw_order_lines!H892*10,0)*ROUND(raw_order_lines!J892*100,0)+5)/10)/100</f>
        <v>7.28</v>
      </c>
      <c r="Q892" s="6">
        <f>INT((ROUND(raw_order_lines!I892*10,0)*ROUND(raw_order_lines!J892*100,0)+5)/10)/100</f>
        <v>0</v>
      </c>
      <c r="R892" s="6">
        <f t="shared" si="39"/>
        <v>7.28</v>
      </c>
      <c r="S892" s="2" t="str">
        <f>IF(OR(ROUND(raw_order_lines!I892*10,0)&gt;ROUND(raw_order_lines!H892*10,0),ROUND(raw_order_lines!H892*10,0)&gt;ROUND(raw_order_lines!G892*10,0),ROUND(raw_order_lines!G892*10,0)&lt;=0),"数量关系异常","")</f>
        <v/>
      </c>
      <c r="T892" s="2" t="str">
        <f>IF($F892&lt;&gt;INDEX(dim_products!$D$2:$D$21,MATCH($E892,dim_products!$A$2:$A$21,0)),"单位不一致","")</f>
        <v/>
      </c>
      <c r="U892" s="2" t="str">
        <f>IF(OR(ROUND(raw_order_lines!J892*100,0)&lt;ROUND(INDEX(dim_products!$F$2:$F$21,MATCH($E892,dim_products!$A$2:$A$21,0))*100,0),ROUND(raw_order_lines!J892*100,0)&gt;ROUND(INDEX(dim_products!$G$2:$G$21,MATCH($E892,dim_products!$A$2:$A$21,0))*100,0)),"单价越界","")</f>
        <v/>
      </c>
      <c r="V892" s="2" t="str">
        <f t="shared" si="40"/>
        <v/>
      </c>
      <c r="W892" s="2" t="str">
        <f t="shared" si="41"/>
        <v>通过</v>
      </c>
    </row>
    <row r="893" spans="1:23" ht="15">
      <c r="A893" s="2" t="str">
        <f>raw_order_lines!A893</f>
        <v>SIM-20260929-C001</v>
      </c>
      <c r="B893" s="2">
        <f>raw_order_lines!B893</f>
        <v>5</v>
      </c>
      <c r="C893" s="2" t="str">
        <f>raw_order_lines!C893</f>
        <v>C001</v>
      </c>
      <c r="D893" s="3">
        <f>raw_order_lines!D893</f>
        <v>46294</v>
      </c>
      <c r="E893" s="2" t="str">
        <f>raw_order_lines!E893</f>
        <v>P016</v>
      </c>
      <c r="F893" s="2" t="str">
        <f>raw_order_lines!F893</f>
        <v>公斤</v>
      </c>
      <c r="G893" s="4">
        <f>raw_order_lines!G893</f>
        <v>3</v>
      </c>
      <c r="H893" s="4">
        <f>raw_order_lines!H893</f>
        <v>3</v>
      </c>
      <c r="I893" s="4">
        <f>raw_order_lines!I893</f>
        <v>0</v>
      </c>
      <c r="J893" s="5">
        <f>raw_order_lines!J893</f>
        <v>10.3</v>
      </c>
      <c r="K893" s="2" t="str">
        <f>raw_order_lines!K893</f>
        <v>正常交付</v>
      </c>
      <c r="L893" s="2" t="str">
        <f>raw_order_lines!L893</f>
        <v>true</v>
      </c>
      <c r="M893" s="2" t="str">
        <f>INDEX(dim_products!$B$2:$B$21,MATCH($E893,dim_products!$A$2:$A$21,0))</f>
        <v>鸡蛋</v>
      </c>
      <c r="N893" s="2" t="str">
        <f>INDEX(dim_products!$C$2:$C$21,MATCH($E893,dim_products!$A$2:$A$21,0))</f>
        <v>普通鲜鸡蛋按净重</v>
      </c>
      <c r="O893" s="2" t="str">
        <f>INDEX(dim_customers!$B$2:$B$7,MATCH($C893,dim_customers!$A$2:$A$7,0))</f>
        <v>模拟_榕树下粉面店</v>
      </c>
      <c r="P893" s="6">
        <f>INT((ROUND(raw_order_lines!H893*10,0)*ROUND(raw_order_lines!J893*100,0)+5)/10)/100</f>
        <v>30.9</v>
      </c>
      <c r="Q893" s="6">
        <f>INT((ROUND(raw_order_lines!I893*10,0)*ROUND(raw_order_lines!J893*100,0)+5)/10)/100</f>
        <v>0</v>
      </c>
      <c r="R893" s="6">
        <f t="shared" si="39"/>
        <v>30.9</v>
      </c>
      <c r="S893" s="2" t="str">
        <f>IF(OR(ROUND(raw_order_lines!I893*10,0)&gt;ROUND(raw_order_lines!H893*10,0),ROUND(raw_order_lines!H893*10,0)&gt;ROUND(raw_order_lines!G893*10,0),ROUND(raw_order_lines!G893*10,0)&lt;=0),"数量关系异常","")</f>
        <v/>
      </c>
      <c r="T893" s="2" t="str">
        <f>IF($F893&lt;&gt;INDEX(dim_products!$D$2:$D$21,MATCH($E893,dim_products!$A$2:$A$21,0)),"单位不一致","")</f>
        <v/>
      </c>
      <c r="U893" s="2" t="str">
        <f>IF(OR(ROUND(raw_order_lines!J893*100,0)&lt;ROUND(INDEX(dim_products!$F$2:$F$21,MATCH($E893,dim_products!$A$2:$A$21,0))*100,0),ROUND(raw_order_lines!J893*100,0)&gt;ROUND(INDEX(dim_products!$G$2:$G$21,MATCH($E893,dim_products!$A$2:$A$21,0))*100,0)),"单价越界","")</f>
        <v/>
      </c>
      <c r="V893" s="2" t="str">
        <f t="shared" si="40"/>
        <v/>
      </c>
      <c r="W893" s="2" t="str">
        <f t="shared" si="41"/>
        <v>通过</v>
      </c>
    </row>
    <row r="894" spans="1:23" ht="15">
      <c r="A894" s="2" t="str">
        <f>raw_order_lines!A894</f>
        <v>SIM-20260929-C001</v>
      </c>
      <c r="B894" s="2">
        <f>raw_order_lines!B894</f>
        <v>6</v>
      </c>
      <c r="C894" s="2" t="str">
        <f>raw_order_lines!C894</f>
        <v>C001</v>
      </c>
      <c r="D894" s="3">
        <f>raw_order_lines!D894</f>
        <v>46294</v>
      </c>
      <c r="E894" s="2" t="str">
        <f>raw_order_lines!E894</f>
        <v>P015</v>
      </c>
      <c r="F894" s="2" t="str">
        <f>raw_order_lines!F894</f>
        <v>公斤</v>
      </c>
      <c r="G894" s="4">
        <f>raw_order_lines!G894</f>
        <v>0.5</v>
      </c>
      <c r="H894" s="4">
        <f>raw_order_lines!H894</f>
        <v>0.5</v>
      </c>
      <c r="I894" s="4">
        <f>raw_order_lines!I894</f>
        <v>0</v>
      </c>
      <c r="J894" s="5">
        <f>raw_order_lines!J894</f>
        <v>7.7</v>
      </c>
      <c r="K894" s="2" t="str">
        <f>raw_order_lines!K894</f>
        <v>正常交付</v>
      </c>
      <c r="L894" s="2" t="str">
        <f>raw_order_lines!L894</f>
        <v>true</v>
      </c>
      <c r="M894" s="2" t="str">
        <f>INDEX(dim_products!$B$2:$B$21,MATCH($E894,dim_products!$A$2:$A$21,0))</f>
        <v>小葱</v>
      </c>
      <c r="N894" s="2" t="str">
        <f>INDEX(dim_products!$C$2:$C$21,MATCH($E894,dim_products!$A$2:$A$21,0))</f>
        <v>散装鲜菜</v>
      </c>
      <c r="O894" s="2" t="str">
        <f>INDEX(dim_customers!$B$2:$B$7,MATCH($C894,dim_customers!$A$2:$A$7,0))</f>
        <v>模拟_榕树下粉面店</v>
      </c>
      <c r="P894" s="6">
        <f>INT((ROUND(raw_order_lines!H894*10,0)*ROUND(raw_order_lines!J894*100,0)+5)/10)/100</f>
        <v>3.85</v>
      </c>
      <c r="Q894" s="6">
        <f>INT((ROUND(raw_order_lines!I894*10,0)*ROUND(raw_order_lines!J894*100,0)+5)/10)/100</f>
        <v>0</v>
      </c>
      <c r="R894" s="6">
        <f t="shared" si="39"/>
        <v>3.85</v>
      </c>
      <c r="S894" s="2" t="str">
        <f>IF(OR(ROUND(raw_order_lines!I894*10,0)&gt;ROUND(raw_order_lines!H894*10,0),ROUND(raw_order_lines!H894*10,0)&gt;ROUND(raw_order_lines!G894*10,0),ROUND(raw_order_lines!G894*10,0)&lt;=0),"数量关系异常","")</f>
        <v/>
      </c>
      <c r="T894" s="2" t="str">
        <f>IF($F894&lt;&gt;INDEX(dim_products!$D$2:$D$21,MATCH($E894,dim_products!$A$2:$A$21,0)),"单位不一致","")</f>
        <v/>
      </c>
      <c r="U894" s="2" t="str">
        <f>IF(OR(ROUND(raw_order_lines!J894*100,0)&lt;ROUND(INDEX(dim_products!$F$2:$F$21,MATCH($E894,dim_products!$A$2:$A$21,0))*100,0),ROUND(raw_order_lines!J894*100,0)&gt;ROUND(INDEX(dim_products!$G$2:$G$21,MATCH($E894,dim_products!$A$2:$A$21,0))*100,0)),"单价越界","")</f>
        <v/>
      </c>
      <c r="V894" s="2" t="str">
        <f t="shared" si="40"/>
        <v/>
      </c>
      <c r="W894" s="2" t="str">
        <f t="shared" si="41"/>
        <v>通过</v>
      </c>
    </row>
    <row r="895" spans="1:23" ht="15">
      <c r="A895" s="2" t="str">
        <f>raw_order_lines!A895</f>
        <v>SIM-20260929-C002</v>
      </c>
      <c r="B895" s="2">
        <f>raw_order_lines!B895</f>
        <v>1</v>
      </c>
      <c r="C895" s="2" t="str">
        <f>raw_order_lines!C895</f>
        <v>C002</v>
      </c>
      <c r="D895" s="3">
        <f>raw_order_lines!D895</f>
        <v>46294</v>
      </c>
      <c r="E895" s="2" t="str">
        <f>raw_order_lines!E895</f>
        <v>P010</v>
      </c>
      <c r="F895" s="2" t="str">
        <f>raw_order_lines!F895</f>
        <v>公斤</v>
      </c>
      <c r="G895" s="4">
        <f>raw_order_lines!G895</f>
        <v>6.1</v>
      </c>
      <c r="H895" s="4">
        <f>raw_order_lines!H895</f>
        <v>6.1</v>
      </c>
      <c r="I895" s="4">
        <f>raw_order_lines!I895</f>
        <v>0.5</v>
      </c>
      <c r="J895" s="5">
        <f>raw_order_lines!J895</f>
        <v>4.8</v>
      </c>
      <c r="K895" s="2" t="str">
        <f>raw_order_lines!K895</f>
        <v>正常交付；签收时挑出黄叶退回</v>
      </c>
      <c r="L895" s="2" t="str">
        <f>raw_order_lines!L895</f>
        <v>true</v>
      </c>
      <c r="M895" s="2" t="str">
        <f>INDEX(dim_products!$B$2:$B$21,MATCH($E895,dim_products!$A$2:$A$21,0))</f>
        <v>空心菜</v>
      </c>
      <c r="N895" s="2" t="str">
        <f>INDEX(dim_products!$C$2:$C$21,MATCH($E895,dim_products!$A$2:$A$21,0))</f>
        <v>散装鲜菜</v>
      </c>
      <c r="O895" s="2" t="str">
        <f>INDEX(dim_customers!$B$2:$B$7,MATCH($C895,dim_customers!$A$2:$A$7,0))</f>
        <v>模拟_桥头家常菜馆</v>
      </c>
      <c r="P895" s="6">
        <f>INT((ROUND(raw_order_lines!H895*10,0)*ROUND(raw_order_lines!J895*100,0)+5)/10)/100</f>
        <v>29.28</v>
      </c>
      <c r="Q895" s="6">
        <f>INT((ROUND(raw_order_lines!I895*10,0)*ROUND(raw_order_lines!J895*100,0)+5)/10)/100</f>
        <v>2.4</v>
      </c>
      <c r="R895" s="6">
        <f t="shared" si="39"/>
        <v>26.880000000000003</v>
      </c>
      <c r="S895" s="2" t="str">
        <f>IF(OR(ROUND(raw_order_lines!I895*10,0)&gt;ROUND(raw_order_lines!H895*10,0),ROUND(raw_order_lines!H895*10,0)&gt;ROUND(raw_order_lines!G895*10,0),ROUND(raw_order_lines!G895*10,0)&lt;=0),"数量关系异常","")</f>
        <v/>
      </c>
      <c r="T895" s="2" t="str">
        <f>IF($F895&lt;&gt;INDEX(dim_products!$D$2:$D$21,MATCH($E895,dim_products!$A$2:$A$21,0)),"单位不一致","")</f>
        <v/>
      </c>
      <c r="U895" s="2" t="str">
        <f>IF(OR(ROUND(raw_order_lines!J895*100,0)&lt;ROUND(INDEX(dim_products!$F$2:$F$21,MATCH($E895,dim_products!$A$2:$A$21,0))*100,0),ROUND(raw_order_lines!J895*100,0)&gt;ROUND(INDEX(dim_products!$G$2:$G$21,MATCH($E895,dim_products!$A$2:$A$21,0))*100,0)),"单价越界","")</f>
        <v/>
      </c>
      <c r="V895" s="2" t="str">
        <f t="shared" si="40"/>
        <v/>
      </c>
      <c r="W895" s="2" t="str">
        <f t="shared" si="41"/>
        <v>通过</v>
      </c>
    </row>
    <row r="896" spans="1:23" ht="15">
      <c r="A896" s="2" t="str">
        <f>raw_order_lines!A896</f>
        <v>SIM-20260929-C002</v>
      </c>
      <c r="B896" s="2">
        <f>raw_order_lines!B896</f>
        <v>2</v>
      </c>
      <c r="C896" s="2" t="str">
        <f>raw_order_lines!C896</f>
        <v>C002</v>
      </c>
      <c r="D896" s="3">
        <f>raw_order_lines!D896</f>
        <v>46294</v>
      </c>
      <c r="E896" s="2" t="str">
        <f>raw_order_lines!E896</f>
        <v>P007</v>
      </c>
      <c r="F896" s="2" t="str">
        <f>raw_order_lines!F896</f>
        <v>公斤</v>
      </c>
      <c r="G896" s="4">
        <f>raw_order_lines!G896</f>
        <v>3.9</v>
      </c>
      <c r="H896" s="4">
        <f>raw_order_lines!H896</f>
        <v>3.9</v>
      </c>
      <c r="I896" s="4">
        <f>raw_order_lines!I896</f>
        <v>0</v>
      </c>
      <c r="J896" s="5">
        <f>raw_order_lines!J896</f>
        <v>5.25</v>
      </c>
      <c r="K896" s="2" t="str">
        <f>raw_order_lines!K896</f>
        <v>正常交付</v>
      </c>
      <c r="L896" s="2" t="str">
        <f>raw_order_lines!L896</f>
        <v>true</v>
      </c>
      <c r="M896" s="2" t="str">
        <f>INDEX(dim_products!$B$2:$B$21,MATCH($E896,dim_products!$A$2:$A$21,0))</f>
        <v>青椒</v>
      </c>
      <c r="N896" s="2" t="str">
        <f>INDEX(dim_products!$C$2:$C$21,MATCH($E896,dim_products!$A$2:$A$21,0))</f>
        <v>散装鲜菜</v>
      </c>
      <c r="O896" s="2" t="str">
        <f>INDEX(dim_customers!$B$2:$B$7,MATCH($C896,dim_customers!$A$2:$A$7,0))</f>
        <v>模拟_桥头家常菜馆</v>
      </c>
      <c r="P896" s="6">
        <f>INT((ROUND(raw_order_lines!H896*10,0)*ROUND(raw_order_lines!J896*100,0)+5)/10)/100</f>
        <v>20.48</v>
      </c>
      <c r="Q896" s="6">
        <f>INT((ROUND(raw_order_lines!I896*10,0)*ROUND(raw_order_lines!J896*100,0)+5)/10)/100</f>
        <v>0</v>
      </c>
      <c r="R896" s="6">
        <f t="shared" si="39"/>
        <v>20.48</v>
      </c>
      <c r="S896" s="2" t="str">
        <f>IF(OR(ROUND(raw_order_lines!I896*10,0)&gt;ROUND(raw_order_lines!H896*10,0),ROUND(raw_order_lines!H896*10,0)&gt;ROUND(raw_order_lines!G896*10,0),ROUND(raw_order_lines!G896*10,0)&lt;=0),"数量关系异常","")</f>
        <v/>
      </c>
      <c r="T896" s="2" t="str">
        <f>IF($F896&lt;&gt;INDEX(dim_products!$D$2:$D$21,MATCH($E896,dim_products!$A$2:$A$21,0)),"单位不一致","")</f>
        <v/>
      </c>
      <c r="U896" s="2" t="str">
        <f>IF(OR(ROUND(raw_order_lines!J896*100,0)&lt;ROUND(INDEX(dim_products!$F$2:$F$21,MATCH($E896,dim_products!$A$2:$A$21,0))*100,0),ROUND(raw_order_lines!J896*100,0)&gt;ROUND(INDEX(dim_products!$G$2:$G$21,MATCH($E896,dim_products!$A$2:$A$21,0))*100,0)),"单价越界","")</f>
        <v/>
      </c>
      <c r="V896" s="2" t="str">
        <f t="shared" si="40"/>
        <v/>
      </c>
      <c r="W896" s="2" t="str">
        <f t="shared" si="41"/>
        <v>通过</v>
      </c>
    </row>
    <row r="897" spans="1:23" ht="15">
      <c r="A897" s="2" t="str">
        <f>raw_order_lines!A897</f>
        <v>SIM-20260929-C002</v>
      </c>
      <c r="B897" s="2">
        <f>raw_order_lines!B897</f>
        <v>3</v>
      </c>
      <c r="C897" s="2" t="str">
        <f>raw_order_lines!C897</f>
        <v>C002</v>
      </c>
      <c r="D897" s="3">
        <f>raw_order_lines!D897</f>
        <v>46294</v>
      </c>
      <c r="E897" s="2" t="str">
        <f>raw_order_lines!E897</f>
        <v>P006</v>
      </c>
      <c r="F897" s="2" t="str">
        <f>raw_order_lines!F897</f>
        <v>公斤</v>
      </c>
      <c r="G897" s="4">
        <f>raw_order_lines!G897</f>
        <v>7</v>
      </c>
      <c r="H897" s="4">
        <f>raw_order_lines!H897</f>
        <v>7</v>
      </c>
      <c r="I897" s="4">
        <f>raw_order_lines!I897</f>
        <v>0</v>
      </c>
      <c r="J897" s="5">
        <f>raw_order_lines!J897</f>
        <v>4.5</v>
      </c>
      <c r="K897" s="2" t="str">
        <f>raw_order_lines!K897</f>
        <v>正常交付</v>
      </c>
      <c r="L897" s="2" t="str">
        <f>raw_order_lines!L897</f>
        <v>true</v>
      </c>
      <c r="M897" s="2" t="str">
        <f>INDEX(dim_products!$B$2:$B$21,MATCH($E897,dim_products!$A$2:$A$21,0))</f>
        <v>茄子</v>
      </c>
      <c r="N897" s="2" t="str">
        <f>INDEX(dim_products!$C$2:$C$21,MATCH($E897,dim_products!$A$2:$A$21,0))</f>
        <v>散装鲜菜</v>
      </c>
      <c r="O897" s="2" t="str">
        <f>INDEX(dim_customers!$B$2:$B$7,MATCH($C897,dim_customers!$A$2:$A$7,0))</f>
        <v>模拟_桥头家常菜馆</v>
      </c>
      <c r="P897" s="6">
        <f>INT((ROUND(raw_order_lines!H897*10,0)*ROUND(raw_order_lines!J897*100,0)+5)/10)/100</f>
        <v>31.5</v>
      </c>
      <c r="Q897" s="6">
        <f>INT((ROUND(raw_order_lines!I897*10,0)*ROUND(raw_order_lines!J897*100,0)+5)/10)/100</f>
        <v>0</v>
      </c>
      <c r="R897" s="6">
        <f t="shared" si="39"/>
        <v>31.5</v>
      </c>
      <c r="S897" s="2" t="str">
        <f>IF(OR(ROUND(raw_order_lines!I897*10,0)&gt;ROUND(raw_order_lines!H897*10,0),ROUND(raw_order_lines!H897*10,0)&gt;ROUND(raw_order_lines!G897*10,0),ROUND(raw_order_lines!G897*10,0)&lt;=0),"数量关系异常","")</f>
        <v/>
      </c>
      <c r="T897" s="2" t="str">
        <f>IF($F897&lt;&gt;INDEX(dim_products!$D$2:$D$21,MATCH($E897,dim_products!$A$2:$A$21,0)),"单位不一致","")</f>
        <v/>
      </c>
      <c r="U897" s="2" t="str">
        <f>IF(OR(ROUND(raw_order_lines!J897*100,0)&lt;ROUND(INDEX(dim_products!$F$2:$F$21,MATCH($E897,dim_products!$A$2:$A$21,0))*100,0),ROUND(raw_order_lines!J897*100,0)&gt;ROUND(INDEX(dim_products!$G$2:$G$21,MATCH($E897,dim_products!$A$2:$A$21,0))*100,0)),"单价越界","")</f>
        <v/>
      </c>
      <c r="V897" s="2" t="str">
        <f t="shared" si="40"/>
        <v/>
      </c>
      <c r="W897" s="2" t="str">
        <f t="shared" si="41"/>
        <v>通过</v>
      </c>
    </row>
    <row r="898" spans="1:23" ht="15">
      <c r="A898" s="2" t="str">
        <f>raw_order_lines!A898</f>
        <v>SIM-20260929-C002</v>
      </c>
      <c r="B898" s="2">
        <f>raw_order_lines!B898</f>
        <v>4</v>
      </c>
      <c r="C898" s="2" t="str">
        <f>raw_order_lines!C898</f>
        <v>C002</v>
      </c>
      <c r="D898" s="3">
        <f>raw_order_lines!D898</f>
        <v>46294</v>
      </c>
      <c r="E898" s="2" t="str">
        <f>raw_order_lines!E898</f>
        <v>P013</v>
      </c>
      <c r="F898" s="2" t="str">
        <f>raw_order_lines!F898</f>
        <v>公斤</v>
      </c>
      <c r="G898" s="4">
        <f>raw_order_lines!G898</f>
        <v>6.1</v>
      </c>
      <c r="H898" s="4">
        <f>raw_order_lines!H898</f>
        <v>5.9</v>
      </c>
      <c r="I898" s="4">
        <f>raw_order_lines!I898</f>
        <v>0</v>
      </c>
      <c r="J898" s="5">
        <f>raw_order_lines!J898</f>
        <v>6.3</v>
      </c>
      <c r="K898" s="2" t="str">
        <f>raw_order_lines!K898</f>
        <v>到货不足；按实际交付计费</v>
      </c>
      <c r="L898" s="2" t="str">
        <f>raw_order_lines!L898</f>
        <v>true</v>
      </c>
      <c r="M898" s="2" t="str">
        <f>INDEX(dim_products!$B$2:$B$21,MATCH($E898,dim_products!$A$2:$A$21,0))</f>
        <v>豇豆</v>
      </c>
      <c r="N898" s="2" t="str">
        <f>INDEX(dim_products!$C$2:$C$21,MATCH($E898,dim_products!$A$2:$A$21,0))</f>
        <v>散装鲜菜</v>
      </c>
      <c r="O898" s="2" t="str">
        <f>INDEX(dim_customers!$B$2:$B$7,MATCH($C898,dim_customers!$A$2:$A$7,0))</f>
        <v>模拟_桥头家常菜馆</v>
      </c>
      <c r="P898" s="6">
        <f>INT((ROUND(raw_order_lines!H898*10,0)*ROUND(raw_order_lines!J898*100,0)+5)/10)/100</f>
        <v>37.17</v>
      </c>
      <c r="Q898" s="6">
        <f>INT((ROUND(raw_order_lines!I898*10,0)*ROUND(raw_order_lines!J898*100,0)+5)/10)/100</f>
        <v>0</v>
      </c>
      <c r="R898" s="6">
        <f t="shared" ref="R898:R961" si="42">$P898-$Q898</f>
        <v>37.17</v>
      </c>
      <c r="S898" s="2" t="str">
        <f>IF(OR(ROUND(raw_order_lines!I898*10,0)&gt;ROUND(raw_order_lines!H898*10,0),ROUND(raw_order_lines!H898*10,0)&gt;ROUND(raw_order_lines!G898*10,0),ROUND(raw_order_lines!G898*10,0)&lt;=0),"数量关系异常","")</f>
        <v/>
      </c>
      <c r="T898" s="2" t="str">
        <f>IF($F898&lt;&gt;INDEX(dim_products!$D$2:$D$21,MATCH($E898,dim_products!$A$2:$A$21,0)),"单位不一致","")</f>
        <v/>
      </c>
      <c r="U898" s="2" t="str">
        <f>IF(OR(ROUND(raw_order_lines!J898*100,0)&lt;ROUND(INDEX(dim_products!$F$2:$F$21,MATCH($E898,dim_products!$A$2:$A$21,0))*100,0),ROUND(raw_order_lines!J898*100,0)&gt;ROUND(INDEX(dim_products!$G$2:$G$21,MATCH($E898,dim_products!$A$2:$A$21,0))*100,0)),"单价越界","")</f>
        <v/>
      </c>
      <c r="V898" s="2" t="str">
        <f t="shared" ref="V898:V961" si="43">IF(COUNTIFS($A$2:$A$967,$A898,$B$2:$B$967,$B898)&gt;1,"主键重复","")</f>
        <v/>
      </c>
      <c r="W898" s="2" t="str">
        <f t="shared" ref="W898:W961" si="44">IF(COUNTIF($S898:$T898,"?*")+COUNTIF($V898:$V898,"?*")&gt;0,"阻断",IF(COUNTIF($U898:$U898,"?*")&gt;0,"提示","通过"))</f>
        <v>通过</v>
      </c>
    </row>
    <row r="899" spans="1:23" ht="15">
      <c r="A899" s="2" t="str">
        <f>raw_order_lines!A899</f>
        <v>SIM-20260929-C002</v>
      </c>
      <c r="B899" s="2">
        <f>raw_order_lines!B899</f>
        <v>5</v>
      </c>
      <c r="C899" s="2" t="str">
        <f>raw_order_lines!C899</f>
        <v>C002</v>
      </c>
      <c r="D899" s="3">
        <f>raw_order_lines!D899</f>
        <v>46294</v>
      </c>
      <c r="E899" s="2" t="str">
        <f>raw_order_lines!E899</f>
        <v>P009</v>
      </c>
      <c r="F899" s="2" t="str">
        <f>raw_order_lines!F899</f>
        <v>公斤</v>
      </c>
      <c r="G899" s="4">
        <f>raw_order_lines!G899</f>
        <v>4.4000000000000004</v>
      </c>
      <c r="H899" s="4">
        <f>raw_order_lines!H899</f>
        <v>4.4000000000000004</v>
      </c>
      <c r="I899" s="4">
        <f>raw_order_lines!I899</f>
        <v>0</v>
      </c>
      <c r="J899" s="5">
        <f>raw_order_lines!J899</f>
        <v>4.8</v>
      </c>
      <c r="K899" s="2" t="str">
        <f>raw_order_lines!K899</f>
        <v>正常交付</v>
      </c>
      <c r="L899" s="2" t="str">
        <f>raw_order_lines!L899</f>
        <v>true</v>
      </c>
      <c r="M899" s="2" t="str">
        <f>INDEX(dim_products!$B$2:$B$21,MATCH($E899,dim_products!$A$2:$A$21,0))</f>
        <v>西红柿</v>
      </c>
      <c r="N899" s="2" t="str">
        <f>INDEX(dim_products!$C$2:$C$21,MATCH($E899,dim_products!$A$2:$A$21,0))</f>
        <v>散装鲜菜</v>
      </c>
      <c r="O899" s="2" t="str">
        <f>INDEX(dim_customers!$B$2:$B$7,MATCH($C899,dim_customers!$A$2:$A$7,0))</f>
        <v>模拟_桥头家常菜馆</v>
      </c>
      <c r="P899" s="6">
        <f>INT((ROUND(raw_order_lines!H899*10,0)*ROUND(raw_order_lines!J899*100,0)+5)/10)/100</f>
        <v>21.12</v>
      </c>
      <c r="Q899" s="6">
        <f>INT((ROUND(raw_order_lines!I899*10,0)*ROUND(raw_order_lines!J899*100,0)+5)/10)/100</f>
        <v>0</v>
      </c>
      <c r="R899" s="6">
        <f t="shared" si="42"/>
        <v>21.12</v>
      </c>
      <c r="S899" s="2" t="str">
        <f>IF(OR(ROUND(raw_order_lines!I899*10,0)&gt;ROUND(raw_order_lines!H899*10,0),ROUND(raw_order_lines!H899*10,0)&gt;ROUND(raw_order_lines!G899*10,0),ROUND(raw_order_lines!G899*10,0)&lt;=0),"数量关系异常","")</f>
        <v/>
      </c>
      <c r="T899" s="2" t="str">
        <f>IF($F899&lt;&gt;INDEX(dim_products!$D$2:$D$21,MATCH($E899,dim_products!$A$2:$A$21,0)),"单位不一致","")</f>
        <v/>
      </c>
      <c r="U899" s="2" t="str">
        <f>IF(OR(ROUND(raw_order_lines!J899*100,0)&lt;ROUND(INDEX(dim_products!$F$2:$F$21,MATCH($E899,dim_products!$A$2:$A$21,0))*100,0),ROUND(raw_order_lines!J899*100,0)&gt;ROUND(INDEX(dim_products!$G$2:$G$21,MATCH($E899,dim_products!$A$2:$A$21,0))*100,0)),"单价越界","")</f>
        <v/>
      </c>
      <c r="V899" s="2" t="str">
        <f t="shared" si="43"/>
        <v/>
      </c>
      <c r="W899" s="2" t="str">
        <f t="shared" si="44"/>
        <v>通过</v>
      </c>
    </row>
    <row r="900" spans="1:23" ht="15">
      <c r="A900" s="2" t="str">
        <f>raw_order_lines!A900</f>
        <v>SIM-20260929-C002</v>
      </c>
      <c r="B900" s="2">
        <f>raw_order_lines!B900</f>
        <v>6</v>
      </c>
      <c r="C900" s="2" t="str">
        <f>raw_order_lines!C900</f>
        <v>C002</v>
      </c>
      <c r="D900" s="3">
        <f>raw_order_lines!D900</f>
        <v>46294</v>
      </c>
      <c r="E900" s="2" t="str">
        <f>raw_order_lines!E900</f>
        <v>P016</v>
      </c>
      <c r="F900" s="2" t="str">
        <f>raw_order_lines!F900</f>
        <v>公斤</v>
      </c>
      <c r="G900" s="4">
        <f>raw_order_lines!G900</f>
        <v>4</v>
      </c>
      <c r="H900" s="4">
        <f>raw_order_lines!H900</f>
        <v>4</v>
      </c>
      <c r="I900" s="4">
        <f>raw_order_lines!I900</f>
        <v>0</v>
      </c>
      <c r="J900" s="5">
        <f>raw_order_lines!J900</f>
        <v>10.3</v>
      </c>
      <c r="K900" s="2" t="str">
        <f>raw_order_lines!K900</f>
        <v>正常交付</v>
      </c>
      <c r="L900" s="2" t="str">
        <f>raw_order_lines!L900</f>
        <v>true</v>
      </c>
      <c r="M900" s="2" t="str">
        <f>INDEX(dim_products!$B$2:$B$21,MATCH($E900,dim_products!$A$2:$A$21,0))</f>
        <v>鸡蛋</v>
      </c>
      <c r="N900" s="2" t="str">
        <f>INDEX(dim_products!$C$2:$C$21,MATCH($E900,dim_products!$A$2:$A$21,0))</f>
        <v>普通鲜鸡蛋按净重</v>
      </c>
      <c r="O900" s="2" t="str">
        <f>INDEX(dim_customers!$B$2:$B$7,MATCH($C900,dim_customers!$A$2:$A$7,0))</f>
        <v>模拟_桥头家常菜馆</v>
      </c>
      <c r="P900" s="6">
        <f>INT((ROUND(raw_order_lines!H900*10,0)*ROUND(raw_order_lines!J900*100,0)+5)/10)/100</f>
        <v>41.2</v>
      </c>
      <c r="Q900" s="6">
        <f>INT((ROUND(raw_order_lines!I900*10,0)*ROUND(raw_order_lines!J900*100,0)+5)/10)/100</f>
        <v>0</v>
      </c>
      <c r="R900" s="6">
        <f t="shared" si="42"/>
        <v>41.2</v>
      </c>
      <c r="S900" s="2" t="str">
        <f>IF(OR(ROUND(raw_order_lines!I900*10,0)&gt;ROUND(raw_order_lines!H900*10,0),ROUND(raw_order_lines!H900*10,0)&gt;ROUND(raw_order_lines!G900*10,0),ROUND(raw_order_lines!G900*10,0)&lt;=0),"数量关系异常","")</f>
        <v/>
      </c>
      <c r="T900" s="2" t="str">
        <f>IF($F900&lt;&gt;INDEX(dim_products!$D$2:$D$21,MATCH($E900,dim_products!$A$2:$A$21,0)),"单位不一致","")</f>
        <v/>
      </c>
      <c r="U900" s="2" t="str">
        <f>IF(OR(ROUND(raw_order_lines!J900*100,0)&lt;ROUND(INDEX(dim_products!$F$2:$F$21,MATCH($E900,dim_products!$A$2:$A$21,0))*100,0),ROUND(raw_order_lines!J900*100,0)&gt;ROUND(INDEX(dim_products!$G$2:$G$21,MATCH($E900,dim_products!$A$2:$A$21,0))*100,0)),"单价越界","")</f>
        <v/>
      </c>
      <c r="V900" s="2" t="str">
        <f t="shared" si="43"/>
        <v/>
      </c>
      <c r="W900" s="2" t="str">
        <f t="shared" si="44"/>
        <v>通过</v>
      </c>
    </row>
    <row r="901" spans="1:23" ht="15">
      <c r="A901" s="2" t="str">
        <f>raw_order_lines!A901</f>
        <v>SIM-20260929-C002</v>
      </c>
      <c r="B901" s="2">
        <f>raw_order_lines!B901</f>
        <v>7</v>
      </c>
      <c r="C901" s="2" t="str">
        <f>raw_order_lines!C901</f>
        <v>C002</v>
      </c>
      <c r="D901" s="3">
        <f>raw_order_lines!D901</f>
        <v>46294</v>
      </c>
      <c r="E901" s="2" t="str">
        <f>raw_order_lines!E901</f>
        <v>P015</v>
      </c>
      <c r="F901" s="2" t="str">
        <f>raw_order_lines!F901</f>
        <v>公斤</v>
      </c>
      <c r="G901" s="4">
        <f>raw_order_lines!G901</f>
        <v>1</v>
      </c>
      <c r="H901" s="4">
        <f>raw_order_lines!H901</f>
        <v>1</v>
      </c>
      <c r="I901" s="4">
        <f>raw_order_lines!I901</f>
        <v>0</v>
      </c>
      <c r="J901" s="5">
        <f>raw_order_lines!J901</f>
        <v>7.7</v>
      </c>
      <c r="K901" s="2" t="str">
        <f>raw_order_lines!K901</f>
        <v>正常交付</v>
      </c>
      <c r="L901" s="2" t="str">
        <f>raw_order_lines!L901</f>
        <v>true</v>
      </c>
      <c r="M901" s="2" t="str">
        <f>INDEX(dim_products!$B$2:$B$21,MATCH($E901,dim_products!$A$2:$A$21,0))</f>
        <v>小葱</v>
      </c>
      <c r="N901" s="2" t="str">
        <f>INDEX(dim_products!$C$2:$C$21,MATCH($E901,dim_products!$A$2:$A$21,0))</f>
        <v>散装鲜菜</v>
      </c>
      <c r="O901" s="2" t="str">
        <f>INDEX(dim_customers!$B$2:$B$7,MATCH($C901,dim_customers!$A$2:$A$7,0))</f>
        <v>模拟_桥头家常菜馆</v>
      </c>
      <c r="P901" s="6">
        <f>INT((ROUND(raw_order_lines!H901*10,0)*ROUND(raw_order_lines!J901*100,0)+5)/10)/100</f>
        <v>7.7</v>
      </c>
      <c r="Q901" s="6">
        <f>INT((ROUND(raw_order_lines!I901*10,0)*ROUND(raw_order_lines!J901*100,0)+5)/10)/100</f>
        <v>0</v>
      </c>
      <c r="R901" s="6">
        <f t="shared" si="42"/>
        <v>7.7</v>
      </c>
      <c r="S901" s="2" t="str">
        <f>IF(OR(ROUND(raw_order_lines!I901*10,0)&gt;ROUND(raw_order_lines!H901*10,0),ROUND(raw_order_lines!H901*10,0)&gt;ROUND(raw_order_lines!G901*10,0),ROUND(raw_order_lines!G901*10,0)&lt;=0),"数量关系异常","")</f>
        <v/>
      </c>
      <c r="T901" s="2" t="str">
        <f>IF($F901&lt;&gt;INDEX(dim_products!$D$2:$D$21,MATCH($E901,dim_products!$A$2:$A$21,0)),"单位不一致","")</f>
        <v/>
      </c>
      <c r="U901" s="2" t="str">
        <f>IF(OR(ROUND(raw_order_lines!J901*100,0)&lt;ROUND(INDEX(dim_products!$F$2:$F$21,MATCH($E901,dim_products!$A$2:$A$21,0))*100,0),ROUND(raw_order_lines!J901*100,0)&gt;ROUND(INDEX(dim_products!$G$2:$G$21,MATCH($E901,dim_products!$A$2:$A$21,0))*100,0)),"单价越界","")</f>
        <v/>
      </c>
      <c r="V901" s="2" t="str">
        <f t="shared" si="43"/>
        <v/>
      </c>
      <c r="W901" s="2" t="str">
        <f t="shared" si="44"/>
        <v>通过</v>
      </c>
    </row>
    <row r="902" spans="1:23" ht="15">
      <c r="A902" s="2" t="str">
        <f>raw_order_lines!A902</f>
        <v>SIM-20260929-C003</v>
      </c>
      <c r="B902" s="2">
        <f>raw_order_lines!B902</f>
        <v>1</v>
      </c>
      <c r="C902" s="2" t="str">
        <f>raw_order_lines!C902</f>
        <v>C003</v>
      </c>
      <c r="D902" s="3">
        <f>raw_order_lines!D902</f>
        <v>46294</v>
      </c>
      <c r="E902" s="2" t="str">
        <f>raw_order_lines!E902</f>
        <v>P011</v>
      </c>
      <c r="F902" s="2" t="str">
        <f>raw_order_lines!F902</f>
        <v>公斤</v>
      </c>
      <c r="G902" s="4">
        <f>raw_order_lines!G902</f>
        <v>5.3</v>
      </c>
      <c r="H902" s="4">
        <f>raw_order_lines!H902</f>
        <v>5.3</v>
      </c>
      <c r="I902" s="4">
        <f>raw_order_lines!I902</f>
        <v>0</v>
      </c>
      <c r="J902" s="5">
        <f>raw_order_lines!J902</f>
        <v>4.8</v>
      </c>
      <c r="K902" s="2" t="str">
        <f>raw_order_lines!K902</f>
        <v>正常交付</v>
      </c>
      <c r="L902" s="2" t="str">
        <f>raw_order_lines!L902</f>
        <v>true</v>
      </c>
      <c r="M902" s="2" t="str">
        <f>INDEX(dim_products!$B$2:$B$21,MATCH($E902,dim_products!$A$2:$A$21,0))</f>
        <v>红薯叶</v>
      </c>
      <c r="N902" s="2" t="str">
        <f>INDEX(dim_products!$C$2:$C$21,MATCH($E902,dim_products!$A$2:$A$21,0))</f>
        <v>散装鲜菜</v>
      </c>
      <c r="O902" s="2" t="str">
        <f>INDEX(dim_customers!$B$2:$B$7,MATCH($C902,dim_customers!$A$2:$A$7,0))</f>
        <v>模拟_兴街快餐店</v>
      </c>
      <c r="P902" s="6">
        <f>INT((ROUND(raw_order_lines!H902*10,0)*ROUND(raw_order_lines!J902*100,0)+5)/10)/100</f>
        <v>25.44</v>
      </c>
      <c r="Q902" s="6">
        <f>INT((ROUND(raw_order_lines!I902*10,0)*ROUND(raw_order_lines!J902*100,0)+5)/10)/100</f>
        <v>0</v>
      </c>
      <c r="R902" s="6">
        <f t="shared" si="42"/>
        <v>25.44</v>
      </c>
      <c r="S902" s="2" t="str">
        <f>IF(OR(ROUND(raw_order_lines!I902*10,0)&gt;ROUND(raw_order_lines!H902*10,0),ROUND(raw_order_lines!H902*10,0)&gt;ROUND(raw_order_lines!G902*10,0),ROUND(raw_order_lines!G902*10,0)&lt;=0),"数量关系异常","")</f>
        <v/>
      </c>
      <c r="T902" s="2" t="str">
        <f>IF($F902&lt;&gt;INDEX(dim_products!$D$2:$D$21,MATCH($E902,dim_products!$A$2:$A$21,0)),"单位不一致","")</f>
        <v/>
      </c>
      <c r="U902" s="2" t="str">
        <f>IF(OR(ROUND(raw_order_lines!J902*100,0)&lt;ROUND(INDEX(dim_products!$F$2:$F$21,MATCH($E902,dim_products!$A$2:$A$21,0))*100,0),ROUND(raw_order_lines!J902*100,0)&gt;ROUND(INDEX(dim_products!$G$2:$G$21,MATCH($E902,dim_products!$A$2:$A$21,0))*100,0)),"单价越界","")</f>
        <v/>
      </c>
      <c r="V902" s="2" t="str">
        <f t="shared" si="43"/>
        <v/>
      </c>
      <c r="W902" s="2" t="str">
        <f t="shared" si="44"/>
        <v>通过</v>
      </c>
    </row>
    <row r="903" spans="1:23" ht="15">
      <c r="A903" s="2" t="str">
        <f>raw_order_lines!A903</f>
        <v>SIM-20260929-C003</v>
      </c>
      <c r="B903" s="2">
        <f>raw_order_lines!B903</f>
        <v>2</v>
      </c>
      <c r="C903" s="2" t="str">
        <f>raw_order_lines!C903</f>
        <v>C003</v>
      </c>
      <c r="D903" s="3">
        <f>raw_order_lines!D903</f>
        <v>46294</v>
      </c>
      <c r="E903" s="2" t="str">
        <f>raw_order_lines!E903</f>
        <v>P014</v>
      </c>
      <c r="F903" s="2" t="str">
        <f>raw_order_lines!F903</f>
        <v>公斤</v>
      </c>
      <c r="G903" s="4">
        <f>raw_order_lines!G903</f>
        <v>10.5</v>
      </c>
      <c r="H903" s="4">
        <f>raw_order_lines!H903</f>
        <v>10.199999999999999</v>
      </c>
      <c r="I903" s="4">
        <f>raw_order_lines!I903</f>
        <v>0</v>
      </c>
      <c r="J903" s="5">
        <f>raw_order_lines!J903</f>
        <v>4.8</v>
      </c>
      <c r="K903" s="2" t="str">
        <f>raw_order_lines!K903</f>
        <v>到货不足；按实际交付计费</v>
      </c>
      <c r="L903" s="2" t="str">
        <f>raw_order_lines!L903</f>
        <v>true</v>
      </c>
      <c r="M903" s="2" t="str">
        <f>INDEX(dim_products!$B$2:$B$21,MATCH($E903,dim_products!$A$2:$A$21,0))</f>
        <v>丝瓜</v>
      </c>
      <c r="N903" s="2" t="str">
        <f>INDEX(dim_products!$C$2:$C$21,MATCH($E903,dim_products!$A$2:$A$21,0))</f>
        <v>散装鲜菜</v>
      </c>
      <c r="O903" s="2" t="str">
        <f>INDEX(dim_customers!$B$2:$B$7,MATCH($C903,dim_customers!$A$2:$A$7,0))</f>
        <v>模拟_兴街快餐店</v>
      </c>
      <c r="P903" s="6">
        <f>INT((ROUND(raw_order_lines!H903*10,0)*ROUND(raw_order_lines!J903*100,0)+5)/10)/100</f>
        <v>48.96</v>
      </c>
      <c r="Q903" s="6">
        <f>INT((ROUND(raw_order_lines!I903*10,0)*ROUND(raw_order_lines!J903*100,0)+5)/10)/100</f>
        <v>0</v>
      </c>
      <c r="R903" s="6">
        <f t="shared" si="42"/>
        <v>48.96</v>
      </c>
      <c r="S903" s="2" t="str">
        <f>IF(OR(ROUND(raw_order_lines!I903*10,0)&gt;ROUND(raw_order_lines!H903*10,0),ROUND(raw_order_lines!H903*10,0)&gt;ROUND(raw_order_lines!G903*10,0),ROUND(raw_order_lines!G903*10,0)&lt;=0),"数量关系异常","")</f>
        <v/>
      </c>
      <c r="T903" s="2" t="str">
        <f>IF($F903&lt;&gt;INDEX(dim_products!$D$2:$D$21,MATCH($E903,dim_products!$A$2:$A$21,0)),"单位不一致","")</f>
        <v/>
      </c>
      <c r="U903" s="2" t="str">
        <f>IF(OR(ROUND(raw_order_lines!J903*100,0)&lt;ROUND(INDEX(dim_products!$F$2:$F$21,MATCH($E903,dim_products!$A$2:$A$21,0))*100,0),ROUND(raw_order_lines!J903*100,0)&gt;ROUND(INDEX(dim_products!$G$2:$G$21,MATCH($E903,dim_products!$A$2:$A$21,0))*100,0)),"单价越界","")</f>
        <v/>
      </c>
      <c r="V903" s="2" t="str">
        <f t="shared" si="43"/>
        <v/>
      </c>
      <c r="W903" s="2" t="str">
        <f t="shared" si="44"/>
        <v>通过</v>
      </c>
    </row>
    <row r="904" spans="1:23" ht="15">
      <c r="A904" s="2" t="str">
        <f>raw_order_lines!A904</f>
        <v>SIM-20260929-C003</v>
      </c>
      <c r="B904" s="2">
        <f>raw_order_lines!B904</f>
        <v>3</v>
      </c>
      <c r="C904" s="2" t="str">
        <f>raw_order_lines!C904</f>
        <v>C003</v>
      </c>
      <c r="D904" s="3">
        <f>raw_order_lines!D904</f>
        <v>46294</v>
      </c>
      <c r="E904" s="2" t="str">
        <f>raw_order_lines!E904</f>
        <v>P007</v>
      </c>
      <c r="F904" s="2" t="str">
        <f>raw_order_lines!F904</f>
        <v>公斤</v>
      </c>
      <c r="G904" s="4">
        <f>raw_order_lines!G904</f>
        <v>9.1999999999999993</v>
      </c>
      <c r="H904" s="4">
        <f>raw_order_lines!H904</f>
        <v>9.1999999999999993</v>
      </c>
      <c r="I904" s="4">
        <f>raw_order_lines!I904</f>
        <v>0</v>
      </c>
      <c r="J904" s="5">
        <f>raw_order_lines!J904</f>
        <v>5.25</v>
      </c>
      <c r="K904" s="2" t="str">
        <f>raw_order_lines!K904</f>
        <v>正常交付</v>
      </c>
      <c r="L904" s="2" t="str">
        <f>raw_order_lines!L904</f>
        <v>true</v>
      </c>
      <c r="M904" s="2" t="str">
        <f>INDEX(dim_products!$B$2:$B$21,MATCH($E904,dim_products!$A$2:$A$21,0))</f>
        <v>青椒</v>
      </c>
      <c r="N904" s="2" t="str">
        <f>INDEX(dim_products!$C$2:$C$21,MATCH($E904,dim_products!$A$2:$A$21,0))</f>
        <v>散装鲜菜</v>
      </c>
      <c r="O904" s="2" t="str">
        <f>INDEX(dim_customers!$B$2:$B$7,MATCH($C904,dim_customers!$A$2:$A$7,0))</f>
        <v>模拟_兴街快餐店</v>
      </c>
      <c r="P904" s="6">
        <f>INT((ROUND(raw_order_lines!H904*10,0)*ROUND(raw_order_lines!J904*100,0)+5)/10)/100</f>
        <v>48.3</v>
      </c>
      <c r="Q904" s="6">
        <f>INT((ROUND(raw_order_lines!I904*10,0)*ROUND(raw_order_lines!J904*100,0)+5)/10)/100</f>
        <v>0</v>
      </c>
      <c r="R904" s="6">
        <f t="shared" si="42"/>
        <v>48.3</v>
      </c>
      <c r="S904" s="2" t="str">
        <f>IF(OR(ROUND(raw_order_lines!I904*10,0)&gt;ROUND(raw_order_lines!H904*10,0),ROUND(raw_order_lines!H904*10,0)&gt;ROUND(raw_order_lines!G904*10,0),ROUND(raw_order_lines!G904*10,0)&lt;=0),"数量关系异常","")</f>
        <v/>
      </c>
      <c r="T904" s="2" t="str">
        <f>IF($F904&lt;&gt;INDEX(dim_products!$D$2:$D$21,MATCH($E904,dim_products!$A$2:$A$21,0)),"单位不一致","")</f>
        <v/>
      </c>
      <c r="U904" s="2" t="str">
        <f>IF(OR(ROUND(raw_order_lines!J904*100,0)&lt;ROUND(INDEX(dim_products!$F$2:$F$21,MATCH($E904,dim_products!$A$2:$A$21,0))*100,0),ROUND(raw_order_lines!J904*100,0)&gt;ROUND(INDEX(dim_products!$G$2:$G$21,MATCH($E904,dim_products!$A$2:$A$21,0))*100,0)),"单价越界","")</f>
        <v/>
      </c>
      <c r="V904" s="2" t="str">
        <f t="shared" si="43"/>
        <v/>
      </c>
      <c r="W904" s="2" t="str">
        <f t="shared" si="44"/>
        <v>通过</v>
      </c>
    </row>
    <row r="905" spans="1:23" ht="15">
      <c r="A905" s="2" t="str">
        <f>raw_order_lines!A905</f>
        <v>SIM-20260929-C003</v>
      </c>
      <c r="B905" s="2">
        <f>raw_order_lines!B905</f>
        <v>4</v>
      </c>
      <c r="C905" s="2" t="str">
        <f>raw_order_lines!C905</f>
        <v>C003</v>
      </c>
      <c r="D905" s="3">
        <f>raw_order_lines!D905</f>
        <v>46294</v>
      </c>
      <c r="E905" s="2" t="str">
        <f>raw_order_lines!E905</f>
        <v>P003</v>
      </c>
      <c r="F905" s="2" t="str">
        <f>raw_order_lines!F905</f>
        <v>公斤</v>
      </c>
      <c r="G905" s="4">
        <f>raw_order_lines!G905</f>
        <v>4.5999999999999996</v>
      </c>
      <c r="H905" s="4">
        <f>raw_order_lines!H905</f>
        <v>4.5999999999999996</v>
      </c>
      <c r="I905" s="4">
        <f>raw_order_lines!I905</f>
        <v>0</v>
      </c>
      <c r="J905" s="5">
        <f>raw_order_lines!J905</f>
        <v>3</v>
      </c>
      <c r="K905" s="2" t="str">
        <f>raw_order_lines!K905</f>
        <v>正常交付</v>
      </c>
      <c r="L905" s="2" t="str">
        <f>raw_order_lines!L905</f>
        <v>true</v>
      </c>
      <c r="M905" s="2" t="str">
        <f>INDEX(dim_products!$B$2:$B$21,MATCH($E905,dim_products!$A$2:$A$21,0))</f>
        <v>包菜</v>
      </c>
      <c r="N905" s="2" t="str">
        <f>INDEX(dim_products!$C$2:$C$21,MATCH($E905,dim_products!$A$2:$A$21,0))</f>
        <v>散装鲜菜</v>
      </c>
      <c r="O905" s="2" t="str">
        <f>INDEX(dim_customers!$B$2:$B$7,MATCH($C905,dim_customers!$A$2:$A$7,0))</f>
        <v>模拟_兴街快餐店</v>
      </c>
      <c r="P905" s="6">
        <f>INT((ROUND(raw_order_lines!H905*10,0)*ROUND(raw_order_lines!J905*100,0)+5)/10)/100</f>
        <v>13.8</v>
      </c>
      <c r="Q905" s="6">
        <f>INT((ROUND(raw_order_lines!I905*10,0)*ROUND(raw_order_lines!J905*100,0)+5)/10)/100</f>
        <v>0</v>
      </c>
      <c r="R905" s="6">
        <f t="shared" si="42"/>
        <v>13.8</v>
      </c>
      <c r="S905" s="2" t="str">
        <f>IF(OR(ROUND(raw_order_lines!I905*10,0)&gt;ROUND(raw_order_lines!H905*10,0),ROUND(raw_order_lines!H905*10,0)&gt;ROUND(raw_order_lines!G905*10,0),ROUND(raw_order_lines!G905*10,0)&lt;=0),"数量关系异常","")</f>
        <v/>
      </c>
      <c r="T905" s="2" t="str">
        <f>IF($F905&lt;&gt;INDEX(dim_products!$D$2:$D$21,MATCH($E905,dim_products!$A$2:$A$21,0)),"单位不一致","")</f>
        <v/>
      </c>
      <c r="U905" s="2" t="str">
        <f>IF(OR(ROUND(raw_order_lines!J905*100,0)&lt;ROUND(INDEX(dim_products!$F$2:$F$21,MATCH($E905,dim_products!$A$2:$A$21,0))*100,0),ROUND(raw_order_lines!J905*100,0)&gt;ROUND(INDEX(dim_products!$G$2:$G$21,MATCH($E905,dim_products!$A$2:$A$21,0))*100,0)),"单价越界","")</f>
        <v/>
      </c>
      <c r="V905" s="2" t="str">
        <f t="shared" si="43"/>
        <v/>
      </c>
      <c r="W905" s="2" t="str">
        <f t="shared" si="44"/>
        <v>通过</v>
      </c>
    </row>
    <row r="906" spans="1:23" ht="15">
      <c r="A906" s="2" t="str">
        <f>raw_order_lines!A906</f>
        <v>SIM-20260929-C003</v>
      </c>
      <c r="B906" s="2">
        <f>raw_order_lines!B906</f>
        <v>5</v>
      </c>
      <c r="C906" s="2" t="str">
        <f>raw_order_lines!C906</f>
        <v>C003</v>
      </c>
      <c r="D906" s="3">
        <f>raw_order_lines!D906</f>
        <v>46294</v>
      </c>
      <c r="E906" s="2" t="str">
        <f>raw_order_lines!E906</f>
        <v>P009</v>
      </c>
      <c r="F906" s="2" t="str">
        <f>raw_order_lines!F906</f>
        <v>公斤</v>
      </c>
      <c r="G906" s="4">
        <f>raw_order_lines!G906</f>
        <v>9.8000000000000007</v>
      </c>
      <c r="H906" s="4">
        <f>raw_order_lines!H906</f>
        <v>9.8000000000000007</v>
      </c>
      <c r="I906" s="4">
        <f>raw_order_lines!I906</f>
        <v>0</v>
      </c>
      <c r="J906" s="5">
        <f>raw_order_lines!J906</f>
        <v>4.8</v>
      </c>
      <c r="K906" s="2" t="str">
        <f>raw_order_lines!K906</f>
        <v>正常交付</v>
      </c>
      <c r="L906" s="2" t="str">
        <f>raw_order_lines!L906</f>
        <v>true</v>
      </c>
      <c r="M906" s="2" t="str">
        <f>INDEX(dim_products!$B$2:$B$21,MATCH($E906,dim_products!$A$2:$A$21,0))</f>
        <v>西红柿</v>
      </c>
      <c r="N906" s="2" t="str">
        <f>INDEX(dim_products!$C$2:$C$21,MATCH($E906,dim_products!$A$2:$A$21,0))</f>
        <v>散装鲜菜</v>
      </c>
      <c r="O906" s="2" t="str">
        <f>INDEX(dim_customers!$B$2:$B$7,MATCH($C906,dim_customers!$A$2:$A$7,0))</f>
        <v>模拟_兴街快餐店</v>
      </c>
      <c r="P906" s="6">
        <f>INT((ROUND(raw_order_lines!H906*10,0)*ROUND(raw_order_lines!J906*100,0)+5)/10)/100</f>
        <v>47.04</v>
      </c>
      <c r="Q906" s="6">
        <f>INT((ROUND(raw_order_lines!I906*10,0)*ROUND(raw_order_lines!J906*100,0)+5)/10)/100</f>
        <v>0</v>
      </c>
      <c r="R906" s="6">
        <f t="shared" si="42"/>
        <v>47.04</v>
      </c>
      <c r="S906" s="2" t="str">
        <f>IF(OR(ROUND(raw_order_lines!I906*10,0)&gt;ROUND(raw_order_lines!H906*10,0),ROUND(raw_order_lines!H906*10,0)&gt;ROUND(raw_order_lines!G906*10,0),ROUND(raw_order_lines!G906*10,0)&lt;=0),"数量关系异常","")</f>
        <v/>
      </c>
      <c r="T906" s="2" t="str">
        <f>IF($F906&lt;&gt;INDEX(dim_products!$D$2:$D$21,MATCH($E906,dim_products!$A$2:$A$21,0)),"单位不一致","")</f>
        <v/>
      </c>
      <c r="U906" s="2" t="str">
        <f>IF(OR(ROUND(raw_order_lines!J906*100,0)&lt;ROUND(INDEX(dim_products!$F$2:$F$21,MATCH($E906,dim_products!$A$2:$A$21,0))*100,0),ROUND(raw_order_lines!J906*100,0)&gt;ROUND(INDEX(dim_products!$G$2:$G$21,MATCH($E906,dim_products!$A$2:$A$21,0))*100,0)),"单价越界","")</f>
        <v/>
      </c>
      <c r="V906" s="2" t="str">
        <f t="shared" si="43"/>
        <v/>
      </c>
      <c r="W906" s="2" t="str">
        <f t="shared" si="44"/>
        <v>通过</v>
      </c>
    </row>
    <row r="907" spans="1:23" ht="15">
      <c r="A907" s="2" t="str">
        <f>raw_order_lines!A907</f>
        <v>SIM-20260929-C003</v>
      </c>
      <c r="B907" s="2">
        <f>raw_order_lines!B907</f>
        <v>6</v>
      </c>
      <c r="C907" s="2" t="str">
        <f>raw_order_lines!C907</f>
        <v>C003</v>
      </c>
      <c r="D907" s="3">
        <f>raw_order_lines!D907</f>
        <v>46294</v>
      </c>
      <c r="E907" s="2" t="str">
        <f>raw_order_lines!E907</f>
        <v>P001</v>
      </c>
      <c r="F907" s="2" t="str">
        <f>raw_order_lines!F907</f>
        <v>公斤</v>
      </c>
      <c r="G907" s="4">
        <f>raw_order_lines!G907</f>
        <v>7.2</v>
      </c>
      <c r="H907" s="4">
        <f>raw_order_lines!H907</f>
        <v>7.2</v>
      </c>
      <c r="I907" s="4">
        <f>raw_order_lines!I907</f>
        <v>0</v>
      </c>
      <c r="J907" s="5">
        <f>raw_order_lines!J907</f>
        <v>3.1</v>
      </c>
      <c r="K907" s="2" t="str">
        <f>raw_order_lines!K907</f>
        <v>正常交付</v>
      </c>
      <c r="L907" s="2" t="str">
        <f>raw_order_lines!L907</f>
        <v>true</v>
      </c>
      <c r="M907" s="2" t="str">
        <f>INDEX(dim_products!$B$2:$B$21,MATCH($E907,dim_products!$A$2:$A$21,0))</f>
        <v>土豆</v>
      </c>
      <c r="N907" s="2" t="str">
        <f>INDEX(dim_products!$C$2:$C$21,MATCH($E907,dim_products!$A$2:$A$21,0))</f>
        <v>散装鲜菜</v>
      </c>
      <c r="O907" s="2" t="str">
        <f>INDEX(dim_customers!$B$2:$B$7,MATCH($C907,dim_customers!$A$2:$A$7,0))</f>
        <v>模拟_兴街快餐店</v>
      </c>
      <c r="P907" s="6">
        <f>INT((ROUND(raw_order_lines!H907*10,0)*ROUND(raw_order_lines!J907*100,0)+5)/10)/100</f>
        <v>22.32</v>
      </c>
      <c r="Q907" s="6">
        <f>INT((ROUND(raw_order_lines!I907*10,0)*ROUND(raw_order_lines!J907*100,0)+5)/10)/100</f>
        <v>0</v>
      </c>
      <c r="R907" s="6">
        <f t="shared" si="42"/>
        <v>22.32</v>
      </c>
      <c r="S907" s="2" t="str">
        <f>IF(OR(ROUND(raw_order_lines!I907*10,0)&gt;ROUND(raw_order_lines!H907*10,0),ROUND(raw_order_lines!H907*10,0)&gt;ROUND(raw_order_lines!G907*10,0),ROUND(raw_order_lines!G907*10,0)&lt;=0),"数量关系异常","")</f>
        <v/>
      </c>
      <c r="T907" s="2" t="str">
        <f>IF($F907&lt;&gt;INDEX(dim_products!$D$2:$D$21,MATCH($E907,dim_products!$A$2:$A$21,0)),"单位不一致","")</f>
        <v/>
      </c>
      <c r="U907" s="2" t="str">
        <f>IF(OR(ROUND(raw_order_lines!J907*100,0)&lt;ROUND(INDEX(dim_products!$F$2:$F$21,MATCH($E907,dim_products!$A$2:$A$21,0))*100,0),ROUND(raw_order_lines!J907*100,0)&gt;ROUND(INDEX(dim_products!$G$2:$G$21,MATCH($E907,dim_products!$A$2:$A$21,0))*100,0)),"单价越界","")</f>
        <v/>
      </c>
      <c r="V907" s="2" t="str">
        <f t="shared" si="43"/>
        <v/>
      </c>
      <c r="W907" s="2" t="str">
        <f t="shared" si="44"/>
        <v>通过</v>
      </c>
    </row>
    <row r="908" spans="1:23" ht="15">
      <c r="A908" s="2" t="str">
        <f>raw_order_lines!A908</f>
        <v>SIM-20260929-C003</v>
      </c>
      <c r="B908" s="2">
        <f>raw_order_lines!B908</f>
        <v>7</v>
      </c>
      <c r="C908" s="2" t="str">
        <f>raw_order_lines!C908</f>
        <v>C003</v>
      </c>
      <c r="D908" s="3">
        <f>raw_order_lines!D908</f>
        <v>46294</v>
      </c>
      <c r="E908" s="2" t="str">
        <f>raw_order_lines!E908</f>
        <v>P016</v>
      </c>
      <c r="F908" s="2" t="str">
        <f>raw_order_lines!F908</f>
        <v>公斤</v>
      </c>
      <c r="G908" s="4">
        <f>raw_order_lines!G908</f>
        <v>6</v>
      </c>
      <c r="H908" s="4">
        <f>raw_order_lines!H908</f>
        <v>6</v>
      </c>
      <c r="I908" s="4">
        <f>raw_order_lines!I908</f>
        <v>0</v>
      </c>
      <c r="J908" s="5">
        <f>raw_order_lines!J908</f>
        <v>10.3</v>
      </c>
      <c r="K908" s="2" t="str">
        <f>raw_order_lines!K908</f>
        <v>正常交付</v>
      </c>
      <c r="L908" s="2" t="str">
        <f>raw_order_lines!L908</f>
        <v>true</v>
      </c>
      <c r="M908" s="2" t="str">
        <f>INDEX(dim_products!$B$2:$B$21,MATCH($E908,dim_products!$A$2:$A$21,0))</f>
        <v>鸡蛋</v>
      </c>
      <c r="N908" s="2" t="str">
        <f>INDEX(dim_products!$C$2:$C$21,MATCH($E908,dim_products!$A$2:$A$21,0))</f>
        <v>普通鲜鸡蛋按净重</v>
      </c>
      <c r="O908" s="2" t="str">
        <f>INDEX(dim_customers!$B$2:$B$7,MATCH($C908,dim_customers!$A$2:$A$7,0))</f>
        <v>模拟_兴街快餐店</v>
      </c>
      <c r="P908" s="6">
        <f>INT((ROUND(raw_order_lines!H908*10,0)*ROUND(raw_order_lines!J908*100,0)+5)/10)/100</f>
        <v>61.8</v>
      </c>
      <c r="Q908" s="6">
        <f>INT((ROUND(raw_order_lines!I908*10,0)*ROUND(raw_order_lines!J908*100,0)+5)/10)/100</f>
        <v>0</v>
      </c>
      <c r="R908" s="6">
        <f t="shared" si="42"/>
        <v>61.8</v>
      </c>
      <c r="S908" s="2" t="str">
        <f>IF(OR(ROUND(raw_order_lines!I908*10,0)&gt;ROUND(raw_order_lines!H908*10,0),ROUND(raw_order_lines!H908*10,0)&gt;ROUND(raw_order_lines!G908*10,0),ROUND(raw_order_lines!G908*10,0)&lt;=0),"数量关系异常","")</f>
        <v/>
      </c>
      <c r="T908" s="2" t="str">
        <f>IF($F908&lt;&gt;INDEX(dim_products!$D$2:$D$21,MATCH($E908,dim_products!$A$2:$A$21,0)),"单位不一致","")</f>
        <v/>
      </c>
      <c r="U908" s="2" t="str">
        <f>IF(OR(ROUND(raw_order_lines!J908*100,0)&lt;ROUND(INDEX(dim_products!$F$2:$F$21,MATCH($E908,dim_products!$A$2:$A$21,0))*100,0),ROUND(raw_order_lines!J908*100,0)&gt;ROUND(INDEX(dim_products!$G$2:$G$21,MATCH($E908,dim_products!$A$2:$A$21,0))*100,0)),"单价越界","")</f>
        <v/>
      </c>
      <c r="V908" s="2" t="str">
        <f t="shared" si="43"/>
        <v/>
      </c>
      <c r="W908" s="2" t="str">
        <f t="shared" si="44"/>
        <v>通过</v>
      </c>
    </row>
    <row r="909" spans="1:23" ht="15">
      <c r="A909" s="2" t="str">
        <f>raw_order_lines!A909</f>
        <v>SIM-20260929-C003</v>
      </c>
      <c r="B909" s="2">
        <f>raw_order_lines!B909</f>
        <v>8</v>
      </c>
      <c r="C909" s="2" t="str">
        <f>raw_order_lines!C909</f>
        <v>C003</v>
      </c>
      <c r="D909" s="3">
        <f>raw_order_lines!D909</f>
        <v>46294</v>
      </c>
      <c r="E909" s="2" t="str">
        <f>raw_order_lines!E909</f>
        <v>P015</v>
      </c>
      <c r="F909" s="2" t="str">
        <f>raw_order_lines!F909</f>
        <v>公斤</v>
      </c>
      <c r="G909" s="4">
        <f>raw_order_lines!G909</f>
        <v>1</v>
      </c>
      <c r="H909" s="4">
        <f>raw_order_lines!H909</f>
        <v>1</v>
      </c>
      <c r="I909" s="4">
        <f>raw_order_lines!I909</f>
        <v>0</v>
      </c>
      <c r="J909" s="5">
        <f>raw_order_lines!J909</f>
        <v>7.7</v>
      </c>
      <c r="K909" s="2" t="str">
        <f>raw_order_lines!K909</f>
        <v>正常交付</v>
      </c>
      <c r="L909" s="2" t="str">
        <f>raw_order_lines!L909</f>
        <v>true</v>
      </c>
      <c r="M909" s="2" t="str">
        <f>INDEX(dim_products!$B$2:$B$21,MATCH($E909,dim_products!$A$2:$A$21,0))</f>
        <v>小葱</v>
      </c>
      <c r="N909" s="2" t="str">
        <f>INDEX(dim_products!$C$2:$C$21,MATCH($E909,dim_products!$A$2:$A$21,0))</f>
        <v>散装鲜菜</v>
      </c>
      <c r="O909" s="2" t="str">
        <f>INDEX(dim_customers!$B$2:$B$7,MATCH($C909,dim_customers!$A$2:$A$7,0))</f>
        <v>模拟_兴街快餐店</v>
      </c>
      <c r="P909" s="6">
        <f>INT((ROUND(raw_order_lines!H909*10,0)*ROUND(raw_order_lines!J909*100,0)+5)/10)/100</f>
        <v>7.7</v>
      </c>
      <c r="Q909" s="6">
        <f>INT((ROUND(raw_order_lines!I909*10,0)*ROUND(raw_order_lines!J909*100,0)+5)/10)/100</f>
        <v>0</v>
      </c>
      <c r="R909" s="6">
        <f t="shared" si="42"/>
        <v>7.7</v>
      </c>
      <c r="S909" s="2" t="str">
        <f>IF(OR(ROUND(raw_order_lines!I909*10,0)&gt;ROUND(raw_order_lines!H909*10,0),ROUND(raw_order_lines!H909*10,0)&gt;ROUND(raw_order_lines!G909*10,0),ROUND(raw_order_lines!G909*10,0)&lt;=0),"数量关系异常","")</f>
        <v/>
      </c>
      <c r="T909" s="2" t="str">
        <f>IF($F909&lt;&gt;INDEX(dim_products!$D$2:$D$21,MATCH($E909,dim_products!$A$2:$A$21,0)),"单位不一致","")</f>
        <v/>
      </c>
      <c r="U909" s="2" t="str">
        <f>IF(OR(ROUND(raw_order_lines!J909*100,0)&lt;ROUND(INDEX(dim_products!$F$2:$F$21,MATCH($E909,dim_products!$A$2:$A$21,0))*100,0),ROUND(raw_order_lines!J909*100,0)&gt;ROUND(INDEX(dim_products!$G$2:$G$21,MATCH($E909,dim_products!$A$2:$A$21,0))*100,0)),"单价越界","")</f>
        <v/>
      </c>
      <c r="V909" s="2" t="str">
        <f t="shared" si="43"/>
        <v/>
      </c>
      <c r="W909" s="2" t="str">
        <f t="shared" si="44"/>
        <v>通过</v>
      </c>
    </row>
    <row r="910" spans="1:23" ht="15">
      <c r="A910" s="2" t="str">
        <f>raw_order_lines!A910</f>
        <v>SIM-20260929-C004</v>
      </c>
      <c r="B910" s="2">
        <f>raw_order_lines!B910</f>
        <v>1</v>
      </c>
      <c r="C910" s="2" t="str">
        <f>raw_order_lines!C910</f>
        <v>C004</v>
      </c>
      <c r="D910" s="3">
        <f>raw_order_lines!D910</f>
        <v>46294</v>
      </c>
      <c r="E910" s="2" t="str">
        <f>raw_order_lines!E910</f>
        <v>P011</v>
      </c>
      <c r="F910" s="2" t="str">
        <f>raw_order_lines!F910</f>
        <v>公斤</v>
      </c>
      <c r="G910" s="4">
        <f>raw_order_lines!G910</f>
        <v>7.5</v>
      </c>
      <c r="H910" s="4">
        <f>raw_order_lines!H910</f>
        <v>7.5</v>
      </c>
      <c r="I910" s="4">
        <f>raw_order_lines!I910</f>
        <v>0</v>
      </c>
      <c r="J910" s="5">
        <f>raw_order_lines!J910</f>
        <v>4.8</v>
      </c>
      <c r="K910" s="2" t="str">
        <f>raw_order_lines!K910</f>
        <v>正常交付</v>
      </c>
      <c r="L910" s="2" t="str">
        <f>raw_order_lines!L910</f>
        <v>true</v>
      </c>
      <c r="M910" s="2" t="str">
        <f>INDEX(dim_products!$B$2:$B$21,MATCH($E910,dim_products!$A$2:$A$21,0))</f>
        <v>红薯叶</v>
      </c>
      <c r="N910" s="2" t="str">
        <f>INDEX(dim_products!$C$2:$C$21,MATCH($E910,dim_products!$A$2:$A$21,0))</f>
        <v>散装鲜菜</v>
      </c>
      <c r="O910" s="2" t="str">
        <f>INDEX(dim_customers!$B$2:$B$7,MATCH($C910,dim_customers!$A$2:$A$7,0))</f>
        <v>模拟_田畔饭店</v>
      </c>
      <c r="P910" s="6">
        <f>INT((ROUND(raw_order_lines!H910*10,0)*ROUND(raw_order_lines!J910*100,0)+5)/10)/100</f>
        <v>36</v>
      </c>
      <c r="Q910" s="6">
        <f>INT((ROUND(raw_order_lines!I910*10,0)*ROUND(raw_order_lines!J910*100,0)+5)/10)/100</f>
        <v>0</v>
      </c>
      <c r="R910" s="6">
        <f t="shared" si="42"/>
        <v>36</v>
      </c>
      <c r="S910" s="2" t="str">
        <f>IF(OR(ROUND(raw_order_lines!I910*10,0)&gt;ROUND(raw_order_lines!H910*10,0),ROUND(raw_order_lines!H910*10,0)&gt;ROUND(raw_order_lines!G910*10,0),ROUND(raw_order_lines!G910*10,0)&lt;=0),"数量关系异常","")</f>
        <v/>
      </c>
      <c r="T910" s="2" t="str">
        <f>IF($F910&lt;&gt;INDEX(dim_products!$D$2:$D$21,MATCH($E910,dim_products!$A$2:$A$21,0)),"单位不一致","")</f>
        <v/>
      </c>
      <c r="U910" s="2" t="str">
        <f>IF(OR(ROUND(raw_order_lines!J910*100,0)&lt;ROUND(INDEX(dim_products!$F$2:$F$21,MATCH($E910,dim_products!$A$2:$A$21,0))*100,0),ROUND(raw_order_lines!J910*100,0)&gt;ROUND(INDEX(dim_products!$G$2:$G$21,MATCH($E910,dim_products!$A$2:$A$21,0))*100,0)),"单价越界","")</f>
        <v/>
      </c>
      <c r="V910" s="2" t="str">
        <f t="shared" si="43"/>
        <v/>
      </c>
      <c r="W910" s="2" t="str">
        <f t="shared" si="44"/>
        <v>通过</v>
      </c>
    </row>
    <row r="911" spans="1:23" ht="15">
      <c r="A911" s="2" t="str">
        <f>raw_order_lines!A911</f>
        <v>SIM-20260929-C004</v>
      </c>
      <c r="B911" s="2">
        <f>raw_order_lines!B911</f>
        <v>2</v>
      </c>
      <c r="C911" s="2" t="str">
        <f>raw_order_lines!C911</f>
        <v>C004</v>
      </c>
      <c r="D911" s="3">
        <f>raw_order_lines!D911</f>
        <v>46294</v>
      </c>
      <c r="E911" s="2" t="str">
        <f>raw_order_lines!E911</f>
        <v>P006</v>
      </c>
      <c r="F911" s="2" t="str">
        <f>raw_order_lines!F911</f>
        <v>公斤</v>
      </c>
      <c r="G911" s="4">
        <f>raw_order_lines!G911</f>
        <v>8</v>
      </c>
      <c r="H911" s="4">
        <f>raw_order_lines!H911</f>
        <v>8</v>
      </c>
      <c r="I911" s="4">
        <f>raw_order_lines!I911</f>
        <v>0</v>
      </c>
      <c r="J911" s="5">
        <f>raw_order_lines!J911</f>
        <v>4.5</v>
      </c>
      <c r="K911" s="2" t="str">
        <f>raw_order_lines!K911</f>
        <v>正常交付</v>
      </c>
      <c r="L911" s="2" t="str">
        <f>raw_order_lines!L911</f>
        <v>true</v>
      </c>
      <c r="M911" s="2" t="str">
        <f>INDEX(dim_products!$B$2:$B$21,MATCH($E911,dim_products!$A$2:$A$21,0))</f>
        <v>茄子</v>
      </c>
      <c r="N911" s="2" t="str">
        <f>INDEX(dim_products!$C$2:$C$21,MATCH($E911,dim_products!$A$2:$A$21,0))</f>
        <v>散装鲜菜</v>
      </c>
      <c r="O911" s="2" t="str">
        <f>INDEX(dim_customers!$B$2:$B$7,MATCH($C911,dim_customers!$A$2:$A$7,0))</f>
        <v>模拟_田畔饭店</v>
      </c>
      <c r="P911" s="6">
        <f>INT((ROUND(raw_order_lines!H911*10,0)*ROUND(raw_order_lines!J911*100,0)+5)/10)/100</f>
        <v>36</v>
      </c>
      <c r="Q911" s="6">
        <f>INT((ROUND(raw_order_lines!I911*10,0)*ROUND(raw_order_lines!J911*100,0)+5)/10)/100</f>
        <v>0</v>
      </c>
      <c r="R911" s="6">
        <f t="shared" si="42"/>
        <v>36</v>
      </c>
      <c r="S911" s="2" t="str">
        <f>IF(OR(ROUND(raw_order_lines!I911*10,0)&gt;ROUND(raw_order_lines!H911*10,0),ROUND(raw_order_lines!H911*10,0)&gt;ROUND(raw_order_lines!G911*10,0),ROUND(raw_order_lines!G911*10,0)&lt;=0),"数量关系异常","")</f>
        <v/>
      </c>
      <c r="T911" s="2" t="str">
        <f>IF($F911&lt;&gt;INDEX(dim_products!$D$2:$D$21,MATCH($E911,dim_products!$A$2:$A$21,0)),"单位不一致","")</f>
        <v/>
      </c>
      <c r="U911" s="2" t="str">
        <f>IF(OR(ROUND(raw_order_lines!J911*100,0)&lt;ROUND(INDEX(dim_products!$F$2:$F$21,MATCH($E911,dim_products!$A$2:$A$21,0))*100,0),ROUND(raw_order_lines!J911*100,0)&gt;ROUND(INDEX(dim_products!$G$2:$G$21,MATCH($E911,dim_products!$A$2:$A$21,0))*100,0)),"单价越界","")</f>
        <v/>
      </c>
      <c r="V911" s="2" t="str">
        <f t="shared" si="43"/>
        <v/>
      </c>
      <c r="W911" s="2" t="str">
        <f t="shared" si="44"/>
        <v>通过</v>
      </c>
    </row>
    <row r="912" spans="1:23" ht="15">
      <c r="A912" s="2" t="str">
        <f>raw_order_lines!A912</f>
        <v>SIM-20260929-C004</v>
      </c>
      <c r="B912" s="2">
        <f>raw_order_lines!B912</f>
        <v>3</v>
      </c>
      <c r="C912" s="2" t="str">
        <f>raw_order_lines!C912</f>
        <v>C004</v>
      </c>
      <c r="D912" s="3">
        <f>raw_order_lines!D912</f>
        <v>46294</v>
      </c>
      <c r="E912" s="2" t="str">
        <f>raw_order_lines!E912</f>
        <v>P014</v>
      </c>
      <c r="F912" s="2" t="str">
        <f>raw_order_lines!F912</f>
        <v>公斤</v>
      </c>
      <c r="G912" s="4">
        <f>raw_order_lines!G912</f>
        <v>6</v>
      </c>
      <c r="H912" s="4">
        <f>raw_order_lines!H912</f>
        <v>6</v>
      </c>
      <c r="I912" s="4">
        <f>raw_order_lines!I912</f>
        <v>0</v>
      </c>
      <c r="J912" s="5">
        <f>raw_order_lines!J912</f>
        <v>4.8</v>
      </c>
      <c r="K912" s="2" t="str">
        <f>raw_order_lines!K912</f>
        <v>正常交付</v>
      </c>
      <c r="L912" s="2" t="str">
        <f>raw_order_lines!L912</f>
        <v>true</v>
      </c>
      <c r="M912" s="2" t="str">
        <f>INDEX(dim_products!$B$2:$B$21,MATCH($E912,dim_products!$A$2:$A$21,0))</f>
        <v>丝瓜</v>
      </c>
      <c r="N912" s="2" t="str">
        <f>INDEX(dim_products!$C$2:$C$21,MATCH($E912,dim_products!$A$2:$A$21,0))</f>
        <v>散装鲜菜</v>
      </c>
      <c r="O912" s="2" t="str">
        <f>INDEX(dim_customers!$B$2:$B$7,MATCH($C912,dim_customers!$A$2:$A$7,0))</f>
        <v>模拟_田畔饭店</v>
      </c>
      <c r="P912" s="6">
        <f>INT((ROUND(raw_order_lines!H912*10,0)*ROUND(raw_order_lines!J912*100,0)+5)/10)/100</f>
        <v>28.8</v>
      </c>
      <c r="Q912" s="6">
        <f>INT((ROUND(raw_order_lines!I912*10,0)*ROUND(raw_order_lines!J912*100,0)+5)/10)/100</f>
        <v>0</v>
      </c>
      <c r="R912" s="6">
        <f t="shared" si="42"/>
        <v>28.8</v>
      </c>
      <c r="S912" s="2" t="str">
        <f>IF(OR(ROUND(raw_order_lines!I912*10,0)&gt;ROUND(raw_order_lines!H912*10,0),ROUND(raw_order_lines!H912*10,0)&gt;ROUND(raw_order_lines!G912*10,0),ROUND(raw_order_lines!G912*10,0)&lt;=0),"数量关系异常","")</f>
        <v/>
      </c>
      <c r="T912" s="2" t="str">
        <f>IF($F912&lt;&gt;INDEX(dim_products!$D$2:$D$21,MATCH($E912,dim_products!$A$2:$A$21,0)),"单位不一致","")</f>
        <v/>
      </c>
      <c r="U912" s="2" t="str">
        <f>IF(OR(ROUND(raw_order_lines!J912*100,0)&lt;ROUND(INDEX(dim_products!$F$2:$F$21,MATCH($E912,dim_products!$A$2:$A$21,0))*100,0),ROUND(raw_order_lines!J912*100,0)&gt;ROUND(INDEX(dim_products!$G$2:$G$21,MATCH($E912,dim_products!$A$2:$A$21,0))*100,0)),"单价越界","")</f>
        <v/>
      </c>
      <c r="V912" s="2" t="str">
        <f t="shared" si="43"/>
        <v/>
      </c>
      <c r="W912" s="2" t="str">
        <f t="shared" si="44"/>
        <v>通过</v>
      </c>
    </row>
    <row r="913" spans="1:23" ht="15">
      <c r="A913" s="2" t="str">
        <f>raw_order_lines!A913</f>
        <v>SIM-20260929-C004</v>
      </c>
      <c r="B913" s="2">
        <f>raw_order_lines!B913</f>
        <v>4</v>
      </c>
      <c r="C913" s="2" t="str">
        <f>raw_order_lines!C913</f>
        <v>C004</v>
      </c>
      <c r="D913" s="3">
        <f>raw_order_lines!D913</f>
        <v>46294</v>
      </c>
      <c r="E913" s="2" t="str">
        <f>raw_order_lines!E913</f>
        <v>P013</v>
      </c>
      <c r="F913" s="2" t="str">
        <f>raw_order_lines!F913</f>
        <v>公斤</v>
      </c>
      <c r="G913" s="4">
        <f>raw_order_lines!G913</f>
        <v>7.5</v>
      </c>
      <c r="H913" s="4">
        <f>raw_order_lines!H913</f>
        <v>7.5</v>
      </c>
      <c r="I913" s="4">
        <f>raw_order_lines!I913</f>
        <v>0</v>
      </c>
      <c r="J913" s="5">
        <f>raw_order_lines!J913</f>
        <v>6.3</v>
      </c>
      <c r="K913" s="2" t="str">
        <f>raw_order_lines!K913</f>
        <v>正常交付</v>
      </c>
      <c r="L913" s="2" t="str">
        <f>raw_order_lines!L913</f>
        <v>true</v>
      </c>
      <c r="M913" s="2" t="str">
        <f>INDEX(dim_products!$B$2:$B$21,MATCH($E913,dim_products!$A$2:$A$21,0))</f>
        <v>豇豆</v>
      </c>
      <c r="N913" s="2" t="str">
        <f>INDEX(dim_products!$C$2:$C$21,MATCH($E913,dim_products!$A$2:$A$21,0))</f>
        <v>散装鲜菜</v>
      </c>
      <c r="O913" s="2" t="str">
        <f>INDEX(dim_customers!$B$2:$B$7,MATCH($C913,dim_customers!$A$2:$A$7,0))</f>
        <v>模拟_田畔饭店</v>
      </c>
      <c r="P913" s="6">
        <f>INT((ROUND(raw_order_lines!H913*10,0)*ROUND(raw_order_lines!J913*100,0)+5)/10)/100</f>
        <v>47.25</v>
      </c>
      <c r="Q913" s="6">
        <f>INT((ROUND(raw_order_lines!I913*10,0)*ROUND(raw_order_lines!J913*100,0)+5)/10)/100</f>
        <v>0</v>
      </c>
      <c r="R913" s="6">
        <f t="shared" si="42"/>
        <v>47.25</v>
      </c>
      <c r="S913" s="2" t="str">
        <f>IF(OR(ROUND(raw_order_lines!I913*10,0)&gt;ROUND(raw_order_lines!H913*10,0),ROUND(raw_order_lines!H913*10,0)&gt;ROUND(raw_order_lines!G913*10,0),ROUND(raw_order_lines!G913*10,0)&lt;=0),"数量关系异常","")</f>
        <v/>
      </c>
      <c r="T913" s="2" t="str">
        <f>IF($F913&lt;&gt;INDEX(dim_products!$D$2:$D$21,MATCH($E913,dim_products!$A$2:$A$21,0)),"单位不一致","")</f>
        <v/>
      </c>
      <c r="U913" s="2" t="str">
        <f>IF(OR(ROUND(raw_order_lines!J913*100,0)&lt;ROUND(INDEX(dim_products!$F$2:$F$21,MATCH($E913,dim_products!$A$2:$A$21,0))*100,0),ROUND(raw_order_lines!J913*100,0)&gt;ROUND(INDEX(dim_products!$G$2:$G$21,MATCH($E913,dim_products!$A$2:$A$21,0))*100,0)),"单价越界","")</f>
        <v/>
      </c>
      <c r="V913" s="2" t="str">
        <f t="shared" si="43"/>
        <v/>
      </c>
      <c r="W913" s="2" t="str">
        <f t="shared" si="44"/>
        <v>通过</v>
      </c>
    </row>
    <row r="914" spans="1:23" ht="15">
      <c r="A914" s="2" t="str">
        <f>raw_order_lines!A914</f>
        <v>SIM-20260929-C004</v>
      </c>
      <c r="B914" s="2">
        <f>raw_order_lines!B914</f>
        <v>5</v>
      </c>
      <c r="C914" s="2" t="str">
        <f>raw_order_lines!C914</f>
        <v>C004</v>
      </c>
      <c r="D914" s="3">
        <f>raw_order_lines!D914</f>
        <v>46294</v>
      </c>
      <c r="E914" s="2" t="str">
        <f>raw_order_lines!E914</f>
        <v>P004</v>
      </c>
      <c r="F914" s="2" t="str">
        <f>raw_order_lines!F914</f>
        <v>公斤</v>
      </c>
      <c r="G914" s="4">
        <f>raw_order_lines!G914</f>
        <v>4</v>
      </c>
      <c r="H914" s="4">
        <f>raw_order_lines!H914</f>
        <v>4</v>
      </c>
      <c r="I914" s="4">
        <f>raw_order_lines!I914</f>
        <v>0</v>
      </c>
      <c r="J914" s="5">
        <f>raw_order_lines!J914</f>
        <v>2.2000000000000002</v>
      </c>
      <c r="K914" s="2" t="str">
        <f>raw_order_lines!K914</f>
        <v>正常交付</v>
      </c>
      <c r="L914" s="2" t="str">
        <f>raw_order_lines!L914</f>
        <v>true</v>
      </c>
      <c r="M914" s="2" t="str">
        <f>INDEX(dim_products!$B$2:$B$21,MATCH($E914,dim_products!$A$2:$A$21,0))</f>
        <v>冬瓜</v>
      </c>
      <c r="N914" s="2" t="str">
        <f>INDEX(dim_products!$C$2:$C$21,MATCH($E914,dim_products!$A$2:$A$21,0))</f>
        <v>散装鲜菜</v>
      </c>
      <c r="O914" s="2" t="str">
        <f>INDEX(dim_customers!$B$2:$B$7,MATCH($C914,dim_customers!$A$2:$A$7,0))</f>
        <v>模拟_田畔饭店</v>
      </c>
      <c r="P914" s="6">
        <f>INT((ROUND(raw_order_lines!H914*10,0)*ROUND(raw_order_lines!J914*100,0)+5)/10)/100</f>
        <v>8.8000000000000007</v>
      </c>
      <c r="Q914" s="6">
        <f>INT((ROUND(raw_order_lines!I914*10,0)*ROUND(raw_order_lines!J914*100,0)+5)/10)/100</f>
        <v>0</v>
      </c>
      <c r="R914" s="6">
        <f t="shared" si="42"/>
        <v>8.8000000000000007</v>
      </c>
      <c r="S914" s="2" t="str">
        <f>IF(OR(ROUND(raw_order_lines!I914*10,0)&gt;ROUND(raw_order_lines!H914*10,0),ROUND(raw_order_lines!H914*10,0)&gt;ROUND(raw_order_lines!G914*10,0),ROUND(raw_order_lines!G914*10,0)&lt;=0),"数量关系异常","")</f>
        <v/>
      </c>
      <c r="T914" s="2" t="str">
        <f>IF($F914&lt;&gt;INDEX(dim_products!$D$2:$D$21,MATCH($E914,dim_products!$A$2:$A$21,0)),"单位不一致","")</f>
        <v/>
      </c>
      <c r="U914" s="2" t="str">
        <f>IF(OR(ROUND(raw_order_lines!J914*100,0)&lt;ROUND(INDEX(dim_products!$F$2:$F$21,MATCH($E914,dim_products!$A$2:$A$21,0))*100,0),ROUND(raw_order_lines!J914*100,0)&gt;ROUND(INDEX(dim_products!$G$2:$G$21,MATCH($E914,dim_products!$A$2:$A$21,0))*100,0)),"单价越界","")</f>
        <v/>
      </c>
      <c r="V914" s="2" t="str">
        <f t="shared" si="43"/>
        <v/>
      </c>
      <c r="W914" s="2" t="str">
        <f t="shared" si="44"/>
        <v>通过</v>
      </c>
    </row>
    <row r="915" spans="1:23" ht="15">
      <c r="A915" s="2" t="str">
        <f>raw_order_lines!A915</f>
        <v>SIM-20260929-C004</v>
      </c>
      <c r="B915" s="2">
        <f>raw_order_lines!B915</f>
        <v>6</v>
      </c>
      <c r="C915" s="2" t="str">
        <f>raw_order_lines!C915</f>
        <v>C004</v>
      </c>
      <c r="D915" s="3">
        <f>raw_order_lines!D915</f>
        <v>46294</v>
      </c>
      <c r="E915" s="2" t="str">
        <f>raw_order_lines!E915</f>
        <v>P001</v>
      </c>
      <c r="F915" s="2" t="str">
        <f>raw_order_lines!F915</f>
        <v>公斤</v>
      </c>
      <c r="G915" s="4">
        <f>raw_order_lines!G915</f>
        <v>4.5</v>
      </c>
      <c r="H915" s="4">
        <f>raw_order_lines!H915</f>
        <v>4.5</v>
      </c>
      <c r="I915" s="4">
        <f>raw_order_lines!I915</f>
        <v>0</v>
      </c>
      <c r="J915" s="5">
        <f>raw_order_lines!J915</f>
        <v>3.1</v>
      </c>
      <c r="K915" s="2" t="str">
        <f>raw_order_lines!K915</f>
        <v>正常交付</v>
      </c>
      <c r="L915" s="2" t="str">
        <f>raw_order_lines!L915</f>
        <v>true</v>
      </c>
      <c r="M915" s="2" t="str">
        <f>INDEX(dim_products!$B$2:$B$21,MATCH($E915,dim_products!$A$2:$A$21,0))</f>
        <v>土豆</v>
      </c>
      <c r="N915" s="2" t="str">
        <f>INDEX(dim_products!$C$2:$C$21,MATCH($E915,dim_products!$A$2:$A$21,0))</f>
        <v>散装鲜菜</v>
      </c>
      <c r="O915" s="2" t="str">
        <f>INDEX(dim_customers!$B$2:$B$7,MATCH($C915,dim_customers!$A$2:$A$7,0))</f>
        <v>模拟_田畔饭店</v>
      </c>
      <c r="P915" s="6">
        <f>INT((ROUND(raw_order_lines!H915*10,0)*ROUND(raw_order_lines!J915*100,0)+5)/10)/100</f>
        <v>13.95</v>
      </c>
      <c r="Q915" s="6">
        <f>INT((ROUND(raw_order_lines!I915*10,0)*ROUND(raw_order_lines!J915*100,0)+5)/10)/100</f>
        <v>0</v>
      </c>
      <c r="R915" s="6">
        <f t="shared" si="42"/>
        <v>13.95</v>
      </c>
      <c r="S915" s="2" t="str">
        <f>IF(OR(ROUND(raw_order_lines!I915*10,0)&gt;ROUND(raw_order_lines!H915*10,0),ROUND(raw_order_lines!H915*10,0)&gt;ROUND(raw_order_lines!G915*10,0),ROUND(raw_order_lines!G915*10,0)&lt;=0),"数量关系异常","")</f>
        <v/>
      </c>
      <c r="T915" s="2" t="str">
        <f>IF($F915&lt;&gt;INDEX(dim_products!$D$2:$D$21,MATCH($E915,dim_products!$A$2:$A$21,0)),"单位不一致","")</f>
        <v/>
      </c>
      <c r="U915" s="2" t="str">
        <f>IF(OR(ROUND(raw_order_lines!J915*100,0)&lt;ROUND(INDEX(dim_products!$F$2:$F$21,MATCH($E915,dim_products!$A$2:$A$21,0))*100,0),ROUND(raw_order_lines!J915*100,0)&gt;ROUND(INDEX(dim_products!$G$2:$G$21,MATCH($E915,dim_products!$A$2:$A$21,0))*100,0)),"单价越界","")</f>
        <v/>
      </c>
      <c r="V915" s="2" t="str">
        <f t="shared" si="43"/>
        <v/>
      </c>
      <c r="W915" s="2" t="str">
        <f t="shared" si="44"/>
        <v>通过</v>
      </c>
    </row>
    <row r="916" spans="1:23" ht="15">
      <c r="A916" s="2" t="str">
        <f>raw_order_lines!A916</f>
        <v>SIM-20260929-C004</v>
      </c>
      <c r="B916" s="2">
        <f>raw_order_lines!B916</f>
        <v>7</v>
      </c>
      <c r="C916" s="2" t="str">
        <f>raw_order_lines!C916</f>
        <v>C004</v>
      </c>
      <c r="D916" s="3">
        <f>raw_order_lines!D916</f>
        <v>46294</v>
      </c>
      <c r="E916" s="2" t="str">
        <f>raw_order_lines!E916</f>
        <v>P016</v>
      </c>
      <c r="F916" s="2" t="str">
        <f>raw_order_lines!F916</f>
        <v>公斤</v>
      </c>
      <c r="G916" s="4">
        <f>raw_order_lines!G916</f>
        <v>5</v>
      </c>
      <c r="H916" s="4">
        <f>raw_order_lines!H916</f>
        <v>5</v>
      </c>
      <c r="I916" s="4">
        <f>raw_order_lines!I916</f>
        <v>0</v>
      </c>
      <c r="J916" s="5">
        <f>raw_order_lines!J916</f>
        <v>10.3</v>
      </c>
      <c r="K916" s="2" t="str">
        <f>raw_order_lines!K916</f>
        <v>正常交付</v>
      </c>
      <c r="L916" s="2" t="str">
        <f>raw_order_lines!L916</f>
        <v>true</v>
      </c>
      <c r="M916" s="2" t="str">
        <f>INDEX(dim_products!$B$2:$B$21,MATCH($E916,dim_products!$A$2:$A$21,0))</f>
        <v>鸡蛋</v>
      </c>
      <c r="N916" s="2" t="str">
        <f>INDEX(dim_products!$C$2:$C$21,MATCH($E916,dim_products!$A$2:$A$21,0))</f>
        <v>普通鲜鸡蛋按净重</v>
      </c>
      <c r="O916" s="2" t="str">
        <f>INDEX(dim_customers!$B$2:$B$7,MATCH($C916,dim_customers!$A$2:$A$7,0))</f>
        <v>模拟_田畔饭店</v>
      </c>
      <c r="P916" s="6">
        <f>INT((ROUND(raw_order_lines!H916*10,0)*ROUND(raw_order_lines!J916*100,0)+5)/10)/100</f>
        <v>51.5</v>
      </c>
      <c r="Q916" s="6">
        <f>INT((ROUND(raw_order_lines!I916*10,0)*ROUND(raw_order_lines!J916*100,0)+5)/10)/100</f>
        <v>0</v>
      </c>
      <c r="R916" s="6">
        <f t="shared" si="42"/>
        <v>51.5</v>
      </c>
      <c r="S916" s="2" t="str">
        <f>IF(OR(ROUND(raw_order_lines!I916*10,0)&gt;ROUND(raw_order_lines!H916*10,0),ROUND(raw_order_lines!H916*10,0)&gt;ROUND(raw_order_lines!G916*10,0),ROUND(raw_order_lines!G916*10,0)&lt;=0),"数量关系异常","")</f>
        <v/>
      </c>
      <c r="T916" s="2" t="str">
        <f>IF($F916&lt;&gt;INDEX(dim_products!$D$2:$D$21,MATCH($E916,dim_products!$A$2:$A$21,0)),"单位不一致","")</f>
        <v/>
      </c>
      <c r="U916" s="2" t="str">
        <f>IF(OR(ROUND(raw_order_lines!J916*100,0)&lt;ROUND(INDEX(dim_products!$F$2:$F$21,MATCH($E916,dim_products!$A$2:$A$21,0))*100,0),ROUND(raw_order_lines!J916*100,0)&gt;ROUND(INDEX(dim_products!$G$2:$G$21,MATCH($E916,dim_products!$A$2:$A$21,0))*100,0)),"单价越界","")</f>
        <v/>
      </c>
      <c r="V916" s="2" t="str">
        <f t="shared" si="43"/>
        <v/>
      </c>
      <c r="W916" s="2" t="str">
        <f t="shared" si="44"/>
        <v>通过</v>
      </c>
    </row>
    <row r="917" spans="1:23" ht="15">
      <c r="A917" s="2" t="str">
        <f>raw_order_lines!A917</f>
        <v>SIM-20260929-C004</v>
      </c>
      <c r="B917" s="2">
        <f>raw_order_lines!B917</f>
        <v>8</v>
      </c>
      <c r="C917" s="2" t="str">
        <f>raw_order_lines!C917</f>
        <v>C004</v>
      </c>
      <c r="D917" s="3">
        <f>raw_order_lines!D917</f>
        <v>46294</v>
      </c>
      <c r="E917" s="2" t="str">
        <f>raw_order_lines!E917</f>
        <v>P015</v>
      </c>
      <c r="F917" s="2" t="str">
        <f>raw_order_lines!F917</f>
        <v>公斤</v>
      </c>
      <c r="G917" s="4">
        <f>raw_order_lines!G917</f>
        <v>1</v>
      </c>
      <c r="H917" s="4">
        <f>raw_order_lines!H917</f>
        <v>1</v>
      </c>
      <c r="I917" s="4">
        <f>raw_order_lines!I917</f>
        <v>0</v>
      </c>
      <c r="J917" s="5">
        <f>raw_order_lines!J917</f>
        <v>7.7</v>
      </c>
      <c r="K917" s="2" t="str">
        <f>raw_order_lines!K917</f>
        <v>正常交付</v>
      </c>
      <c r="L917" s="2" t="str">
        <f>raw_order_lines!L917</f>
        <v>true</v>
      </c>
      <c r="M917" s="2" t="str">
        <f>INDEX(dim_products!$B$2:$B$21,MATCH($E917,dim_products!$A$2:$A$21,0))</f>
        <v>小葱</v>
      </c>
      <c r="N917" s="2" t="str">
        <f>INDEX(dim_products!$C$2:$C$21,MATCH($E917,dim_products!$A$2:$A$21,0))</f>
        <v>散装鲜菜</v>
      </c>
      <c r="O917" s="2" t="str">
        <f>INDEX(dim_customers!$B$2:$B$7,MATCH($C917,dim_customers!$A$2:$A$7,0))</f>
        <v>模拟_田畔饭店</v>
      </c>
      <c r="P917" s="6">
        <f>INT((ROUND(raw_order_lines!H917*10,0)*ROUND(raw_order_lines!J917*100,0)+5)/10)/100</f>
        <v>7.7</v>
      </c>
      <c r="Q917" s="6">
        <f>INT((ROUND(raw_order_lines!I917*10,0)*ROUND(raw_order_lines!J917*100,0)+5)/10)/100</f>
        <v>0</v>
      </c>
      <c r="R917" s="6">
        <f t="shared" si="42"/>
        <v>7.7</v>
      </c>
      <c r="S917" s="2" t="str">
        <f>IF(OR(ROUND(raw_order_lines!I917*10,0)&gt;ROUND(raw_order_lines!H917*10,0),ROUND(raw_order_lines!H917*10,0)&gt;ROUND(raw_order_lines!G917*10,0),ROUND(raw_order_lines!G917*10,0)&lt;=0),"数量关系异常","")</f>
        <v/>
      </c>
      <c r="T917" s="2" t="str">
        <f>IF($F917&lt;&gt;INDEX(dim_products!$D$2:$D$21,MATCH($E917,dim_products!$A$2:$A$21,0)),"单位不一致","")</f>
        <v/>
      </c>
      <c r="U917" s="2" t="str">
        <f>IF(OR(ROUND(raw_order_lines!J917*100,0)&lt;ROUND(INDEX(dim_products!$F$2:$F$21,MATCH($E917,dim_products!$A$2:$A$21,0))*100,0),ROUND(raw_order_lines!J917*100,0)&gt;ROUND(INDEX(dim_products!$G$2:$G$21,MATCH($E917,dim_products!$A$2:$A$21,0))*100,0)),"单价越界","")</f>
        <v/>
      </c>
      <c r="V917" s="2" t="str">
        <f t="shared" si="43"/>
        <v/>
      </c>
      <c r="W917" s="2" t="str">
        <f t="shared" si="44"/>
        <v>通过</v>
      </c>
    </row>
    <row r="918" spans="1:23" ht="15">
      <c r="A918" s="2" t="str">
        <f>raw_order_lines!A918</f>
        <v>SIM-20260929-C005</v>
      </c>
      <c r="B918" s="2">
        <f>raw_order_lines!B918</f>
        <v>1</v>
      </c>
      <c r="C918" s="2" t="str">
        <f>raw_order_lines!C918</f>
        <v>C005</v>
      </c>
      <c r="D918" s="3">
        <f>raw_order_lines!D918</f>
        <v>46294</v>
      </c>
      <c r="E918" s="2" t="str">
        <f>raw_order_lines!E918</f>
        <v>P010</v>
      </c>
      <c r="F918" s="2" t="str">
        <f>raw_order_lines!F918</f>
        <v>公斤</v>
      </c>
      <c r="G918" s="4">
        <f>raw_order_lines!G918</f>
        <v>15.5</v>
      </c>
      <c r="H918" s="4">
        <f>raw_order_lines!H918</f>
        <v>15.5</v>
      </c>
      <c r="I918" s="4">
        <f>raw_order_lines!I918</f>
        <v>0</v>
      </c>
      <c r="J918" s="5">
        <f>raw_order_lines!J918</f>
        <v>4.8</v>
      </c>
      <c r="K918" s="2" t="str">
        <f>raw_order_lines!K918</f>
        <v>正常交付</v>
      </c>
      <c r="L918" s="2" t="str">
        <f>raw_order_lines!L918</f>
        <v>true</v>
      </c>
      <c r="M918" s="2" t="str">
        <f>INDEX(dim_products!$B$2:$B$21,MATCH($E918,dim_products!$A$2:$A$21,0))</f>
        <v>空心菜</v>
      </c>
      <c r="N918" s="2" t="str">
        <f>INDEX(dim_products!$C$2:$C$21,MATCH($E918,dim_products!$A$2:$A$21,0))</f>
        <v>散装鲜菜</v>
      </c>
      <c r="O918" s="2" t="str">
        <f>INDEX(dim_customers!$B$2:$B$7,MATCH($C918,dim_customers!$A$2:$A$7,0))</f>
        <v>模拟_青禾小学食堂</v>
      </c>
      <c r="P918" s="6">
        <f>INT((ROUND(raw_order_lines!H918*10,0)*ROUND(raw_order_lines!J918*100,0)+5)/10)/100</f>
        <v>74.400000000000006</v>
      </c>
      <c r="Q918" s="6">
        <f>INT((ROUND(raw_order_lines!I918*10,0)*ROUND(raw_order_lines!J918*100,0)+5)/10)/100</f>
        <v>0</v>
      </c>
      <c r="R918" s="6">
        <f t="shared" si="42"/>
        <v>74.400000000000006</v>
      </c>
      <c r="S918" s="2" t="str">
        <f>IF(OR(ROUND(raw_order_lines!I918*10,0)&gt;ROUND(raw_order_lines!H918*10,0),ROUND(raw_order_lines!H918*10,0)&gt;ROUND(raw_order_lines!G918*10,0),ROUND(raw_order_lines!G918*10,0)&lt;=0),"数量关系异常","")</f>
        <v/>
      </c>
      <c r="T918" s="2" t="str">
        <f>IF($F918&lt;&gt;INDEX(dim_products!$D$2:$D$21,MATCH($E918,dim_products!$A$2:$A$21,0)),"单位不一致","")</f>
        <v/>
      </c>
      <c r="U918" s="2" t="str">
        <f>IF(OR(ROUND(raw_order_lines!J918*100,0)&lt;ROUND(INDEX(dim_products!$F$2:$F$21,MATCH($E918,dim_products!$A$2:$A$21,0))*100,0),ROUND(raw_order_lines!J918*100,0)&gt;ROUND(INDEX(dim_products!$G$2:$G$21,MATCH($E918,dim_products!$A$2:$A$21,0))*100,0)),"单价越界","")</f>
        <v/>
      </c>
      <c r="V918" s="2" t="str">
        <f t="shared" si="43"/>
        <v/>
      </c>
      <c r="W918" s="2" t="str">
        <f t="shared" si="44"/>
        <v>通过</v>
      </c>
    </row>
    <row r="919" spans="1:23" ht="15">
      <c r="A919" s="2" t="str">
        <f>raw_order_lines!A919</f>
        <v>SIM-20260929-C005</v>
      </c>
      <c r="B919" s="2">
        <f>raw_order_lines!B919</f>
        <v>2</v>
      </c>
      <c r="C919" s="2" t="str">
        <f>raw_order_lines!C919</f>
        <v>C005</v>
      </c>
      <c r="D919" s="3">
        <f>raw_order_lines!D919</f>
        <v>46294</v>
      </c>
      <c r="E919" s="2" t="str">
        <f>raw_order_lines!E919</f>
        <v>P001</v>
      </c>
      <c r="F919" s="2" t="str">
        <f>raw_order_lines!F919</f>
        <v>公斤</v>
      </c>
      <c r="G919" s="4">
        <f>raw_order_lines!G919</f>
        <v>8.6999999999999993</v>
      </c>
      <c r="H919" s="4">
        <f>raw_order_lines!H919</f>
        <v>8.6999999999999993</v>
      </c>
      <c r="I919" s="4">
        <f>raw_order_lines!I919</f>
        <v>0</v>
      </c>
      <c r="J919" s="5">
        <f>raw_order_lines!J919</f>
        <v>3.1</v>
      </c>
      <c r="K919" s="2" t="str">
        <f>raw_order_lines!K919</f>
        <v>正常交付</v>
      </c>
      <c r="L919" s="2" t="str">
        <f>raw_order_lines!L919</f>
        <v>true</v>
      </c>
      <c r="M919" s="2" t="str">
        <f>INDEX(dim_products!$B$2:$B$21,MATCH($E919,dim_products!$A$2:$A$21,0))</f>
        <v>土豆</v>
      </c>
      <c r="N919" s="2" t="str">
        <f>INDEX(dim_products!$C$2:$C$21,MATCH($E919,dim_products!$A$2:$A$21,0))</f>
        <v>散装鲜菜</v>
      </c>
      <c r="O919" s="2" t="str">
        <f>INDEX(dim_customers!$B$2:$B$7,MATCH($C919,dim_customers!$A$2:$A$7,0))</f>
        <v>模拟_青禾小学食堂</v>
      </c>
      <c r="P919" s="6">
        <f>INT((ROUND(raw_order_lines!H919*10,0)*ROUND(raw_order_lines!J919*100,0)+5)/10)/100</f>
        <v>26.97</v>
      </c>
      <c r="Q919" s="6">
        <f>INT((ROUND(raw_order_lines!I919*10,0)*ROUND(raw_order_lines!J919*100,0)+5)/10)/100</f>
        <v>0</v>
      </c>
      <c r="R919" s="6">
        <f t="shared" si="42"/>
        <v>26.97</v>
      </c>
      <c r="S919" s="2" t="str">
        <f>IF(OR(ROUND(raw_order_lines!I919*10,0)&gt;ROUND(raw_order_lines!H919*10,0),ROUND(raw_order_lines!H919*10,0)&gt;ROUND(raw_order_lines!G919*10,0),ROUND(raw_order_lines!G919*10,0)&lt;=0),"数量关系异常","")</f>
        <v/>
      </c>
      <c r="T919" s="2" t="str">
        <f>IF($F919&lt;&gt;INDEX(dim_products!$D$2:$D$21,MATCH($E919,dim_products!$A$2:$A$21,0)),"单位不一致","")</f>
        <v/>
      </c>
      <c r="U919" s="2" t="str">
        <f>IF(OR(ROUND(raw_order_lines!J919*100,0)&lt;ROUND(INDEX(dim_products!$F$2:$F$21,MATCH($E919,dim_products!$A$2:$A$21,0))*100,0),ROUND(raw_order_lines!J919*100,0)&gt;ROUND(INDEX(dim_products!$G$2:$G$21,MATCH($E919,dim_products!$A$2:$A$21,0))*100,0)),"单价越界","")</f>
        <v/>
      </c>
      <c r="V919" s="2" t="str">
        <f t="shared" si="43"/>
        <v/>
      </c>
      <c r="W919" s="2" t="str">
        <f t="shared" si="44"/>
        <v>通过</v>
      </c>
    </row>
    <row r="920" spans="1:23" ht="15">
      <c r="A920" s="2" t="str">
        <f>raw_order_lines!A920</f>
        <v>SIM-20260929-C005</v>
      </c>
      <c r="B920" s="2">
        <f>raw_order_lines!B920</f>
        <v>3</v>
      </c>
      <c r="C920" s="2" t="str">
        <f>raw_order_lines!C920</f>
        <v>C005</v>
      </c>
      <c r="D920" s="3">
        <f>raw_order_lines!D920</f>
        <v>46294</v>
      </c>
      <c r="E920" s="2" t="str">
        <f>raw_order_lines!E920</f>
        <v>P006</v>
      </c>
      <c r="F920" s="2" t="str">
        <f>raw_order_lines!F920</f>
        <v>公斤</v>
      </c>
      <c r="G920" s="4">
        <f>raw_order_lines!G920</f>
        <v>6.8</v>
      </c>
      <c r="H920" s="4">
        <f>raw_order_lines!H920</f>
        <v>6.8</v>
      </c>
      <c r="I920" s="4">
        <f>raw_order_lines!I920</f>
        <v>0</v>
      </c>
      <c r="J920" s="5">
        <f>raw_order_lines!J920</f>
        <v>4.5</v>
      </c>
      <c r="K920" s="2" t="str">
        <f>raw_order_lines!K920</f>
        <v>正常交付</v>
      </c>
      <c r="L920" s="2" t="str">
        <f>raw_order_lines!L920</f>
        <v>true</v>
      </c>
      <c r="M920" s="2" t="str">
        <f>INDEX(dim_products!$B$2:$B$21,MATCH($E920,dim_products!$A$2:$A$21,0))</f>
        <v>茄子</v>
      </c>
      <c r="N920" s="2" t="str">
        <f>INDEX(dim_products!$C$2:$C$21,MATCH($E920,dim_products!$A$2:$A$21,0))</f>
        <v>散装鲜菜</v>
      </c>
      <c r="O920" s="2" t="str">
        <f>INDEX(dim_customers!$B$2:$B$7,MATCH($C920,dim_customers!$A$2:$A$7,0))</f>
        <v>模拟_青禾小学食堂</v>
      </c>
      <c r="P920" s="6">
        <f>INT((ROUND(raw_order_lines!H920*10,0)*ROUND(raw_order_lines!J920*100,0)+5)/10)/100</f>
        <v>30.6</v>
      </c>
      <c r="Q920" s="6">
        <f>INT((ROUND(raw_order_lines!I920*10,0)*ROUND(raw_order_lines!J920*100,0)+5)/10)/100</f>
        <v>0</v>
      </c>
      <c r="R920" s="6">
        <f t="shared" si="42"/>
        <v>30.6</v>
      </c>
      <c r="S920" s="2" t="str">
        <f>IF(OR(ROUND(raw_order_lines!I920*10,0)&gt;ROUND(raw_order_lines!H920*10,0),ROUND(raw_order_lines!H920*10,0)&gt;ROUND(raw_order_lines!G920*10,0),ROUND(raw_order_lines!G920*10,0)&lt;=0),"数量关系异常","")</f>
        <v/>
      </c>
      <c r="T920" s="2" t="str">
        <f>IF($F920&lt;&gt;INDEX(dim_products!$D$2:$D$21,MATCH($E920,dim_products!$A$2:$A$21,0)),"单位不一致","")</f>
        <v/>
      </c>
      <c r="U920" s="2" t="str">
        <f>IF(OR(ROUND(raw_order_lines!J920*100,0)&lt;ROUND(INDEX(dim_products!$F$2:$F$21,MATCH($E920,dim_products!$A$2:$A$21,0))*100,0),ROUND(raw_order_lines!J920*100,0)&gt;ROUND(INDEX(dim_products!$G$2:$G$21,MATCH($E920,dim_products!$A$2:$A$21,0))*100,0)),"单价越界","")</f>
        <v/>
      </c>
      <c r="V920" s="2" t="str">
        <f t="shared" si="43"/>
        <v/>
      </c>
      <c r="W920" s="2" t="str">
        <f t="shared" si="44"/>
        <v>通过</v>
      </c>
    </row>
    <row r="921" spans="1:23" ht="15">
      <c r="A921" s="2" t="str">
        <f>raw_order_lines!A921</f>
        <v>SIM-20260929-C005</v>
      </c>
      <c r="B921" s="2">
        <f>raw_order_lines!B921</f>
        <v>4</v>
      </c>
      <c r="C921" s="2" t="str">
        <f>raw_order_lines!C921</f>
        <v>C005</v>
      </c>
      <c r="D921" s="3">
        <f>raw_order_lines!D921</f>
        <v>46294</v>
      </c>
      <c r="E921" s="2" t="str">
        <f>raw_order_lines!E921</f>
        <v>P003</v>
      </c>
      <c r="F921" s="2" t="str">
        <f>raw_order_lines!F921</f>
        <v>公斤</v>
      </c>
      <c r="G921" s="4">
        <f>raw_order_lines!G921</f>
        <v>8.6999999999999993</v>
      </c>
      <c r="H921" s="4">
        <f>raw_order_lines!H921</f>
        <v>8.6999999999999993</v>
      </c>
      <c r="I921" s="4">
        <f>raw_order_lines!I921</f>
        <v>0</v>
      </c>
      <c r="J921" s="5">
        <f>raw_order_lines!J921</f>
        <v>3</v>
      </c>
      <c r="K921" s="2" t="str">
        <f>raw_order_lines!K921</f>
        <v>正常交付</v>
      </c>
      <c r="L921" s="2" t="str">
        <f>raw_order_lines!L921</f>
        <v>true</v>
      </c>
      <c r="M921" s="2" t="str">
        <f>INDEX(dim_products!$B$2:$B$21,MATCH($E921,dim_products!$A$2:$A$21,0))</f>
        <v>包菜</v>
      </c>
      <c r="N921" s="2" t="str">
        <f>INDEX(dim_products!$C$2:$C$21,MATCH($E921,dim_products!$A$2:$A$21,0))</f>
        <v>散装鲜菜</v>
      </c>
      <c r="O921" s="2" t="str">
        <f>INDEX(dim_customers!$B$2:$B$7,MATCH($C921,dim_customers!$A$2:$A$7,0))</f>
        <v>模拟_青禾小学食堂</v>
      </c>
      <c r="P921" s="6">
        <f>INT((ROUND(raw_order_lines!H921*10,0)*ROUND(raw_order_lines!J921*100,0)+5)/10)/100</f>
        <v>26.1</v>
      </c>
      <c r="Q921" s="6">
        <f>INT((ROUND(raw_order_lines!I921*10,0)*ROUND(raw_order_lines!J921*100,0)+5)/10)/100</f>
        <v>0</v>
      </c>
      <c r="R921" s="6">
        <f t="shared" si="42"/>
        <v>26.1</v>
      </c>
      <c r="S921" s="2" t="str">
        <f>IF(OR(ROUND(raw_order_lines!I921*10,0)&gt;ROUND(raw_order_lines!H921*10,0),ROUND(raw_order_lines!H921*10,0)&gt;ROUND(raw_order_lines!G921*10,0),ROUND(raw_order_lines!G921*10,0)&lt;=0),"数量关系异常","")</f>
        <v/>
      </c>
      <c r="T921" s="2" t="str">
        <f>IF($F921&lt;&gt;INDEX(dim_products!$D$2:$D$21,MATCH($E921,dim_products!$A$2:$A$21,0)),"单位不一致","")</f>
        <v/>
      </c>
      <c r="U921" s="2" t="str">
        <f>IF(OR(ROUND(raw_order_lines!J921*100,0)&lt;ROUND(INDEX(dim_products!$F$2:$F$21,MATCH($E921,dim_products!$A$2:$A$21,0))*100,0),ROUND(raw_order_lines!J921*100,0)&gt;ROUND(INDEX(dim_products!$G$2:$G$21,MATCH($E921,dim_products!$A$2:$A$21,0))*100,0)),"单价越界","")</f>
        <v/>
      </c>
      <c r="V921" s="2" t="str">
        <f t="shared" si="43"/>
        <v/>
      </c>
      <c r="W921" s="2" t="str">
        <f t="shared" si="44"/>
        <v>通过</v>
      </c>
    </row>
    <row r="922" spans="1:23" ht="15">
      <c r="A922" s="2" t="str">
        <f>raw_order_lines!A922</f>
        <v>SIM-20260929-C005</v>
      </c>
      <c r="B922" s="2">
        <f>raw_order_lines!B922</f>
        <v>5</v>
      </c>
      <c r="C922" s="2" t="str">
        <f>raw_order_lines!C922</f>
        <v>C005</v>
      </c>
      <c r="D922" s="3">
        <f>raw_order_lines!D922</f>
        <v>46294</v>
      </c>
      <c r="E922" s="2" t="str">
        <f>raw_order_lines!E922</f>
        <v>P005</v>
      </c>
      <c r="F922" s="2" t="str">
        <f>raw_order_lines!F922</f>
        <v>公斤</v>
      </c>
      <c r="G922" s="4">
        <f>raw_order_lines!G922</f>
        <v>13.5</v>
      </c>
      <c r="H922" s="4">
        <f>raw_order_lines!H922</f>
        <v>13.5</v>
      </c>
      <c r="I922" s="4">
        <f>raw_order_lines!I922</f>
        <v>0</v>
      </c>
      <c r="J922" s="5">
        <f>raw_order_lines!J922</f>
        <v>2.8</v>
      </c>
      <c r="K922" s="2" t="str">
        <f>raw_order_lines!K922</f>
        <v>正常交付</v>
      </c>
      <c r="L922" s="2" t="str">
        <f>raw_order_lines!L922</f>
        <v>true</v>
      </c>
      <c r="M922" s="2" t="str">
        <f>INDEX(dim_products!$B$2:$B$21,MATCH($E922,dim_products!$A$2:$A$21,0))</f>
        <v>南瓜</v>
      </c>
      <c r="N922" s="2" t="str">
        <f>INDEX(dim_products!$C$2:$C$21,MATCH($E922,dim_products!$A$2:$A$21,0))</f>
        <v>散装鲜菜</v>
      </c>
      <c r="O922" s="2" t="str">
        <f>INDEX(dim_customers!$B$2:$B$7,MATCH($C922,dim_customers!$A$2:$A$7,0))</f>
        <v>模拟_青禾小学食堂</v>
      </c>
      <c r="P922" s="6">
        <f>INT((ROUND(raw_order_lines!H922*10,0)*ROUND(raw_order_lines!J922*100,0)+5)/10)/100</f>
        <v>37.799999999999997</v>
      </c>
      <c r="Q922" s="6">
        <f>INT((ROUND(raw_order_lines!I922*10,0)*ROUND(raw_order_lines!J922*100,0)+5)/10)/100</f>
        <v>0</v>
      </c>
      <c r="R922" s="6">
        <f t="shared" si="42"/>
        <v>37.799999999999997</v>
      </c>
      <c r="S922" s="2" t="str">
        <f>IF(OR(ROUND(raw_order_lines!I922*10,0)&gt;ROUND(raw_order_lines!H922*10,0),ROUND(raw_order_lines!H922*10,0)&gt;ROUND(raw_order_lines!G922*10,0),ROUND(raw_order_lines!G922*10,0)&lt;=0),"数量关系异常","")</f>
        <v/>
      </c>
      <c r="T922" s="2" t="str">
        <f>IF($F922&lt;&gt;INDEX(dim_products!$D$2:$D$21,MATCH($E922,dim_products!$A$2:$A$21,0)),"单位不一致","")</f>
        <v/>
      </c>
      <c r="U922" s="2" t="str">
        <f>IF(OR(ROUND(raw_order_lines!J922*100,0)&lt;ROUND(INDEX(dim_products!$F$2:$F$21,MATCH($E922,dim_products!$A$2:$A$21,0))*100,0),ROUND(raw_order_lines!J922*100,0)&gt;ROUND(INDEX(dim_products!$G$2:$G$21,MATCH($E922,dim_products!$A$2:$A$21,0))*100,0)),"单价越界","")</f>
        <v/>
      </c>
      <c r="V922" s="2" t="str">
        <f t="shared" si="43"/>
        <v/>
      </c>
      <c r="W922" s="2" t="str">
        <f t="shared" si="44"/>
        <v>通过</v>
      </c>
    </row>
    <row r="923" spans="1:23" ht="15">
      <c r="A923" s="2" t="str">
        <f>raw_order_lines!A923</f>
        <v>SIM-20260929-C005</v>
      </c>
      <c r="B923" s="2">
        <f>raw_order_lines!B923</f>
        <v>6</v>
      </c>
      <c r="C923" s="2" t="str">
        <f>raw_order_lines!C923</f>
        <v>C005</v>
      </c>
      <c r="D923" s="3">
        <f>raw_order_lines!D923</f>
        <v>46294</v>
      </c>
      <c r="E923" s="2" t="str">
        <f>raw_order_lines!E923</f>
        <v>P013</v>
      </c>
      <c r="F923" s="2" t="str">
        <f>raw_order_lines!F923</f>
        <v>公斤</v>
      </c>
      <c r="G923" s="4">
        <f>raw_order_lines!G923</f>
        <v>10.6</v>
      </c>
      <c r="H923" s="4">
        <f>raw_order_lines!H923</f>
        <v>10.6</v>
      </c>
      <c r="I923" s="4">
        <f>raw_order_lines!I923</f>
        <v>0</v>
      </c>
      <c r="J923" s="5">
        <f>raw_order_lines!J923</f>
        <v>6.3</v>
      </c>
      <c r="K923" s="2" t="str">
        <f>raw_order_lines!K923</f>
        <v>正常交付</v>
      </c>
      <c r="L923" s="2" t="str">
        <f>raw_order_lines!L923</f>
        <v>true</v>
      </c>
      <c r="M923" s="2" t="str">
        <f>INDEX(dim_products!$B$2:$B$21,MATCH($E923,dim_products!$A$2:$A$21,0))</f>
        <v>豇豆</v>
      </c>
      <c r="N923" s="2" t="str">
        <f>INDEX(dim_products!$C$2:$C$21,MATCH($E923,dim_products!$A$2:$A$21,0))</f>
        <v>散装鲜菜</v>
      </c>
      <c r="O923" s="2" t="str">
        <f>INDEX(dim_customers!$B$2:$B$7,MATCH($C923,dim_customers!$A$2:$A$7,0))</f>
        <v>模拟_青禾小学食堂</v>
      </c>
      <c r="P923" s="6">
        <f>INT((ROUND(raw_order_lines!H923*10,0)*ROUND(raw_order_lines!J923*100,0)+5)/10)/100</f>
        <v>66.78</v>
      </c>
      <c r="Q923" s="6">
        <f>INT((ROUND(raw_order_lines!I923*10,0)*ROUND(raw_order_lines!J923*100,0)+5)/10)/100</f>
        <v>0</v>
      </c>
      <c r="R923" s="6">
        <f t="shared" si="42"/>
        <v>66.78</v>
      </c>
      <c r="S923" s="2" t="str">
        <f>IF(OR(ROUND(raw_order_lines!I923*10,0)&gt;ROUND(raw_order_lines!H923*10,0),ROUND(raw_order_lines!H923*10,0)&gt;ROUND(raw_order_lines!G923*10,0),ROUND(raw_order_lines!G923*10,0)&lt;=0),"数量关系异常","")</f>
        <v/>
      </c>
      <c r="T923" s="2" t="str">
        <f>IF($F923&lt;&gt;INDEX(dim_products!$D$2:$D$21,MATCH($E923,dim_products!$A$2:$A$21,0)),"单位不一致","")</f>
        <v/>
      </c>
      <c r="U923" s="2" t="str">
        <f>IF(OR(ROUND(raw_order_lines!J923*100,0)&lt;ROUND(INDEX(dim_products!$F$2:$F$21,MATCH($E923,dim_products!$A$2:$A$21,0))*100,0),ROUND(raw_order_lines!J923*100,0)&gt;ROUND(INDEX(dim_products!$G$2:$G$21,MATCH($E923,dim_products!$A$2:$A$21,0))*100,0)),"单价越界","")</f>
        <v/>
      </c>
      <c r="V923" s="2" t="str">
        <f t="shared" si="43"/>
        <v/>
      </c>
      <c r="W923" s="2" t="str">
        <f t="shared" si="44"/>
        <v>通过</v>
      </c>
    </row>
    <row r="924" spans="1:23" ht="15">
      <c r="A924" s="2" t="str">
        <f>raw_order_lines!A924</f>
        <v>SIM-20260929-C005</v>
      </c>
      <c r="B924" s="2">
        <f>raw_order_lines!B924</f>
        <v>7</v>
      </c>
      <c r="C924" s="2" t="str">
        <f>raw_order_lines!C924</f>
        <v>C005</v>
      </c>
      <c r="D924" s="3">
        <f>raw_order_lines!D924</f>
        <v>46294</v>
      </c>
      <c r="E924" s="2" t="str">
        <f>raw_order_lines!E924</f>
        <v>P016</v>
      </c>
      <c r="F924" s="2" t="str">
        <f>raw_order_lines!F924</f>
        <v>公斤</v>
      </c>
      <c r="G924" s="4">
        <f>raw_order_lines!G924</f>
        <v>12</v>
      </c>
      <c r="H924" s="4">
        <f>raw_order_lines!H924</f>
        <v>12</v>
      </c>
      <c r="I924" s="4">
        <f>raw_order_lines!I924</f>
        <v>0</v>
      </c>
      <c r="J924" s="5">
        <f>raw_order_lines!J924</f>
        <v>10.3</v>
      </c>
      <c r="K924" s="2" t="str">
        <f>raw_order_lines!K924</f>
        <v>正常交付</v>
      </c>
      <c r="L924" s="2" t="str">
        <f>raw_order_lines!L924</f>
        <v>true</v>
      </c>
      <c r="M924" s="2" t="str">
        <f>INDEX(dim_products!$B$2:$B$21,MATCH($E924,dim_products!$A$2:$A$21,0))</f>
        <v>鸡蛋</v>
      </c>
      <c r="N924" s="2" t="str">
        <f>INDEX(dim_products!$C$2:$C$21,MATCH($E924,dim_products!$A$2:$A$21,0))</f>
        <v>普通鲜鸡蛋按净重</v>
      </c>
      <c r="O924" s="2" t="str">
        <f>INDEX(dim_customers!$B$2:$B$7,MATCH($C924,dim_customers!$A$2:$A$7,0))</f>
        <v>模拟_青禾小学食堂</v>
      </c>
      <c r="P924" s="6">
        <f>INT((ROUND(raw_order_lines!H924*10,0)*ROUND(raw_order_lines!J924*100,0)+5)/10)/100</f>
        <v>123.6</v>
      </c>
      <c r="Q924" s="6">
        <f>INT((ROUND(raw_order_lines!I924*10,0)*ROUND(raw_order_lines!J924*100,0)+5)/10)/100</f>
        <v>0</v>
      </c>
      <c r="R924" s="6">
        <f t="shared" si="42"/>
        <v>123.6</v>
      </c>
      <c r="S924" s="2" t="str">
        <f>IF(OR(ROUND(raw_order_lines!I924*10,0)&gt;ROUND(raw_order_lines!H924*10,0),ROUND(raw_order_lines!H924*10,0)&gt;ROUND(raw_order_lines!G924*10,0),ROUND(raw_order_lines!G924*10,0)&lt;=0),"数量关系异常","")</f>
        <v/>
      </c>
      <c r="T924" s="2" t="str">
        <f>IF($F924&lt;&gt;INDEX(dim_products!$D$2:$D$21,MATCH($E924,dim_products!$A$2:$A$21,0)),"单位不一致","")</f>
        <v/>
      </c>
      <c r="U924" s="2" t="str">
        <f>IF(OR(ROUND(raw_order_lines!J924*100,0)&lt;ROUND(INDEX(dim_products!$F$2:$F$21,MATCH($E924,dim_products!$A$2:$A$21,0))*100,0),ROUND(raw_order_lines!J924*100,0)&gt;ROUND(INDEX(dim_products!$G$2:$G$21,MATCH($E924,dim_products!$A$2:$A$21,0))*100,0)),"单价越界","")</f>
        <v/>
      </c>
      <c r="V924" s="2" t="str">
        <f t="shared" si="43"/>
        <v/>
      </c>
      <c r="W924" s="2" t="str">
        <f t="shared" si="44"/>
        <v>通过</v>
      </c>
    </row>
    <row r="925" spans="1:23" ht="15">
      <c r="A925" s="2" t="str">
        <f>raw_order_lines!A925</f>
        <v>SIM-20260929-C005</v>
      </c>
      <c r="B925" s="2">
        <f>raw_order_lines!B925</f>
        <v>8</v>
      </c>
      <c r="C925" s="2" t="str">
        <f>raw_order_lines!C925</f>
        <v>C005</v>
      </c>
      <c r="D925" s="3">
        <f>raw_order_lines!D925</f>
        <v>46294</v>
      </c>
      <c r="E925" s="2" t="str">
        <f>raw_order_lines!E925</f>
        <v>P017</v>
      </c>
      <c r="F925" s="2" t="str">
        <f>raw_order_lines!F925</f>
        <v>袋</v>
      </c>
      <c r="G925" s="4">
        <f>raw_order_lines!G925</f>
        <v>6</v>
      </c>
      <c r="H925" s="4">
        <f>raw_order_lines!H925</f>
        <v>6</v>
      </c>
      <c r="I925" s="4">
        <f>raw_order_lines!I925</f>
        <v>0</v>
      </c>
      <c r="J925" s="5">
        <f>raw_order_lines!J925</f>
        <v>119</v>
      </c>
      <c r="K925" s="2" t="str">
        <f>raw_order_lines!K925</f>
        <v>正常交付</v>
      </c>
      <c r="L925" s="2" t="str">
        <f>raw_order_lines!L925</f>
        <v>true</v>
      </c>
      <c r="M925" s="2" t="str">
        <f>INDEX(dim_products!$B$2:$B$21,MATCH($E925,dim_products!$A$2:$A$21,0))</f>
        <v>籼米</v>
      </c>
      <c r="N925" s="2" t="str">
        <f>INDEX(dim_products!$C$2:$C$21,MATCH($E925,dim_products!$A$2:$A$21,0))</f>
        <v>25公斤/袋普通籼米</v>
      </c>
      <c r="O925" s="2" t="str">
        <f>INDEX(dim_customers!$B$2:$B$7,MATCH($C925,dim_customers!$A$2:$A$7,0))</f>
        <v>模拟_青禾小学食堂</v>
      </c>
      <c r="P925" s="6">
        <f>INT((ROUND(raw_order_lines!H925*10,0)*ROUND(raw_order_lines!J925*100,0)+5)/10)/100</f>
        <v>714</v>
      </c>
      <c r="Q925" s="6">
        <f>INT((ROUND(raw_order_lines!I925*10,0)*ROUND(raw_order_lines!J925*100,0)+5)/10)/100</f>
        <v>0</v>
      </c>
      <c r="R925" s="6">
        <f t="shared" si="42"/>
        <v>714</v>
      </c>
      <c r="S925" s="2" t="str">
        <f>IF(OR(ROUND(raw_order_lines!I925*10,0)&gt;ROUND(raw_order_lines!H925*10,0),ROUND(raw_order_lines!H925*10,0)&gt;ROUND(raw_order_lines!G925*10,0),ROUND(raw_order_lines!G925*10,0)&lt;=0),"数量关系异常","")</f>
        <v/>
      </c>
      <c r="T925" s="2" t="str">
        <f>IF($F925&lt;&gt;INDEX(dim_products!$D$2:$D$21,MATCH($E925,dim_products!$A$2:$A$21,0)),"单位不一致","")</f>
        <v/>
      </c>
      <c r="U925" s="2" t="str">
        <f>IF(OR(ROUND(raw_order_lines!J925*100,0)&lt;ROUND(INDEX(dim_products!$F$2:$F$21,MATCH($E925,dim_products!$A$2:$A$21,0))*100,0),ROUND(raw_order_lines!J925*100,0)&gt;ROUND(INDEX(dim_products!$G$2:$G$21,MATCH($E925,dim_products!$A$2:$A$21,0))*100,0)),"单价越界","")</f>
        <v/>
      </c>
      <c r="V925" s="2" t="str">
        <f t="shared" si="43"/>
        <v/>
      </c>
      <c r="W925" s="2" t="str">
        <f t="shared" si="44"/>
        <v>通过</v>
      </c>
    </row>
    <row r="926" spans="1:23" ht="15">
      <c r="A926" s="2" t="str">
        <f>raw_order_lines!A926</f>
        <v>SIM-20260929-C005</v>
      </c>
      <c r="B926" s="2">
        <f>raw_order_lines!B926</f>
        <v>9</v>
      </c>
      <c r="C926" s="2" t="str">
        <f>raw_order_lines!C926</f>
        <v>C005</v>
      </c>
      <c r="D926" s="3">
        <f>raw_order_lines!D926</f>
        <v>46294</v>
      </c>
      <c r="E926" s="2" t="str">
        <f>raw_order_lines!E926</f>
        <v>P020</v>
      </c>
      <c r="F926" s="2" t="str">
        <f>raw_order_lines!F926</f>
        <v>桶</v>
      </c>
      <c r="G926" s="4">
        <f>raw_order_lines!G926</f>
        <v>2</v>
      </c>
      <c r="H926" s="4">
        <f>raw_order_lines!H926</f>
        <v>2</v>
      </c>
      <c r="I926" s="4">
        <f>raw_order_lines!I926</f>
        <v>0</v>
      </c>
      <c r="J926" s="5">
        <f>raw_order_lines!J926</f>
        <v>59</v>
      </c>
      <c r="K926" s="2" t="str">
        <f>raw_order_lines!K926</f>
        <v>正常交付</v>
      </c>
      <c r="L926" s="2" t="str">
        <f>raw_order_lines!L926</f>
        <v>true</v>
      </c>
      <c r="M926" s="2" t="str">
        <f>INDEX(dim_products!$B$2:$B$21,MATCH($E926,dim_products!$A$2:$A$21,0))</f>
        <v>大豆油</v>
      </c>
      <c r="N926" s="2" t="str">
        <f>INDEX(dim_products!$C$2:$C$21,MATCH($E926,dim_products!$A$2:$A$21,0))</f>
        <v>5升/桶普通大豆油</v>
      </c>
      <c r="O926" s="2" t="str">
        <f>INDEX(dim_customers!$B$2:$B$7,MATCH($C926,dim_customers!$A$2:$A$7,0))</f>
        <v>模拟_青禾小学食堂</v>
      </c>
      <c r="P926" s="6">
        <f>INT((ROUND(raw_order_lines!H926*10,0)*ROUND(raw_order_lines!J926*100,0)+5)/10)/100</f>
        <v>118</v>
      </c>
      <c r="Q926" s="6">
        <f>INT((ROUND(raw_order_lines!I926*10,0)*ROUND(raw_order_lines!J926*100,0)+5)/10)/100</f>
        <v>0</v>
      </c>
      <c r="R926" s="6">
        <f t="shared" si="42"/>
        <v>118</v>
      </c>
      <c r="S926" s="2" t="str">
        <f>IF(OR(ROUND(raw_order_lines!I926*10,0)&gt;ROUND(raw_order_lines!H926*10,0),ROUND(raw_order_lines!H926*10,0)&gt;ROUND(raw_order_lines!G926*10,0),ROUND(raw_order_lines!G926*10,0)&lt;=0),"数量关系异常","")</f>
        <v/>
      </c>
      <c r="T926" s="2" t="str">
        <f>IF($F926&lt;&gt;INDEX(dim_products!$D$2:$D$21,MATCH($E926,dim_products!$A$2:$A$21,0)),"单位不一致","")</f>
        <v/>
      </c>
      <c r="U926" s="2" t="str">
        <f>IF(OR(ROUND(raw_order_lines!J926*100,0)&lt;ROUND(INDEX(dim_products!$F$2:$F$21,MATCH($E926,dim_products!$A$2:$A$21,0))*100,0),ROUND(raw_order_lines!J926*100,0)&gt;ROUND(INDEX(dim_products!$G$2:$G$21,MATCH($E926,dim_products!$A$2:$A$21,0))*100,0)),"单价越界","")</f>
        <v/>
      </c>
      <c r="V926" s="2" t="str">
        <f t="shared" si="43"/>
        <v/>
      </c>
      <c r="W926" s="2" t="str">
        <f t="shared" si="44"/>
        <v>通过</v>
      </c>
    </row>
    <row r="927" spans="1:23" ht="15">
      <c r="A927" s="2" t="str">
        <f>raw_order_lines!A927</f>
        <v>SIM-20260929-C006</v>
      </c>
      <c r="B927" s="2">
        <f>raw_order_lines!B927</f>
        <v>1</v>
      </c>
      <c r="C927" s="2" t="str">
        <f>raw_order_lines!C927</f>
        <v>C006</v>
      </c>
      <c r="D927" s="3">
        <f>raw_order_lines!D927</f>
        <v>46294</v>
      </c>
      <c r="E927" s="2" t="str">
        <f>raw_order_lines!E927</f>
        <v>P011</v>
      </c>
      <c r="F927" s="2" t="str">
        <f>raw_order_lines!F927</f>
        <v>公斤</v>
      </c>
      <c r="G927" s="4">
        <f>raw_order_lines!G927</f>
        <v>4.8</v>
      </c>
      <c r="H927" s="4">
        <f>raw_order_lines!H927</f>
        <v>4.8</v>
      </c>
      <c r="I927" s="4">
        <f>raw_order_lines!I927</f>
        <v>0</v>
      </c>
      <c r="J927" s="5">
        <f>raw_order_lines!J927</f>
        <v>4.8</v>
      </c>
      <c r="K927" s="2" t="str">
        <f>raw_order_lines!K927</f>
        <v>正常交付</v>
      </c>
      <c r="L927" s="2" t="str">
        <f>raw_order_lines!L927</f>
        <v>true</v>
      </c>
      <c r="M927" s="2" t="str">
        <f>INDEX(dim_products!$B$2:$B$21,MATCH($E927,dim_products!$A$2:$A$21,0))</f>
        <v>红薯叶</v>
      </c>
      <c r="N927" s="2" t="str">
        <f>INDEX(dim_products!$C$2:$C$21,MATCH($E927,dim_products!$A$2:$A$21,0))</f>
        <v>散装鲜菜</v>
      </c>
      <c r="O927" s="2" t="str">
        <f>INDEX(dim_customers!$B$2:$B$7,MATCH($C927,dim_customers!$A$2:$A$7,0))</f>
        <v>模拟_溪桥医院食堂</v>
      </c>
      <c r="P927" s="6">
        <f>INT((ROUND(raw_order_lines!H927*10,0)*ROUND(raw_order_lines!J927*100,0)+5)/10)/100</f>
        <v>23.04</v>
      </c>
      <c r="Q927" s="6">
        <f>INT((ROUND(raw_order_lines!I927*10,0)*ROUND(raw_order_lines!J927*100,0)+5)/10)/100</f>
        <v>0</v>
      </c>
      <c r="R927" s="6">
        <f t="shared" si="42"/>
        <v>23.04</v>
      </c>
      <c r="S927" s="2" t="str">
        <f>IF(OR(ROUND(raw_order_lines!I927*10,0)&gt;ROUND(raw_order_lines!H927*10,0),ROUND(raw_order_lines!H927*10,0)&gt;ROUND(raw_order_lines!G927*10,0),ROUND(raw_order_lines!G927*10,0)&lt;=0),"数量关系异常","")</f>
        <v/>
      </c>
      <c r="T927" s="2" t="str">
        <f>IF($F927&lt;&gt;INDEX(dim_products!$D$2:$D$21,MATCH($E927,dim_products!$A$2:$A$21,0)),"单位不一致","")</f>
        <v/>
      </c>
      <c r="U927" s="2" t="str">
        <f>IF(OR(ROUND(raw_order_lines!J927*100,0)&lt;ROUND(INDEX(dim_products!$F$2:$F$21,MATCH($E927,dim_products!$A$2:$A$21,0))*100,0),ROUND(raw_order_lines!J927*100,0)&gt;ROUND(INDEX(dim_products!$G$2:$G$21,MATCH($E927,dim_products!$A$2:$A$21,0))*100,0)),"单价越界","")</f>
        <v/>
      </c>
      <c r="V927" s="2" t="str">
        <f t="shared" si="43"/>
        <v/>
      </c>
      <c r="W927" s="2" t="str">
        <f t="shared" si="44"/>
        <v>通过</v>
      </c>
    </row>
    <row r="928" spans="1:23" ht="15">
      <c r="A928" s="2" t="str">
        <f>raw_order_lines!A928</f>
        <v>SIM-20260929-C006</v>
      </c>
      <c r="B928" s="2">
        <f>raw_order_lines!B928</f>
        <v>2</v>
      </c>
      <c r="C928" s="2" t="str">
        <f>raw_order_lines!C928</f>
        <v>C006</v>
      </c>
      <c r="D928" s="3">
        <f>raw_order_lines!D928</f>
        <v>46294</v>
      </c>
      <c r="E928" s="2" t="str">
        <f>raw_order_lines!E928</f>
        <v>P005</v>
      </c>
      <c r="F928" s="2" t="str">
        <f>raw_order_lines!F928</f>
        <v>公斤</v>
      </c>
      <c r="G928" s="4">
        <f>raw_order_lines!G928</f>
        <v>6</v>
      </c>
      <c r="H928" s="4">
        <f>raw_order_lines!H928</f>
        <v>6</v>
      </c>
      <c r="I928" s="4">
        <f>raw_order_lines!I928</f>
        <v>0</v>
      </c>
      <c r="J928" s="5">
        <f>raw_order_lines!J928</f>
        <v>2.8</v>
      </c>
      <c r="K928" s="2" t="str">
        <f>raw_order_lines!K928</f>
        <v>正常交付</v>
      </c>
      <c r="L928" s="2" t="str">
        <f>raw_order_lines!L928</f>
        <v>true</v>
      </c>
      <c r="M928" s="2" t="str">
        <f>INDEX(dim_products!$B$2:$B$21,MATCH($E928,dim_products!$A$2:$A$21,0))</f>
        <v>南瓜</v>
      </c>
      <c r="N928" s="2" t="str">
        <f>INDEX(dim_products!$C$2:$C$21,MATCH($E928,dim_products!$A$2:$A$21,0))</f>
        <v>散装鲜菜</v>
      </c>
      <c r="O928" s="2" t="str">
        <f>INDEX(dim_customers!$B$2:$B$7,MATCH($C928,dim_customers!$A$2:$A$7,0))</f>
        <v>模拟_溪桥医院食堂</v>
      </c>
      <c r="P928" s="6">
        <f>INT((ROUND(raw_order_lines!H928*10,0)*ROUND(raw_order_lines!J928*100,0)+5)/10)/100</f>
        <v>16.8</v>
      </c>
      <c r="Q928" s="6">
        <f>INT((ROUND(raw_order_lines!I928*10,0)*ROUND(raw_order_lines!J928*100,0)+5)/10)/100</f>
        <v>0</v>
      </c>
      <c r="R928" s="6">
        <f t="shared" si="42"/>
        <v>16.8</v>
      </c>
      <c r="S928" s="2" t="str">
        <f>IF(OR(ROUND(raw_order_lines!I928*10,0)&gt;ROUND(raw_order_lines!H928*10,0),ROUND(raw_order_lines!H928*10,0)&gt;ROUND(raw_order_lines!G928*10,0),ROUND(raw_order_lines!G928*10,0)&lt;=0),"数量关系异常","")</f>
        <v/>
      </c>
      <c r="T928" s="2" t="str">
        <f>IF($F928&lt;&gt;INDEX(dim_products!$D$2:$D$21,MATCH($E928,dim_products!$A$2:$A$21,0)),"单位不一致","")</f>
        <v/>
      </c>
      <c r="U928" s="2" t="str">
        <f>IF(OR(ROUND(raw_order_lines!J928*100,0)&lt;ROUND(INDEX(dim_products!$F$2:$F$21,MATCH($E928,dim_products!$A$2:$A$21,0))*100,0),ROUND(raw_order_lines!J928*100,0)&gt;ROUND(INDEX(dim_products!$G$2:$G$21,MATCH($E928,dim_products!$A$2:$A$21,0))*100,0)),"单价越界","")</f>
        <v/>
      </c>
      <c r="V928" s="2" t="str">
        <f t="shared" si="43"/>
        <v/>
      </c>
      <c r="W928" s="2" t="str">
        <f t="shared" si="44"/>
        <v>通过</v>
      </c>
    </row>
    <row r="929" spans="1:23" ht="15">
      <c r="A929" s="2" t="str">
        <f>raw_order_lines!A929</f>
        <v>SIM-20260929-C006</v>
      </c>
      <c r="B929" s="2">
        <f>raw_order_lines!B929</f>
        <v>3</v>
      </c>
      <c r="C929" s="2" t="str">
        <f>raw_order_lines!C929</f>
        <v>C006</v>
      </c>
      <c r="D929" s="3">
        <f>raw_order_lines!D929</f>
        <v>46294</v>
      </c>
      <c r="E929" s="2" t="str">
        <f>raw_order_lines!E929</f>
        <v>P001</v>
      </c>
      <c r="F929" s="2" t="str">
        <f>raw_order_lines!F929</f>
        <v>公斤</v>
      </c>
      <c r="G929" s="4">
        <f>raw_order_lines!G929</f>
        <v>9.6999999999999993</v>
      </c>
      <c r="H929" s="4">
        <f>raw_order_lines!H929</f>
        <v>9.6999999999999993</v>
      </c>
      <c r="I929" s="4">
        <f>raw_order_lines!I929</f>
        <v>0</v>
      </c>
      <c r="J929" s="5">
        <f>raw_order_lines!J929</f>
        <v>3.1</v>
      </c>
      <c r="K929" s="2" t="str">
        <f>raw_order_lines!K929</f>
        <v>正常交付</v>
      </c>
      <c r="L929" s="2" t="str">
        <f>raw_order_lines!L929</f>
        <v>true</v>
      </c>
      <c r="M929" s="2" t="str">
        <f>INDEX(dim_products!$B$2:$B$21,MATCH($E929,dim_products!$A$2:$A$21,0))</f>
        <v>土豆</v>
      </c>
      <c r="N929" s="2" t="str">
        <f>INDEX(dim_products!$C$2:$C$21,MATCH($E929,dim_products!$A$2:$A$21,0))</f>
        <v>散装鲜菜</v>
      </c>
      <c r="O929" s="2" t="str">
        <f>INDEX(dim_customers!$B$2:$B$7,MATCH($C929,dim_customers!$A$2:$A$7,0))</f>
        <v>模拟_溪桥医院食堂</v>
      </c>
      <c r="P929" s="6">
        <f>INT((ROUND(raw_order_lines!H929*10,0)*ROUND(raw_order_lines!J929*100,0)+5)/10)/100</f>
        <v>30.07</v>
      </c>
      <c r="Q929" s="6">
        <f>INT((ROUND(raw_order_lines!I929*10,0)*ROUND(raw_order_lines!J929*100,0)+5)/10)/100</f>
        <v>0</v>
      </c>
      <c r="R929" s="6">
        <f t="shared" si="42"/>
        <v>30.07</v>
      </c>
      <c r="S929" s="2" t="str">
        <f>IF(OR(ROUND(raw_order_lines!I929*10,0)&gt;ROUND(raw_order_lines!H929*10,0),ROUND(raw_order_lines!H929*10,0)&gt;ROUND(raw_order_lines!G929*10,0),ROUND(raw_order_lines!G929*10,0)&lt;=0),"数量关系异常","")</f>
        <v/>
      </c>
      <c r="T929" s="2" t="str">
        <f>IF($F929&lt;&gt;INDEX(dim_products!$D$2:$D$21,MATCH($E929,dim_products!$A$2:$A$21,0)),"单位不一致","")</f>
        <v/>
      </c>
      <c r="U929" s="2" t="str">
        <f>IF(OR(ROUND(raw_order_lines!J929*100,0)&lt;ROUND(INDEX(dim_products!$F$2:$F$21,MATCH($E929,dim_products!$A$2:$A$21,0))*100,0),ROUND(raw_order_lines!J929*100,0)&gt;ROUND(INDEX(dim_products!$G$2:$G$21,MATCH($E929,dim_products!$A$2:$A$21,0))*100,0)),"单价越界","")</f>
        <v/>
      </c>
      <c r="V929" s="2" t="str">
        <f t="shared" si="43"/>
        <v/>
      </c>
      <c r="W929" s="2" t="str">
        <f t="shared" si="44"/>
        <v>通过</v>
      </c>
    </row>
    <row r="930" spans="1:23" ht="15">
      <c r="A930" s="2" t="str">
        <f>raw_order_lines!A930</f>
        <v>SIM-20260929-C006</v>
      </c>
      <c r="B930" s="2">
        <f>raw_order_lines!B930</f>
        <v>4</v>
      </c>
      <c r="C930" s="2" t="str">
        <f>raw_order_lines!C930</f>
        <v>C006</v>
      </c>
      <c r="D930" s="3">
        <f>raw_order_lines!D930</f>
        <v>46294</v>
      </c>
      <c r="E930" s="2" t="str">
        <f>raw_order_lines!E930</f>
        <v>P004</v>
      </c>
      <c r="F930" s="2" t="str">
        <f>raw_order_lines!F930</f>
        <v>公斤</v>
      </c>
      <c r="G930" s="4">
        <f>raw_order_lines!G930</f>
        <v>8.5</v>
      </c>
      <c r="H930" s="4">
        <f>raw_order_lines!H930</f>
        <v>8.5</v>
      </c>
      <c r="I930" s="4">
        <f>raw_order_lines!I930</f>
        <v>0</v>
      </c>
      <c r="J930" s="5">
        <f>raw_order_lines!J930</f>
        <v>2.2000000000000002</v>
      </c>
      <c r="K930" s="2" t="str">
        <f>raw_order_lines!K930</f>
        <v>正常交付</v>
      </c>
      <c r="L930" s="2" t="str">
        <f>raw_order_lines!L930</f>
        <v>true</v>
      </c>
      <c r="M930" s="2" t="str">
        <f>INDEX(dim_products!$B$2:$B$21,MATCH($E930,dim_products!$A$2:$A$21,0))</f>
        <v>冬瓜</v>
      </c>
      <c r="N930" s="2" t="str">
        <f>INDEX(dim_products!$C$2:$C$21,MATCH($E930,dim_products!$A$2:$A$21,0))</f>
        <v>散装鲜菜</v>
      </c>
      <c r="O930" s="2" t="str">
        <f>INDEX(dim_customers!$B$2:$B$7,MATCH($C930,dim_customers!$A$2:$A$7,0))</f>
        <v>模拟_溪桥医院食堂</v>
      </c>
      <c r="P930" s="6">
        <f>INT((ROUND(raw_order_lines!H930*10,0)*ROUND(raw_order_lines!J930*100,0)+5)/10)/100</f>
        <v>18.7</v>
      </c>
      <c r="Q930" s="6">
        <f>INT((ROUND(raw_order_lines!I930*10,0)*ROUND(raw_order_lines!J930*100,0)+5)/10)/100</f>
        <v>0</v>
      </c>
      <c r="R930" s="6">
        <f t="shared" si="42"/>
        <v>18.7</v>
      </c>
      <c r="S930" s="2" t="str">
        <f>IF(OR(ROUND(raw_order_lines!I930*10,0)&gt;ROUND(raw_order_lines!H930*10,0),ROUND(raw_order_lines!H930*10,0)&gt;ROUND(raw_order_lines!G930*10,0),ROUND(raw_order_lines!G930*10,0)&lt;=0),"数量关系异常","")</f>
        <v/>
      </c>
      <c r="T930" s="2" t="str">
        <f>IF($F930&lt;&gt;INDEX(dim_products!$D$2:$D$21,MATCH($E930,dim_products!$A$2:$A$21,0)),"单位不一致","")</f>
        <v/>
      </c>
      <c r="U930" s="2" t="str">
        <f>IF(OR(ROUND(raw_order_lines!J930*100,0)&lt;ROUND(INDEX(dim_products!$F$2:$F$21,MATCH($E930,dim_products!$A$2:$A$21,0))*100,0),ROUND(raw_order_lines!J930*100,0)&gt;ROUND(INDEX(dim_products!$G$2:$G$21,MATCH($E930,dim_products!$A$2:$A$21,0))*100,0)),"单价越界","")</f>
        <v/>
      </c>
      <c r="V930" s="2" t="str">
        <f t="shared" si="43"/>
        <v/>
      </c>
      <c r="W930" s="2" t="str">
        <f t="shared" si="44"/>
        <v>通过</v>
      </c>
    </row>
    <row r="931" spans="1:23" ht="15">
      <c r="A931" s="2" t="str">
        <f>raw_order_lines!A931</f>
        <v>SIM-20260929-C006</v>
      </c>
      <c r="B931" s="2">
        <f>raw_order_lines!B931</f>
        <v>5</v>
      </c>
      <c r="C931" s="2" t="str">
        <f>raw_order_lines!C931</f>
        <v>C006</v>
      </c>
      <c r="D931" s="3">
        <f>raw_order_lines!D931</f>
        <v>46294</v>
      </c>
      <c r="E931" s="2" t="str">
        <f>raw_order_lines!E931</f>
        <v>P006</v>
      </c>
      <c r="F931" s="2" t="str">
        <f>raw_order_lines!F931</f>
        <v>公斤</v>
      </c>
      <c r="G931" s="4">
        <f>raw_order_lines!G931</f>
        <v>6.7</v>
      </c>
      <c r="H931" s="4">
        <f>raw_order_lines!H931</f>
        <v>6.7</v>
      </c>
      <c r="I931" s="4">
        <f>raw_order_lines!I931</f>
        <v>0</v>
      </c>
      <c r="J931" s="5">
        <f>raw_order_lines!J931</f>
        <v>4.5</v>
      </c>
      <c r="K931" s="2" t="str">
        <f>raw_order_lines!K931</f>
        <v>正常交付</v>
      </c>
      <c r="L931" s="2" t="str">
        <f>raw_order_lines!L931</f>
        <v>true</v>
      </c>
      <c r="M931" s="2" t="str">
        <f>INDEX(dim_products!$B$2:$B$21,MATCH($E931,dim_products!$A$2:$A$21,0))</f>
        <v>茄子</v>
      </c>
      <c r="N931" s="2" t="str">
        <f>INDEX(dim_products!$C$2:$C$21,MATCH($E931,dim_products!$A$2:$A$21,0))</f>
        <v>散装鲜菜</v>
      </c>
      <c r="O931" s="2" t="str">
        <f>INDEX(dim_customers!$B$2:$B$7,MATCH($C931,dim_customers!$A$2:$A$7,0))</f>
        <v>模拟_溪桥医院食堂</v>
      </c>
      <c r="P931" s="6">
        <f>INT((ROUND(raw_order_lines!H931*10,0)*ROUND(raw_order_lines!J931*100,0)+5)/10)/100</f>
        <v>30.15</v>
      </c>
      <c r="Q931" s="6">
        <f>INT((ROUND(raw_order_lines!I931*10,0)*ROUND(raw_order_lines!J931*100,0)+5)/10)/100</f>
        <v>0</v>
      </c>
      <c r="R931" s="6">
        <f t="shared" si="42"/>
        <v>30.15</v>
      </c>
      <c r="S931" s="2" t="str">
        <f>IF(OR(ROUND(raw_order_lines!I931*10,0)&gt;ROUND(raw_order_lines!H931*10,0),ROUND(raw_order_lines!H931*10,0)&gt;ROUND(raw_order_lines!G931*10,0),ROUND(raw_order_lines!G931*10,0)&lt;=0),"数量关系异常","")</f>
        <v/>
      </c>
      <c r="T931" s="2" t="str">
        <f>IF($F931&lt;&gt;INDEX(dim_products!$D$2:$D$21,MATCH($E931,dim_products!$A$2:$A$21,0)),"单位不一致","")</f>
        <v/>
      </c>
      <c r="U931" s="2" t="str">
        <f>IF(OR(ROUND(raw_order_lines!J931*100,0)&lt;ROUND(INDEX(dim_products!$F$2:$F$21,MATCH($E931,dim_products!$A$2:$A$21,0))*100,0),ROUND(raw_order_lines!J931*100,0)&gt;ROUND(INDEX(dim_products!$G$2:$G$21,MATCH($E931,dim_products!$A$2:$A$21,0))*100,0)),"单价越界","")</f>
        <v/>
      </c>
      <c r="V931" s="2" t="str">
        <f t="shared" si="43"/>
        <v/>
      </c>
      <c r="W931" s="2" t="str">
        <f t="shared" si="44"/>
        <v>通过</v>
      </c>
    </row>
    <row r="932" spans="1:23" ht="15">
      <c r="A932" s="2" t="str">
        <f>raw_order_lines!A932</f>
        <v>SIM-20260929-C006</v>
      </c>
      <c r="B932" s="2">
        <f>raw_order_lines!B932</f>
        <v>6</v>
      </c>
      <c r="C932" s="2" t="str">
        <f>raw_order_lines!C932</f>
        <v>C006</v>
      </c>
      <c r="D932" s="3">
        <f>raw_order_lines!D932</f>
        <v>46294</v>
      </c>
      <c r="E932" s="2" t="str">
        <f>raw_order_lines!E932</f>
        <v>P007</v>
      </c>
      <c r="F932" s="2" t="str">
        <f>raw_order_lines!F932</f>
        <v>公斤</v>
      </c>
      <c r="G932" s="4">
        <f>raw_order_lines!G932</f>
        <v>8.5</v>
      </c>
      <c r="H932" s="4">
        <f>raw_order_lines!H932</f>
        <v>8.5</v>
      </c>
      <c r="I932" s="4">
        <f>raw_order_lines!I932</f>
        <v>0</v>
      </c>
      <c r="J932" s="5">
        <f>raw_order_lines!J932</f>
        <v>5.25</v>
      </c>
      <c r="K932" s="2" t="str">
        <f>raw_order_lines!K932</f>
        <v>正常交付</v>
      </c>
      <c r="L932" s="2" t="str">
        <f>raw_order_lines!L932</f>
        <v>true</v>
      </c>
      <c r="M932" s="2" t="str">
        <f>INDEX(dim_products!$B$2:$B$21,MATCH($E932,dim_products!$A$2:$A$21,0))</f>
        <v>青椒</v>
      </c>
      <c r="N932" s="2" t="str">
        <f>INDEX(dim_products!$C$2:$C$21,MATCH($E932,dim_products!$A$2:$A$21,0))</f>
        <v>散装鲜菜</v>
      </c>
      <c r="O932" s="2" t="str">
        <f>INDEX(dim_customers!$B$2:$B$7,MATCH($C932,dim_customers!$A$2:$A$7,0))</f>
        <v>模拟_溪桥医院食堂</v>
      </c>
      <c r="P932" s="6">
        <f>INT((ROUND(raw_order_lines!H932*10,0)*ROUND(raw_order_lines!J932*100,0)+5)/10)/100</f>
        <v>44.63</v>
      </c>
      <c r="Q932" s="6">
        <f>INT((ROUND(raw_order_lines!I932*10,0)*ROUND(raw_order_lines!J932*100,0)+5)/10)/100</f>
        <v>0</v>
      </c>
      <c r="R932" s="6">
        <f t="shared" si="42"/>
        <v>44.63</v>
      </c>
      <c r="S932" s="2" t="str">
        <f>IF(OR(ROUND(raw_order_lines!I932*10,0)&gt;ROUND(raw_order_lines!H932*10,0),ROUND(raw_order_lines!H932*10,0)&gt;ROUND(raw_order_lines!G932*10,0),ROUND(raw_order_lines!G932*10,0)&lt;=0),"数量关系异常","")</f>
        <v/>
      </c>
      <c r="T932" s="2" t="str">
        <f>IF($F932&lt;&gt;INDEX(dim_products!$D$2:$D$21,MATCH($E932,dim_products!$A$2:$A$21,0)),"单位不一致","")</f>
        <v/>
      </c>
      <c r="U932" s="2" t="str">
        <f>IF(OR(ROUND(raw_order_lines!J932*100,0)&lt;ROUND(INDEX(dim_products!$F$2:$F$21,MATCH($E932,dim_products!$A$2:$A$21,0))*100,0),ROUND(raw_order_lines!J932*100,0)&gt;ROUND(INDEX(dim_products!$G$2:$G$21,MATCH($E932,dim_products!$A$2:$A$21,0))*100,0)),"单价越界","")</f>
        <v/>
      </c>
      <c r="V932" s="2" t="str">
        <f t="shared" si="43"/>
        <v/>
      </c>
      <c r="W932" s="2" t="str">
        <f t="shared" si="44"/>
        <v>通过</v>
      </c>
    </row>
    <row r="933" spans="1:23" ht="15">
      <c r="A933" s="2" t="str">
        <f>raw_order_lines!A933</f>
        <v>SIM-20260929-C006</v>
      </c>
      <c r="B933" s="2">
        <f>raw_order_lines!B933</f>
        <v>7</v>
      </c>
      <c r="C933" s="2" t="str">
        <f>raw_order_lines!C933</f>
        <v>C006</v>
      </c>
      <c r="D933" s="3">
        <f>raw_order_lines!D933</f>
        <v>46294</v>
      </c>
      <c r="E933" s="2" t="str">
        <f>raw_order_lines!E933</f>
        <v>P016</v>
      </c>
      <c r="F933" s="2" t="str">
        <f>raw_order_lines!F933</f>
        <v>公斤</v>
      </c>
      <c r="G933" s="4">
        <f>raw_order_lines!G933</f>
        <v>9</v>
      </c>
      <c r="H933" s="4">
        <f>raw_order_lines!H933</f>
        <v>9</v>
      </c>
      <c r="I933" s="4">
        <f>raw_order_lines!I933</f>
        <v>0</v>
      </c>
      <c r="J933" s="5">
        <f>raw_order_lines!J933</f>
        <v>10.3</v>
      </c>
      <c r="K933" s="2" t="str">
        <f>raw_order_lines!K933</f>
        <v>正常交付</v>
      </c>
      <c r="L933" s="2" t="str">
        <f>raw_order_lines!L933</f>
        <v>true</v>
      </c>
      <c r="M933" s="2" t="str">
        <f>INDEX(dim_products!$B$2:$B$21,MATCH($E933,dim_products!$A$2:$A$21,0))</f>
        <v>鸡蛋</v>
      </c>
      <c r="N933" s="2" t="str">
        <f>INDEX(dim_products!$C$2:$C$21,MATCH($E933,dim_products!$A$2:$A$21,0))</f>
        <v>普通鲜鸡蛋按净重</v>
      </c>
      <c r="O933" s="2" t="str">
        <f>INDEX(dim_customers!$B$2:$B$7,MATCH($C933,dim_customers!$A$2:$A$7,0))</f>
        <v>模拟_溪桥医院食堂</v>
      </c>
      <c r="P933" s="6">
        <f>INT((ROUND(raw_order_lines!H933*10,0)*ROUND(raw_order_lines!J933*100,0)+5)/10)/100</f>
        <v>92.7</v>
      </c>
      <c r="Q933" s="6">
        <f>INT((ROUND(raw_order_lines!I933*10,0)*ROUND(raw_order_lines!J933*100,0)+5)/10)/100</f>
        <v>0</v>
      </c>
      <c r="R933" s="6">
        <f t="shared" si="42"/>
        <v>92.7</v>
      </c>
      <c r="S933" s="2" t="str">
        <f>IF(OR(ROUND(raw_order_lines!I933*10,0)&gt;ROUND(raw_order_lines!H933*10,0),ROUND(raw_order_lines!H933*10,0)&gt;ROUND(raw_order_lines!G933*10,0),ROUND(raw_order_lines!G933*10,0)&lt;=0),"数量关系异常","")</f>
        <v/>
      </c>
      <c r="T933" s="2" t="str">
        <f>IF($F933&lt;&gt;INDEX(dim_products!$D$2:$D$21,MATCH($E933,dim_products!$A$2:$A$21,0)),"单位不一致","")</f>
        <v/>
      </c>
      <c r="U933" s="2" t="str">
        <f>IF(OR(ROUND(raw_order_lines!J933*100,0)&lt;ROUND(INDEX(dim_products!$F$2:$F$21,MATCH($E933,dim_products!$A$2:$A$21,0))*100,0),ROUND(raw_order_lines!J933*100,0)&gt;ROUND(INDEX(dim_products!$G$2:$G$21,MATCH($E933,dim_products!$A$2:$A$21,0))*100,0)),"单价越界","")</f>
        <v/>
      </c>
      <c r="V933" s="2" t="str">
        <f t="shared" si="43"/>
        <v/>
      </c>
      <c r="W933" s="2" t="str">
        <f t="shared" si="44"/>
        <v>通过</v>
      </c>
    </row>
    <row r="934" spans="1:23" ht="15">
      <c r="A934" s="2" t="str">
        <f>raw_order_lines!A934</f>
        <v>SIM-20260930-C001</v>
      </c>
      <c r="B934" s="2">
        <f>raw_order_lines!B934</f>
        <v>1</v>
      </c>
      <c r="C934" s="2" t="str">
        <f>raw_order_lines!C934</f>
        <v>C001</v>
      </c>
      <c r="D934" s="3">
        <f>raw_order_lines!D934</f>
        <v>46295</v>
      </c>
      <c r="E934" s="2" t="str">
        <f>raw_order_lines!E934</f>
        <v>P010</v>
      </c>
      <c r="F934" s="2" t="str">
        <f>raw_order_lines!F934</f>
        <v>公斤</v>
      </c>
      <c r="G934" s="4">
        <f>raw_order_lines!G934</f>
        <v>1.6</v>
      </c>
      <c r="H934" s="4">
        <f>raw_order_lines!H934</f>
        <v>1.6</v>
      </c>
      <c r="I934" s="4">
        <f>raw_order_lines!I934</f>
        <v>0</v>
      </c>
      <c r="J934" s="5">
        <f>raw_order_lines!J934</f>
        <v>4.8</v>
      </c>
      <c r="K934" s="2" t="str">
        <f>raw_order_lines!K934</f>
        <v>正常交付</v>
      </c>
      <c r="L934" s="2" t="str">
        <f>raw_order_lines!L934</f>
        <v>true</v>
      </c>
      <c r="M934" s="2" t="str">
        <f>INDEX(dim_products!$B$2:$B$21,MATCH($E934,dim_products!$A$2:$A$21,0))</f>
        <v>空心菜</v>
      </c>
      <c r="N934" s="2" t="str">
        <f>INDEX(dim_products!$C$2:$C$21,MATCH($E934,dim_products!$A$2:$A$21,0))</f>
        <v>散装鲜菜</v>
      </c>
      <c r="O934" s="2" t="str">
        <f>INDEX(dim_customers!$B$2:$B$7,MATCH($C934,dim_customers!$A$2:$A$7,0))</f>
        <v>模拟_榕树下粉面店</v>
      </c>
      <c r="P934" s="6">
        <f>INT((ROUND(raw_order_lines!H934*10,0)*ROUND(raw_order_lines!J934*100,0)+5)/10)/100</f>
        <v>7.68</v>
      </c>
      <c r="Q934" s="6">
        <f>INT((ROUND(raw_order_lines!I934*10,0)*ROUND(raw_order_lines!J934*100,0)+5)/10)/100</f>
        <v>0</v>
      </c>
      <c r="R934" s="6">
        <f t="shared" si="42"/>
        <v>7.68</v>
      </c>
      <c r="S934" s="2" t="str">
        <f>IF(OR(ROUND(raw_order_lines!I934*10,0)&gt;ROUND(raw_order_lines!H934*10,0),ROUND(raw_order_lines!H934*10,0)&gt;ROUND(raw_order_lines!G934*10,0),ROUND(raw_order_lines!G934*10,0)&lt;=0),"数量关系异常","")</f>
        <v/>
      </c>
      <c r="T934" s="2" t="str">
        <f>IF($F934&lt;&gt;INDEX(dim_products!$D$2:$D$21,MATCH($E934,dim_products!$A$2:$A$21,0)),"单位不一致","")</f>
        <v/>
      </c>
      <c r="U934" s="2" t="str">
        <f>IF(OR(ROUND(raw_order_lines!J934*100,0)&lt;ROUND(INDEX(dim_products!$F$2:$F$21,MATCH($E934,dim_products!$A$2:$A$21,0))*100,0),ROUND(raw_order_lines!J934*100,0)&gt;ROUND(INDEX(dim_products!$G$2:$G$21,MATCH($E934,dim_products!$A$2:$A$21,0))*100,0)),"单价越界","")</f>
        <v/>
      </c>
      <c r="V934" s="2" t="str">
        <f t="shared" si="43"/>
        <v/>
      </c>
      <c r="W934" s="2" t="str">
        <f t="shared" si="44"/>
        <v>通过</v>
      </c>
    </row>
    <row r="935" spans="1:23" ht="15">
      <c r="A935" s="2" t="str">
        <f>raw_order_lines!A935</f>
        <v>SIM-20260930-C001</v>
      </c>
      <c r="B935" s="2">
        <f>raw_order_lines!B935</f>
        <v>2</v>
      </c>
      <c r="C935" s="2" t="str">
        <f>raw_order_lines!C935</f>
        <v>C001</v>
      </c>
      <c r="D935" s="3">
        <f>raw_order_lines!D935</f>
        <v>46295</v>
      </c>
      <c r="E935" s="2" t="str">
        <f>raw_order_lines!E935</f>
        <v>P007</v>
      </c>
      <c r="F935" s="2" t="str">
        <f>raw_order_lines!F935</f>
        <v>公斤</v>
      </c>
      <c r="G935" s="4">
        <f>raw_order_lines!G935</f>
        <v>3.2</v>
      </c>
      <c r="H935" s="4">
        <f>raw_order_lines!H935</f>
        <v>3.2</v>
      </c>
      <c r="I935" s="4">
        <f>raw_order_lines!I935</f>
        <v>0</v>
      </c>
      <c r="J935" s="5">
        <f>raw_order_lines!J935</f>
        <v>5.25</v>
      </c>
      <c r="K935" s="2" t="str">
        <f>raw_order_lines!K935</f>
        <v>正常交付</v>
      </c>
      <c r="L935" s="2" t="str">
        <f>raw_order_lines!L935</f>
        <v>true</v>
      </c>
      <c r="M935" s="2" t="str">
        <f>INDEX(dim_products!$B$2:$B$21,MATCH($E935,dim_products!$A$2:$A$21,0))</f>
        <v>青椒</v>
      </c>
      <c r="N935" s="2" t="str">
        <f>INDEX(dim_products!$C$2:$C$21,MATCH($E935,dim_products!$A$2:$A$21,0))</f>
        <v>散装鲜菜</v>
      </c>
      <c r="O935" s="2" t="str">
        <f>INDEX(dim_customers!$B$2:$B$7,MATCH($C935,dim_customers!$A$2:$A$7,0))</f>
        <v>模拟_榕树下粉面店</v>
      </c>
      <c r="P935" s="6">
        <f>INT((ROUND(raw_order_lines!H935*10,0)*ROUND(raw_order_lines!J935*100,0)+5)/10)/100</f>
        <v>16.8</v>
      </c>
      <c r="Q935" s="6">
        <f>INT((ROUND(raw_order_lines!I935*10,0)*ROUND(raw_order_lines!J935*100,0)+5)/10)/100</f>
        <v>0</v>
      </c>
      <c r="R935" s="6">
        <f t="shared" si="42"/>
        <v>16.8</v>
      </c>
      <c r="S935" s="2" t="str">
        <f>IF(OR(ROUND(raw_order_lines!I935*10,0)&gt;ROUND(raw_order_lines!H935*10,0),ROUND(raw_order_lines!H935*10,0)&gt;ROUND(raw_order_lines!G935*10,0),ROUND(raw_order_lines!G935*10,0)&lt;=0),"数量关系异常","")</f>
        <v/>
      </c>
      <c r="T935" s="2" t="str">
        <f>IF($F935&lt;&gt;INDEX(dim_products!$D$2:$D$21,MATCH($E935,dim_products!$A$2:$A$21,0)),"单位不一致","")</f>
        <v/>
      </c>
      <c r="U935" s="2" t="str">
        <f>IF(OR(ROUND(raw_order_lines!J935*100,0)&lt;ROUND(INDEX(dim_products!$F$2:$F$21,MATCH($E935,dim_products!$A$2:$A$21,0))*100,0),ROUND(raw_order_lines!J935*100,0)&gt;ROUND(INDEX(dim_products!$G$2:$G$21,MATCH($E935,dim_products!$A$2:$A$21,0))*100,0)),"单价越界","")</f>
        <v/>
      </c>
      <c r="V935" s="2" t="str">
        <f t="shared" si="43"/>
        <v/>
      </c>
      <c r="W935" s="2" t="str">
        <f t="shared" si="44"/>
        <v>通过</v>
      </c>
    </row>
    <row r="936" spans="1:23" ht="15">
      <c r="A936" s="2" t="str">
        <f>raw_order_lines!A936</f>
        <v>SIM-20260930-C001</v>
      </c>
      <c r="B936" s="2">
        <f>raw_order_lines!B936</f>
        <v>3</v>
      </c>
      <c r="C936" s="2" t="str">
        <f>raw_order_lines!C936</f>
        <v>C001</v>
      </c>
      <c r="D936" s="3">
        <f>raw_order_lines!D936</f>
        <v>46295</v>
      </c>
      <c r="E936" s="2" t="str">
        <f>raw_order_lines!E936</f>
        <v>P008</v>
      </c>
      <c r="F936" s="2" t="str">
        <f>raw_order_lines!F936</f>
        <v>公斤</v>
      </c>
      <c r="G936" s="4">
        <f>raw_order_lines!G936</f>
        <v>3</v>
      </c>
      <c r="H936" s="4">
        <f>raw_order_lines!H936</f>
        <v>3</v>
      </c>
      <c r="I936" s="4">
        <f>raw_order_lines!I936</f>
        <v>0</v>
      </c>
      <c r="J936" s="5">
        <f>raw_order_lines!J936</f>
        <v>4.3</v>
      </c>
      <c r="K936" s="2" t="str">
        <f>raw_order_lines!K936</f>
        <v>正常交付</v>
      </c>
      <c r="L936" s="2" t="str">
        <f>raw_order_lines!L936</f>
        <v>true</v>
      </c>
      <c r="M936" s="2" t="str">
        <f>INDEX(dim_products!$B$2:$B$21,MATCH($E936,dim_products!$A$2:$A$21,0))</f>
        <v>黄瓜</v>
      </c>
      <c r="N936" s="2" t="str">
        <f>INDEX(dim_products!$C$2:$C$21,MATCH($E936,dim_products!$A$2:$A$21,0))</f>
        <v>散装鲜菜</v>
      </c>
      <c r="O936" s="2" t="str">
        <f>INDEX(dim_customers!$B$2:$B$7,MATCH($C936,dim_customers!$A$2:$A$7,0))</f>
        <v>模拟_榕树下粉面店</v>
      </c>
      <c r="P936" s="6">
        <f>INT((ROUND(raw_order_lines!H936*10,0)*ROUND(raw_order_lines!J936*100,0)+5)/10)/100</f>
        <v>12.9</v>
      </c>
      <c r="Q936" s="6">
        <f>INT((ROUND(raw_order_lines!I936*10,0)*ROUND(raw_order_lines!J936*100,0)+5)/10)/100</f>
        <v>0</v>
      </c>
      <c r="R936" s="6">
        <f t="shared" si="42"/>
        <v>12.9</v>
      </c>
      <c r="S936" s="2" t="str">
        <f>IF(OR(ROUND(raw_order_lines!I936*10,0)&gt;ROUND(raw_order_lines!H936*10,0),ROUND(raw_order_lines!H936*10,0)&gt;ROUND(raw_order_lines!G936*10,0),ROUND(raw_order_lines!G936*10,0)&lt;=0),"数量关系异常","")</f>
        <v/>
      </c>
      <c r="T936" s="2" t="str">
        <f>IF($F936&lt;&gt;INDEX(dim_products!$D$2:$D$21,MATCH($E936,dim_products!$A$2:$A$21,0)),"单位不一致","")</f>
        <v/>
      </c>
      <c r="U936" s="2" t="str">
        <f>IF(OR(ROUND(raw_order_lines!J936*100,0)&lt;ROUND(INDEX(dim_products!$F$2:$F$21,MATCH($E936,dim_products!$A$2:$A$21,0))*100,0),ROUND(raw_order_lines!J936*100,0)&gt;ROUND(INDEX(dim_products!$G$2:$G$21,MATCH($E936,dim_products!$A$2:$A$21,0))*100,0)),"单价越界","")</f>
        <v/>
      </c>
      <c r="V936" s="2" t="str">
        <f t="shared" si="43"/>
        <v/>
      </c>
      <c r="W936" s="2" t="str">
        <f t="shared" si="44"/>
        <v>通过</v>
      </c>
    </row>
    <row r="937" spans="1:23" ht="15">
      <c r="A937" s="2" t="str">
        <f>raw_order_lines!A937</f>
        <v>SIM-20260930-C001</v>
      </c>
      <c r="B937" s="2">
        <f>raw_order_lines!B937</f>
        <v>4</v>
      </c>
      <c r="C937" s="2" t="str">
        <f>raw_order_lines!C937</f>
        <v>C001</v>
      </c>
      <c r="D937" s="3">
        <f>raw_order_lines!D937</f>
        <v>46295</v>
      </c>
      <c r="E937" s="2" t="str">
        <f>raw_order_lines!E937</f>
        <v>P001</v>
      </c>
      <c r="F937" s="2" t="str">
        <f>raw_order_lines!F937</f>
        <v>公斤</v>
      </c>
      <c r="G937" s="4">
        <f>raw_order_lines!G937</f>
        <v>3</v>
      </c>
      <c r="H937" s="4">
        <f>raw_order_lines!H937</f>
        <v>3</v>
      </c>
      <c r="I937" s="4">
        <f>raw_order_lines!I937</f>
        <v>0</v>
      </c>
      <c r="J937" s="5">
        <f>raw_order_lines!J937</f>
        <v>3.1</v>
      </c>
      <c r="K937" s="2" t="str">
        <f>raw_order_lines!K937</f>
        <v>正常交付</v>
      </c>
      <c r="L937" s="2" t="str">
        <f>raw_order_lines!L937</f>
        <v>true</v>
      </c>
      <c r="M937" s="2" t="str">
        <f>INDEX(dim_products!$B$2:$B$21,MATCH($E937,dim_products!$A$2:$A$21,0))</f>
        <v>土豆</v>
      </c>
      <c r="N937" s="2" t="str">
        <f>INDEX(dim_products!$C$2:$C$21,MATCH($E937,dim_products!$A$2:$A$21,0))</f>
        <v>散装鲜菜</v>
      </c>
      <c r="O937" s="2" t="str">
        <f>INDEX(dim_customers!$B$2:$B$7,MATCH($C937,dim_customers!$A$2:$A$7,0))</f>
        <v>模拟_榕树下粉面店</v>
      </c>
      <c r="P937" s="6">
        <f>INT((ROUND(raw_order_lines!H937*10,0)*ROUND(raw_order_lines!J937*100,0)+5)/10)/100</f>
        <v>9.3000000000000007</v>
      </c>
      <c r="Q937" s="6">
        <f>INT((ROUND(raw_order_lines!I937*10,0)*ROUND(raw_order_lines!J937*100,0)+5)/10)/100</f>
        <v>0</v>
      </c>
      <c r="R937" s="6">
        <f t="shared" si="42"/>
        <v>9.3000000000000007</v>
      </c>
      <c r="S937" s="2" t="str">
        <f>IF(OR(ROUND(raw_order_lines!I937*10,0)&gt;ROUND(raw_order_lines!H937*10,0),ROUND(raw_order_lines!H937*10,0)&gt;ROUND(raw_order_lines!G937*10,0),ROUND(raw_order_lines!G937*10,0)&lt;=0),"数量关系异常","")</f>
        <v/>
      </c>
      <c r="T937" s="2" t="str">
        <f>IF($F937&lt;&gt;INDEX(dim_products!$D$2:$D$21,MATCH($E937,dim_products!$A$2:$A$21,0)),"单位不一致","")</f>
        <v/>
      </c>
      <c r="U937" s="2" t="str">
        <f>IF(OR(ROUND(raw_order_lines!J937*100,0)&lt;ROUND(INDEX(dim_products!$F$2:$F$21,MATCH($E937,dim_products!$A$2:$A$21,0))*100,0),ROUND(raw_order_lines!J937*100,0)&gt;ROUND(INDEX(dim_products!$G$2:$G$21,MATCH($E937,dim_products!$A$2:$A$21,0))*100,0)),"单价越界","")</f>
        <v/>
      </c>
      <c r="V937" s="2" t="str">
        <f t="shared" si="43"/>
        <v/>
      </c>
      <c r="W937" s="2" t="str">
        <f t="shared" si="44"/>
        <v>通过</v>
      </c>
    </row>
    <row r="938" spans="1:23" ht="15">
      <c r="A938" s="2" t="str">
        <f>raw_order_lines!A938</f>
        <v>SIM-20260930-C001</v>
      </c>
      <c r="B938" s="2">
        <f>raw_order_lines!B938</f>
        <v>5</v>
      </c>
      <c r="C938" s="2" t="str">
        <f>raw_order_lines!C938</f>
        <v>C001</v>
      </c>
      <c r="D938" s="3">
        <f>raw_order_lines!D938</f>
        <v>46295</v>
      </c>
      <c r="E938" s="2" t="str">
        <f>raw_order_lines!E938</f>
        <v>P019</v>
      </c>
      <c r="F938" s="2" t="str">
        <f>raw_order_lines!F938</f>
        <v>桶</v>
      </c>
      <c r="G938" s="4">
        <f>raw_order_lines!G938</f>
        <v>1</v>
      </c>
      <c r="H938" s="4">
        <f>raw_order_lines!H938</f>
        <v>1</v>
      </c>
      <c r="I938" s="4">
        <f>raw_order_lines!I938</f>
        <v>0</v>
      </c>
      <c r="J938" s="5">
        <f>raw_order_lines!J938</f>
        <v>69</v>
      </c>
      <c r="K938" s="2" t="str">
        <f>raw_order_lines!K938</f>
        <v>正常交付</v>
      </c>
      <c r="L938" s="2" t="str">
        <f>raw_order_lines!L938</f>
        <v>true</v>
      </c>
      <c r="M938" s="2" t="str">
        <f>INDEX(dim_products!$B$2:$B$21,MATCH($E938,dim_products!$A$2:$A$21,0))</f>
        <v>菜籽油</v>
      </c>
      <c r="N938" s="2" t="str">
        <f>INDEX(dim_products!$C$2:$C$21,MATCH($E938,dim_products!$A$2:$A$21,0))</f>
        <v>5升/桶普通菜籽油</v>
      </c>
      <c r="O938" s="2" t="str">
        <f>INDEX(dim_customers!$B$2:$B$7,MATCH($C938,dim_customers!$A$2:$A$7,0))</f>
        <v>模拟_榕树下粉面店</v>
      </c>
      <c r="P938" s="6">
        <f>INT((ROUND(raw_order_lines!H938*10,0)*ROUND(raw_order_lines!J938*100,0)+5)/10)/100</f>
        <v>69</v>
      </c>
      <c r="Q938" s="6">
        <f>INT((ROUND(raw_order_lines!I938*10,0)*ROUND(raw_order_lines!J938*100,0)+5)/10)/100</f>
        <v>0</v>
      </c>
      <c r="R938" s="6">
        <f t="shared" si="42"/>
        <v>69</v>
      </c>
      <c r="S938" s="2" t="str">
        <f>IF(OR(ROUND(raw_order_lines!I938*10,0)&gt;ROUND(raw_order_lines!H938*10,0),ROUND(raw_order_lines!H938*10,0)&gt;ROUND(raw_order_lines!G938*10,0),ROUND(raw_order_lines!G938*10,0)&lt;=0),"数量关系异常","")</f>
        <v/>
      </c>
      <c r="T938" s="2" t="str">
        <f>IF($F938&lt;&gt;INDEX(dim_products!$D$2:$D$21,MATCH($E938,dim_products!$A$2:$A$21,0)),"单位不一致","")</f>
        <v/>
      </c>
      <c r="U938" s="2" t="str">
        <f>IF(OR(ROUND(raw_order_lines!J938*100,0)&lt;ROUND(INDEX(dim_products!$F$2:$F$21,MATCH($E938,dim_products!$A$2:$A$21,0))*100,0),ROUND(raw_order_lines!J938*100,0)&gt;ROUND(INDEX(dim_products!$G$2:$G$21,MATCH($E938,dim_products!$A$2:$A$21,0))*100,0)),"单价越界","")</f>
        <v/>
      </c>
      <c r="V938" s="2" t="str">
        <f t="shared" si="43"/>
        <v/>
      </c>
      <c r="W938" s="2" t="str">
        <f t="shared" si="44"/>
        <v>通过</v>
      </c>
    </row>
    <row r="939" spans="1:23" ht="15">
      <c r="A939" s="2" t="str">
        <f>raw_order_lines!A939</f>
        <v>SIM-20260930-C001</v>
      </c>
      <c r="B939" s="2">
        <f>raw_order_lines!B939</f>
        <v>6</v>
      </c>
      <c r="C939" s="2" t="str">
        <f>raw_order_lines!C939</f>
        <v>C001</v>
      </c>
      <c r="D939" s="3">
        <f>raw_order_lines!D939</f>
        <v>46295</v>
      </c>
      <c r="E939" s="2" t="str">
        <f>raw_order_lines!E939</f>
        <v>P018</v>
      </c>
      <c r="F939" s="2" t="str">
        <f>raw_order_lines!F939</f>
        <v>袋</v>
      </c>
      <c r="G939" s="4">
        <f>raw_order_lines!G939</f>
        <v>1</v>
      </c>
      <c r="H939" s="4">
        <f>raw_order_lines!H939</f>
        <v>1</v>
      </c>
      <c r="I939" s="4">
        <f>raw_order_lines!I939</f>
        <v>0</v>
      </c>
      <c r="J939" s="5">
        <f>raw_order_lines!J939</f>
        <v>107</v>
      </c>
      <c r="K939" s="2" t="str">
        <f>raw_order_lines!K939</f>
        <v>正常交付</v>
      </c>
      <c r="L939" s="2" t="str">
        <f>raw_order_lines!L939</f>
        <v>true</v>
      </c>
      <c r="M939" s="2" t="str">
        <f>INDEX(dim_products!$B$2:$B$21,MATCH($E939,dim_products!$A$2:$A$21,0))</f>
        <v>小麦粉</v>
      </c>
      <c r="N939" s="2" t="str">
        <f>INDEX(dim_products!$C$2:$C$21,MATCH($E939,dim_products!$A$2:$A$21,0))</f>
        <v>25公斤/袋普通小麦粉</v>
      </c>
      <c r="O939" s="2" t="str">
        <f>INDEX(dim_customers!$B$2:$B$7,MATCH($C939,dim_customers!$A$2:$A$7,0))</f>
        <v>模拟_榕树下粉面店</v>
      </c>
      <c r="P939" s="6">
        <f>INT((ROUND(raw_order_lines!H939*10,0)*ROUND(raw_order_lines!J939*100,0)+5)/10)/100</f>
        <v>107</v>
      </c>
      <c r="Q939" s="6">
        <f>INT((ROUND(raw_order_lines!I939*10,0)*ROUND(raw_order_lines!J939*100,0)+5)/10)/100</f>
        <v>0</v>
      </c>
      <c r="R939" s="6">
        <f t="shared" si="42"/>
        <v>107</v>
      </c>
      <c r="S939" s="2" t="str">
        <f>IF(OR(ROUND(raw_order_lines!I939*10,0)&gt;ROUND(raw_order_lines!H939*10,0),ROUND(raw_order_lines!H939*10,0)&gt;ROUND(raw_order_lines!G939*10,0),ROUND(raw_order_lines!G939*10,0)&lt;=0),"数量关系异常","")</f>
        <v/>
      </c>
      <c r="T939" s="2" t="str">
        <f>IF($F939&lt;&gt;INDEX(dim_products!$D$2:$D$21,MATCH($E939,dim_products!$A$2:$A$21,0)),"单位不一致","")</f>
        <v/>
      </c>
      <c r="U939" s="2" t="str">
        <f>IF(OR(ROUND(raw_order_lines!J939*100,0)&lt;ROUND(INDEX(dim_products!$F$2:$F$21,MATCH($E939,dim_products!$A$2:$A$21,0))*100,0),ROUND(raw_order_lines!J939*100,0)&gt;ROUND(INDEX(dim_products!$G$2:$G$21,MATCH($E939,dim_products!$A$2:$A$21,0))*100,0)),"单价越界","")</f>
        <v/>
      </c>
      <c r="V939" s="2" t="str">
        <f t="shared" si="43"/>
        <v/>
      </c>
      <c r="W939" s="2" t="str">
        <f t="shared" si="44"/>
        <v>通过</v>
      </c>
    </row>
    <row r="940" spans="1:23" ht="15">
      <c r="A940" s="2" t="str">
        <f>raw_order_lines!A940</f>
        <v>SIM-20260930-C002</v>
      </c>
      <c r="B940" s="2">
        <f>raw_order_lines!B940</f>
        <v>1</v>
      </c>
      <c r="C940" s="2" t="str">
        <f>raw_order_lines!C940</f>
        <v>C002</v>
      </c>
      <c r="D940" s="3">
        <f>raw_order_lines!D940</f>
        <v>46295</v>
      </c>
      <c r="E940" s="2" t="str">
        <f>raw_order_lines!E940</f>
        <v>P011</v>
      </c>
      <c r="F940" s="2" t="str">
        <f>raw_order_lines!F940</f>
        <v>公斤</v>
      </c>
      <c r="G940" s="4">
        <f>raw_order_lines!G940</f>
        <v>3.4</v>
      </c>
      <c r="H940" s="4">
        <f>raw_order_lines!H940</f>
        <v>3.4</v>
      </c>
      <c r="I940" s="4">
        <f>raw_order_lines!I940</f>
        <v>0</v>
      </c>
      <c r="J940" s="5">
        <f>raw_order_lines!J940</f>
        <v>4.8</v>
      </c>
      <c r="K940" s="2" t="str">
        <f>raw_order_lines!K940</f>
        <v>正常交付</v>
      </c>
      <c r="L940" s="2" t="str">
        <f>raw_order_lines!L940</f>
        <v>true</v>
      </c>
      <c r="M940" s="2" t="str">
        <f>INDEX(dim_products!$B$2:$B$21,MATCH($E940,dim_products!$A$2:$A$21,0))</f>
        <v>红薯叶</v>
      </c>
      <c r="N940" s="2" t="str">
        <f>INDEX(dim_products!$C$2:$C$21,MATCH($E940,dim_products!$A$2:$A$21,0))</f>
        <v>散装鲜菜</v>
      </c>
      <c r="O940" s="2" t="str">
        <f>INDEX(dim_customers!$B$2:$B$7,MATCH($C940,dim_customers!$A$2:$A$7,0))</f>
        <v>模拟_桥头家常菜馆</v>
      </c>
      <c r="P940" s="6">
        <f>INT((ROUND(raw_order_lines!H940*10,0)*ROUND(raw_order_lines!J940*100,0)+5)/10)/100</f>
        <v>16.32</v>
      </c>
      <c r="Q940" s="6">
        <f>INT((ROUND(raw_order_lines!I940*10,0)*ROUND(raw_order_lines!J940*100,0)+5)/10)/100</f>
        <v>0</v>
      </c>
      <c r="R940" s="6">
        <f t="shared" si="42"/>
        <v>16.32</v>
      </c>
      <c r="S940" s="2" t="str">
        <f>IF(OR(ROUND(raw_order_lines!I940*10,0)&gt;ROUND(raw_order_lines!H940*10,0),ROUND(raw_order_lines!H940*10,0)&gt;ROUND(raw_order_lines!G940*10,0),ROUND(raw_order_lines!G940*10,0)&lt;=0),"数量关系异常","")</f>
        <v/>
      </c>
      <c r="T940" s="2" t="str">
        <f>IF($F940&lt;&gt;INDEX(dim_products!$D$2:$D$21,MATCH($E940,dim_products!$A$2:$A$21,0)),"单位不一致","")</f>
        <v/>
      </c>
      <c r="U940" s="2" t="str">
        <f>IF(OR(ROUND(raw_order_lines!J940*100,0)&lt;ROUND(INDEX(dim_products!$F$2:$F$21,MATCH($E940,dim_products!$A$2:$A$21,0))*100,0),ROUND(raw_order_lines!J940*100,0)&gt;ROUND(INDEX(dim_products!$G$2:$G$21,MATCH($E940,dim_products!$A$2:$A$21,0))*100,0)),"单价越界","")</f>
        <v/>
      </c>
      <c r="V940" s="2" t="str">
        <f t="shared" si="43"/>
        <v/>
      </c>
      <c r="W940" s="2" t="str">
        <f t="shared" si="44"/>
        <v>通过</v>
      </c>
    </row>
    <row r="941" spans="1:23" ht="15">
      <c r="A941" s="2" t="str">
        <f>raw_order_lines!A941</f>
        <v>SIM-20260930-C002</v>
      </c>
      <c r="B941" s="2">
        <f>raw_order_lines!B941</f>
        <v>2</v>
      </c>
      <c r="C941" s="2" t="str">
        <f>raw_order_lines!C941</f>
        <v>C002</v>
      </c>
      <c r="D941" s="3">
        <f>raw_order_lines!D941</f>
        <v>46295</v>
      </c>
      <c r="E941" s="2" t="str">
        <f>raw_order_lines!E941</f>
        <v>P008</v>
      </c>
      <c r="F941" s="2" t="str">
        <f>raw_order_lines!F941</f>
        <v>公斤</v>
      </c>
      <c r="G941" s="4">
        <f>raw_order_lines!G941</f>
        <v>6.8</v>
      </c>
      <c r="H941" s="4">
        <f>raw_order_lines!H941</f>
        <v>6.8</v>
      </c>
      <c r="I941" s="4">
        <f>raw_order_lines!I941</f>
        <v>0</v>
      </c>
      <c r="J941" s="5">
        <f>raw_order_lines!J941</f>
        <v>4.3</v>
      </c>
      <c r="K941" s="2" t="str">
        <f>raw_order_lines!K941</f>
        <v>正常交付</v>
      </c>
      <c r="L941" s="2" t="str">
        <f>raw_order_lines!L941</f>
        <v>true</v>
      </c>
      <c r="M941" s="2" t="str">
        <f>INDEX(dim_products!$B$2:$B$21,MATCH($E941,dim_products!$A$2:$A$21,0))</f>
        <v>黄瓜</v>
      </c>
      <c r="N941" s="2" t="str">
        <f>INDEX(dim_products!$C$2:$C$21,MATCH($E941,dim_products!$A$2:$A$21,0))</f>
        <v>散装鲜菜</v>
      </c>
      <c r="O941" s="2" t="str">
        <f>INDEX(dim_customers!$B$2:$B$7,MATCH($C941,dim_customers!$A$2:$A$7,0))</f>
        <v>模拟_桥头家常菜馆</v>
      </c>
      <c r="P941" s="6">
        <f>INT((ROUND(raw_order_lines!H941*10,0)*ROUND(raw_order_lines!J941*100,0)+5)/10)/100</f>
        <v>29.24</v>
      </c>
      <c r="Q941" s="6">
        <f>INT((ROUND(raw_order_lines!I941*10,0)*ROUND(raw_order_lines!J941*100,0)+5)/10)/100</f>
        <v>0</v>
      </c>
      <c r="R941" s="6">
        <f t="shared" si="42"/>
        <v>29.24</v>
      </c>
      <c r="S941" s="2" t="str">
        <f>IF(OR(ROUND(raw_order_lines!I941*10,0)&gt;ROUND(raw_order_lines!H941*10,0),ROUND(raw_order_lines!H941*10,0)&gt;ROUND(raw_order_lines!G941*10,0),ROUND(raw_order_lines!G941*10,0)&lt;=0),"数量关系异常","")</f>
        <v/>
      </c>
      <c r="T941" s="2" t="str">
        <f>IF($F941&lt;&gt;INDEX(dim_products!$D$2:$D$21,MATCH($E941,dim_products!$A$2:$A$21,0)),"单位不一致","")</f>
        <v/>
      </c>
      <c r="U941" s="2" t="str">
        <f>IF(OR(ROUND(raw_order_lines!J941*100,0)&lt;ROUND(INDEX(dim_products!$F$2:$F$21,MATCH($E941,dim_products!$A$2:$A$21,0))*100,0),ROUND(raw_order_lines!J941*100,0)&gt;ROUND(INDEX(dim_products!$G$2:$G$21,MATCH($E941,dim_products!$A$2:$A$21,0))*100,0)),"单价越界","")</f>
        <v/>
      </c>
      <c r="V941" s="2" t="str">
        <f t="shared" si="43"/>
        <v/>
      </c>
      <c r="W941" s="2" t="str">
        <f t="shared" si="44"/>
        <v>通过</v>
      </c>
    </row>
    <row r="942" spans="1:23" ht="15">
      <c r="A942" s="2" t="str">
        <f>raw_order_lines!A942</f>
        <v>SIM-20260930-C002</v>
      </c>
      <c r="B942" s="2">
        <f>raw_order_lines!B942</f>
        <v>3</v>
      </c>
      <c r="C942" s="2" t="str">
        <f>raw_order_lines!C942</f>
        <v>C002</v>
      </c>
      <c r="D942" s="3">
        <f>raw_order_lines!D942</f>
        <v>46295</v>
      </c>
      <c r="E942" s="2" t="str">
        <f>raw_order_lines!E942</f>
        <v>P006</v>
      </c>
      <c r="F942" s="2" t="str">
        <f>raw_order_lines!F942</f>
        <v>公斤</v>
      </c>
      <c r="G942" s="4">
        <f>raw_order_lines!G942</f>
        <v>6.4</v>
      </c>
      <c r="H942" s="4">
        <f>raw_order_lines!H942</f>
        <v>6.4</v>
      </c>
      <c r="I942" s="4">
        <f>raw_order_lines!I942</f>
        <v>0</v>
      </c>
      <c r="J942" s="5">
        <f>raw_order_lines!J942</f>
        <v>4.5</v>
      </c>
      <c r="K942" s="2" t="str">
        <f>raw_order_lines!K942</f>
        <v>正常交付</v>
      </c>
      <c r="L942" s="2" t="str">
        <f>raw_order_lines!L942</f>
        <v>true</v>
      </c>
      <c r="M942" s="2" t="str">
        <f>INDEX(dim_products!$B$2:$B$21,MATCH($E942,dim_products!$A$2:$A$21,0))</f>
        <v>茄子</v>
      </c>
      <c r="N942" s="2" t="str">
        <f>INDEX(dim_products!$C$2:$C$21,MATCH($E942,dim_products!$A$2:$A$21,0))</f>
        <v>散装鲜菜</v>
      </c>
      <c r="O942" s="2" t="str">
        <f>INDEX(dim_customers!$B$2:$B$7,MATCH($C942,dim_customers!$A$2:$A$7,0))</f>
        <v>模拟_桥头家常菜馆</v>
      </c>
      <c r="P942" s="6">
        <f>INT((ROUND(raw_order_lines!H942*10,0)*ROUND(raw_order_lines!J942*100,0)+5)/10)/100</f>
        <v>28.8</v>
      </c>
      <c r="Q942" s="6">
        <f>INT((ROUND(raw_order_lines!I942*10,0)*ROUND(raw_order_lines!J942*100,0)+5)/10)/100</f>
        <v>0</v>
      </c>
      <c r="R942" s="6">
        <f t="shared" si="42"/>
        <v>28.8</v>
      </c>
      <c r="S942" s="2" t="str">
        <f>IF(OR(ROUND(raw_order_lines!I942*10,0)&gt;ROUND(raw_order_lines!H942*10,0),ROUND(raw_order_lines!H942*10,0)&gt;ROUND(raw_order_lines!G942*10,0),ROUND(raw_order_lines!G942*10,0)&lt;=0),"数量关系异常","")</f>
        <v/>
      </c>
      <c r="T942" s="2" t="str">
        <f>IF($F942&lt;&gt;INDEX(dim_products!$D$2:$D$21,MATCH($E942,dim_products!$A$2:$A$21,0)),"单位不一致","")</f>
        <v/>
      </c>
      <c r="U942" s="2" t="str">
        <f>IF(OR(ROUND(raw_order_lines!J942*100,0)&lt;ROUND(INDEX(dim_products!$F$2:$F$21,MATCH($E942,dim_products!$A$2:$A$21,0))*100,0),ROUND(raw_order_lines!J942*100,0)&gt;ROUND(INDEX(dim_products!$G$2:$G$21,MATCH($E942,dim_products!$A$2:$A$21,0))*100,0)),"单价越界","")</f>
        <v/>
      </c>
      <c r="V942" s="2" t="str">
        <f t="shared" si="43"/>
        <v/>
      </c>
      <c r="W942" s="2" t="str">
        <f t="shared" si="44"/>
        <v>通过</v>
      </c>
    </row>
    <row r="943" spans="1:23" ht="15">
      <c r="A943" s="2" t="str">
        <f>raw_order_lines!A943</f>
        <v>SIM-20260930-C002</v>
      </c>
      <c r="B943" s="2">
        <f>raw_order_lines!B943</f>
        <v>4</v>
      </c>
      <c r="C943" s="2" t="str">
        <f>raw_order_lines!C943</f>
        <v>C002</v>
      </c>
      <c r="D943" s="3">
        <f>raw_order_lines!D943</f>
        <v>46295</v>
      </c>
      <c r="E943" s="2" t="str">
        <f>raw_order_lines!E943</f>
        <v>P003</v>
      </c>
      <c r="F943" s="2" t="str">
        <f>raw_order_lines!F943</f>
        <v>公斤</v>
      </c>
      <c r="G943" s="4">
        <f>raw_order_lines!G943</f>
        <v>6.4</v>
      </c>
      <c r="H943" s="4">
        <f>raw_order_lines!H943</f>
        <v>6.4</v>
      </c>
      <c r="I943" s="4">
        <f>raw_order_lines!I943</f>
        <v>0</v>
      </c>
      <c r="J943" s="5">
        <f>raw_order_lines!J943</f>
        <v>3</v>
      </c>
      <c r="K943" s="2" t="str">
        <f>raw_order_lines!K943</f>
        <v>正常交付</v>
      </c>
      <c r="L943" s="2" t="str">
        <f>raw_order_lines!L943</f>
        <v>true</v>
      </c>
      <c r="M943" s="2" t="str">
        <f>INDEX(dim_products!$B$2:$B$21,MATCH($E943,dim_products!$A$2:$A$21,0))</f>
        <v>包菜</v>
      </c>
      <c r="N943" s="2" t="str">
        <f>INDEX(dim_products!$C$2:$C$21,MATCH($E943,dim_products!$A$2:$A$21,0))</f>
        <v>散装鲜菜</v>
      </c>
      <c r="O943" s="2" t="str">
        <f>INDEX(dim_customers!$B$2:$B$7,MATCH($C943,dim_customers!$A$2:$A$7,0))</f>
        <v>模拟_桥头家常菜馆</v>
      </c>
      <c r="P943" s="6">
        <f>INT((ROUND(raw_order_lines!H943*10,0)*ROUND(raw_order_lines!J943*100,0)+5)/10)/100</f>
        <v>19.2</v>
      </c>
      <c r="Q943" s="6">
        <f>INT((ROUND(raw_order_lines!I943*10,0)*ROUND(raw_order_lines!J943*100,0)+5)/10)/100</f>
        <v>0</v>
      </c>
      <c r="R943" s="6">
        <f t="shared" si="42"/>
        <v>19.2</v>
      </c>
      <c r="S943" s="2" t="str">
        <f>IF(OR(ROUND(raw_order_lines!I943*10,0)&gt;ROUND(raw_order_lines!H943*10,0),ROUND(raw_order_lines!H943*10,0)&gt;ROUND(raw_order_lines!G943*10,0),ROUND(raw_order_lines!G943*10,0)&lt;=0),"数量关系异常","")</f>
        <v/>
      </c>
      <c r="T943" s="2" t="str">
        <f>IF($F943&lt;&gt;INDEX(dim_products!$D$2:$D$21,MATCH($E943,dim_products!$A$2:$A$21,0)),"单位不一致","")</f>
        <v/>
      </c>
      <c r="U943" s="2" t="str">
        <f>IF(OR(ROUND(raw_order_lines!J943*100,0)&lt;ROUND(INDEX(dim_products!$F$2:$F$21,MATCH($E943,dim_products!$A$2:$A$21,0))*100,0),ROUND(raw_order_lines!J943*100,0)&gt;ROUND(INDEX(dim_products!$G$2:$G$21,MATCH($E943,dim_products!$A$2:$A$21,0))*100,0)),"单价越界","")</f>
        <v/>
      </c>
      <c r="V943" s="2" t="str">
        <f t="shared" si="43"/>
        <v/>
      </c>
      <c r="W943" s="2" t="str">
        <f t="shared" si="44"/>
        <v>通过</v>
      </c>
    </row>
    <row r="944" spans="1:23" ht="15">
      <c r="A944" s="2" t="str">
        <f>raw_order_lines!A944</f>
        <v>SIM-20260930-C002</v>
      </c>
      <c r="B944" s="2">
        <f>raw_order_lines!B944</f>
        <v>5</v>
      </c>
      <c r="C944" s="2" t="str">
        <f>raw_order_lines!C944</f>
        <v>C002</v>
      </c>
      <c r="D944" s="3">
        <f>raw_order_lines!D944</f>
        <v>46295</v>
      </c>
      <c r="E944" s="2" t="str">
        <f>raw_order_lines!E944</f>
        <v>P004</v>
      </c>
      <c r="F944" s="2" t="str">
        <f>raw_order_lines!F944</f>
        <v>公斤</v>
      </c>
      <c r="G944" s="4">
        <f>raw_order_lines!G944</f>
        <v>3.9</v>
      </c>
      <c r="H944" s="4">
        <f>raw_order_lines!H944</f>
        <v>3.9</v>
      </c>
      <c r="I944" s="4">
        <f>raw_order_lines!I944</f>
        <v>0</v>
      </c>
      <c r="J944" s="5">
        <f>raw_order_lines!J944</f>
        <v>2.2000000000000002</v>
      </c>
      <c r="K944" s="2" t="str">
        <f>raw_order_lines!K944</f>
        <v>正常交付</v>
      </c>
      <c r="L944" s="2" t="str">
        <f>raw_order_lines!L944</f>
        <v>true</v>
      </c>
      <c r="M944" s="2" t="str">
        <f>INDEX(dim_products!$B$2:$B$21,MATCH($E944,dim_products!$A$2:$A$21,0))</f>
        <v>冬瓜</v>
      </c>
      <c r="N944" s="2" t="str">
        <f>INDEX(dim_products!$C$2:$C$21,MATCH($E944,dim_products!$A$2:$A$21,0))</f>
        <v>散装鲜菜</v>
      </c>
      <c r="O944" s="2" t="str">
        <f>INDEX(dim_customers!$B$2:$B$7,MATCH($C944,dim_customers!$A$2:$A$7,0))</f>
        <v>模拟_桥头家常菜馆</v>
      </c>
      <c r="P944" s="6">
        <f>INT((ROUND(raw_order_lines!H944*10,0)*ROUND(raw_order_lines!J944*100,0)+5)/10)/100</f>
        <v>8.58</v>
      </c>
      <c r="Q944" s="6">
        <f>INT((ROUND(raw_order_lines!I944*10,0)*ROUND(raw_order_lines!J944*100,0)+5)/10)/100</f>
        <v>0</v>
      </c>
      <c r="R944" s="6">
        <f t="shared" si="42"/>
        <v>8.58</v>
      </c>
      <c r="S944" s="2" t="str">
        <f>IF(OR(ROUND(raw_order_lines!I944*10,0)&gt;ROUND(raw_order_lines!H944*10,0),ROUND(raw_order_lines!H944*10,0)&gt;ROUND(raw_order_lines!G944*10,0),ROUND(raw_order_lines!G944*10,0)&lt;=0),"数量关系异常","")</f>
        <v/>
      </c>
      <c r="T944" s="2" t="str">
        <f>IF($F944&lt;&gt;INDEX(dim_products!$D$2:$D$21,MATCH($E944,dim_products!$A$2:$A$21,0)),"单位不一致","")</f>
        <v/>
      </c>
      <c r="U944" s="2" t="str">
        <f>IF(OR(ROUND(raw_order_lines!J944*100,0)&lt;ROUND(INDEX(dim_products!$F$2:$F$21,MATCH($E944,dim_products!$A$2:$A$21,0))*100,0),ROUND(raw_order_lines!J944*100,0)&gt;ROUND(INDEX(dim_products!$G$2:$G$21,MATCH($E944,dim_products!$A$2:$A$21,0))*100,0)),"单价越界","")</f>
        <v/>
      </c>
      <c r="V944" s="2" t="str">
        <f t="shared" si="43"/>
        <v/>
      </c>
      <c r="W944" s="2" t="str">
        <f t="shared" si="44"/>
        <v>通过</v>
      </c>
    </row>
    <row r="945" spans="1:23" ht="15">
      <c r="A945" s="2" t="str">
        <f>raw_order_lines!A945</f>
        <v>SIM-20260930-C002</v>
      </c>
      <c r="B945" s="2">
        <f>raw_order_lines!B945</f>
        <v>6</v>
      </c>
      <c r="C945" s="2" t="str">
        <f>raw_order_lines!C945</f>
        <v>C002</v>
      </c>
      <c r="D945" s="3">
        <f>raw_order_lines!D945</f>
        <v>46295</v>
      </c>
      <c r="E945" s="2" t="str">
        <f>raw_order_lines!E945</f>
        <v>P017</v>
      </c>
      <c r="F945" s="2" t="str">
        <f>raw_order_lines!F945</f>
        <v>袋</v>
      </c>
      <c r="G945" s="4">
        <f>raw_order_lines!G945</f>
        <v>3</v>
      </c>
      <c r="H945" s="4">
        <f>raw_order_lines!H945</f>
        <v>3</v>
      </c>
      <c r="I945" s="4">
        <f>raw_order_lines!I945</f>
        <v>0</v>
      </c>
      <c r="J945" s="5">
        <f>raw_order_lines!J945</f>
        <v>119</v>
      </c>
      <c r="K945" s="2" t="str">
        <f>raw_order_lines!K945</f>
        <v>正常交付</v>
      </c>
      <c r="L945" s="2" t="str">
        <f>raw_order_lines!L945</f>
        <v>true</v>
      </c>
      <c r="M945" s="2" t="str">
        <f>INDEX(dim_products!$B$2:$B$21,MATCH($E945,dim_products!$A$2:$A$21,0))</f>
        <v>籼米</v>
      </c>
      <c r="N945" s="2" t="str">
        <f>INDEX(dim_products!$C$2:$C$21,MATCH($E945,dim_products!$A$2:$A$21,0))</f>
        <v>25公斤/袋普通籼米</v>
      </c>
      <c r="O945" s="2" t="str">
        <f>INDEX(dim_customers!$B$2:$B$7,MATCH($C945,dim_customers!$A$2:$A$7,0))</f>
        <v>模拟_桥头家常菜馆</v>
      </c>
      <c r="P945" s="6">
        <f>INT((ROUND(raw_order_lines!H945*10,0)*ROUND(raw_order_lines!J945*100,0)+5)/10)/100</f>
        <v>357</v>
      </c>
      <c r="Q945" s="6">
        <f>INT((ROUND(raw_order_lines!I945*10,0)*ROUND(raw_order_lines!J945*100,0)+5)/10)/100</f>
        <v>0</v>
      </c>
      <c r="R945" s="6">
        <f t="shared" si="42"/>
        <v>357</v>
      </c>
      <c r="S945" s="2" t="str">
        <f>IF(OR(ROUND(raw_order_lines!I945*10,0)&gt;ROUND(raw_order_lines!H945*10,0),ROUND(raw_order_lines!H945*10,0)&gt;ROUND(raw_order_lines!G945*10,0),ROUND(raw_order_lines!G945*10,0)&lt;=0),"数量关系异常","")</f>
        <v/>
      </c>
      <c r="T945" s="2" t="str">
        <f>IF($F945&lt;&gt;INDEX(dim_products!$D$2:$D$21,MATCH($E945,dim_products!$A$2:$A$21,0)),"单位不一致","")</f>
        <v/>
      </c>
      <c r="U945" s="2" t="str">
        <f>IF(OR(ROUND(raw_order_lines!J945*100,0)&lt;ROUND(INDEX(dim_products!$F$2:$F$21,MATCH($E945,dim_products!$A$2:$A$21,0))*100,0),ROUND(raw_order_lines!J945*100,0)&gt;ROUND(INDEX(dim_products!$G$2:$G$21,MATCH($E945,dim_products!$A$2:$A$21,0))*100,0)),"单价越界","")</f>
        <v/>
      </c>
      <c r="V945" s="2" t="str">
        <f t="shared" si="43"/>
        <v/>
      </c>
      <c r="W945" s="2" t="str">
        <f t="shared" si="44"/>
        <v>通过</v>
      </c>
    </row>
    <row r="946" spans="1:23" ht="15">
      <c r="A946" s="2" t="str">
        <f>raw_order_lines!A946</f>
        <v>SIM-20260930-C002</v>
      </c>
      <c r="B946" s="2">
        <f>raw_order_lines!B946</f>
        <v>7</v>
      </c>
      <c r="C946" s="2" t="str">
        <f>raw_order_lines!C946</f>
        <v>C002</v>
      </c>
      <c r="D946" s="3">
        <f>raw_order_lines!D946</f>
        <v>46295</v>
      </c>
      <c r="E946" s="2" t="str">
        <f>raw_order_lines!E946</f>
        <v>P019</v>
      </c>
      <c r="F946" s="2" t="str">
        <f>raw_order_lines!F946</f>
        <v>桶</v>
      </c>
      <c r="G946" s="4">
        <f>raw_order_lines!G946</f>
        <v>1</v>
      </c>
      <c r="H946" s="4">
        <f>raw_order_lines!H946</f>
        <v>1</v>
      </c>
      <c r="I946" s="4">
        <f>raw_order_lines!I946</f>
        <v>0</v>
      </c>
      <c r="J946" s="5">
        <f>raw_order_lines!J946</f>
        <v>69</v>
      </c>
      <c r="K946" s="2" t="str">
        <f>raw_order_lines!K946</f>
        <v>正常交付</v>
      </c>
      <c r="L946" s="2" t="str">
        <f>raw_order_lines!L946</f>
        <v>true</v>
      </c>
      <c r="M946" s="2" t="str">
        <f>INDEX(dim_products!$B$2:$B$21,MATCH($E946,dim_products!$A$2:$A$21,0))</f>
        <v>菜籽油</v>
      </c>
      <c r="N946" s="2" t="str">
        <f>INDEX(dim_products!$C$2:$C$21,MATCH($E946,dim_products!$A$2:$A$21,0))</f>
        <v>5升/桶普通菜籽油</v>
      </c>
      <c r="O946" s="2" t="str">
        <f>INDEX(dim_customers!$B$2:$B$7,MATCH($C946,dim_customers!$A$2:$A$7,0))</f>
        <v>模拟_桥头家常菜馆</v>
      </c>
      <c r="P946" s="6">
        <f>INT((ROUND(raw_order_lines!H946*10,0)*ROUND(raw_order_lines!J946*100,0)+5)/10)/100</f>
        <v>69</v>
      </c>
      <c r="Q946" s="6">
        <f>INT((ROUND(raw_order_lines!I946*10,0)*ROUND(raw_order_lines!J946*100,0)+5)/10)/100</f>
        <v>0</v>
      </c>
      <c r="R946" s="6">
        <f t="shared" si="42"/>
        <v>69</v>
      </c>
      <c r="S946" s="2" t="str">
        <f>IF(OR(ROUND(raw_order_lines!I946*10,0)&gt;ROUND(raw_order_lines!H946*10,0),ROUND(raw_order_lines!H946*10,0)&gt;ROUND(raw_order_lines!G946*10,0),ROUND(raw_order_lines!G946*10,0)&lt;=0),"数量关系异常","")</f>
        <v/>
      </c>
      <c r="T946" s="2" t="str">
        <f>IF($F946&lt;&gt;INDEX(dim_products!$D$2:$D$21,MATCH($E946,dim_products!$A$2:$A$21,0)),"单位不一致","")</f>
        <v/>
      </c>
      <c r="U946" s="2" t="str">
        <f>IF(OR(ROUND(raw_order_lines!J946*100,0)&lt;ROUND(INDEX(dim_products!$F$2:$F$21,MATCH($E946,dim_products!$A$2:$A$21,0))*100,0),ROUND(raw_order_lines!J946*100,0)&gt;ROUND(INDEX(dim_products!$G$2:$G$21,MATCH($E946,dim_products!$A$2:$A$21,0))*100,0)),"单价越界","")</f>
        <v/>
      </c>
      <c r="V946" s="2" t="str">
        <f t="shared" si="43"/>
        <v/>
      </c>
      <c r="W946" s="2" t="str">
        <f t="shared" si="44"/>
        <v>通过</v>
      </c>
    </row>
    <row r="947" spans="1:23" ht="15">
      <c r="A947" s="2" t="str">
        <f>raw_order_lines!A947</f>
        <v>SIM-20260930-C003</v>
      </c>
      <c r="B947" s="2">
        <f>raw_order_lines!B947</f>
        <v>1</v>
      </c>
      <c r="C947" s="2" t="str">
        <f>raw_order_lines!C947</f>
        <v>C003</v>
      </c>
      <c r="D947" s="3">
        <f>raw_order_lines!D947</f>
        <v>46295</v>
      </c>
      <c r="E947" s="2" t="str">
        <f>raw_order_lines!E947</f>
        <v>P011</v>
      </c>
      <c r="F947" s="2" t="str">
        <f>raw_order_lines!F947</f>
        <v>公斤</v>
      </c>
      <c r="G947" s="4">
        <f>raw_order_lines!G947</f>
        <v>5.6</v>
      </c>
      <c r="H947" s="4">
        <f>raw_order_lines!H947</f>
        <v>5.6</v>
      </c>
      <c r="I947" s="4">
        <f>raw_order_lines!I947</f>
        <v>0.3</v>
      </c>
      <c r="J947" s="5">
        <f>raw_order_lines!J947</f>
        <v>4.8</v>
      </c>
      <c r="K947" s="2" t="str">
        <f>raw_order_lines!K947</f>
        <v>正常交付；签收时挑出黄叶退回</v>
      </c>
      <c r="L947" s="2" t="str">
        <f>raw_order_lines!L947</f>
        <v>true</v>
      </c>
      <c r="M947" s="2" t="str">
        <f>INDEX(dim_products!$B$2:$B$21,MATCH($E947,dim_products!$A$2:$A$21,0))</f>
        <v>红薯叶</v>
      </c>
      <c r="N947" s="2" t="str">
        <f>INDEX(dim_products!$C$2:$C$21,MATCH($E947,dim_products!$A$2:$A$21,0))</f>
        <v>散装鲜菜</v>
      </c>
      <c r="O947" s="2" t="str">
        <f>INDEX(dim_customers!$B$2:$B$7,MATCH($C947,dim_customers!$A$2:$A$7,0))</f>
        <v>模拟_兴街快餐店</v>
      </c>
      <c r="P947" s="6">
        <f>INT((ROUND(raw_order_lines!H947*10,0)*ROUND(raw_order_lines!J947*100,0)+5)/10)/100</f>
        <v>26.88</v>
      </c>
      <c r="Q947" s="6">
        <f>INT((ROUND(raw_order_lines!I947*10,0)*ROUND(raw_order_lines!J947*100,0)+5)/10)/100</f>
        <v>1.44</v>
      </c>
      <c r="R947" s="6">
        <f t="shared" si="42"/>
        <v>25.439999999999998</v>
      </c>
      <c r="S947" s="2" t="str">
        <f>IF(OR(ROUND(raw_order_lines!I947*10,0)&gt;ROUND(raw_order_lines!H947*10,0),ROUND(raw_order_lines!H947*10,0)&gt;ROUND(raw_order_lines!G947*10,0),ROUND(raw_order_lines!G947*10,0)&lt;=0),"数量关系异常","")</f>
        <v/>
      </c>
      <c r="T947" s="2" t="str">
        <f>IF($F947&lt;&gt;INDEX(dim_products!$D$2:$D$21,MATCH($E947,dim_products!$A$2:$A$21,0)),"单位不一致","")</f>
        <v/>
      </c>
      <c r="U947" s="2" t="str">
        <f>IF(OR(ROUND(raw_order_lines!J947*100,0)&lt;ROUND(INDEX(dim_products!$F$2:$F$21,MATCH($E947,dim_products!$A$2:$A$21,0))*100,0),ROUND(raw_order_lines!J947*100,0)&gt;ROUND(INDEX(dim_products!$G$2:$G$21,MATCH($E947,dim_products!$A$2:$A$21,0))*100,0)),"单价越界","")</f>
        <v/>
      </c>
      <c r="V947" s="2" t="str">
        <f t="shared" si="43"/>
        <v/>
      </c>
      <c r="W947" s="2" t="str">
        <f t="shared" si="44"/>
        <v>通过</v>
      </c>
    </row>
    <row r="948" spans="1:23" ht="15">
      <c r="A948" s="2" t="str">
        <f>raw_order_lines!A948</f>
        <v>SIM-20260930-C003</v>
      </c>
      <c r="B948" s="2">
        <f>raw_order_lines!B948</f>
        <v>2</v>
      </c>
      <c r="C948" s="2" t="str">
        <f>raw_order_lines!C948</f>
        <v>C003</v>
      </c>
      <c r="D948" s="3">
        <f>raw_order_lines!D948</f>
        <v>46295</v>
      </c>
      <c r="E948" s="2" t="str">
        <f>raw_order_lines!E948</f>
        <v>P004</v>
      </c>
      <c r="F948" s="2" t="str">
        <f>raw_order_lines!F948</f>
        <v>公斤</v>
      </c>
      <c r="G948" s="4">
        <f>raw_order_lines!G948</f>
        <v>7.5</v>
      </c>
      <c r="H948" s="4">
        <f>raw_order_lines!H948</f>
        <v>7.5</v>
      </c>
      <c r="I948" s="4">
        <f>raw_order_lines!I948</f>
        <v>0</v>
      </c>
      <c r="J948" s="5">
        <f>raw_order_lines!J948</f>
        <v>2.2000000000000002</v>
      </c>
      <c r="K948" s="2" t="str">
        <f>raw_order_lines!K948</f>
        <v>正常交付</v>
      </c>
      <c r="L948" s="2" t="str">
        <f>raw_order_lines!L948</f>
        <v>true</v>
      </c>
      <c r="M948" s="2" t="str">
        <f>INDEX(dim_products!$B$2:$B$21,MATCH($E948,dim_products!$A$2:$A$21,0))</f>
        <v>冬瓜</v>
      </c>
      <c r="N948" s="2" t="str">
        <f>INDEX(dim_products!$C$2:$C$21,MATCH($E948,dim_products!$A$2:$A$21,0))</f>
        <v>散装鲜菜</v>
      </c>
      <c r="O948" s="2" t="str">
        <f>INDEX(dim_customers!$B$2:$B$7,MATCH($C948,dim_customers!$A$2:$A$7,0))</f>
        <v>模拟_兴街快餐店</v>
      </c>
      <c r="P948" s="6">
        <f>INT((ROUND(raw_order_lines!H948*10,0)*ROUND(raw_order_lines!J948*100,0)+5)/10)/100</f>
        <v>16.5</v>
      </c>
      <c r="Q948" s="6">
        <f>INT((ROUND(raw_order_lines!I948*10,0)*ROUND(raw_order_lines!J948*100,0)+5)/10)/100</f>
        <v>0</v>
      </c>
      <c r="R948" s="6">
        <f t="shared" si="42"/>
        <v>16.5</v>
      </c>
      <c r="S948" s="2" t="str">
        <f>IF(OR(ROUND(raw_order_lines!I948*10,0)&gt;ROUND(raw_order_lines!H948*10,0),ROUND(raw_order_lines!H948*10,0)&gt;ROUND(raw_order_lines!G948*10,0),ROUND(raw_order_lines!G948*10,0)&lt;=0),"数量关系异常","")</f>
        <v/>
      </c>
      <c r="T948" s="2" t="str">
        <f>IF($F948&lt;&gt;INDEX(dim_products!$D$2:$D$21,MATCH($E948,dim_products!$A$2:$A$21,0)),"单位不一致","")</f>
        <v/>
      </c>
      <c r="U948" s="2" t="str">
        <f>IF(OR(ROUND(raw_order_lines!J948*100,0)&lt;ROUND(INDEX(dim_products!$F$2:$F$21,MATCH($E948,dim_products!$A$2:$A$21,0))*100,0),ROUND(raw_order_lines!J948*100,0)&gt;ROUND(INDEX(dim_products!$G$2:$G$21,MATCH($E948,dim_products!$A$2:$A$21,0))*100,0)),"单价越界","")</f>
        <v/>
      </c>
      <c r="V948" s="2" t="str">
        <f t="shared" si="43"/>
        <v/>
      </c>
      <c r="W948" s="2" t="str">
        <f t="shared" si="44"/>
        <v>通过</v>
      </c>
    </row>
    <row r="949" spans="1:23" ht="15">
      <c r="A949" s="2" t="str">
        <f>raw_order_lines!A949</f>
        <v>SIM-20260930-C003</v>
      </c>
      <c r="B949" s="2">
        <f>raw_order_lines!B949</f>
        <v>3</v>
      </c>
      <c r="C949" s="2" t="str">
        <f>raw_order_lines!C949</f>
        <v>C003</v>
      </c>
      <c r="D949" s="3">
        <f>raw_order_lines!D949</f>
        <v>46295</v>
      </c>
      <c r="E949" s="2" t="str">
        <f>raw_order_lines!E949</f>
        <v>P001</v>
      </c>
      <c r="F949" s="2" t="str">
        <f>raw_order_lines!F949</f>
        <v>公斤</v>
      </c>
      <c r="G949" s="4">
        <f>raw_order_lines!G949</f>
        <v>6.1</v>
      </c>
      <c r="H949" s="4">
        <f>raw_order_lines!H949</f>
        <v>6.1</v>
      </c>
      <c r="I949" s="4">
        <f>raw_order_lines!I949</f>
        <v>0</v>
      </c>
      <c r="J949" s="5">
        <f>raw_order_lines!J949</f>
        <v>3.1</v>
      </c>
      <c r="K949" s="2" t="str">
        <f>raw_order_lines!K949</f>
        <v>正常交付</v>
      </c>
      <c r="L949" s="2" t="str">
        <f>raw_order_lines!L949</f>
        <v>true</v>
      </c>
      <c r="M949" s="2" t="str">
        <f>INDEX(dim_products!$B$2:$B$21,MATCH($E949,dim_products!$A$2:$A$21,0))</f>
        <v>土豆</v>
      </c>
      <c r="N949" s="2" t="str">
        <f>INDEX(dim_products!$C$2:$C$21,MATCH($E949,dim_products!$A$2:$A$21,0))</f>
        <v>散装鲜菜</v>
      </c>
      <c r="O949" s="2" t="str">
        <f>INDEX(dim_customers!$B$2:$B$7,MATCH($C949,dim_customers!$A$2:$A$7,0))</f>
        <v>模拟_兴街快餐店</v>
      </c>
      <c r="P949" s="6">
        <f>INT((ROUND(raw_order_lines!H949*10,0)*ROUND(raw_order_lines!J949*100,0)+5)/10)/100</f>
        <v>18.91</v>
      </c>
      <c r="Q949" s="6">
        <f>INT((ROUND(raw_order_lines!I949*10,0)*ROUND(raw_order_lines!J949*100,0)+5)/10)/100</f>
        <v>0</v>
      </c>
      <c r="R949" s="6">
        <f t="shared" si="42"/>
        <v>18.91</v>
      </c>
      <c r="S949" s="2" t="str">
        <f>IF(OR(ROUND(raw_order_lines!I949*10,0)&gt;ROUND(raw_order_lines!H949*10,0),ROUND(raw_order_lines!H949*10,0)&gt;ROUND(raw_order_lines!G949*10,0),ROUND(raw_order_lines!G949*10,0)&lt;=0),"数量关系异常","")</f>
        <v/>
      </c>
      <c r="T949" s="2" t="str">
        <f>IF($F949&lt;&gt;INDEX(dim_products!$D$2:$D$21,MATCH($E949,dim_products!$A$2:$A$21,0)),"单位不一致","")</f>
        <v/>
      </c>
      <c r="U949" s="2" t="str">
        <f>IF(OR(ROUND(raw_order_lines!J949*100,0)&lt;ROUND(INDEX(dim_products!$F$2:$F$21,MATCH($E949,dim_products!$A$2:$A$21,0))*100,0),ROUND(raw_order_lines!J949*100,0)&gt;ROUND(INDEX(dim_products!$G$2:$G$21,MATCH($E949,dim_products!$A$2:$A$21,0))*100,0)),"单价越界","")</f>
        <v/>
      </c>
      <c r="V949" s="2" t="str">
        <f t="shared" si="43"/>
        <v/>
      </c>
      <c r="W949" s="2" t="str">
        <f t="shared" si="44"/>
        <v>通过</v>
      </c>
    </row>
    <row r="950" spans="1:23" ht="15">
      <c r="A950" s="2" t="str">
        <f>raw_order_lines!A950</f>
        <v>SIM-20260930-C003</v>
      </c>
      <c r="B950" s="2">
        <f>raw_order_lines!B950</f>
        <v>4</v>
      </c>
      <c r="C950" s="2" t="str">
        <f>raw_order_lines!C950</f>
        <v>C003</v>
      </c>
      <c r="D950" s="3">
        <f>raw_order_lines!D950</f>
        <v>46295</v>
      </c>
      <c r="E950" s="2" t="str">
        <f>raw_order_lines!E950</f>
        <v>P013</v>
      </c>
      <c r="F950" s="2" t="str">
        <f>raw_order_lines!F950</f>
        <v>公斤</v>
      </c>
      <c r="G950" s="4">
        <f>raw_order_lines!G950</f>
        <v>7</v>
      </c>
      <c r="H950" s="4">
        <f>raw_order_lines!H950</f>
        <v>6.5</v>
      </c>
      <c r="I950" s="4">
        <f>raw_order_lines!I950</f>
        <v>0</v>
      </c>
      <c r="J950" s="5">
        <f>raw_order_lines!J950</f>
        <v>6.3</v>
      </c>
      <c r="K950" s="2" t="str">
        <f>raw_order_lines!K950</f>
        <v>到货不足；按实际交付计费</v>
      </c>
      <c r="L950" s="2" t="str">
        <f>raw_order_lines!L950</f>
        <v>true</v>
      </c>
      <c r="M950" s="2" t="str">
        <f>INDEX(dim_products!$B$2:$B$21,MATCH($E950,dim_products!$A$2:$A$21,0))</f>
        <v>豇豆</v>
      </c>
      <c r="N950" s="2" t="str">
        <f>INDEX(dim_products!$C$2:$C$21,MATCH($E950,dim_products!$A$2:$A$21,0))</f>
        <v>散装鲜菜</v>
      </c>
      <c r="O950" s="2" t="str">
        <f>INDEX(dim_customers!$B$2:$B$7,MATCH($C950,dim_customers!$A$2:$A$7,0))</f>
        <v>模拟_兴街快餐店</v>
      </c>
      <c r="P950" s="6">
        <f>INT((ROUND(raw_order_lines!H950*10,0)*ROUND(raw_order_lines!J950*100,0)+5)/10)/100</f>
        <v>40.950000000000003</v>
      </c>
      <c r="Q950" s="6">
        <f>INT((ROUND(raw_order_lines!I950*10,0)*ROUND(raw_order_lines!J950*100,0)+5)/10)/100</f>
        <v>0</v>
      </c>
      <c r="R950" s="6">
        <f t="shared" si="42"/>
        <v>40.950000000000003</v>
      </c>
      <c r="S950" s="2" t="str">
        <f>IF(OR(ROUND(raw_order_lines!I950*10,0)&gt;ROUND(raw_order_lines!H950*10,0),ROUND(raw_order_lines!H950*10,0)&gt;ROUND(raw_order_lines!G950*10,0),ROUND(raw_order_lines!G950*10,0)&lt;=0),"数量关系异常","")</f>
        <v/>
      </c>
      <c r="T950" s="2" t="str">
        <f>IF($F950&lt;&gt;INDEX(dim_products!$D$2:$D$21,MATCH($E950,dim_products!$A$2:$A$21,0)),"单位不一致","")</f>
        <v/>
      </c>
      <c r="U950" s="2" t="str">
        <f>IF(OR(ROUND(raw_order_lines!J950*100,0)&lt;ROUND(INDEX(dim_products!$F$2:$F$21,MATCH($E950,dim_products!$A$2:$A$21,0))*100,0),ROUND(raw_order_lines!J950*100,0)&gt;ROUND(INDEX(dim_products!$G$2:$G$21,MATCH($E950,dim_products!$A$2:$A$21,0))*100,0)),"单价越界","")</f>
        <v/>
      </c>
      <c r="V950" s="2" t="str">
        <f t="shared" si="43"/>
        <v/>
      </c>
      <c r="W950" s="2" t="str">
        <f t="shared" si="44"/>
        <v>通过</v>
      </c>
    </row>
    <row r="951" spans="1:23" ht="15">
      <c r="A951" s="2" t="str">
        <f>raw_order_lines!A951</f>
        <v>SIM-20260930-C003</v>
      </c>
      <c r="B951" s="2">
        <f>raw_order_lines!B951</f>
        <v>5</v>
      </c>
      <c r="C951" s="2" t="str">
        <f>raw_order_lines!C951</f>
        <v>C003</v>
      </c>
      <c r="D951" s="3">
        <f>raw_order_lines!D951</f>
        <v>46295</v>
      </c>
      <c r="E951" s="2" t="str">
        <f>raw_order_lines!E951</f>
        <v>P008</v>
      </c>
      <c r="F951" s="2" t="str">
        <f>raw_order_lines!F951</f>
        <v>公斤</v>
      </c>
      <c r="G951" s="4">
        <f>raw_order_lines!G951</f>
        <v>7</v>
      </c>
      <c r="H951" s="4">
        <f>raw_order_lines!H951</f>
        <v>7</v>
      </c>
      <c r="I951" s="4">
        <f>raw_order_lines!I951</f>
        <v>0</v>
      </c>
      <c r="J951" s="5">
        <f>raw_order_lines!J951</f>
        <v>4.3</v>
      </c>
      <c r="K951" s="2" t="str">
        <f>raw_order_lines!K951</f>
        <v>正常交付</v>
      </c>
      <c r="L951" s="2" t="str">
        <f>raw_order_lines!L951</f>
        <v>true</v>
      </c>
      <c r="M951" s="2" t="str">
        <f>INDEX(dim_products!$B$2:$B$21,MATCH($E951,dim_products!$A$2:$A$21,0))</f>
        <v>黄瓜</v>
      </c>
      <c r="N951" s="2" t="str">
        <f>INDEX(dim_products!$C$2:$C$21,MATCH($E951,dim_products!$A$2:$A$21,0))</f>
        <v>散装鲜菜</v>
      </c>
      <c r="O951" s="2" t="str">
        <f>INDEX(dim_customers!$B$2:$B$7,MATCH($C951,dim_customers!$A$2:$A$7,0))</f>
        <v>模拟_兴街快餐店</v>
      </c>
      <c r="P951" s="6">
        <f>INT((ROUND(raw_order_lines!H951*10,0)*ROUND(raw_order_lines!J951*100,0)+5)/10)/100</f>
        <v>30.1</v>
      </c>
      <c r="Q951" s="6">
        <f>INT((ROUND(raw_order_lines!I951*10,0)*ROUND(raw_order_lines!J951*100,0)+5)/10)/100</f>
        <v>0</v>
      </c>
      <c r="R951" s="6">
        <f t="shared" si="42"/>
        <v>30.1</v>
      </c>
      <c r="S951" s="2" t="str">
        <f>IF(OR(ROUND(raw_order_lines!I951*10,0)&gt;ROUND(raw_order_lines!H951*10,0),ROUND(raw_order_lines!H951*10,0)&gt;ROUND(raw_order_lines!G951*10,0),ROUND(raw_order_lines!G951*10,0)&lt;=0),"数量关系异常","")</f>
        <v/>
      </c>
      <c r="T951" s="2" t="str">
        <f>IF($F951&lt;&gt;INDEX(dim_products!$D$2:$D$21,MATCH($E951,dim_products!$A$2:$A$21,0)),"单位不一致","")</f>
        <v/>
      </c>
      <c r="U951" s="2" t="str">
        <f>IF(OR(ROUND(raw_order_lines!J951*100,0)&lt;ROUND(INDEX(dim_products!$F$2:$F$21,MATCH($E951,dim_products!$A$2:$A$21,0))*100,0),ROUND(raw_order_lines!J951*100,0)&gt;ROUND(INDEX(dim_products!$G$2:$G$21,MATCH($E951,dim_products!$A$2:$A$21,0))*100,0)),"单价越界","")</f>
        <v/>
      </c>
      <c r="V951" s="2" t="str">
        <f t="shared" si="43"/>
        <v/>
      </c>
      <c r="W951" s="2" t="str">
        <f t="shared" si="44"/>
        <v>通过</v>
      </c>
    </row>
    <row r="952" spans="1:23" ht="15">
      <c r="A952" s="2" t="str">
        <f>raw_order_lines!A952</f>
        <v>SIM-20260930-C003</v>
      </c>
      <c r="B952" s="2">
        <f>raw_order_lines!B952</f>
        <v>6</v>
      </c>
      <c r="C952" s="2" t="str">
        <f>raw_order_lines!C952</f>
        <v>C003</v>
      </c>
      <c r="D952" s="3">
        <f>raw_order_lines!D952</f>
        <v>46295</v>
      </c>
      <c r="E952" s="2" t="str">
        <f>raw_order_lines!E952</f>
        <v>P002</v>
      </c>
      <c r="F952" s="2" t="str">
        <f>raw_order_lines!F952</f>
        <v>公斤</v>
      </c>
      <c r="G952" s="4">
        <f>raw_order_lines!G952</f>
        <v>5.0999999999999996</v>
      </c>
      <c r="H952" s="4">
        <f>raw_order_lines!H952</f>
        <v>5.0999999999999996</v>
      </c>
      <c r="I952" s="4">
        <f>raw_order_lines!I952</f>
        <v>0</v>
      </c>
      <c r="J952" s="5">
        <f>raw_order_lines!J952</f>
        <v>2.7</v>
      </c>
      <c r="K952" s="2" t="str">
        <f>raw_order_lines!K952</f>
        <v>正常交付</v>
      </c>
      <c r="L952" s="2" t="str">
        <f>raw_order_lines!L952</f>
        <v>true</v>
      </c>
      <c r="M952" s="2" t="str">
        <f>INDEX(dim_products!$B$2:$B$21,MATCH($E952,dim_products!$A$2:$A$21,0))</f>
        <v>白萝卜</v>
      </c>
      <c r="N952" s="2" t="str">
        <f>INDEX(dim_products!$C$2:$C$21,MATCH($E952,dim_products!$A$2:$A$21,0))</f>
        <v>散装鲜菜</v>
      </c>
      <c r="O952" s="2" t="str">
        <f>INDEX(dim_customers!$B$2:$B$7,MATCH($C952,dim_customers!$A$2:$A$7,0))</f>
        <v>模拟_兴街快餐店</v>
      </c>
      <c r="P952" s="6">
        <f>INT((ROUND(raw_order_lines!H952*10,0)*ROUND(raw_order_lines!J952*100,0)+5)/10)/100</f>
        <v>13.77</v>
      </c>
      <c r="Q952" s="6">
        <f>INT((ROUND(raw_order_lines!I952*10,0)*ROUND(raw_order_lines!J952*100,0)+5)/10)/100</f>
        <v>0</v>
      </c>
      <c r="R952" s="6">
        <f t="shared" si="42"/>
        <v>13.77</v>
      </c>
      <c r="S952" s="2" t="str">
        <f>IF(OR(ROUND(raw_order_lines!I952*10,0)&gt;ROUND(raw_order_lines!H952*10,0),ROUND(raw_order_lines!H952*10,0)&gt;ROUND(raw_order_lines!G952*10,0),ROUND(raw_order_lines!G952*10,0)&lt;=0),"数量关系异常","")</f>
        <v/>
      </c>
      <c r="T952" s="2" t="str">
        <f>IF($F952&lt;&gt;INDEX(dim_products!$D$2:$D$21,MATCH($E952,dim_products!$A$2:$A$21,0)),"单位不一致","")</f>
        <v/>
      </c>
      <c r="U952" s="2" t="str">
        <f>IF(OR(ROUND(raw_order_lines!J952*100,0)&lt;ROUND(INDEX(dim_products!$F$2:$F$21,MATCH($E952,dim_products!$A$2:$A$21,0))*100,0),ROUND(raw_order_lines!J952*100,0)&gt;ROUND(INDEX(dim_products!$G$2:$G$21,MATCH($E952,dim_products!$A$2:$A$21,0))*100,0)),"单价越界","")</f>
        <v/>
      </c>
      <c r="V952" s="2" t="str">
        <f t="shared" si="43"/>
        <v/>
      </c>
      <c r="W952" s="2" t="str">
        <f t="shared" si="44"/>
        <v>通过</v>
      </c>
    </row>
    <row r="953" spans="1:23" ht="15">
      <c r="A953" s="2" t="str">
        <f>raw_order_lines!A953</f>
        <v>SIM-20260930-C003</v>
      </c>
      <c r="B953" s="2">
        <f>raw_order_lines!B953</f>
        <v>7</v>
      </c>
      <c r="C953" s="2" t="str">
        <f>raw_order_lines!C953</f>
        <v>C003</v>
      </c>
      <c r="D953" s="3">
        <f>raw_order_lines!D953</f>
        <v>46295</v>
      </c>
      <c r="E953" s="2" t="str">
        <f>raw_order_lines!E953</f>
        <v>P017</v>
      </c>
      <c r="F953" s="2" t="str">
        <f>raw_order_lines!F953</f>
        <v>袋</v>
      </c>
      <c r="G953" s="4">
        <f>raw_order_lines!G953</f>
        <v>5</v>
      </c>
      <c r="H953" s="4">
        <f>raw_order_lines!H953</f>
        <v>5</v>
      </c>
      <c r="I953" s="4">
        <f>raw_order_lines!I953</f>
        <v>0</v>
      </c>
      <c r="J953" s="5">
        <f>raw_order_lines!J953</f>
        <v>119</v>
      </c>
      <c r="K953" s="2" t="str">
        <f>raw_order_lines!K953</f>
        <v>正常交付</v>
      </c>
      <c r="L953" s="2" t="str">
        <f>raw_order_lines!L953</f>
        <v>true</v>
      </c>
      <c r="M953" s="2" t="str">
        <f>INDEX(dim_products!$B$2:$B$21,MATCH($E953,dim_products!$A$2:$A$21,0))</f>
        <v>籼米</v>
      </c>
      <c r="N953" s="2" t="str">
        <f>INDEX(dim_products!$C$2:$C$21,MATCH($E953,dim_products!$A$2:$A$21,0))</f>
        <v>25公斤/袋普通籼米</v>
      </c>
      <c r="O953" s="2" t="str">
        <f>INDEX(dim_customers!$B$2:$B$7,MATCH($C953,dim_customers!$A$2:$A$7,0))</f>
        <v>模拟_兴街快餐店</v>
      </c>
      <c r="P953" s="6">
        <f>INT((ROUND(raw_order_lines!H953*10,0)*ROUND(raw_order_lines!J953*100,0)+5)/10)/100</f>
        <v>595</v>
      </c>
      <c r="Q953" s="6">
        <f>INT((ROUND(raw_order_lines!I953*10,0)*ROUND(raw_order_lines!J953*100,0)+5)/10)/100</f>
        <v>0</v>
      </c>
      <c r="R953" s="6">
        <f t="shared" si="42"/>
        <v>595</v>
      </c>
      <c r="S953" s="2" t="str">
        <f>IF(OR(ROUND(raw_order_lines!I953*10,0)&gt;ROUND(raw_order_lines!H953*10,0),ROUND(raw_order_lines!H953*10,0)&gt;ROUND(raw_order_lines!G953*10,0),ROUND(raw_order_lines!G953*10,0)&lt;=0),"数量关系异常","")</f>
        <v/>
      </c>
      <c r="T953" s="2" t="str">
        <f>IF($F953&lt;&gt;INDEX(dim_products!$D$2:$D$21,MATCH($E953,dim_products!$A$2:$A$21,0)),"单位不一致","")</f>
        <v/>
      </c>
      <c r="U953" s="2" t="str">
        <f>IF(OR(ROUND(raw_order_lines!J953*100,0)&lt;ROUND(INDEX(dim_products!$F$2:$F$21,MATCH($E953,dim_products!$A$2:$A$21,0))*100,0),ROUND(raw_order_lines!J953*100,0)&gt;ROUND(INDEX(dim_products!$G$2:$G$21,MATCH($E953,dim_products!$A$2:$A$21,0))*100,0)),"单价越界","")</f>
        <v/>
      </c>
      <c r="V953" s="2" t="str">
        <f t="shared" si="43"/>
        <v/>
      </c>
      <c r="W953" s="2" t="str">
        <f t="shared" si="44"/>
        <v>通过</v>
      </c>
    </row>
    <row r="954" spans="1:23" ht="15">
      <c r="A954" s="2" t="str">
        <f>raw_order_lines!A954</f>
        <v>SIM-20260930-C003</v>
      </c>
      <c r="B954" s="2">
        <f>raw_order_lines!B954</f>
        <v>8</v>
      </c>
      <c r="C954" s="2" t="str">
        <f>raw_order_lines!C954</f>
        <v>C003</v>
      </c>
      <c r="D954" s="3">
        <f>raw_order_lines!D954</f>
        <v>46295</v>
      </c>
      <c r="E954" s="2" t="str">
        <f>raw_order_lines!E954</f>
        <v>P020</v>
      </c>
      <c r="F954" s="2" t="str">
        <f>raw_order_lines!F954</f>
        <v>桶</v>
      </c>
      <c r="G954" s="4">
        <f>raw_order_lines!G954</f>
        <v>2</v>
      </c>
      <c r="H954" s="4">
        <f>raw_order_lines!H954</f>
        <v>2</v>
      </c>
      <c r="I954" s="4">
        <f>raw_order_lines!I954</f>
        <v>0</v>
      </c>
      <c r="J954" s="5">
        <f>raw_order_lines!J954</f>
        <v>59</v>
      </c>
      <c r="K954" s="2" t="str">
        <f>raw_order_lines!K954</f>
        <v>正常交付</v>
      </c>
      <c r="L954" s="2" t="str">
        <f>raw_order_lines!L954</f>
        <v>true</v>
      </c>
      <c r="M954" s="2" t="str">
        <f>INDEX(dim_products!$B$2:$B$21,MATCH($E954,dim_products!$A$2:$A$21,0))</f>
        <v>大豆油</v>
      </c>
      <c r="N954" s="2" t="str">
        <f>INDEX(dim_products!$C$2:$C$21,MATCH($E954,dim_products!$A$2:$A$21,0))</f>
        <v>5升/桶普通大豆油</v>
      </c>
      <c r="O954" s="2" t="str">
        <f>INDEX(dim_customers!$B$2:$B$7,MATCH($C954,dim_customers!$A$2:$A$7,0))</f>
        <v>模拟_兴街快餐店</v>
      </c>
      <c r="P954" s="6">
        <f>INT((ROUND(raw_order_lines!H954*10,0)*ROUND(raw_order_lines!J954*100,0)+5)/10)/100</f>
        <v>118</v>
      </c>
      <c r="Q954" s="6">
        <f>INT((ROUND(raw_order_lines!I954*10,0)*ROUND(raw_order_lines!J954*100,0)+5)/10)/100</f>
        <v>0</v>
      </c>
      <c r="R954" s="6">
        <f t="shared" si="42"/>
        <v>118</v>
      </c>
      <c r="S954" s="2" t="str">
        <f>IF(OR(ROUND(raw_order_lines!I954*10,0)&gt;ROUND(raw_order_lines!H954*10,0),ROUND(raw_order_lines!H954*10,0)&gt;ROUND(raw_order_lines!G954*10,0),ROUND(raw_order_lines!G954*10,0)&lt;=0),"数量关系异常","")</f>
        <v/>
      </c>
      <c r="T954" s="2" t="str">
        <f>IF($F954&lt;&gt;INDEX(dim_products!$D$2:$D$21,MATCH($E954,dim_products!$A$2:$A$21,0)),"单位不一致","")</f>
        <v/>
      </c>
      <c r="U954" s="2" t="str">
        <f>IF(OR(ROUND(raw_order_lines!J954*100,0)&lt;ROUND(INDEX(dim_products!$F$2:$F$21,MATCH($E954,dim_products!$A$2:$A$21,0))*100,0),ROUND(raw_order_lines!J954*100,0)&gt;ROUND(INDEX(dim_products!$G$2:$G$21,MATCH($E954,dim_products!$A$2:$A$21,0))*100,0)),"单价越界","")</f>
        <v/>
      </c>
      <c r="V954" s="2" t="str">
        <f t="shared" si="43"/>
        <v/>
      </c>
      <c r="W954" s="2" t="str">
        <f t="shared" si="44"/>
        <v>通过</v>
      </c>
    </row>
    <row r="955" spans="1:23" ht="15">
      <c r="A955" s="2" t="str">
        <f>raw_order_lines!A955</f>
        <v>SIM-20260930-C005</v>
      </c>
      <c r="B955" s="2">
        <f>raw_order_lines!B955</f>
        <v>1</v>
      </c>
      <c r="C955" s="2" t="str">
        <f>raw_order_lines!C955</f>
        <v>C005</v>
      </c>
      <c r="D955" s="3">
        <f>raw_order_lines!D955</f>
        <v>46295</v>
      </c>
      <c r="E955" s="2" t="str">
        <f>raw_order_lines!E955</f>
        <v>P011</v>
      </c>
      <c r="F955" s="2" t="str">
        <f>raw_order_lines!F955</f>
        <v>公斤</v>
      </c>
      <c r="G955" s="4">
        <f>raw_order_lines!G955</f>
        <v>8.3000000000000007</v>
      </c>
      <c r="H955" s="4">
        <f>raw_order_lines!H955</f>
        <v>8.3000000000000007</v>
      </c>
      <c r="I955" s="4">
        <f>raw_order_lines!I955</f>
        <v>0</v>
      </c>
      <c r="J955" s="5">
        <f>raw_order_lines!J955</f>
        <v>4.8</v>
      </c>
      <c r="K955" s="2" t="str">
        <f>raw_order_lines!K955</f>
        <v>正常交付</v>
      </c>
      <c r="L955" s="2" t="str">
        <f>raw_order_lines!L955</f>
        <v>true</v>
      </c>
      <c r="M955" s="2" t="str">
        <f>INDEX(dim_products!$B$2:$B$21,MATCH($E955,dim_products!$A$2:$A$21,0))</f>
        <v>红薯叶</v>
      </c>
      <c r="N955" s="2" t="str">
        <f>INDEX(dim_products!$C$2:$C$21,MATCH($E955,dim_products!$A$2:$A$21,0))</f>
        <v>散装鲜菜</v>
      </c>
      <c r="O955" s="2" t="str">
        <f>INDEX(dim_customers!$B$2:$B$7,MATCH($C955,dim_customers!$A$2:$A$7,0))</f>
        <v>模拟_青禾小学食堂</v>
      </c>
      <c r="P955" s="6">
        <f>INT((ROUND(raw_order_lines!H955*10,0)*ROUND(raw_order_lines!J955*100,0)+5)/10)/100</f>
        <v>39.840000000000003</v>
      </c>
      <c r="Q955" s="6">
        <f>INT((ROUND(raw_order_lines!I955*10,0)*ROUND(raw_order_lines!J955*100,0)+5)/10)/100</f>
        <v>0</v>
      </c>
      <c r="R955" s="6">
        <f t="shared" si="42"/>
        <v>39.840000000000003</v>
      </c>
      <c r="S955" s="2" t="str">
        <f>IF(OR(ROUND(raw_order_lines!I955*10,0)&gt;ROUND(raw_order_lines!H955*10,0),ROUND(raw_order_lines!H955*10,0)&gt;ROUND(raw_order_lines!G955*10,0),ROUND(raw_order_lines!G955*10,0)&lt;=0),"数量关系异常","")</f>
        <v/>
      </c>
      <c r="T955" s="2" t="str">
        <f>IF($F955&lt;&gt;INDEX(dim_products!$D$2:$D$21,MATCH($E955,dim_products!$A$2:$A$21,0)),"单位不一致","")</f>
        <v/>
      </c>
      <c r="U955" s="2" t="str">
        <f>IF(OR(ROUND(raw_order_lines!J955*100,0)&lt;ROUND(INDEX(dim_products!$F$2:$F$21,MATCH($E955,dim_products!$A$2:$A$21,0))*100,0),ROUND(raw_order_lines!J955*100,0)&gt;ROUND(INDEX(dim_products!$G$2:$G$21,MATCH($E955,dim_products!$A$2:$A$21,0))*100,0)),"单价越界","")</f>
        <v/>
      </c>
      <c r="V955" s="2" t="str">
        <f t="shared" si="43"/>
        <v/>
      </c>
      <c r="W955" s="2" t="str">
        <f t="shared" si="44"/>
        <v>通过</v>
      </c>
    </row>
    <row r="956" spans="1:23" ht="15">
      <c r="A956" s="2" t="str">
        <f>raw_order_lines!A956</f>
        <v>SIM-20260930-C005</v>
      </c>
      <c r="B956" s="2">
        <f>raw_order_lines!B956</f>
        <v>2</v>
      </c>
      <c r="C956" s="2" t="str">
        <f>raw_order_lines!C956</f>
        <v>C005</v>
      </c>
      <c r="D956" s="3">
        <f>raw_order_lines!D956</f>
        <v>46295</v>
      </c>
      <c r="E956" s="2" t="str">
        <f>raw_order_lines!E956</f>
        <v>P014</v>
      </c>
      <c r="F956" s="2" t="str">
        <f>raw_order_lines!F956</f>
        <v>公斤</v>
      </c>
      <c r="G956" s="4">
        <f>raw_order_lines!G956</f>
        <v>6.4</v>
      </c>
      <c r="H956" s="4">
        <f>raw_order_lines!H956</f>
        <v>6.4</v>
      </c>
      <c r="I956" s="4">
        <f>raw_order_lines!I956</f>
        <v>0</v>
      </c>
      <c r="J956" s="5">
        <f>raw_order_lines!J956</f>
        <v>4.8</v>
      </c>
      <c r="K956" s="2" t="str">
        <f>raw_order_lines!K956</f>
        <v>正常交付</v>
      </c>
      <c r="L956" s="2" t="str">
        <f>raw_order_lines!L956</f>
        <v>true</v>
      </c>
      <c r="M956" s="2" t="str">
        <f>INDEX(dim_products!$B$2:$B$21,MATCH($E956,dim_products!$A$2:$A$21,0))</f>
        <v>丝瓜</v>
      </c>
      <c r="N956" s="2" t="str">
        <f>INDEX(dim_products!$C$2:$C$21,MATCH($E956,dim_products!$A$2:$A$21,0))</f>
        <v>散装鲜菜</v>
      </c>
      <c r="O956" s="2" t="str">
        <f>INDEX(dim_customers!$B$2:$B$7,MATCH($C956,dim_customers!$A$2:$A$7,0))</f>
        <v>模拟_青禾小学食堂</v>
      </c>
      <c r="P956" s="6">
        <f>INT((ROUND(raw_order_lines!H956*10,0)*ROUND(raw_order_lines!J956*100,0)+5)/10)/100</f>
        <v>30.72</v>
      </c>
      <c r="Q956" s="6">
        <f>INT((ROUND(raw_order_lines!I956*10,0)*ROUND(raw_order_lines!J956*100,0)+5)/10)/100</f>
        <v>0</v>
      </c>
      <c r="R956" s="6">
        <f t="shared" si="42"/>
        <v>30.72</v>
      </c>
      <c r="S956" s="2" t="str">
        <f>IF(OR(ROUND(raw_order_lines!I956*10,0)&gt;ROUND(raw_order_lines!H956*10,0),ROUND(raw_order_lines!H956*10,0)&gt;ROUND(raw_order_lines!G956*10,0),ROUND(raw_order_lines!G956*10,0)&lt;=0),"数量关系异常","")</f>
        <v/>
      </c>
      <c r="T956" s="2" t="str">
        <f>IF($F956&lt;&gt;INDEX(dim_products!$D$2:$D$21,MATCH($E956,dim_products!$A$2:$A$21,0)),"单位不一致","")</f>
        <v/>
      </c>
      <c r="U956" s="2" t="str">
        <f>IF(OR(ROUND(raw_order_lines!J956*100,0)&lt;ROUND(INDEX(dim_products!$F$2:$F$21,MATCH($E956,dim_products!$A$2:$A$21,0))*100,0),ROUND(raw_order_lines!J956*100,0)&gt;ROUND(INDEX(dim_products!$G$2:$G$21,MATCH($E956,dim_products!$A$2:$A$21,0))*100,0)),"单价越界","")</f>
        <v/>
      </c>
      <c r="V956" s="2" t="str">
        <f t="shared" si="43"/>
        <v/>
      </c>
      <c r="W956" s="2" t="str">
        <f t="shared" si="44"/>
        <v>通过</v>
      </c>
    </row>
    <row r="957" spans="1:23" ht="15">
      <c r="A957" s="2" t="str">
        <f>raw_order_lines!A957</f>
        <v>SIM-20260930-C005</v>
      </c>
      <c r="B957" s="2">
        <f>raw_order_lines!B957</f>
        <v>3</v>
      </c>
      <c r="C957" s="2" t="str">
        <f>raw_order_lines!C957</f>
        <v>C005</v>
      </c>
      <c r="D957" s="3">
        <f>raw_order_lines!D957</f>
        <v>46295</v>
      </c>
      <c r="E957" s="2" t="str">
        <f>raw_order_lines!E957</f>
        <v>P013</v>
      </c>
      <c r="F957" s="2" t="str">
        <f>raw_order_lines!F957</f>
        <v>公斤</v>
      </c>
      <c r="G957" s="4">
        <f>raw_order_lines!G957</f>
        <v>6.4</v>
      </c>
      <c r="H957" s="4">
        <f>raw_order_lines!H957</f>
        <v>6.4</v>
      </c>
      <c r="I957" s="4">
        <f>raw_order_lines!I957</f>
        <v>0</v>
      </c>
      <c r="J957" s="5">
        <f>raw_order_lines!J957</f>
        <v>6.3</v>
      </c>
      <c r="K957" s="2" t="str">
        <f>raw_order_lines!K957</f>
        <v>正常交付</v>
      </c>
      <c r="L957" s="2" t="str">
        <f>raw_order_lines!L957</f>
        <v>true</v>
      </c>
      <c r="M957" s="2" t="str">
        <f>INDEX(dim_products!$B$2:$B$21,MATCH($E957,dim_products!$A$2:$A$21,0))</f>
        <v>豇豆</v>
      </c>
      <c r="N957" s="2" t="str">
        <f>INDEX(dim_products!$C$2:$C$21,MATCH($E957,dim_products!$A$2:$A$21,0))</f>
        <v>散装鲜菜</v>
      </c>
      <c r="O957" s="2" t="str">
        <f>INDEX(dim_customers!$B$2:$B$7,MATCH($C957,dim_customers!$A$2:$A$7,0))</f>
        <v>模拟_青禾小学食堂</v>
      </c>
      <c r="P957" s="6">
        <f>INT((ROUND(raw_order_lines!H957*10,0)*ROUND(raw_order_lines!J957*100,0)+5)/10)/100</f>
        <v>40.32</v>
      </c>
      <c r="Q957" s="6">
        <f>INT((ROUND(raw_order_lines!I957*10,0)*ROUND(raw_order_lines!J957*100,0)+5)/10)/100</f>
        <v>0</v>
      </c>
      <c r="R957" s="6">
        <f t="shared" si="42"/>
        <v>40.32</v>
      </c>
      <c r="S957" s="2" t="str">
        <f>IF(OR(ROUND(raw_order_lines!I957*10,0)&gt;ROUND(raw_order_lines!H957*10,0),ROUND(raw_order_lines!H957*10,0)&gt;ROUND(raw_order_lines!G957*10,0),ROUND(raw_order_lines!G957*10,0)&lt;=0),"数量关系异常","")</f>
        <v/>
      </c>
      <c r="T957" s="2" t="str">
        <f>IF($F957&lt;&gt;INDEX(dim_products!$D$2:$D$21,MATCH($E957,dim_products!$A$2:$A$21,0)),"单位不一致","")</f>
        <v/>
      </c>
      <c r="U957" s="2" t="str">
        <f>IF(OR(ROUND(raw_order_lines!J957*100,0)&lt;ROUND(INDEX(dim_products!$F$2:$F$21,MATCH($E957,dim_products!$A$2:$A$21,0))*100,0),ROUND(raw_order_lines!J957*100,0)&gt;ROUND(INDEX(dim_products!$G$2:$G$21,MATCH($E957,dim_products!$A$2:$A$21,0))*100,0)),"单价越界","")</f>
        <v/>
      </c>
      <c r="V957" s="2" t="str">
        <f t="shared" si="43"/>
        <v/>
      </c>
      <c r="W957" s="2" t="str">
        <f t="shared" si="44"/>
        <v>通过</v>
      </c>
    </row>
    <row r="958" spans="1:23" ht="15">
      <c r="A958" s="2" t="str">
        <f>raw_order_lines!A958</f>
        <v>SIM-20260930-C005</v>
      </c>
      <c r="B958" s="2">
        <f>raw_order_lines!B958</f>
        <v>4</v>
      </c>
      <c r="C958" s="2" t="str">
        <f>raw_order_lines!C958</f>
        <v>C005</v>
      </c>
      <c r="D958" s="3">
        <f>raw_order_lines!D958</f>
        <v>46295</v>
      </c>
      <c r="E958" s="2" t="str">
        <f>raw_order_lines!E958</f>
        <v>P009</v>
      </c>
      <c r="F958" s="2" t="str">
        <f>raw_order_lines!F958</f>
        <v>公斤</v>
      </c>
      <c r="G958" s="4">
        <f>raw_order_lines!G958</f>
        <v>8.3000000000000007</v>
      </c>
      <c r="H958" s="4">
        <f>raw_order_lines!H958</f>
        <v>7.8</v>
      </c>
      <c r="I958" s="4">
        <f>raw_order_lines!I958</f>
        <v>0</v>
      </c>
      <c r="J958" s="5">
        <f>raw_order_lines!J958</f>
        <v>4.8</v>
      </c>
      <c r="K958" s="2" t="str">
        <f>raw_order_lines!K958</f>
        <v>到货不足；按实际交付计费</v>
      </c>
      <c r="L958" s="2" t="str">
        <f>raw_order_lines!L958</f>
        <v>true</v>
      </c>
      <c r="M958" s="2" t="str">
        <f>INDEX(dim_products!$B$2:$B$21,MATCH($E958,dim_products!$A$2:$A$21,0))</f>
        <v>西红柿</v>
      </c>
      <c r="N958" s="2" t="str">
        <f>INDEX(dim_products!$C$2:$C$21,MATCH($E958,dim_products!$A$2:$A$21,0))</f>
        <v>散装鲜菜</v>
      </c>
      <c r="O958" s="2" t="str">
        <f>INDEX(dim_customers!$B$2:$B$7,MATCH($C958,dim_customers!$A$2:$A$7,0))</f>
        <v>模拟_青禾小学食堂</v>
      </c>
      <c r="P958" s="6">
        <f>INT((ROUND(raw_order_lines!H958*10,0)*ROUND(raw_order_lines!J958*100,0)+5)/10)/100</f>
        <v>37.44</v>
      </c>
      <c r="Q958" s="6">
        <f>INT((ROUND(raw_order_lines!I958*10,0)*ROUND(raw_order_lines!J958*100,0)+5)/10)/100</f>
        <v>0</v>
      </c>
      <c r="R958" s="6">
        <f t="shared" si="42"/>
        <v>37.44</v>
      </c>
      <c r="S958" s="2" t="str">
        <f>IF(OR(ROUND(raw_order_lines!I958*10,0)&gt;ROUND(raw_order_lines!H958*10,0),ROUND(raw_order_lines!H958*10,0)&gt;ROUND(raw_order_lines!G958*10,0),ROUND(raw_order_lines!G958*10,0)&lt;=0),"数量关系异常","")</f>
        <v/>
      </c>
      <c r="T958" s="2" t="str">
        <f>IF($F958&lt;&gt;INDEX(dim_products!$D$2:$D$21,MATCH($E958,dim_products!$A$2:$A$21,0)),"单位不一致","")</f>
        <v/>
      </c>
      <c r="U958" s="2" t="str">
        <f>IF(OR(ROUND(raw_order_lines!J958*100,0)&lt;ROUND(INDEX(dim_products!$F$2:$F$21,MATCH($E958,dim_products!$A$2:$A$21,0))*100,0),ROUND(raw_order_lines!J958*100,0)&gt;ROUND(INDEX(dim_products!$G$2:$G$21,MATCH($E958,dim_products!$A$2:$A$21,0))*100,0)),"单价越界","")</f>
        <v/>
      </c>
      <c r="V958" s="2" t="str">
        <f t="shared" si="43"/>
        <v/>
      </c>
      <c r="W958" s="2" t="str">
        <f t="shared" si="44"/>
        <v>通过</v>
      </c>
    </row>
    <row r="959" spans="1:23" ht="15">
      <c r="A959" s="2" t="str">
        <f>raw_order_lines!A959</f>
        <v>SIM-20260930-C005</v>
      </c>
      <c r="B959" s="2">
        <f>raw_order_lines!B959</f>
        <v>5</v>
      </c>
      <c r="C959" s="2" t="str">
        <f>raw_order_lines!C959</f>
        <v>C005</v>
      </c>
      <c r="D959" s="3">
        <f>raw_order_lines!D959</f>
        <v>46295</v>
      </c>
      <c r="E959" s="2" t="str">
        <f>raw_order_lines!E959</f>
        <v>P002</v>
      </c>
      <c r="F959" s="2" t="str">
        <f>raw_order_lines!F959</f>
        <v>公斤</v>
      </c>
      <c r="G959" s="4">
        <f>raw_order_lines!G959</f>
        <v>12.9</v>
      </c>
      <c r="H959" s="4">
        <f>raw_order_lines!H959</f>
        <v>12.9</v>
      </c>
      <c r="I959" s="4">
        <f>raw_order_lines!I959</f>
        <v>0</v>
      </c>
      <c r="J959" s="5">
        <f>raw_order_lines!J959</f>
        <v>2.7</v>
      </c>
      <c r="K959" s="2" t="str">
        <f>raw_order_lines!K959</f>
        <v>正常交付</v>
      </c>
      <c r="L959" s="2" t="str">
        <f>raw_order_lines!L959</f>
        <v>true</v>
      </c>
      <c r="M959" s="2" t="str">
        <f>INDEX(dim_products!$B$2:$B$21,MATCH($E959,dim_products!$A$2:$A$21,0))</f>
        <v>白萝卜</v>
      </c>
      <c r="N959" s="2" t="str">
        <f>INDEX(dim_products!$C$2:$C$21,MATCH($E959,dim_products!$A$2:$A$21,0))</f>
        <v>散装鲜菜</v>
      </c>
      <c r="O959" s="2" t="str">
        <f>INDEX(dim_customers!$B$2:$B$7,MATCH($C959,dim_customers!$A$2:$A$7,0))</f>
        <v>模拟_青禾小学食堂</v>
      </c>
      <c r="P959" s="6">
        <f>INT((ROUND(raw_order_lines!H959*10,0)*ROUND(raw_order_lines!J959*100,0)+5)/10)/100</f>
        <v>34.83</v>
      </c>
      <c r="Q959" s="6">
        <f>INT((ROUND(raw_order_lines!I959*10,0)*ROUND(raw_order_lines!J959*100,0)+5)/10)/100</f>
        <v>0</v>
      </c>
      <c r="R959" s="6">
        <f t="shared" si="42"/>
        <v>34.83</v>
      </c>
      <c r="S959" s="2" t="str">
        <f>IF(OR(ROUND(raw_order_lines!I959*10,0)&gt;ROUND(raw_order_lines!H959*10,0),ROUND(raw_order_lines!H959*10,0)&gt;ROUND(raw_order_lines!G959*10,0),ROUND(raw_order_lines!G959*10,0)&lt;=0),"数量关系异常","")</f>
        <v/>
      </c>
      <c r="T959" s="2" t="str">
        <f>IF($F959&lt;&gt;INDEX(dim_products!$D$2:$D$21,MATCH($E959,dim_products!$A$2:$A$21,0)),"单位不一致","")</f>
        <v/>
      </c>
      <c r="U959" s="2" t="str">
        <f>IF(OR(ROUND(raw_order_lines!J959*100,0)&lt;ROUND(INDEX(dim_products!$F$2:$F$21,MATCH($E959,dim_products!$A$2:$A$21,0))*100,0),ROUND(raw_order_lines!J959*100,0)&gt;ROUND(INDEX(dim_products!$G$2:$G$21,MATCH($E959,dim_products!$A$2:$A$21,0))*100,0)),"单价越界","")</f>
        <v/>
      </c>
      <c r="V959" s="2" t="str">
        <f t="shared" si="43"/>
        <v/>
      </c>
      <c r="W959" s="2" t="str">
        <f t="shared" si="44"/>
        <v>通过</v>
      </c>
    </row>
    <row r="960" spans="1:23" ht="15">
      <c r="A960" s="2" t="str">
        <f>raw_order_lines!A960</f>
        <v>SIM-20260930-C005</v>
      </c>
      <c r="B960" s="2">
        <f>raw_order_lines!B960</f>
        <v>6</v>
      </c>
      <c r="C960" s="2" t="str">
        <f>raw_order_lines!C960</f>
        <v>C005</v>
      </c>
      <c r="D960" s="3">
        <f>raw_order_lines!D960</f>
        <v>46295</v>
      </c>
      <c r="E960" s="2" t="str">
        <f>raw_order_lines!E960</f>
        <v>P005</v>
      </c>
      <c r="F960" s="2" t="str">
        <f>raw_order_lines!F960</f>
        <v>公斤</v>
      </c>
      <c r="G960" s="4">
        <f>raw_order_lines!G960</f>
        <v>14.7</v>
      </c>
      <c r="H960" s="4">
        <f>raw_order_lines!H960</f>
        <v>14.7</v>
      </c>
      <c r="I960" s="4">
        <f>raw_order_lines!I960</f>
        <v>0</v>
      </c>
      <c r="J960" s="5">
        <f>raw_order_lines!J960</f>
        <v>2.8</v>
      </c>
      <c r="K960" s="2" t="str">
        <f>raw_order_lines!K960</f>
        <v>正常交付</v>
      </c>
      <c r="L960" s="2" t="str">
        <f>raw_order_lines!L960</f>
        <v>true</v>
      </c>
      <c r="M960" s="2" t="str">
        <f>INDEX(dim_products!$B$2:$B$21,MATCH($E960,dim_products!$A$2:$A$21,0))</f>
        <v>南瓜</v>
      </c>
      <c r="N960" s="2" t="str">
        <f>INDEX(dim_products!$C$2:$C$21,MATCH($E960,dim_products!$A$2:$A$21,0))</f>
        <v>散装鲜菜</v>
      </c>
      <c r="O960" s="2" t="str">
        <f>INDEX(dim_customers!$B$2:$B$7,MATCH($C960,dim_customers!$A$2:$A$7,0))</f>
        <v>模拟_青禾小学食堂</v>
      </c>
      <c r="P960" s="6">
        <f>INT((ROUND(raw_order_lines!H960*10,0)*ROUND(raw_order_lines!J960*100,0)+5)/10)/100</f>
        <v>41.16</v>
      </c>
      <c r="Q960" s="6">
        <f>INT((ROUND(raw_order_lines!I960*10,0)*ROUND(raw_order_lines!J960*100,0)+5)/10)/100</f>
        <v>0</v>
      </c>
      <c r="R960" s="6">
        <f t="shared" si="42"/>
        <v>41.16</v>
      </c>
      <c r="S960" s="2" t="str">
        <f>IF(OR(ROUND(raw_order_lines!I960*10,0)&gt;ROUND(raw_order_lines!H960*10,0),ROUND(raw_order_lines!H960*10,0)&gt;ROUND(raw_order_lines!G960*10,0),ROUND(raw_order_lines!G960*10,0)&lt;=0),"数量关系异常","")</f>
        <v/>
      </c>
      <c r="T960" s="2" t="str">
        <f>IF($F960&lt;&gt;INDEX(dim_products!$D$2:$D$21,MATCH($E960,dim_products!$A$2:$A$21,0)),"单位不一致","")</f>
        <v/>
      </c>
      <c r="U960" s="2" t="str">
        <f>IF(OR(ROUND(raw_order_lines!J960*100,0)&lt;ROUND(INDEX(dim_products!$F$2:$F$21,MATCH($E960,dim_products!$A$2:$A$21,0))*100,0),ROUND(raw_order_lines!J960*100,0)&gt;ROUND(INDEX(dim_products!$G$2:$G$21,MATCH($E960,dim_products!$A$2:$A$21,0))*100,0)),"单价越界","")</f>
        <v/>
      </c>
      <c r="V960" s="2" t="str">
        <f t="shared" si="43"/>
        <v/>
      </c>
      <c r="W960" s="2" t="str">
        <f t="shared" si="44"/>
        <v>通过</v>
      </c>
    </row>
    <row r="961" spans="1:23" ht="15">
      <c r="A961" s="2" t="str">
        <f>raw_order_lines!A961</f>
        <v>SIM-20260930-C005</v>
      </c>
      <c r="B961" s="2">
        <f>raw_order_lines!B961</f>
        <v>7</v>
      </c>
      <c r="C961" s="2" t="str">
        <f>raw_order_lines!C961</f>
        <v>C005</v>
      </c>
      <c r="D961" s="3">
        <f>raw_order_lines!D961</f>
        <v>46295</v>
      </c>
      <c r="E961" s="2" t="str">
        <f>raw_order_lines!E961</f>
        <v>P015</v>
      </c>
      <c r="F961" s="2" t="str">
        <f>raw_order_lines!F961</f>
        <v>公斤</v>
      </c>
      <c r="G961" s="4">
        <f>raw_order_lines!G961</f>
        <v>1</v>
      </c>
      <c r="H961" s="4">
        <f>raw_order_lines!H961</f>
        <v>1</v>
      </c>
      <c r="I961" s="4">
        <f>raw_order_lines!I961</f>
        <v>0</v>
      </c>
      <c r="J961" s="5">
        <f>raw_order_lines!J961</f>
        <v>7.7</v>
      </c>
      <c r="K961" s="2" t="str">
        <f>raw_order_lines!K961</f>
        <v>正常交付</v>
      </c>
      <c r="L961" s="2" t="str">
        <f>raw_order_lines!L961</f>
        <v>true</v>
      </c>
      <c r="M961" s="2" t="str">
        <f>INDEX(dim_products!$B$2:$B$21,MATCH($E961,dim_products!$A$2:$A$21,0))</f>
        <v>小葱</v>
      </c>
      <c r="N961" s="2" t="str">
        <f>INDEX(dim_products!$C$2:$C$21,MATCH($E961,dim_products!$A$2:$A$21,0))</f>
        <v>散装鲜菜</v>
      </c>
      <c r="O961" s="2" t="str">
        <f>INDEX(dim_customers!$B$2:$B$7,MATCH($C961,dim_customers!$A$2:$A$7,0))</f>
        <v>模拟_青禾小学食堂</v>
      </c>
      <c r="P961" s="6">
        <f>INT((ROUND(raw_order_lines!H961*10,0)*ROUND(raw_order_lines!J961*100,0)+5)/10)/100</f>
        <v>7.7</v>
      </c>
      <c r="Q961" s="6">
        <f>INT((ROUND(raw_order_lines!I961*10,0)*ROUND(raw_order_lines!J961*100,0)+5)/10)/100</f>
        <v>0</v>
      </c>
      <c r="R961" s="6">
        <f t="shared" si="42"/>
        <v>7.7</v>
      </c>
      <c r="S961" s="2" t="str">
        <f>IF(OR(ROUND(raw_order_lines!I961*10,0)&gt;ROUND(raw_order_lines!H961*10,0),ROUND(raw_order_lines!H961*10,0)&gt;ROUND(raw_order_lines!G961*10,0),ROUND(raw_order_lines!G961*10,0)&lt;=0),"数量关系异常","")</f>
        <v/>
      </c>
      <c r="T961" s="2" t="str">
        <f>IF($F961&lt;&gt;INDEX(dim_products!$D$2:$D$21,MATCH($E961,dim_products!$A$2:$A$21,0)),"单位不一致","")</f>
        <v/>
      </c>
      <c r="U961" s="2" t="str">
        <f>IF(OR(ROUND(raw_order_lines!J961*100,0)&lt;ROUND(INDEX(dim_products!$F$2:$F$21,MATCH($E961,dim_products!$A$2:$A$21,0))*100,0),ROUND(raw_order_lines!J961*100,0)&gt;ROUND(INDEX(dim_products!$G$2:$G$21,MATCH($E961,dim_products!$A$2:$A$21,0))*100,0)),"单价越界","")</f>
        <v/>
      </c>
      <c r="V961" s="2" t="str">
        <f t="shared" si="43"/>
        <v/>
      </c>
      <c r="W961" s="2" t="str">
        <f t="shared" si="44"/>
        <v>通过</v>
      </c>
    </row>
    <row r="962" spans="1:23" ht="15">
      <c r="A962" s="2" t="str">
        <f>raw_order_lines!A962</f>
        <v>SIM-20260930-C006</v>
      </c>
      <c r="B962" s="2">
        <f>raw_order_lines!B962</f>
        <v>1</v>
      </c>
      <c r="C962" s="2" t="str">
        <f>raw_order_lines!C962</f>
        <v>C006</v>
      </c>
      <c r="D962" s="3">
        <f>raw_order_lines!D962</f>
        <v>46295</v>
      </c>
      <c r="E962" s="2" t="str">
        <f>raw_order_lines!E962</f>
        <v>P011</v>
      </c>
      <c r="F962" s="2" t="str">
        <f>raw_order_lines!F962</f>
        <v>公斤</v>
      </c>
      <c r="G962" s="4">
        <f>raw_order_lines!G962</f>
        <v>5.5</v>
      </c>
      <c r="H962" s="4">
        <f>raw_order_lines!H962</f>
        <v>5.5</v>
      </c>
      <c r="I962" s="4">
        <f>raw_order_lines!I962</f>
        <v>0</v>
      </c>
      <c r="J962" s="5">
        <f>raw_order_lines!J962</f>
        <v>4.8</v>
      </c>
      <c r="K962" s="2" t="str">
        <f>raw_order_lines!K962</f>
        <v>正常交付</v>
      </c>
      <c r="L962" s="2" t="str">
        <f>raw_order_lines!L962</f>
        <v>true</v>
      </c>
      <c r="M962" s="2" t="str">
        <f>INDEX(dim_products!$B$2:$B$21,MATCH($E962,dim_products!$A$2:$A$21,0))</f>
        <v>红薯叶</v>
      </c>
      <c r="N962" s="2" t="str">
        <f>INDEX(dim_products!$C$2:$C$21,MATCH($E962,dim_products!$A$2:$A$21,0))</f>
        <v>散装鲜菜</v>
      </c>
      <c r="O962" s="2" t="str">
        <f>INDEX(dim_customers!$B$2:$B$7,MATCH($C962,dim_customers!$A$2:$A$7,0))</f>
        <v>模拟_溪桥医院食堂</v>
      </c>
      <c r="P962" s="6">
        <f>INT((ROUND(raw_order_lines!H962*10,0)*ROUND(raw_order_lines!J962*100,0)+5)/10)/100</f>
        <v>26.4</v>
      </c>
      <c r="Q962" s="6">
        <f>INT((ROUND(raw_order_lines!I962*10,0)*ROUND(raw_order_lines!J962*100,0)+5)/10)/100</f>
        <v>0</v>
      </c>
      <c r="R962" s="6">
        <f t="shared" ref="R962:R967" si="45">$P962-$Q962</f>
        <v>26.4</v>
      </c>
      <c r="S962" s="2" t="str">
        <f>IF(OR(ROUND(raw_order_lines!I962*10,0)&gt;ROUND(raw_order_lines!H962*10,0),ROUND(raw_order_lines!H962*10,0)&gt;ROUND(raw_order_lines!G962*10,0),ROUND(raw_order_lines!G962*10,0)&lt;=0),"数量关系异常","")</f>
        <v/>
      </c>
      <c r="T962" s="2" t="str">
        <f>IF($F962&lt;&gt;INDEX(dim_products!$D$2:$D$21,MATCH($E962,dim_products!$A$2:$A$21,0)),"单位不一致","")</f>
        <v/>
      </c>
      <c r="U962" s="2" t="str">
        <f>IF(OR(ROUND(raw_order_lines!J962*100,0)&lt;ROUND(INDEX(dim_products!$F$2:$F$21,MATCH($E962,dim_products!$A$2:$A$21,0))*100,0),ROUND(raw_order_lines!J962*100,0)&gt;ROUND(INDEX(dim_products!$G$2:$G$21,MATCH($E962,dim_products!$A$2:$A$21,0))*100,0)),"单价越界","")</f>
        <v/>
      </c>
      <c r="V962" s="2" t="str">
        <f t="shared" ref="V962:V967" si="46">IF(COUNTIFS($A$2:$A$967,$A962,$B$2:$B$967,$B962)&gt;1,"主键重复","")</f>
        <v/>
      </c>
      <c r="W962" s="2" t="str">
        <f t="shared" ref="W962:W967" si="47">IF(COUNTIF($S962:$T962,"?*")+COUNTIF($V962:$V962,"?*")&gt;0,"阻断",IF(COUNTIF($U962:$U962,"?*")&gt;0,"提示","通过"))</f>
        <v>通过</v>
      </c>
    </row>
    <row r="963" spans="1:23" ht="15">
      <c r="A963" s="2" t="str">
        <f>raw_order_lines!A963</f>
        <v>SIM-20260930-C006</v>
      </c>
      <c r="B963" s="2">
        <f>raw_order_lines!B963</f>
        <v>2</v>
      </c>
      <c r="C963" s="2" t="str">
        <f>raw_order_lines!C963</f>
        <v>C006</v>
      </c>
      <c r="D963" s="3">
        <f>raw_order_lines!D963</f>
        <v>46295</v>
      </c>
      <c r="E963" s="2" t="str">
        <f>raw_order_lines!E963</f>
        <v>P002</v>
      </c>
      <c r="F963" s="2" t="str">
        <f>raw_order_lines!F963</f>
        <v>公斤</v>
      </c>
      <c r="G963" s="4">
        <f>raw_order_lines!G963</f>
        <v>7.1</v>
      </c>
      <c r="H963" s="4">
        <f>raw_order_lines!H963</f>
        <v>7.1</v>
      </c>
      <c r="I963" s="4">
        <f>raw_order_lines!I963</f>
        <v>0</v>
      </c>
      <c r="J963" s="5">
        <f>raw_order_lines!J963</f>
        <v>2.7</v>
      </c>
      <c r="K963" s="2" t="str">
        <f>raw_order_lines!K963</f>
        <v>正常交付</v>
      </c>
      <c r="L963" s="2" t="str">
        <f>raw_order_lines!L963</f>
        <v>true</v>
      </c>
      <c r="M963" s="2" t="str">
        <f>INDEX(dim_products!$B$2:$B$21,MATCH($E963,dim_products!$A$2:$A$21,0))</f>
        <v>白萝卜</v>
      </c>
      <c r="N963" s="2" t="str">
        <f>INDEX(dim_products!$C$2:$C$21,MATCH($E963,dim_products!$A$2:$A$21,0))</f>
        <v>散装鲜菜</v>
      </c>
      <c r="O963" s="2" t="str">
        <f>INDEX(dim_customers!$B$2:$B$7,MATCH($C963,dim_customers!$A$2:$A$7,0))</f>
        <v>模拟_溪桥医院食堂</v>
      </c>
      <c r="P963" s="6">
        <f>INT((ROUND(raw_order_lines!H963*10,0)*ROUND(raw_order_lines!J963*100,0)+5)/10)/100</f>
        <v>19.170000000000002</v>
      </c>
      <c r="Q963" s="6">
        <f>INT((ROUND(raw_order_lines!I963*10,0)*ROUND(raw_order_lines!J963*100,0)+5)/10)/100</f>
        <v>0</v>
      </c>
      <c r="R963" s="6">
        <f t="shared" si="45"/>
        <v>19.170000000000002</v>
      </c>
      <c r="S963" s="2" t="str">
        <f>IF(OR(ROUND(raw_order_lines!I963*10,0)&gt;ROUND(raw_order_lines!H963*10,0),ROUND(raw_order_lines!H963*10,0)&gt;ROUND(raw_order_lines!G963*10,0),ROUND(raw_order_lines!G963*10,0)&lt;=0),"数量关系异常","")</f>
        <v/>
      </c>
      <c r="T963" s="2" t="str">
        <f>IF($F963&lt;&gt;INDEX(dim_products!$D$2:$D$21,MATCH($E963,dim_products!$A$2:$A$21,0)),"单位不一致","")</f>
        <v/>
      </c>
      <c r="U963" s="2" t="str">
        <f>IF(OR(ROUND(raw_order_lines!J963*100,0)&lt;ROUND(INDEX(dim_products!$F$2:$F$21,MATCH($E963,dim_products!$A$2:$A$21,0))*100,0),ROUND(raw_order_lines!J963*100,0)&gt;ROUND(INDEX(dim_products!$G$2:$G$21,MATCH($E963,dim_products!$A$2:$A$21,0))*100,0)),"单价越界","")</f>
        <v/>
      </c>
      <c r="V963" s="2" t="str">
        <f t="shared" si="46"/>
        <v/>
      </c>
      <c r="W963" s="2" t="str">
        <f t="shared" si="47"/>
        <v>通过</v>
      </c>
    </row>
    <row r="964" spans="1:23" ht="15">
      <c r="A964" s="2" t="str">
        <f>raw_order_lines!A964</f>
        <v>SIM-20260930-C006</v>
      </c>
      <c r="B964" s="2">
        <f>raw_order_lines!B964</f>
        <v>3</v>
      </c>
      <c r="C964" s="2" t="str">
        <f>raw_order_lines!C964</f>
        <v>C006</v>
      </c>
      <c r="D964" s="3">
        <f>raw_order_lines!D964</f>
        <v>46295</v>
      </c>
      <c r="E964" s="2" t="str">
        <f>raw_order_lines!E964</f>
        <v>P007</v>
      </c>
      <c r="F964" s="2" t="str">
        <f>raw_order_lines!F964</f>
        <v>公斤</v>
      </c>
      <c r="G964" s="4">
        <f>raw_order_lines!G964</f>
        <v>11.8</v>
      </c>
      <c r="H964" s="4">
        <f>raw_order_lines!H964</f>
        <v>11.8</v>
      </c>
      <c r="I964" s="4">
        <f>raw_order_lines!I964</f>
        <v>0</v>
      </c>
      <c r="J964" s="5">
        <f>raw_order_lines!J964</f>
        <v>5.25</v>
      </c>
      <c r="K964" s="2" t="str">
        <f>raw_order_lines!K964</f>
        <v>正常交付</v>
      </c>
      <c r="L964" s="2" t="str">
        <f>raw_order_lines!L964</f>
        <v>true</v>
      </c>
      <c r="M964" s="2" t="str">
        <f>INDEX(dim_products!$B$2:$B$21,MATCH($E964,dim_products!$A$2:$A$21,0))</f>
        <v>青椒</v>
      </c>
      <c r="N964" s="2" t="str">
        <f>INDEX(dim_products!$C$2:$C$21,MATCH($E964,dim_products!$A$2:$A$21,0))</f>
        <v>散装鲜菜</v>
      </c>
      <c r="O964" s="2" t="str">
        <f>INDEX(dim_customers!$B$2:$B$7,MATCH($C964,dim_customers!$A$2:$A$7,0))</f>
        <v>模拟_溪桥医院食堂</v>
      </c>
      <c r="P964" s="6">
        <f>INT((ROUND(raw_order_lines!H964*10,0)*ROUND(raw_order_lines!J964*100,0)+5)/10)/100</f>
        <v>61.95</v>
      </c>
      <c r="Q964" s="6">
        <f>INT((ROUND(raw_order_lines!I964*10,0)*ROUND(raw_order_lines!J964*100,0)+5)/10)/100</f>
        <v>0</v>
      </c>
      <c r="R964" s="6">
        <f t="shared" si="45"/>
        <v>61.95</v>
      </c>
      <c r="S964" s="2" t="str">
        <f>IF(OR(ROUND(raw_order_lines!I964*10,0)&gt;ROUND(raw_order_lines!H964*10,0),ROUND(raw_order_lines!H964*10,0)&gt;ROUND(raw_order_lines!G964*10,0),ROUND(raw_order_lines!G964*10,0)&lt;=0),"数量关系异常","")</f>
        <v/>
      </c>
      <c r="T964" s="2" t="str">
        <f>IF($F964&lt;&gt;INDEX(dim_products!$D$2:$D$21,MATCH($E964,dim_products!$A$2:$A$21,0)),"单位不一致","")</f>
        <v/>
      </c>
      <c r="U964" s="2" t="str">
        <f>IF(OR(ROUND(raw_order_lines!J964*100,0)&lt;ROUND(INDEX(dim_products!$F$2:$F$21,MATCH($E964,dim_products!$A$2:$A$21,0))*100,0),ROUND(raw_order_lines!J964*100,0)&gt;ROUND(INDEX(dim_products!$G$2:$G$21,MATCH($E964,dim_products!$A$2:$A$21,0))*100,0)),"单价越界","")</f>
        <v/>
      </c>
      <c r="V964" s="2" t="str">
        <f t="shared" si="46"/>
        <v/>
      </c>
      <c r="W964" s="2" t="str">
        <f t="shared" si="47"/>
        <v>通过</v>
      </c>
    </row>
    <row r="965" spans="1:23" ht="15">
      <c r="A965" s="2" t="str">
        <f>raw_order_lines!A965</f>
        <v>SIM-20260930-C006</v>
      </c>
      <c r="B965" s="2">
        <f>raw_order_lines!B965</f>
        <v>4</v>
      </c>
      <c r="C965" s="2" t="str">
        <f>raw_order_lines!C965</f>
        <v>C006</v>
      </c>
      <c r="D965" s="3">
        <f>raw_order_lines!D965</f>
        <v>46295</v>
      </c>
      <c r="E965" s="2" t="str">
        <f>raw_order_lines!E965</f>
        <v>P013</v>
      </c>
      <c r="F965" s="2" t="str">
        <f>raw_order_lines!F965</f>
        <v>公斤</v>
      </c>
      <c r="G965" s="4">
        <f>raw_order_lines!G965</f>
        <v>7.9</v>
      </c>
      <c r="H965" s="4">
        <f>raw_order_lines!H965</f>
        <v>7.9</v>
      </c>
      <c r="I965" s="4">
        <f>raw_order_lines!I965</f>
        <v>0</v>
      </c>
      <c r="J965" s="5">
        <f>raw_order_lines!J965</f>
        <v>6.3</v>
      </c>
      <c r="K965" s="2" t="str">
        <f>raw_order_lines!K965</f>
        <v>正常交付</v>
      </c>
      <c r="L965" s="2" t="str">
        <f>raw_order_lines!L965</f>
        <v>true</v>
      </c>
      <c r="M965" s="2" t="str">
        <f>INDEX(dim_products!$B$2:$B$21,MATCH($E965,dim_products!$A$2:$A$21,0))</f>
        <v>豇豆</v>
      </c>
      <c r="N965" s="2" t="str">
        <f>INDEX(dim_products!$C$2:$C$21,MATCH($E965,dim_products!$A$2:$A$21,0))</f>
        <v>散装鲜菜</v>
      </c>
      <c r="O965" s="2" t="str">
        <f>INDEX(dim_customers!$B$2:$B$7,MATCH($C965,dim_customers!$A$2:$A$7,0))</f>
        <v>模拟_溪桥医院食堂</v>
      </c>
      <c r="P965" s="6">
        <f>INT((ROUND(raw_order_lines!H965*10,0)*ROUND(raw_order_lines!J965*100,0)+5)/10)/100</f>
        <v>49.77</v>
      </c>
      <c r="Q965" s="6">
        <f>INT((ROUND(raw_order_lines!I965*10,0)*ROUND(raw_order_lines!J965*100,0)+5)/10)/100</f>
        <v>0</v>
      </c>
      <c r="R965" s="6">
        <f t="shared" si="45"/>
        <v>49.77</v>
      </c>
      <c r="S965" s="2" t="str">
        <f>IF(OR(ROUND(raw_order_lines!I965*10,0)&gt;ROUND(raw_order_lines!H965*10,0),ROUND(raw_order_lines!H965*10,0)&gt;ROUND(raw_order_lines!G965*10,0),ROUND(raw_order_lines!G965*10,0)&lt;=0),"数量关系异常","")</f>
        <v/>
      </c>
      <c r="T965" s="2" t="str">
        <f>IF($F965&lt;&gt;INDEX(dim_products!$D$2:$D$21,MATCH($E965,dim_products!$A$2:$A$21,0)),"单位不一致","")</f>
        <v/>
      </c>
      <c r="U965" s="2" t="str">
        <f>IF(OR(ROUND(raw_order_lines!J965*100,0)&lt;ROUND(INDEX(dim_products!$F$2:$F$21,MATCH($E965,dim_products!$A$2:$A$21,0))*100,0),ROUND(raw_order_lines!J965*100,0)&gt;ROUND(INDEX(dim_products!$G$2:$G$21,MATCH($E965,dim_products!$A$2:$A$21,0))*100,0)),"单价越界","")</f>
        <v/>
      </c>
      <c r="V965" s="2" t="str">
        <f t="shared" si="46"/>
        <v/>
      </c>
      <c r="W965" s="2" t="str">
        <f t="shared" si="47"/>
        <v>通过</v>
      </c>
    </row>
    <row r="966" spans="1:23" ht="15">
      <c r="A966" s="2" t="str">
        <f>raw_order_lines!A966</f>
        <v>SIM-20260930-C006</v>
      </c>
      <c r="B966" s="2">
        <f>raw_order_lines!B966</f>
        <v>5</v>
      </c>
      <c r="C966" s="2" t="str">
        <f>raw_order_lines!C966</f>
        <v>C006</v>
      </c>
      <c r="D966" s="3">
        <f>raw_order_lines!D966</f>
        <v>46295</v>
      </c>
      <c r="E966" s="2" t="str">
        <f>raw_order_lines!E966</f>
        <v>P008</v>
      </c>
      <c r="F966" s="2" t="str">
        <f>raw_order_lines!F966</f>
        <v>公斤</v>
      </c>
      <c r="G966" s="4">
        <f>raw_order_lines!G966</f>
        <v>12.6</v>
      </c>
      <c r="H966" s="4">
        <f>raw_order_lines!H966</f>
        <v>12.6</v>
      </c>
      <c r="I966" s="4">
        <f>raw_order_lines!I966</f>
        <v>0</v>
      </c>
      <c r="J966" s="5">
        <f>raw_order_lines!J966</f>
        <v>4.3</v>
      </c>
      <c r="K966" s="2" t="str">
        <f>raw_order_lines!K966</f>
        <v>正常交付</v>
      </c>
      <c r="L966" s="2" t="str">
        <f>raw_order_lines!L966</f>
        <v>true</v>
      </c>
      <c r="M966" s="2" t="str">
        <f>INDEX(dim_products!$B$2:$B$21,MATCH($E966,dim_products!$A$2:$A$21,0))</f>
        <v>黄瓜</v>
      </c>
      <c r="N966" s="2" t="str">
        <f>INDEX(dim_products!$C$2:$C$21,MATCH($E966,dim_products!$A$2:$A$21,0))</f>
        <v>散装鲜菜</v>
      </c>
      <c r="O966" s="2" t="str">
        <f>INDEX(dim_customers!$B$2:$B$7,MATCH($C966,dim_customers!$A$2:$A$7,0))</f>
        <v>模拟_溪桥医院食堂</v>
      </c>
      <c r="P966" s="6">
        <f>INT((ROUND(raw_order_lines!H966*10,0)*ROUND(raw_order_lines!J966*100,0)+5)/10)/100</f>
        <v>54.18</v>
      </c>
      <c r="Q966" s="6">
        <f>INT((ROUND(raw_order_lines!I966*10,0)*ROUND(raw_order_lines!J966*100,0)+5)/10)/100</f>
        <v>0</v>
      </c>
      <c r="R966" s="6">
        <f t="shared" si="45"/>
        <v>54.18</v>
      </c>
      <c r="S966" s="2" t="str">
        <f>IF(OR(ROUND(raw_order_lines!I966*10,0)&gt;ROUND(raw_order_lines!H966*10,0),ROUND(raw_order_lines!H966*10,0)&gt;ROUND(raw_order_lines!G966*10,0),ROUND(raw_order_lines!G966*10,0)&lt;=0),"数量关系异常","")</f>
        <v/>
      </c>
      <c r="T966" s="2" t="str">
        <f>IF($F966&lt;&gt;INDEX(dim_products!$D$2:$D$21,MATCH($E966,dim_products!$A$2:$A$21,0)),"单位不一致","")</f>
        <v/>
      </c>
      <c r="U966" s="2" t="str">
        <f>IF(OR(ROUND(raw_order_lines!J966*100,0)&lt;ROUND(INDEX(dim_products!$F$2:$F$21,MATCH($E966,dim_products!$A$2:$A$21,0))*100,0),ROUND(raw_order_lines!J966*100,0)&gt;ROUND(INDEX(dim_products!$G$2:$G$21,MATCH($E966,dim_products!$A$2:$A$21,0))*100,0)),"单价越界","")</f>
        <v/>
      </c>
      <c r="V966" s="2" t="str">
        <f t="shared" si="46"/>
        <v/>
      </c>
      <c r="W966" s="2" t="str">
        <f t="shared" si="47"/>
        <v>通过</v>
      </c>
    </row>
    <row r="967" spans="1:23" ht="15">
      <c r="A967" s="2" t="str">
        <f>raw_order_lines!A967</f>
        <v>SIM-20260930-C006</v>
      </c>
      <c r="B967" s="2">
        <f>raw_order_lines!B967</f>
        <v>6</v>
      </c>
      <c r="C967" s="2" t="str">
        <f>raw_order_lines!C967</f>
        <v>C006</v>
      </c>
      <c r="D967" s="3">
        <f>raw_order_lines!D967</f>
        <v>46295</v>
      </c>
      <c r="E967" s="2" t="str">
        <f>raw_order_lines!E967</f>
        <v>P001</v>
      </c>
      <c r="F967" s="2" t="str">
        <f>raw_order_lines!F967</f>
        <v>公斤</v>
      </c>
      <c r="G967" s="4">
        <f>raw_order_lines!G967</f>
        <v>5.5</v>
      </c>
      <c r="H967" s="4">
        <f>raw_order_lines!H967</f>
        <v>5.5</v>
      </c>
      <c r="I967" s="4">
        <f>raw_order_lines!I967</f>
        <v>0</v>
      </c>
      <c r="J967" s="5">
        <f>raw_order_lines!J967</f>
        <v>3.1</v>
      </c>
      <c r="K967" s="2" t="str">
        <f>raw_order_lines!K967</f>
        <v>正常交付</v>
      </c>
      <c r="L967" s="2" t="str">
        <f>raw_order_lines!L967</f>
        <v>true</v>
      </c>
      <c r="M967" s="2" t="str">
        <f>INDEX(dim_products!$B$2:$B$21,MATCH($E967,dim_products!$A$2:$A$21,0))</f>
        <v>土豆</v>
      </c>
      <c r="N967" s="2" t="str">
        <f>INDEX(dim_products!$C$2:$C$21,MATCH($E967,dim_products!$A$2:$A$21,0))</f>
        <v>散装鲜菜</v>
      </c>
      <c r="O967" s="2" t="str">
        <f>INDEX(dim_customers!$B$2:$B$7,MATCH($C967,dim_customers!$A$2:$A$7,0))</f>
        <v>模拟_溪桥医院食堂</v>
      </c>
      <c r="P967" s="6">
        <f>INT((ROUND(raw_order_lines!H967*10,0)*ROUND(raw_order_lines!J967*100,0)+5)/10)/100</f>
        <v>17.05</v>
      </c>
      <c r="Q967" s="6">
        <f>INT((ROUND(raw_order_lines!I967*10,0)*ROUND(raw_order_lines!J967*100,0)+5)/10)/100</f>
        <v>0</v>
      </c>
      <c r="R967" s="6">
        <f t="shared" si="45"/>
        <v>17.05</v>
      </c>
      <c r="S967" s="2" t="str">
        <f>IF(OR(ROUND(raw_order_lines!I967*10,0)&gt;ROUND(raw_order_lines!H967*10,0),ROUND(raw_order_lines!H967*10,0)&gt;ROUND(raw_order_lines!G967*10,0),ROUND(raw_order_lines!G967*10,0)&lt;=0),"数量关系异常","")</f>
        <v/>
      </c>
      <c r="T967" s="2" t="str">
        <f>IF($F967&lt;&gt;INDEX(dim_products!$D$2:$D$21,MATCH($E967,dim_products!$A$2:$A$21,0)),"单位不一致","")</f>
        <v/>
      </c>
      <c r="U967" s="2" t="str">
        <f>IF(OR(ROUND(raw_order_lines!J967*100,0)&lt;ROUND(INDEX(dim_products!$F$2:$F$21,MATCH($E967,dim_products!$A$2:$A$21,0))*100,0),ROUND(raw_order_lines!J967*100,0)&gt;ROUND(INDEX(dim_products!$G$2:$G$21,MATCH($E967,dim_products!$A$2:$A$21,0))*100,0)),"单价越界","")</f>
        <v/>
      </c>
      <c r="V967" s="2" t="str">
        <f t="shared" si="46"/>
        <v/>
      </c>
      <c r="W967" s="2" t="str">
        <f t="shared" si="47"/>
        <v>通过</v>
      </c>
    </row>
  </sheetData>
  <phoneticPr fontId="8" type="noConversion"/>
  <conditionalFormatting sqref="W2:W967">
    <cfRule type="containsText" dxfId="1" priority="1" operator="containsText" text="阻断"/>
    <cfRule type="containsText" dxfId="0" priority="2" operator="containsText" text="提示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B8A6"/>
  </sheetPr>
  <dimension ref="A1:I34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0" customWidth="1"/>
    <col min="2" max="4" width="16" customWidth="1"/>
    <col min="5" max="5" width="3" customWidth="1"/>
    <col min="6" max="6" width="13" customWidth="1"/>
    <col min="7" max="9" width="14" customWidth="1"/>
  </cols>
  <sheetData>
    <row r="1" spans="1:9" ht="21">
      <c r="A1" s="21" t="s">
        <v>200</v>
      </c>
      <c r="B1" s="21"/>
      <c r="C1" s="21"/>
      <c r="D1" s="21"/>
      <c r="E1" s="21"/>
      <c r="F1" s="21"/>
      <c r="G1" s="21"/>
      <c r="H1" s="21"/>
    </row>
    <row r="2" spans="1:9">
      <c r="A2" s="23" t="s">
        <v>201</v>
      </c>
      <c r="B2" s="23"/>
      <c r="C2" s="23"/>
      <c r="D2" s="23"/>
      <c r="E2" s="23"/>
      <c r="F2" s="23"/>
      <c r="G2" s="23"/>
      <c r="H2" s="23"/>
    </row>
    <row r="4" spans="1:9">
      <c r="A4" s="1" t="s">
        <v>202</v>
      </c>
      <c r="B4" s="1" t="s">
        <v>203</v>
      </c>
      <c r="C4" s="1" t="s">
        <v>204</v>
      </c>
      <c r="D4" s="1" t="s">
        <v>205</v>
      </c>
      <c r="F4" s="1" t="s">
        <v>206</v>
      </c>
      <c r="G4" s="1" t="s">
        <v>207</v>
      </c>
      <c r="H4" s="1" t="s">
        <v>208</v>
      </c>
      <c r="I4" s="1" t="s">
        <v>209</v>
      </c>
    </row>
    <row r="5" spans="1:9">
      <c r="A5" s="8" t="str">
        <f>calc_customers!B2</f>
        <v>模拟_榕树下粉面店</v>
      </c>
      <c r="B5" s="9">
        <f>calc_customers!D2</f>
        <v>2765.55</v>
      </c>
      <c r="C5" s="9">
        <f>calc_customers!E2</f>
        <v>2765.55</v>
      </c>
      <c r="D5" s="9">
        <f>calc_customers!F2</f>
        <v>0</v>
      </c>
      <c r="F5" s="19">
        <v>46266</v>
      </c>
      <c r="G5" s="18">
        <f>SUMIFS(calc_lines!$G$2:$G$967,calc_lines!$D$2:$D$967,$F5)</f>
        <v>311.59999999999997</v>
      </c>
      <c r="H5" s="18">
        <f>SUMIFS(calc_lines!$H$2:$H$967,calc_lines!$D$2:$D$967,$F5)</f>
        <v>310.59999999999997</v>
      </c>
      <c r="I5" s="18">
        <f t="shared" ref="I5:I34" si="0">G5-H5</f>
        <v>1</v>
      </c>
    </row>
    <row r="6" spans="1:9">
      <c r="A6" s="8" t="str">
        <f>calc_customers!B3</f>
        <v>模拟_桥头家常菜馆</v>
      </c>
      <c r="B6" s="9">
        <f>calc_customers!D3</f>
        <v>6594.5900000000011</v>
      </c>
      <c r="C6" s="9">
        <f>calc_customers!E3</f>
        <v>6594.5900000000011</v>
      </c>
      <c r="D6" s="9">
        <f>calc_customers!F3</f>
        <v>0</v>
      </c>
      <c r="F6" s="19">
        <v>46267</v>
      </c>
      <c r="G6" s="18">
        <f>SUMIFS(calc_lines!$G$2:$G$967,calc_lines!$D$2:$D$967,$F6)</f>
        <v>190.50000000000006</v>
      </c>
      <c r="H6" s="18">
        <f>SUMIFS(calc_lines!$H$2:$H$967,calc_lines!$D$2:$D$967,$F6)</f>
        <v>190.50000000000006</v>
      </c>
      <c r="I6" s="18">
        <f t="shared" si="0"/>
        <v>0</v>
      </c>
    </row>
    <row r="7" spans="1:9">
      <c r="A7" s="8" t="str">
        <f>calc_customers!B4</f>
        <v>模拟_兴街快餐店</v>
      </c>
      <c r="B7" s="9">
        <f>calc_customers!D4</f>
        <v>9536.7200000000012</v>
      </c>
      <c r="C7" s="9">
        <f>calc_customers!E4</f>
        <v>3000.0000000000005</v>
      </c>
      <c r="D7" s="9">
        <f>calc_customers!F4</f>
        <v>6536.7200000000012</v>
      </c>
      <c r="F7" s="19">
        <v>46268</v>
      </c>
      <c r="G7" s="18">
        <f>SUMIFS(calc_lines!$G$2:$G$967,calc_lines!$D$2:$D$967,$F7)</f>
        <v>257.69999999999993</v>
      </c>
      <c r="H7" s="18">
        <f>SUMIFS(calc_lines!$H$2:$H$967,calc_lines!$D$2:$D$967,$F7)</f>
        <v>256.29999999999995</v>
      </c>
      <c r="I7" s="18">
        <f t="shared" si="0"/>
        <v>1.3999999999999773</v>
      </c>
    </row>
    <row r="8" spans="1:9">
      <c r="A8" s="8" t="str">
        <f>calc_customers!B5</f>
        <v>模拟_田畔饭店</v>
      </c>
      <c r="B8" s="9">
        <f>calc_customers!D5</f>
        <v>3894.0099999999993</v>
      </c>
      <c r="C8" s="9">
        <f>calc_customers!E5</f>
        <v>3894.0099999999993</v>
      </c>
      <c r="D8" s="9">
        <f>calc_customers!F5</f>
        <v>0</v>
      </c>
      <c r="F8" s="19">
        <v>46269</v>
      </c>
      <c r="G8" s="18">
        <f>SUMIFS(calc_lines!$G$2:$G$967,calc_lines!$D$2:$D$967,$F8)</f>
        <v>204</v>
      </c>
      <c r="H8" s="18">
        <f>SUMIFS(calc_lines!$H$2:$H$967,calc_lines!$D$2:$D$967,$F8)</f>
        <v>203.79999999999998</v>
      </c>
      <c r="I8" s="18">
        <f t="shared" si="0"/>
        <v>0.20000000000001705</v>
      </c>
    </row>
    <row r="9" spans="1:9">
      <c r="A9" s="8" t="str">
        <f>calc_customers!B6</f>
        <v>模拟_青禾小学食堂</v>
      </c>
      <c r="B9" s="9">
        <f>calc_customers!D6</f>
        <v>11237.09</v>
      </c>
      <c r="C9" s="9">
        <f>calc_customers!E6</f>
        <v>5000</v>
      </c>
      <c r="D9" s="9">
        <f>calc_customers!F6</f>
        <v>6237.09</v>
      </c>
      <c r="F9" s="19">
        <v>46270</v>
      </c>
      <c r="G9" s="18">
        <f>SUMIFS(calc_lines!$G$2:$G$967,calc_lines!$D$2:$D$967,$F9)</f>
        <v>213.7</v>
      </c>
      <c r="H9" s="18">
        <f>SUMIFS(calc_lines!$H$2:$H$967,calc_lines!$D$2:$D$967,$F9)</f>
        <v>212.7</v>
      </c>
      <c r="I9" s="18">
        <f t="shared" si="0"/>
        <v>1</v>
      </c>
    </row>
    <row r="10" spans="1:9">
      <c r="A10" s="8" t="str">
        <f>calc_customers!B7</f>
        <v>模拟_溪桥医院食堂</v>
      </c>
      <c r="B10" s="9">
        <f>calc_customers!D7</f>
        <v>10886.34</v>
      </c>
      <c r="C10" s="9">
        <f>calc_customers!E7</f>
        <v>5000</v>
      </c>
      <c r="D10" s="9">
        <f>calc_customers!F7</f>
        <v>5886.34</v>
      </c>
      <c r="F10" s="19">
        <v>46271</v>
      </c>
      <c r="G10" s="18">
        <f>SUMIFS(calc_lines!$G$2:$G$967,calc_lines!$D$2:$D$967,$F10)</f>
        <v>88.6</v>
      </c>
      <c r="H10" s="18">
        <f>SUMIFS(calc_lines!$H$2:$H$967,calc_lines!$D$2:$D$967,$F10)</f>
        <v>88.6</v>
      </c>
      <c r="I10" s="18">
        <f t="shared" si="0"/>
        <v>0</v>
      </c>
    </row>
    <row r="11" spans="1:9">
      <c r="F11" s="19">
        <v>46272</v>
      </c>
      <c r="G11" s="18">
        <f>SUMIFS(calc_lines!$G$2:$G$967,calc_lines!$D$2:$D$967,$F11)</f>
        <v>196.40000000000003</v>
      </c>
      <c r="H11" s="18">
        <f>SUMIFS(calc_lines!$H$2:$H$967,calc_lines!$D$2:$D$967,$F11)</f>
        <v>195.90000000000003</v>
      </c>
      <c r="I11" s="18">
        <f t="shared" si="0"/>
        <v>0.5</v>
      </c>
    </row>
    <row r="12" spans="1:9">
      <c r="A12" s="1" t="s">
        <v>210</v>
      </c>
      <c r="B12" s="1" t="s">
        <v>211</v>
      </c>
      <c r="C12" s="1" t="s">
        <v>208</v>
      </c>
      <c r="D12" s="1" t="s">
        <v>212</v>
      </c>
      <c r="F12" s="19">
        <v>46273</v>
      </c>
      <c r="G12" s="18">
        <f>SUMIFS(calc_lines!$G$2:$G$967,calc_lines!$D$2:$D$967,$F12)</f>
        <v>247.60000000000002</v>
      </c>
      <c r="H12" s="18">
        <f>SUMIFS(calc_lines!$H$2:$H$967,calc_lines!$D$2:$D$967,$F12)</f>
        <v>247.10000000000002</v>
      </c>
      <c r="I12" s="18">
        <f t="shared" si="0"/>
        <v>0.5</v>
      </c>
    </row>
    <row r="13" spans="1:9">
      <c r="A13" s="8" t="str">
        <f>dim_products!B2</f>
        <v>土豆</v>
      </c>
      <c r="B13" s="8" t="str">
        <f>dim_products!D2</f>
        <v>公斤</v>
      </c>
      <c r="C13" s="18">
        <f>SUMIFS(calc_lines!$H$2:$H$967,calc_lines!$E$2:$E$967,dim_products!$A2)</f>
        <v>443</v>
      </c>
      <c r="D13" s="18">
        <f>SUMIFS(calc_lines!$I$2:$I$967,calc_lines!$E$2:$E$967,dim_products!$A2)</f>
        <v>0</v>
      </c>
      <c r="F13" s="19">
        <v>46274</v>
      </c>
      <c r="G13" s="18">
        <f>SUMIFS(calc_lines!$G$2:$G$967,calc_lines!$D$2:$D$967,$F13)</f>
        <v>205.79999999999998</v>
      </c>
      <c r="H13" s="18">
        <f>SUMIFS(calc_lines!$H$2:$H$967,calc_lines!$D$2:$D$967,$F13)</f>
        <v>205.59999999999997</v>
      </c>
      <c r="I13" s="18">
        <f t="shared" si="0"/>
        <v>0.20000000000001705</v>
      </c>
    </row>
    <row r="14" spans="1:9">
      <c r="A14" s="8" t="str">
        <f>dim_products!B3</f>
        <v>白萝卜</v>
      </c>
      <c r="B14" s="8" t="str">
        <f>dim_products!D3</f>
        <v>公斤</v>
      </c>
      <c r="C14" s="18">
        <f>SUMIFS(calc_lines!$H$2:$H$967,calc_lines!$E$2:$E$967,dim_products!$A3)</f>
        <v>384.90000000000009</v>
      </c>
      <c r="D14" s="18">
        <f>SUMIFS(calc_lines!$I$2:$I$967,calc_lines!$E$2:$E$967,dim_products!$A3)</f>
        <v>0</v>
      </c>
      <c r="F14" s="19">
        <v>46275</v>
      </c>
      <c r="G14" s="18">
        <f>SUMIFS(calc_lines!$G$2:$G$967,calc_lines!$D$2:$D$967,$F14)</f>
        <v>235.7</v>
      </c>
      <c r="H14" s="18">
        <f>SUMIFS(calc_lines!$H$2:$H$967,calc_lines!$D$2:$D$967,$F14)</f>
        <v>235</v>
      </c>
      <c r="I14" s="18">
        <f t="shared" si="0"/>
        <v>0.69999999999998863</v>
      </c>
    </row>
    <row r="15" spans="1:9">
      <c r="A15" s="8" t="str">
        <f>dim_products!B4</f>
        <v>包菜</v>
      </c>
      <c r="B15" s="8" t="str">
        <f>dim_products!D4</f>
        <v>公斤</v>
      </c>
      <c r="C15" s="18">
        <f>SUMIFS(calc_lines!$H$2:$H$967,calc_lines!$E$2:$E$967,dim_products!$A4)</f>
        <v>440</v>
      </c>
      <c r="D15" s="18">
        <f>SUMIFS(calc_lines!$I$2:$I$967,calc_lines!$E$2:$E$967,dim_products!$A4)</f>
        <v>0</v>
      </c>
      <c r="F15" s="19">
        <v>46276</v>
      </c>
      <c r="G15" s="18">
        <f>SUMIFS(calc_lines!$G$2:$G$967,calc_lines!$D$2:$D$967,$F15)</f>
        <v>233.8</v>
      </c>
      <c r="H15" s="18">
        <f>SUMIFS(calc_lines!$H$2:$H$967,calc_lines!$D$2:$D$967,$F15)</f>
        <v>233.50000000000003</v>
      </c>
      <c r="I15" s="18">
        <f t="shared" si="0"/>
        <v>0.29999999999998295</v>
      </c>
    </row>
    <row r="16" spans="1:9">
      <c r="A16" s="8" t="str">
        <f>dim_products!B5</f>
        <v>冬瓜</v>
      </c>
      <c r="B16" s="8" t="str">
        <f>dim_products!D5</f>
        <v>公斤</v>
      </c>
      <c r="C16" s="18">
        <f>SUMIFS(calc_lines!$H$2:$H$967,calc_lines!$E$2:$E$967,dim_products!$A5)</f>
        <v>392.6</v>
      </c>
      <c r="D16" s="18">
        <f>SUMIFS(calc_lines!$I$2:$I$967,calc_lines!$E$2:$E$967,dim_products!$A5)</f>
        <v>0</v>
      </c>
      <c r="F16" s="19">
        <v>46277</v>
      </c>
      <c r="G16" s="18">
        <f>SUMIFS(calc_lines!$G$2:$G$967,calc_lines!$D$2:$D$967,$F16)</f>
        <v>200.30000000000004</v>
      </c>
      <c r="H16" s="18">
        <f>SUMIFS(calc_lines!$H$2:$H$967,calc_lines!$D$2:$D$967,$F16)</f>
        <v>199.80000000000004</v>
      </c>
      <c r="I16" s="18">
        <f t="shared" si="0"/>
        <v>0.5</v>
      </c>
    </row>
    <row r="17" spans="1:9">
      <c r="A17" s="8" t="str">
        <f>dim_products!B6</f>
        <v>南瓜</v>
      </c>
      <c r="B17" s="8" t="str">
        <f>dim_products!D6</f>
        <v>公斤</v>
      </c>
      <c r="C17" s="18">
        <f>SUMIFS(calc_lines!$H$2:$H$967,calc_lines!$E$2:$E$967,dim_products!$A6)</f>
        <v>376.00000000000017</v>
      </c>
      <c r="D17" s="18">
        <f>SUMIFS(calc_lines!$I$2:$I$967,calc_lines!$E$2:$E$967,dim_products!$A6)</f>
        <v>0</v>
      </c>
      <c r="F17" s="19">
        <v>46278</v>
      </c>
      <c r="G17" s="18">
        <f>SUMIFS(calc_lines!$G$2:$G$967,calc_lines!$D$2:$D$967,$F17)</f>
        <v>93.100000000000009</v>
      </c>
      <c r="H17" s="18">
        <f>SUMIFS(calc_lines!$H$2:$H$967,calc_lines!$D$2:$D$967,$F17)</f>
        <v>92</v>
      </c>
      <c r="I17" s="18">
        <f t="shared" si="0"/>
        <v>1.1000000000000085</v>
      </c>
    </row>
    <row r="18" spans="1:9">
      <c r="A18" s="8" t="str">
        <f>dim_products!B7</f>
        <v>茄子</v>
      </c>
      <c r="B18" s="8" t="str">
        <f>dim_products!D7</f>
        <v>公斤</v>
      </c>
      <c r="C18" s="18">
        <f>SUMIFS(calc_lines!$H$2:$H$967,calc_lines!$E$2:$E$967,dim_products!$A7)</f>
        <v>447.40000000000009</v>
      </c>
      <c r="D18" s="18">
        <f>SUMIFS(calc_lines!$I$2:$I$967,calc_lines!$E$2:$E$967,dim_products!$A7)</f>
        <v>0</v>
      </c>
      <c r="F18" s="19">
        <v>46279</v>
      </c>
      <c r="G18" s="18">
        <f>SUMIFS(calc_lines!$G$2:$G$967,calc_lines!$D$2:$D$967,$F18)</f>
        <v>158.39999999999998</v>
      </c>
      <c r="H18" s="18">
        <f>SUMIFS(calc_lines!$H$2:$H$967,calc_lines!$D$2:$D$967,$F18)</f>
        <v>157.69999999999999</v>
      </c>
      <c r="I18" s="18">
        <f t="shared" si="0"/>
        <v>0.69999999999998863</v>
      </c>
    </row>
    <row r="19" spans="1:9">
      <c r="A19" s="8" t="str">
        <f>dim_products!B8</f>
        <v>青椒</v>
      </c>
      <c r="B19" s="8" t="str">
        <f>dim_products!D8</f>
        <v>公斤</v>
      </c>
      <c r="C19" s="18">
        <f>SUMIFS(calc_lines!$H$2:$H$967,calc_lines!$E$2:$E$967,dim_products!$A8)</f>
        <v>381.00000000000006</v>
      </c>
      <c r="D19" s="18">
        <f>SUMIFS(calc_lines!$I$2:$I$967,calc_lines!$E$2:$E$967,dim_products!$A8)</f>
        <v>0</v>
      </c>
      <c r="F19" s="19">
        <v>46280</v>
      </c>
      <c r="G19" s="18">
        <f>SUMIFS(calc_lines!$G$2:$G$967,calc_lines!$D$2:$D$967,$F19)</f>
        <v>291.50000000000006</v>
      </c>
      <c r="H19" s="18">
        <f>SUMIFS(calc_lines!$H$2:$H$967,calc_lines!$D$2:$D$967,$F19)</f>
        <v>291.50000000000006</v>
      </c>
      <c r="I19" s="18">
        <f t="shared" si="0"/>
        <v>0</v>
      </c>
    </row>
    <row r="20" spans="1:9">
      <c r="A20" s="8" t="str">
        <f>dim_products!B9</f>
        <v>黄瓜</v>
      </c>
      <c r="B20" s="8" t="str">
        <f>dim_products!D9</f>
        <v>公斤</v>
      </c>
      <c r="C20" s="18">
        <f>SUMIFS(calc_lines!$H$2:$H$967,calc_lines!$E$2:$E$967,dim_products!$A9)</f>
        <v>453.80000000000007</v>
      </c>
      <c r="D20" s="18">
        <f>SUMIFS(calc_lines!$I$2:$I$967,calc_lines!$E$2:$E$967,dim_products!$A9)</f>
        <v>0</v>
      </c>
      <c r="F20" s="19">
        <v>46281</v>
      </c>
      <c r="G20" s="18">
        <f>SUMIFS(calc_lines!$G$2:$G$967,calc_lines!$D$2:$D$967,$F20)</f>
        <v>195.29999999999995</v>
      </c>
      <c r="H20" s="18">
        <f>SUMIFS(calc_lines!$H$2:$H$967,calc_lines!$D$2:$D$967,$F20)</f>
        <v>195.29999999999995</v>
      </c>
      <c r="I20" s="18">
        <f t="shared" si="0"/>
        <v>0</v>
      </c>
    </row>
    <row r="21" spans="1:9">
      <c r="A21" s="8" t="str">
        <f>dim_products!B10</f>
        <v>西红柿</v>
      </c>
      <c r="B21" s="8" t="str">
        <f>dim_products!D10</f>
        <v>公斤</v>
      </c>
      <c r="C21" s="18">
        <f>SUMIFS(calc_lines!$H$2:$H$967,calc_lines!$E$2:$E$967,dim_products!$A10)</f>
        <v>421.29999999999995</v>
      </c>
      <c r="D21" s="18">
        <f>SUMIFS(calc_lines!$I$2:$I$967,calc_lines!$E$2:$E$967,dim_products!$A10)</f>
        <v>0</v>
      </c>
      <c r="F21" s="19">
        <v>46282</v>
      </c>
      <c r="G21" s="18">
        <f>SUMIFS(calc_lines!$G$2:$G$967,calc_lines!$D$2:$D$967,$F21)</f>
        <v>273.60000000000002</v>
      </c>
      <c r="H21" s="18">
        <f>SUMIFS(calc_lines!$H$2:$H$967,calc_lines!$D$2:$D$967,$F21)</f>
        <v>271.8</v>
      </c>
      <c r="I21" s="18">
        <f t="shared" si="0"/>
        <v>1.8000000000000114</v>
      </c>
    </row>
    <row r="22" spans="1:9">
      <c r="A22" s="8" t="str">
        <f>dim_products!B11</f>
        <v>空心菜</v>
      </c>
      <c r="B22" s="8" t="str">
        <f>dim_products!D11</f>
        <v>公斤</v>
      </c>
      <c r="C22" s="18">
        <f>SUMIFS(calc_lines!$H$2:$H$967,calc_lines!$E$2:$E$967,dim_products!$A11)</f>
        <v>274.70000000000005</v>
      </c>
      <c r="D22" s="18">
        <f>SUMIFS(calc_lines!$I$2:$I$967,calc_lines!$E$2:$E$967,dim_products!$A11)</f>
        <v>1.2</v>
      </c>
      <c r="F22" s="19">
        <v>46283</v>
      </c>
      <c r="G22" s="18">
        <f>SUMIFS(calc_lines!$G$2:$G$967,calc_lines!$D$2:$D$967,$F22)</f>
        <v>216.2</v>
      </c>
      <c r="H22" s="18">
        <f>SUMIFS(calc_lines!$H$2:$H$967,calc_lines!$D$2:$D$967,$F22)</f>
        <v>215.4</v>
      </c>
      <c r="I22" s="18">
        <f t="shared" si="0"/>
        <v>0.79999999999998295</v>
      </c>
    </row>
    <row r="23" spans="1:9">
      <c r="A23" s="8" t="str">
        <f>dim_products!B12</f>
        <v>红薯叶</v>
      </c>
      <c r="B23" s="8" t="str">
        <f>dim_products!D12</f>
        <v>公斤</v>
      </c>
      <c r="C23" s="18">
        <f>SUMIFS(calc_lines!$H$2:$H$967,calc_lines!$E$2:$E$967,dim_products!$A12)</f>
        <v>343.60000000000008</v>
      </c>
      <c r="D23" s="18">
        <f>SUMIFS(calc_lines!$I$2:$I$967,calc_lines!$E$2:$E$967,dim_products!$A12)</f>
        <v>3</v>
      </c>
      <c r="F23" s="19">
        <v>46284</v>
      </c>
      <c r="G23" s="18">
        <f>SUMIFS(calc_lines!$G$2:$G$967,calc_lines!$D$2:$D$967,$F23)</f>
        <v>219.49999999999997</v>
      </c>
      <c r="H23" s="18">
        <f>SUMIFS(calc_lines!$H$2:$H$967,calc_lines!$D$2:$D$967,$F23)</f>
        <v>218.49999999999997</v>
      </c>
      <c r="I23" s="18">
        <f t="shared" si="0"/>
        <v>1</v>
      </c>
    </row>
    <row r="24" spans="1:9">
      <c r="A24" s="8" t="str">
        <f>dim_products!B13</f>
        <v>小白菜</v>
      </c>
      <c r="B24" s="8" t="str">
        <f>dim_products!D13</f>
        <v>公斤</v>
      </c>
      <c r="C24" s="18">
        <f>SUMIFS(calc_lines!$H$2:$H$967,calc_lines!$E$2:$E$967,dim_products!$A13)</f>
        <v>359.60000000000008</v>
      </c>
      <c r="D24" s="18">
        <f>SUMIFS(calc_lines!$I$2:$I$967,calc_lines!$E$2:$E$967,dim_products!$A13)</f>
        <v>2.9000000000000004</v>
      </c>
      <c r="F24" s="19">
        <v>46285</v>
      </c>
      <c r="G24" s="18">
        <f>SUMIFS(calc_lines!$G$2:$G$967,calc_lines!$D$2:$D$967,$F24)</f>
        <v>171.39999999999998</v>
      </c>
      <c r="H24" s="18">
        <f>SUMIFS(calc_lines!$H$2:$H$967,calc_lines!$D$2:$D$967,$F24)</f>
        <v>171.09999999999997</v>
      </c>
      <c r="I24" s="18">
        <f t="shared" si="0"/>
        <v>0.30000000000001137</v>
      </c>
    </row>
    <row r="25" spans="1:9">
      <c r="A25" s="8" t="str">
        <f>dim_products!B14</f>
        <v>豇豆</v>
      </c>
      <c r="B25" s="8" t="str">
        <f>dim_products!D14</f>
        <v>公斤</v>
      </c>
      <c r="C25" s="18">
        <f>SUMIFS(calc_lines!$H$2:$H$967,calc_lines!$E$2:$E$967,dim_products!$A14)</f>
        <v>427.3</v>
      </c>
      <c r="D25" s="18">
        <f>SUMIFS(calc_lines!$I$2:$I$967,calc_lines!$E$2:$E$967,dim_products!$A14)</f>
        <v>0</v>
      </c>
      <c r="F25" s="19">
        <v>46286</v>
      </c>
      <c r="G25" s="18">
        <f>SUMIFS(calc_lines!$G$2:$G$967,calc_lines!$D$2:$D$967,$F25)</f>
        <v>187.39999999999998</v>
      </c>
      <c r="H25" s="18">
        <f>SUMIFS(calc_lines!$H$2:$H$967,calc_lines!$D$2:$D$967,$F25)</f>
        <v>186.2</v>
      </c>
      <c r="I25" s="18">
        <f t="shared" si="0"/>
        <v>1.1999999999999886</v>
      </c>
    </row>
    <row r="26" spans="1:9">
      <c r="A26" s="8" t="str">
        <f>dim_products!B15</f>
        <v>丝瓜</v>
      </c>
      <c r="B26" s="8" t="str">
        <f>dim_products!D15</f>
        <v>公斤</v>
      </c>
      <c r="C26" s="18">
        <f>SUMIFS(calc_lines!$H$2:$H$967,calc_lines!$E$2:$E$967,dim_products!$A15)</f>
        <v>377.00000000000006</v>
      </c>
      <c r="D26" s="18">
        <f>SUMIFS(calc_lines!$I$2:$I$967,calc_lines!$E$2:$E$967,dim_products!$A15)</f>
        <v>0</v>
      </c>
      <c r="F26" s="19">
        <v>46287</v>
      </c>
      <c r="G26" s="18">
        <f>SUMIFS(calc_lines!$G$2:$G$967,calc_lines!$D$2:$D$967,$F26)</f>
        <v>263.39999999999998</v>
      </c>
      <c r="H26" s="18">
        <f>SUMIFS(calc_lines!$H$2:$H$967,calc_lines!$D$2:$D$967,$F26)</f>
        <v>262.89999999999998</v>
      </c>
      <c r="I26" s="18">
        <f t="shared" si="0"/>
        <v>0.5</v>
      </c>
    </row>
    <row r="27" spans="1:9">
      <c r="A27" s="8" t="str">
        <f>dim_products!B16</f>
        <v>小葱</v>
      </c>
      <c r="B27" s="8" t="str">
        <f>dim_products!D16</f>
        <v>公斤</v>
      </c>
      <c r="C27" s="18">
        <f>SUMIFS(calc_lines!$H$2:$H$967,calc_lines!$E$2:$E$967,dim_products!$A16)</f>
        <v>44.3</v>
      </c>
      <c r="D27" s="18">
        <f>SUMIFS(calc_lines!$I$2:$I$967,calc_lines!$E$2:$E$967,dim_products!$A16)</f>
        <v>0</v>
      </c>
      <c r="F27" s="19">
        <v>46288</v>
      </c>
      <c r="G27" s="18">
        <f>SUMIFS(calc_lines!$G$2:$G$967,calc_lines!$D$2:$D$967,$F27)</f>
        <v>190.50000000000003</v>
      </c>
      <c r="H27" s="18">
        <f>SUMIFS(calc_lines!$H$2:$H$967,calc_lines!$D$2:$D$967,$F27)</f>
        <v>190.20000000000005</v>
      </c>
      <c r="I27" s="18">
        <f t="shared" si="0"/>
        <v>0.29999999999998295</v>
      </c>
    </row>
    <row r="28" spans="1:9">
      <c r="A28" s="8" t="str">
        <f>dim_products!B17</f>
        <v>鸡蛋</v>
      </c>
      <c r="B28" s="8" t="str">
        <f>dim_products!D17</f>
        <v>公斤</v>
      </c>
      <c r="C28" s="18">
        <f>SUMIFS(calc_lines!$H$2:$H$967,calc_lines!$E$2:$E$967,dim_products!$A17)</f>
        <v>470.5</v>
      </c>
      <c r="D28" s="18">
        <f>SUMIFS(calc_lines!$I$2:$I$967,calc_lines!$E$2:$E$967,dim_products!$A17)</f>
        <v>0.4</v>
      </c>
      <c r="F28" s="19">
        <v>46289</v>
      </c>
      <c r="G28" s="18">
        <f>SUMIFS(calc_lines!$G$2:$G$967,calc_lines!$D$2:$D$967,$F28)</f>
        <v>284.8</v>
      </c>
      <c r="H28" s="18">
        <f>SUMIFS(calc_lines!$H$2:$H$967,calc_lines!$D$2:$D$967,$F28)</f>
        <v>284.60000000000002</v>
      </c>
      <c r="I28" s="18">
        <f t="shared" si="0"/>
        <v>0.19999999999998863</v>
      </c>
    </row>
    <row r="29" spans="1:9">
      <c r="A29" s="8" t="str">
        <f>dim_products!B18</f>
        <v>籼米</v>
      </c>
      <c r="B29" s="8" t="str">
        <f>dim_products!D18</f>
        <v>袋</v>
      </c>
      <c r="C29" s="18">
        <f>SUMIFS(calc_lines!$H$2:$H$967,calc_lines!$E$2:$E$967,dim_products!$A18)</f>
        <v>111</v>
      </c>
      <c r="D29" s="18">
        <f>SUMIFS(calc_lines!$I$2:$I$967,calc_lines!$E$2:$E$967,dim_products!$A18)</f>
        <v>0</v>
      </c>
      <c r="F29" s="19">
        <v>46290</v>
      </c>
      <c r="G29" s="18">
        <f>SUMIFS(calc_lines!$G$2:$G$967,calc_lines!$D$2:$D$967,$F29)</f>
        <v>149.6</v>
      </c>
      <c r="H29" s="18">
        <f>SUMIFS(calc_lines!$H$2:$H$967,calc_lines!$D$2:$D$967,$F29)</f>
        <v>149.4</v>
      </c>
      <c r="I29" s="18">
        <f t="shared" si="0"/>
        <v>0.19999999999998863</v>
      </c>
    </row>
    <row r="30" spans="1:9">
      <c r="A30" s="8" t="str">
        <f>dim_products!B19</f>
        <v>小麦粉</v>
      </c>
      <c r="B30" s="8" t="str">
        <f>dim_products!D19</f>
        <v>袋</v>
      </c>
      <c r="C30" s="18">
        <f>SUMIFS(calc_lines!$H$2:$H$967,calc_lines!$E$2:$E$967,dim_products!$A19)</f>
        <v>6</v>
      </c>
      <c r="D30" s="18">
        <f>SUMIFS(calc_lines!$I$2:$I$967,calc_lines!$E$2:$E$967,dim_products!$A19)</f>
        <v>0</v>
      </c>
      <c r="F30" s="19">
        <v>46291</v>
      </c>
      <c r="G30" s="18">
        <f>SUMIFS(calc_lines!$G$2:$G$967,calc_lines!$D$2:$D$967,$F30)</f>
        <v>206.8</v>
      </c>
      <c r="H30" s="18">
        <f>SUMIFS(calc_lines!$H$2:$H$967,calc_lines!$D$2:$D$967,$F30)</f>
        <v>206.5</v>
      </c>
      <c r="I30" s="18">
        <f t="shared" si="0"/>
        <v>0.30000000000001137</v>
      </c>
    </row>
    <row r="31" spans="1:9">
      <c r="A31" s="8" t="str">
        <f>dim_products!B20</f>
        <v>菜籽油</v>
      </c>
      <c r="B31" s="8" t="str">
        <f>dim_products!D20</f>
        <v>桶</v>
      </c>
      <c r="C31" s="18">
        <f>SUMIFS(calc_lines!$H$2:$H$967,calc_lines!$E$2:$E$967,dim_products!$A20)</f>
        <v>15</v>
      </c>
      <c r="D31" s="18">
        <f>SUMIFS(calc_lines!$I$2:$I$967,calc_lines!$E$2:$E$967,dim_products!$A20)</f>
        <v>0</v>
      </c>
      <c r="F31" s="19">
        <v>46292</v>
      </c>
      <c r="G31" s="18">
        <f>SUMIFS(calc_lines!$G$2:$G$967,calc_lines!$D$2:$D$967,$F31)</f>
        <v>93.899999999999991</v>
      </c>
      <c r="H31" s="18">
        <f>SUMIFS(calc_lines!$H$2:$H$967,calc_lines!$D$2:$D$967,$F31)</f>
        <v>93.899999999999991</v>
      </c>
      <c r="I31" s="18">
        <f t="shared" si="0"/>
        <v>0</v>
      </c>
    </row>
    <row r="32" spans="1:9">
      <c r="A32" s="8" t="str">
        <f>dim_products!B21</f>
        <v>大豆油</v>
      </c>
      <c r="B32" s="8" t="str">
        <f>dim_products!D21</f>
        <v>桶</v>
      </c>
      <c r="C32" s="18">
        <f>SUMIFS(calc_lines!$H$2:$H$967,calc_lines!$E$2:$E$967,dim_products!$A21)</f>
        <v>34</v>
      </c>
      <c r="D32" s="18">
        <f>SUMIFS(calc_lines!$I$2:$I$967,calc_lines!$E$2:$E$967,dim_products!$A21)</f>
        <v>0</v>
      </c>
      <c r="F32" s="19">
        <v>46293</v>
      </c>
      <c r="G32" s="18">
        <f>SUMIFS(calc_lines!$G$2:$G$967,calc_lines!$D$2:$D$967,$F32)</f>
        <v>158.29999999999998</v>
      </c>
      <c r="H32" s="18">
        <f>SUMIFS(calc_lines!$H$2:$H$967,calc_lines!$D$2:$D$967,$F32)</f>
        <v>157.39999999999998</v>
      </c>
      <c r="I32" s="18">
        <f t="shared" si="0"/>
        <v>0.90000000000000568</v>
      </c>
    </row>
    <row r="33" spans="6:9">
      <c r="F33" s="19">
        <v>46294</v>
      </c>
      <c r="G33" s="18">
        <f>SUMIFS(calc_lines!$G$2:$G$967,calc_lines!$D$2:$D$967,$F33)</f>
        <v>283.3</v>
      </c>
      <c r="H33" s="18">
        <f>SUMIFS(calc_lines!$H$2:$H$967,calc_lines!$D$2:$D$967,$F33)</f>
        <v>282.79999999999995</v>
      </c>
      <c r="I33" s="18">
        <f t="shared" si="0"/>
        <v>0.50000000000005684</v>
      </c>
    </row>
    <row r="34" spans="6:9">
      <c r="F34" s="19">
        <v>46295</v>
      </c>
      <c r="G34" s="18">
        <f>SUMIFS(calc_lines!$G$2:$G$967,calc_lines!$D$2:$D$967,$F34)</f>
        <v>197.4</v>
      </c>
      <c r="H34" s="18">
        <f>SUMIFS(calc_lines!$H$2:$H$967,calc_lines!$D$2:$D$967,$F34)</f>
        <v>196.4</v>
      </c>
      <c r="I34" s="18">
        <f t="shared" si="0"/>
        <v>1</v>
      </c>
    </row>
  </sheetData>
  <mergeCells count="2">
    <mergeCell ref="A1:H1"/>
    <mergeCell ref="A2:H2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G5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8" customWidth="1"/>
    <col min="2" max="2" width="10" customWidth="1"/>
    <col min="3" max="3" width="26" customWidth="1"/>
    <col min="4" max="4" width="18" customWidth="1"/>
    <col min="5" max="5" width="44" customWidth="1"/>
    <col min="6" max="6" width="16" customWidth="1"/>
    <col min="7" max="7" width="12" customWidth="1"/>
  </cols>
  <sheetData>
    <row r="1" spans="1:7" ht="21">
      <c r="A1" s="21" t="s">
        <v>213</v>
      </c>
      <c r="B1" s="21"/>
      <c r="C1" s="21"/>
      <c r="D1" s="21"/>
      <c r="E1" s="21"/>
      <c r="F1" s="21"/>
      <c r="G1" s="21"/>
    </row>
    <row r="2" spans="1:7">
      <c r="A2" s="23" t="s">
        <v>214</v>
      </c>
      <c r="B2" s="23"/>
      <c r="C2" s="23"/>
      <c r="D2" s="23"/>
      <c r="E2" s="23"/>
      <c r="F2" s="23"/>
      <c r="G2" s="23"/>
    </row>
    <row r="4" spans="1:7">
      <c r="A4" s="1" t="s">
        <v>215</v>
      </c>
      <c r="B4" s="1" t="s">
        <v>216</v>
      </c>
      <c r="C4" s="1" t="s">
        <v>217</v>
      </c>
      <c r="D4" s="1" t="s">
        <v>218</v>
      </c>
      <c r="E4" s="1" t="s">
        <v>219</v>
      </c>
      <c r="F4" s="1" t="s">
        <v>220</v>
      </c>
      <c r="G4" s="1" t="s">
        <v>221</v>
      </c>
    </row>
    <row r="5" spans="1:7" ht="15">
      <c r="A5" s="20"/>
      <c r="B5" s="20"/>
      <c r="C5" s="20"/>
      <c r="D5" s="20" t="s">
        <v>222</v>
      </c>
      <c r="E5" s="20"/>
      <c r="F5" s="20"/>
      <c r="G5" s="20" t="s">
        <v>223</v>
      </c>
    </row>
  </sheetData>
  <mergeCells count="2">
    <mergeCell ref="A1:G1"/>
    <mergeCell ref="A2:G2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4A3B8"/>
  </sheetPr>
  <dimension ref="A1:L967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4.375" customWidth="1"/>
    <col min="2" max="2" width="8.25" customWidth="1"/>
    <col min="3" max="3" width="11.625" customWidth="1"/>
    <col min="4" max="4" width="10.75" customWidth="1"/>
    <col min="5" max="5" width="10.625" customWidth="1"/>
    <col min="6" max="6" width="5.875" customWidth="1"/>
    <col min="7" max="7" width="11.625" customWidth="1"/>
    <col min="8" max="8" width="12.625" customWidth="1"/>
    <col min="9" max="9" width="12.25" customWidth="1"/>
    <col min="10" max="10" width="10.125" customWidth="1"/>
    <col min="11" max="11" width="37.25" customWidth="1"/>
    <col min="12" max="12" width="11.75" customWidth="1"/>
  </cols>
  <sheetData>
    <row r="1" spans="1:12">
      <c r="A1" s="1" t="s">
        <v>34</v>
      </c>
      <c r="B1" s="1" t="s">
        <v>181</v>
      </c>
      <c r="C1" s="1" t="s">
        <v>21</v>
      </c>
      <c r="D1" s="1" t="s">
        <v>35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</row>
    <row r="2" spans="1:12" ht="15">
      <c r="A2" s="2" t="s">
        <v>38</v>
      </c>
      <c r="B2" s="2">
        <v>1</v>
      </c>
      <c r="C2" s="2" t="s">
        <v>28</v>
      </c>
      <c r="D2" s="3">
        <v>46266</v>
      </c>
      <c r="E2" s="2" t="s">
        <v>224</v>
      </c>
      <c r="F2" s="2" t="s">
        <v>225</v>
      </c>
      <c r="G2" s="4">
        <v>4.0999999999999996</v>
      </c>
      <c r="H2" s="4">
        <v>4.0999999999999996</v>
      </c>
      <c r="I2" s="4">
        <v>0</v>
      </c>
      <c r="J2" s="5">
        <v>4.5999999999999996</v>
      </c>
      <c r="K2" s="2" t="s">
        <v>226</v>
      </c>
      <c r="L2" s="2" t="s">
        <v>227</v>
      </c>
    </row>
    <row r="3" spans="1:12" ht="15">
      <c r="A3" s="2" t="s">
        <v>38</v>
      </c>
      <c r="B3" s="2">
        <v>2</v>
      </c>
      <c r="C3" s="2" t="s">
        <v>28</v>
      </c>
      <c r="D3" s="3">
        <v>46266</v>
      </c>
      <c r="E3" s="2" t="s">
        <v>228</v>
      </c>
      <c r="F3" s="2" t="s">
        <v>225</v>
      </c>
      <c r="G3" s="4">
        <v>3.3</v>
      </c>
      <c r="H3" s="4">
        <v>3.3</v>
      </c>
      <c r="I3" s="4">
        <v>0</v>
      </c>
      <c r="J3" s="5">
        <v>2.7</v>
      </c>
      <c r="K3" s="2" t="s">
        <v>226</v>
      </c>
      <c r="L3" s="2" t="s">
        <v>227</v>
      </c>
    </row>
    <row r="4" spans="1:12" ht="15">
      <c r="A4" s="2" t="s">
        <v>38</v>
      </c>
      <c r="B4" s="2">
        <v>3</v>
      </c>
      <c r="C4" s="2" t="s">
        <v>28</v>
      </c>
      <c r="D4" s="3">
        <v>46266</v>
      </c>
      <c r="E4" s="2" t="s">
        <v>229</v>
      </c>
      <c r="F4" s="2" t="s">
        <v>225</v>
      </c>
      <c r="G4" s="4">
        <v>2.6</v>
      </c>
      <c r="H4" s="4">
        <v>2.6</v>
      </c>
      <c r="I4" s="4">
        <v>0</v>
      </c>
      <c r="J4" s="5">
        <v>2.2999999999999998</v>
      </c>
      <c r="K4" s="2" t="s">
        <v>226</v>
      </c>
      <c r="L4" s="2" t="s">
        <v>227</v>
      </c>
    </row>
    <row r="5" spans="1:12" ht="15">
      <c r="A5" s="2" t="s">
        <v>38</v>
      </c>
      <c r="B5" s="2">
        <v>4</v>
      </c>
      <c r="C5" s="2" t="s">
        <v>28</v>
      </c>
      <c r="D5" s="3">
        <v>46266</v>
      </c>
      <c r="E5" s="2" t="s">
        <v>230</v>
      </c>
      <c r="F5" s="2" t="s">
        <v>225</v>
      </c>
      <c r="G5" s="4">
        <v>3</v>
      </c>
      <c r="H5" s="4">
        <v>3</v>
      </c>
      <c r="I5" s="4">
        <v>0</v>
      </c>
      <c r="J5" s="5">
        <v>2.2999999999999998</v>
      </c>
      <c r="K5" s="2" t="s">
        <v>226</v>
      </c>
      <c r="L5" s="2" t="s">
        <v>227</v>
      </c>
    </row>
    <row r="6" spans="1:12" ht="15">
      <c r="A6" s="2" t="s">
        <v>38</v>
      </c>
      <c r="B6" s="2">
        <v>5</v>
      </c>
      <c r="C6" s="2" t="s">
        <v>28</v>
      </c>
      <c r="D6" s="3">
        <v>46266</v>
      </c>
      <c r="E6" s="2" t="s">
        <v>231</v>
      </c>
      <c r="F6" s="2" t="s">
        <v>225</v>
      </c>
      <c r="G6" s="4">
        <v>3</v>
      </c>
      <c r="H6" s="4">
        <v>3</v>
      </c>
      <c r="I6" s="4">
        <v>0</v>
      </c>
      <c r="J6" s="5">
        <v>10.1</v>
      </c>
      <c r="K6" s="2" t="s">
        <v>226</v>
      </c>
      <c r="L6" s="2" t="s">
        <v>227</v>
      </c>
    </row>
    <row r="7" spans="1:12" ht="15">
      <c r="A7" s="2" t="s">
        <v>38</v>
      </c>
      <c r="B7" s="2">
        <v>6</v>
      </c>
      <c r="C7" s="2" t="s">
        <v>28</v>
      </c>
      <c r="D7" s="3">
        <v>46266</v>
      </c>
      <c r="E7" s="2" t="s">
        <v>232</v>
      </c>
      <c r="F7" s="2" t="s">
        <v>225</v>
      </c>
      <c r="G7" s="4">
        <v>0.5</v>
      </c>
      <c r="H7" s="4">
        <v>0.5</v>
      </c>
      <c r="I7" s="4">
        <v>0</v>
      </c>
      <c r="J7" s="5">
        <v>7.3</v>
      </c>
      <c r="K7" s="2" t="s">
        <v>226</v>
      </c>
      <c r="L7" s="2" t="s">
        <v>227</v>
      </c>
    </row>
    <row r="8" spans="1:12" ht="15">
      <c r="A8" s="2" t="s">
        <v>38</v>
      </c>
      <c r="B8" s="2">
        <v>7</v>
      </c>
      <c r="C8" s="2" t="s">
        <v>28</v>
      </c>
      <c r="D8" s="3">
        <v>46266</v>
      </c>
      <c r="E8" s="2" t="s">
        <v>233</v>
      </c>
      <c r="F8" s="2" t="s">
        <v>234</v>
      </c>
      <c r="G8" s="4">
        <v>1</v>
      </c>
      <c r="H8" s="4">
        <v>1</v>
      </c>
      <c r="I8" s="4">
        <v>0</v>
      </c>
      <c r="J8" s="5">
        <v>71</v>
      </c>
      <c r="K8" s="2" t="s">
        <v>226</v>
      </c>
      <c r="L8" s="2" t="s">
        <v>227</v>
      </c>
    </row>
    <row r="9" spans="1:12" ht="15">
      <c r="A9" s="2" t="s">
        <v>38</v>
      </c>
      <c r="B9" s="2">
        <v>8</v>
      </c>
      <c r="C9" s="2" t="s">
        <v>28</v>
      </c>
      <c r="D9" s="3">
        <v>46266</v>
      </c>
      <c r="E9" s="2" t="s">
        <v>235</v>
      </c>
      <c r="F9" s="2" t="s">
        <v>236</v>
      </c>
      <c r="G9" s="4">
        <v>1</v>
      </c>
      <c r="H9" s="4">
        <v>1</v>
      </c>
      <c r="I9" s="4">
        <v>0</v>
      </c>
      <c r="J9" s="5">
        <v>111</v>
      </c>
      <c r="K9" s="2" t="s">
        <v>226</v>
      </c>
      <c r="L9" s="2" t="s">
        <v>227</v>
      </c>
    </row>
    <row r="10" spans="1:12" ht="15">
      <c r="A10" s="2" t="s">
        <v>39</v>
      </c>
      <c r="B10" s="2">
        <v>1</v>
      </c>
      <c r="C10" s="2" t="s">
        <v>29</v>
      </c>
      <c r="D10" s="3">
        <v>46266</v>
      </c>
      <c r="E10" s="2" t="s">
        <v>237</v>
      </c>
      <c r="F10" s="2" t="s">
        <v>225</v>
      </c>
      <c r="G10" s="4">
        <v>4.5</v>
      </c>
      <c r="H10" s="4">
        <v>4.5</v>
      </c>
      <c r="I10" s="4">
        <v>0</v>
      </c>
      <c r="J10" s="5">
        <v>4.4000000000000004</v>
      </c>
      <c r="K10" s="2" t="s">
        <v>226</v>
      </c>
      <c r="L10" s="2" t="s">
        <v>227</v>
      </c>
    </row>
    <row r="11" spans="1:12" ht="15">
      <c r="A11" s="2" t="s">
        <v>39</v>
      </c>
      <c r="B11" s="2">
        <v>2</v>
      </c>
      <c r="C11" s="2" t="s">
        <v>29</v>
      </c>
      <c r="D11" s="3">
        <v>46266</v>
      </c>
      <c r="E11" s="2" t="s">
        <v>238</v>
      </c>
      <c r="F11" s="2" t="s">
        <v>225</v>
      </c>
      <c r="G11" s="4">
        <v>4.5</v>
      </c>
      <c r="H11" s="4">
        <v>4.5</v>
      </c>
      <c r="I11" s="4">
        <v>0</v>
      </c>
      <c r="J11" s="5">
        <v>3.3</v>
      </c>
      <c r="K11" s="2" t="s">
        <v>226</v>
      </c>
      <c r="L11" s="2" t="s">
        <v>227</v>
      </c>
    </row>
    <row r="12" spans="1:12" ht="15">
      <c r="A12" s="2" t="s">
        <v>39</v>
      </c>
      <c r="B12" s="2">
        <v>3</v>
      </c>
      <c r="C12" s="2" t="s">
        <v>29</v>
      </c>
      <c r="D12" s="3">
        <v>46266</v>
      </c>
      <c r="E12" s="2" t="s">
        <v>239</v>
      </c>
      <c r="F12" s="2" t="s">
        <v>225</v>
      </c>
      <c r="G12" s="4">
        <v>9</v>
      </c>
      <c r="H12" s="4">
        <v>9</v>
      </c>
      <c r="I12" s="4">
        <v>0</v>
      </c>
      <c r="J12" s="5">
        <v>4.5999999999999996</v>
      </c>
      <c r="K12" s="2" t="s">
        <v>226</v>
      </c>
      <c r="L12" s="2" t="s">
        <v>227</v>
      </c>
    </row>
    <row r="13" spans="1:12" ht="15">
      <c r="A13" s="2" t="s">
        <v>39</v>
      </c>
      <c r="B13" s="2">
        <v>4</v>
      </c>
      <c r="C13" s="2" t="s">
        <v>29</v>
      </c>
      <c r="D13" s="3">
        <v>46266</v>
      </c>
      <c r="E13" s="2" t="s">
        <v>240</v>
      </c>
      <c r="F13" s="2" t="s">
        <v>225</v>
      </c>
      <c r="G13" s="4">
        <v>4.5</v>
      </c>
      <c r="H13" s="4">
        <v>4.5</v>
      </c>
      <c r="I13" s="4">
        <v>0</v>
      </c>
      <c r="J13" s="5">
        <v>6.3</v>
      </c>
      <c r="K13" s="2" t="s">
        <v>226</v>
      </c>
      <c r="L13" s="2" t="s">
        <v>227</v>
      </c>
    </row>
    <row r="14" spans="1:12" ht="15">
      <c r="A14" s="2" t="s">
        <v>39</v>
      </c>
      <c r="B14" s="2">
        <v>5</v>
      </c>
      <c r="C14" s="2" t="s">
        <v>29</v>
      </c>
      <c r="D14" s="3">
        <v>46266</v>
      </c>
      <c r="E14" s="2" t="s">
        <v>241</v>
      </c>
      <c r="F14" s="2" t="s">
        <v>225</v>
      </c>
      <c r="G14" s="4">
        <v>6.4</v>
      </c>
      <c r="H14" s="4">
        <v>6.4</v>
      </c>
      <c r="I14" s="4">
        <v>0</v>
      </c>
      <c r="J14" s="5">
        <v>3.3</v>
      </c>
      <c r="K14" s="2" t="s">
        <v>226</v>
      </c>
      <c r="L14" s="2" t="s">
        <v>227</v>
      </c>
    </row>
    <row r="15" spans="1:12" ht="15">
      <c r="A15" s="2" t="s">
        <v>39</v>
      </c>
      <c r="B15" s="2">
        <v>6</v>
      </c>
      <c r="C15" s="2" t="s">
        <v>29</v>
      </c>
      <c r="D15" s="3">
        <v>46266</v>
      </c>
      <c r="E15" s="2" t="s">
        <v>231</v>
      </c>
      <c r="F15" s="2" t="s">
        <v>225</v>
      </c>
      <c r="G15" s="4">
        <v>4</v>
      </c>
      <c r="H15" s="4">
        <v>4</v>
      </c>
      <c r="I15" s="4">
        <v>0</v>
      </c>
      <c r="J15" s="5">
        <v>10.1</v>
      </c>
      <c r="K15" s="2" t="s">
        <v>226</v>
      </c>
      <c r="L15" s="2" t="s">
        <v>227</v>
      </c>
    </row>
    <row r="16" spans="1:12" ht="15">
      <c r="A16" s="2" t="s">
        <v>39</v>
      </c>
      <c r="B16" s="2">
        <v>7</v>
      </c>
      <c r="C16" s="2" t="s">
        <v>29</v>
      </c>
      <c r="D16" s="3">
        <v>46266</v>
      </c>
      <c r="E16" s="2" t="s">
        <v>232</v>
      </c>
      <c r="F16" s="2" t="s">
        <v>225</v>
      </c>
      <c r="G16" s="4">
        <v>1</v>
      </c>
      <c r="H16" s="4">
        <v>1</v>
      </c>
      <c r="I16" s="4">
        <v>0</v>
      </c>
      <c r="J16" s="5">
        <v>7.3</v>
      </c>
      <c r="K16" s="2" t="s">
        <v>226</v>
      </c>
      <c r="L16" s="2" t="s">
        <v>227</v>
      </c>
    </row>
    <row r="17" spans="1:12" ht="15">
      <c r="A17" s="2" t="s">
        <v>39</v>
      </c>
      <c r="B17" s="2">
        <v>8</v>
      </c>
      <c r="C17" s="2" t="s">
        <v>29</v>
      </c>
      <c r="D17" s="3">
        <v>46266</v>
      </c>
      <c r="E17" s="2" t="s">
        <v>242</v>
      </c>
      <c r="F17" s="2" t="s">
        <v>236</v>
      </c>
      <c r="G17" s="4">
        <v>3</v>
      </c>
      <c r="H17" s="4">
        <v>3</v>
      </c>
      <c r="I17" s="4">
        <v>0</v>
      </c>
      <c r="J17" s="5">
        <v>118</v>
      </c>
      <c r="K17" s="2" t="s">
        <v>226</v>
      </c>
      <c r="L17" s="2" t="s">
        <v>227</v>
      </c>
    </row>
    <row r="18" spans="1:12" ht="15">
      <c r="A18" s="2" t="s">
        <v>39</v>
      </c>
      <c r="B18" s="2">
        <v>9</v>
      </c>
      <c r="C18" s="2" t="s">
        <v>29</v>
      </c>
      <c r="D18" s="3">
        <v>46266</v>
      </c>
      <c r="E18" s="2" t="s">
        <v>233</v>
      </c>
      <c r="F18" s="2" t="s">
        <v>234</v>
      </c>
      <c r="G18" s="4">
        <v>1</v>
      </c>
      <c r="H18" s="4">
        <v>1</v>
      </c>
      <c r="I18" s="4">
        <v>0</v>
      </c>
      <c r="J18" s="5">
        <v>71</v>
      </c>
      <c r="K18" s="2" t="s">
        <v>226</v>
      </c>
      <c r="L18" s="2" t="s">
        <v>227</v>
      </c>
    </row>
    <row r="19" spans="1:12" ht="15">
      <c r="A19" s="2" t="s">
        <v>40</v>
      </c>
      <c r="B19" s="2">
        <v>1</v>
      </c>
      <c r="C19" s="2" t="s">
        <v>30</v>
      </c>
      <c r="D19" s="3">
        <v>46266</v>
      </c>
      <c r="E19" s="2" t="s">
        <v>237</v>
      </c>
      <c r="F19" s="2" t="s">
        <v>225</v>
      </c>
      <c r="G19" s="4">
        <v>7.6</v>
      </c>
      <c r="H19" s="4">
        <v>7.6</v>
      </c>
      <c r="I19" s="4">
        <v>0</v>
      </c>
      <c r="J19" s="5">
        <v>4.4000000000000004</v>
      </c>
      <c r="K19" s="2" t="s">
        <v>226</v>
      </c>
      <c r="L19" s="2" t="s">
        <v>227</v>
      </c>
    </row>
    <row r="20" spans="1:12" ht="15">
      <c r="A20" s="2" t="s">
        <v>40</v>
      </c>
      <c r="B20" s="2">
        <v>2</v>
      </c>
      <c r="C20" s="2" t="s">
        <v>30</v>
      </c>
      <c r="D20" s="3">
        <v>46266</v>
      </c>
      <c r="E20" s="2" t="s">
        <v>230</v>
      </c>
      <c r="F20" s="2" t="s">
        <v>225</v>
      </c>
      <c r="G20" s="4">
        <v>3.5</v>
      </c>
      <c r="H20" s="4">
        <v>3.5</v>
      </c>
      <c r="I20" s="4">
        <v>0</v>
      </c>
      <c r="J20" s="5">
        <v>2.2999999999999998</v>
      </c>
      <c r="K20" s="2" t="s">
        <v>226</v>
      </c>
      <c r="L20" s="2" t="s">
        <v>227</v>
      </c>
    </row>
    <row r="21" spans="1:12" ht="15">
      <c r="A21" s="2" t="s">
        <v>40</v>
      </c>
      <c r="B21" s="2">
        <v>3</v>
      </c>
      <c r="C21" s="2" t="s">
        <v>30</v>
      </c>
      <c r="D21" s="3">
        <v>46266</v>
      </c>
      <c r="E21" s="2" t="s">
        <v>228</v>
      </c>
      <c r="F21" s="2" t="s">
        <v>225</v>
      </c>
      <c r="G21" s="4">
        <v>8.1</v>
      </c>
      <c r="H21" s="4">
        <v>8.1</v>
      </c>
      <c r="I21" s="4">
        <v>0</v>
      </c>
      <c r="J21" s="5">
        <v>2.7</v>
      </c>
      <c r="K21" s="2" t="s">
        <v>226</v>
      </c>
      <c r="L21" s="2" t="s">
        <v>227</v>
      </c>
    </row>
    <row r="22" spans="1:12" ht="15">
      <c r="A22" s="2" t="s">
        <v>40</v>
      </c>
      <c r="B22" s="2">
        <v>4</v>
      </c>
      <c r="C22" s="2" t="s">
        <v>30</v>
      </c>
      <c r="D22" s="3">
        <v>46266</v>
      </c>
      <c r="E22" s="2" t="s">
        <v>241</v>
      </c>
      <c r="F22" s="2" t="s">
        <v>225</v>
      </c>
      <c r="G22" s="4">
        <v>6.6</v>
      </c>
      <c r="H22" s="4">
        <v>6.6</v>
      </c>
      <c r="I22" s="4">
        <v>0</v>
      </c>
      <c r="J22" s="5">
        <v>3.3</v>
      </c>
      <c r="K22" s="2" t="s">
        <v>226</v>
      </c>
      <c r="L22" s="2" t="s">
        <v>227</v>
      </c>
    </row>
    <row r="23" spans="1:12" ht="15">
      <c r="A23" s="2" t="s">
        <v>40</v>
      </c>
      <c r="B23" s="2">
        <v>5</v>
      </c>
      <c r="C23" s="2" t="s">
        <v>30</v>
      </c>
      <c r="D23" s="3">
        <v>46266</v>
      </c>
      <c r="E23" s="2" t="s">
        <v>238</v>
      </c>
      <c r="F23" s="2" t="s">
        <v>225</v>
      </c>
      <c r="G23" s="4">
        <v>7.1</v>
      </c>
      <c r="H23" s="4">
        <v>7.1</v>
      </c>
      <c r="I23" s="4">
        <v>0</v>
      </c>
      <c r="J23" s="5">
        <v>3.3</v>
      </c>
      <c r="K23" s="2" t="s">
        <v>226</v>
      </c>
      <c r="L23" s="2" t="s">
        <v>227</v>
      </c>
    </row>
    <row r="24" spans="1:12" ht="15">
      <c r="A24" s="2" t="s">
        <v>40</v>
      </c>
      <c r="B24" s="2">
        <v>6</v>
      </c>
      <c r="C24" s="2" t="s">
        <v>30</v>
      </c>
      <c r="D24" s="3">
        <v>46266</v>
      </c>
      <c r="E24" s="2" t="s">
        <v>243</v>
      </c>
      <c r="F24" s="2" t="s">
        <v>225</v>
      </c>
      <c r="G24" s="4">
        <v>4.0999999999999996</v>
      </c>
      <c r="H24" s="4">
        <v>4.0999999999999996</v>
      </c>
      <c r="I24" s="4">
        <v>0</v>
      </c>
      <c r="J24" s="5">
        <v>4.0999999999999996</v>
      </c>
      <c r="K24" s="2" t="s">
        <v>226</v>
      </c>
      <c r="L24" s="2" t="s">
        <v>227</v>
      </c>
    </row>
    <row r="25" spans="1:12" ht="15">
      <c r="A25" s="2" t="s">
        <v>40</v>
      </c>
      <c r="B25" s="2">
        <v>7</v>
      </c>
      <c r="C25" s="2" t="s">
        <v>30</v>
      </c>
      <c r="D25" s="3">
        <v>46266</v>
      </c>
      <c r="E25" s="2" t="s">
        <v>231</v>
      </c>
      <c r="F25" s="2" t="s">
        <v>225</v>
      </c>
      <c r="G25" s="4">
        <v>6</v>
      </c>
      <c r="H25" s="4">
        <v>6</v>
      </c>
      <c r="I25" s="4">
        <v>0</v>
      </c>
      <c r="J25" s="5">
        <v>10.1</v>
      </c>
      <c r="K25" s="2" t="s">
        <v>226</v>
      </c>
      <c r="L25" s="2" t="s">
        <v>227</v>
      </c>
    </row>
    <row r="26" spans="1:12" ht="15">
      <c r="A26" s="2" t="s">
        <v>40</v>
      </c>
      <c r="B26" s="2">
        <v>8</v>
      </c>
      <c r="C26" s="2" t="s">
        <v>30</v>
      </c>
      <c r="D26" s="3">
        <v>46266</v>
      </c>
      <c r="E26" s="2" t="s">
        <v>232</v>
      </c>
      <c r="F26" s="2" t="s">
        <v>225</v>
      </c>
      <c r="G26" s="4">
        <v>1</v>
      </c>
      <c r="H26" s="4">
        <v>1</v>
      </c>
      <c r="I26" s="4">
        <v>0</v>
      </c>
      <c r="J26" s="5">
        <v>7.3</v>
      </c>
      <c r="K26" s="2" t="s">
        <v>226</v>
      </c>
      <c r="L26" s="2" t="s">
        <v>227</v>
      </c>
    </row>
    <row r="27" spans="1:12" ht="15">
      <c r="A27" s="2" t="s">
        <v>40</v>
      </c>
      <c r="B27" s="2">
        <v>9</v>
      </c>
      <c r="C27" s="2" t="s">
        <v>30</v>
      </c>
      <c r="D27" s="3">
        <v>46266</v>
      </c>
      <c r="E27" s="2" t="s">
        <v>242</v>
      </c>
      <c r="F27" s="2" t="s">
        <v>236</v>
      </c>
      <c r="G27" s="4">
        <v>5</v>
      </c>
      <c r="H27" s="4">
        <v>5</v>
      </c>
      <c r="I27" s="4">
        <v>0</v>
      </c>
      <c r="J27" s="5">
        <v>118</v>
      </c>
      <c r="K27" s="2" t="s">
        <v>226</v>
      </c>
      <c r="L27" s="2" t="s">
        <v>227</v>
      </c>
    </row>
    <row r="28" spans="1:12" ht="15">
      <c r="A28" s="2" t="s">
        <v>40</v>
      </c>
      <c r="B28" s="2">
        <v>10</v>
      </c>
      <c r="C28" s="2" t="s">
        <v>30</v>
      </c>
      <c r="D28" s="3">
        <v>46266</v>
      </c>
      <c r="E28" s="2" t="s">
        <v>244</v>
      </c>
      <c r="F28" s="2" t="s">
        <v>234</v>
      </c>
      <c r="G28" s="4">
        <v>2</v>
      </c>
      <c r="H28" s="4">
        <v>2</v>
      </c>
      <c r="I28" s="4">
        <v>0</v>
      </c>
      <c r="J28" s="5">
        <v>59</v>
      </c>
      <c r="K28" s="2" t="s">
        <v>226</v>
      </c>
      <c r="L28" s="2" t="s">
        <v>227</v>
      </c>
    </row>
    <row r="29" spans="1:12" ht="15">
      <c r="A29" s="2" t="s">
        <v>41</v>
      </c>
      <c r="B29" s="2">
        <v>1</v>
      </c>
      <c r="C29" s="2" t="s">
        <v>31</v>
      </c>
      <c r="D29" s="3">
        <v>46266</v>
      </c>
      <c r="E29" s="2" t="s">
        <v>245</v>
      </c>
      <c r="F29" s="2" t="s">
        <v>225</v>
      </c>
      <c r="G29" s="4">
        <v>5</v>
      </c>
      <c r="H29" s="4">
        <v>5</v>
      </c>
      <c r="I29" s="4">
        <v>0</v>
      </c>
      <c r="J29" s="5">
        <v>5</v>
      </c>
      <c r="K29" s="2" t="s">
        <v>226</v>
      </c>
      <c r="L29" s="2" t="s">
        <v>227</v>
      </c>
    </row>
    <row r="30" spans="1:12" ht="15">
      <c r="A30" s="2" t="s">
        <v>41</v>
      </c>
      <c r="B30" s="2">
        <v>2</v>
      </c>
      <c r="C30" s="2" t="s">
        <v>31</v>
      </c>
      <c r="D30" s="3">
        <v>46266</v>
      </c>
      <c r="E30" s="2" t="s">
        <v>228</v>
      </c>
      <c r="F30" s="2" t="s">
        <v>225</v>
      </c>
      <c r="G30" s="4">
        <v>7.5</v>
      </c>
      <c r="H30" s="4">
        <v>7.5</v>
      </c>
      <c r="I30" s="4">
        <v>0</v>
      </c>
      <c r="J30" s="5">
        <v>2.7</v>
      </c>
      <c r="K30" s="2" t="s">
        <v>226</v>
      </c>
      <c r="L30" s="2" t="s">
        <v>227</v>
      </c>
    </row>
    <row r="31" spans="1:12" ht="15">
      <c r="A31" s="2" t="s">
        <v>41</v>
      </c>
      <c r="B31" s="2">
        <v>3</v>
      </c>
      <c r="C31" s="2" t="s">
        <v>31</v>
      </c>
      <c r="D31" s="3">
        <v>46266</v>
      </c>
      <c r="E31" s="2" t="s">
        <v>238</v>
      </c>
      <c r="F31" s="2" t="s">
        <v>225</v>
      </c>
      <c r="G31" s="4">
        <v>5.5</v>
      </c>
      <c r="H31" s="4">
        <v>5.5</v>
      </c>
      <c r="I31" s="4">
        <v>0</v>
      </c>
      <c r="J31" s="5">
        <v>3.3</v>
      </c>
      <c r="K31" s="2" t="s">
        <v>226</v>
      </c>
      <c r="L31" s="2" t="s">
        <v>227</v>
      </c>
    </row>
    <row r="32" spans="1:12" ht="15">
      <c r="A32" s="2" t="s">
        <v>41</v>
      </c>
      <c r="B32" s="2">
        <v>4</v>
      </c>
      <c r="C32" s="2" t="s">
        <v>31</v>
      </c>
      <c r="D32" s="3">
        <v>46266</v>
      </c>
      <c r="E32" s="2" t="s">
        <v>241</v>
      </c>
      <c r="F32" s="2" t="s">
        <v>225</v>
      </c>
      <c r="G32" s="4">
        <v>5.5</v>
      </c>
      <c r="H32" s="4">
        <v>5</v>
      </c>
      <c r="I32" s="4">
        <v>0</v>
      </c>
      <c r="J32" s="5">
        <v>3.3</v>
      </c>
      <c r="K32" s="2" t="s">
        <v>246</v>
      </c>
      <c r="L32" s="2" t="s">
        <v>227</v>
      </c>
    </row>
    <row r="33" spans="1:12" ht="15">
      <c r="A33" s="2" t="s">
        <v>41</v>
      </c>
      <c r="B33" s="2">
        <v>5</v>
      </c>
      <c r="C33" s="2" t="s">
        <v>31</v>
      </c>
      <c r="D33" s="3">
        <v>46266</v>
      </c>
      <c r="E33" s="2" t="s">
        <v>247</v>
      </c>
      <c r="F33" s="2" t="s">
        <v>225</v>
      </c>
      <c r="G33" s="4">
        <v>6.5</v>
      </c>
      <c r="H33" s="4">
        <v>6.5</v>
      </c>
      <c r="I33" s="4">
        <v>0</v>
      </c>
      <c r="J33" s="5">
        <v>5</v>
      </c>
      <c r="K33" s="2" t="s">
        <v>226</v>
      </c>
      <c r="L33" s="2" t="s">
        <v>227</v>
      </c>
    </row>
    <row r="34" spans="1:12" ht="15">
      <c r="A34" s="2" t="s">
        <v>41</v>
      </c>
      <c r="B34" s="2">
        <v>6</v>
      </c>
      <c r="C34" s="2" t="s">
        <v>31</v>
      </c>
      <c r="D34" s="3">
        <v>46266</v>
      </c>
      <c r="E34" s="2" t="s">
        <v>243</v>
      </c>
      <c r="F34" s="2" t="s">
        <v>225</v>
      </c>
      <c r="G34" s="4">
        <v>6.5</v>
      </c>
      <c r="H34" s="4">
        <v>6.5</v>
      </c>
      <c r="I34" s="4">
        <v>0</v>
      </c>
      <c r="J34" s="5">
        <v>4.0999999999999996</v>
      </c>
      <c r="K34" s="2" t="s">
        <v>226</v>
      </c>
      <c r="L34" s="2" t="s">
        <v>227</v>
      </c>
    </row>
    <row r="35" spans="1:12" ht="15">
      <c r="A35" s="2" t="s">
        <v>41</v>
      </c>
      <c r="B35" s="2">
        <v>7</v>
      </c>
      <c r="C35" s="2" t="s">
        <v>31</v>
      </c>
      <c r="D35" s="3">
        <v>46266</v>
      </c>
      <c r="E35" s="2" t="s">
        <v>231</v>
      </c>
      <c r="F35" s="2" t="s">
        <v>225</v>
      </c>
      <c r="G35" s="4">
        <v>5</v>
      </c>
      <c r="H35" s="4">
        <v>4.8</v>
      </c>
      <c r="I35" s="4">
        <v>0</v>
      </c>
      <c r="J35" s="5">
        <v>10.1</v>
      </c>
      <c r="K35" s="2" t="s">
        <v>246</v>
      </c>
      <c r="L35" s="2" t="s">
        <v>227</v>
      </c>
    </row>
    <row r="36" spans="1:12" ht="15">
      <c r="A36" s="2" t="s">
        <v>41</v>
      </c>
      <c r="B36" s="2">
        <v>8</v>
      </c>
      <c r="C36" s="2" t="s">
        <v>31</v>
      </c>
      <c r="D36" s="3">
        <v>46266</v>
      </c>
      <c r="E36" s="2" t="s">
        <v>232</v>
      </c>
      <c r="F36" s="2" t="s">
        <v>225</v>
      </c>
      <c r="G36" s="4">
        <v>1</v>
      </c>
      <c r="H36" s="4">
        <v>1</v>
      </c>
      <c r="I36" s="4">
        <v>0</v>
      </c>
      <c r="J36" s="5">
        <v>7.3</v>
      </c>
      <c r="K36" s="2" t="s">
        <v>226</v>
      </c>
      <c r="L36" s="2" t="s">
        <v>227</v>
      </c>
    </row>
    <row r="37" spans="1:12" ht="15">
      <c r="A37" s="2" t="s">
        <v>41</v>
      </c>
      <c r="B37" s="2">
        <v>9</v>
      </c>
      <c r="C37" s="2" t="s">
        <v>31</v>
      </c>
      <c r="D37" s="3">
        <v>46266</v>
      </c>
      <c r="E37" s="2" t="s">
        <v>242</v>
      </c>
      <c r="F37" s="2" t="s">
        <v>236</v>
      </c>
      <c r="G37" s="4">
        <v>3</v>
      </c>
      <c r="H37" s="4">
        <v>3</v>
      </c>
      <c r="I37" s="4">
        <v>0</v>
      </c>
      <c r="J37" s="5">
        <v>118</v>
      </c>
      <c r="K37" s="2" t="s">
        <v>226</v>
      </c>
      <c r="L37" s="2" t="s">
        <v>227</v>
      </c>
    </row>
    <row r="38" spans="1:12" ht="15">
      <c r="A38" s="2" t="s">
        <v>41</v>
      </c>
      <c r="B38" s="2">
        <v>10</v>
      </c>
      <c r="C38" s="2" t="s">
        <v>31</v>
      </c>
      <c r="D38" s="3">
        <v>46266</v>
      </c>
      <c r="E38" s="2" t="s">
        <v>233</v>
      </c>
      <c r="F38" s="2" t="s">
        <v>234</v>
      </c>
      <c r="G38" s="4">
        <v>1</v>
      </c>
      <c r="H38" s="4">
        <v>1</v>
      </c>
      <c r="I38" s="4">
        <v>0</v>
      </c>
      <c r="J38" s="5">
        <v>71</v>
      </c>
      <c r="K38" s="2" t="s">
        <v>226</v>
      </c>
      <c r="L38" s="2" t="s">
        <v>227</v>
      </c>
    </row>
    <row r="39" spans="1:12" ht="15">
      <c r="A39" s="2" t="s">
        <v>42</v>
      </c>
      <c r="B39" s="2">
        <v>1</v>
      </c>
      <c r="C39" s="2" t="s">
        <v>32</v>
      </c>
      <c r="D39" s="3">
        <v>46266</v>
      </c>
      <c r="E39" s="2" t="s">
        <v>237</v>
      </c>
      <c r="F39" s="2" t="s">
        <v>225</v>
      </c>
      <c r="G39" s="4">
        <v>14.4</v>
      </c>
      <c r="H39" s="4">
        <v>14.4</v>
      </c>
      <c r="I39" s="4">
        <v>0</v>
      </c>
      <c r="J39" s="5">
        <v>4.4000000000000004</v>
      </c>
      <c r="K39" s="2" t="s">
        <v>226</v>
      </c>
      <c r="L39" s="2" t="s">
        <v>227</v>
      </c>
    </row>
    <row r="40" spans="1:12" ht="15">
      <c r="A40" s="2" t="s">
        <v>42</v>
      </c>
      <c r="B40" s="2">
        <v>2</v>
      </c>
      <c r="C40" s="2" t="s">
        <v>32</v>
      </c>
      <c r="D40" s="3">
        <v>46266</v>
      </c>
      <c r="E40" s="2" t="s">
        <v>248</v>
      </c>
      <c r="F40" s="2" t="s">
        <v>225</v>
      </c>
      <c r="G40" s="4">
        <v>12.6</v>
      </c>
      <c r="H40" s="4">
        <v>12.6</v>
      </c>
      <c r="I40" s="4">
        <v>0</v>
      </c>
      <c r="J40" s="5">
        <v>5.15</v>
      </c>
      <c r="K40" s="2" t="s">
        <v>226</v>
      </c>
      <c r="L40" s="2" t="s">
        <v>227</v>
      </c>
    </row>
    <row r="41" spans="1:12" ht="15">
      <c r="A41" s="2" t="s">
        <v>42</v>
      </c>
      <c r="B41" s="2">
        <v>3</v>
      </c>
      <c r="C41" s="2" t="s">
        <v>32</v>
      </c>
      <c r="D41" s="3">
        <v>46266</v>
      </c>
      <c r="E41" s="2" t="s">
        <v>238</v>
      </c>
      <c r="F41" s="2" t="s">
        <v>225</v>
      </c>
      <c r="G41" s="4">
        <v>12.6</v>
      </c>
      <c r="H41" s="4">
        <v>12.6</v>
      </c>
      <c r="I41" s="4">
        <v>0</v>
      </c>
      <c r="J41" s="5">
        <v>3.3</v>
      </c>
      <c r="K41" s="2" t="s">
        <v>226</v>
      </c>
      <c r="L41" s="2" t="s">
        <v>227</v>
      </c>
    </row>
    <row r="42" spans="1:12" ht="15">
      <c r="A42" s="2" t="s">
        <v>42</v>
      </c>
      <c r="B42" s="2">
        <v>4</v>
      </c>
      <c r="C42" s="2" t="s">
        <v>32</v>
      </c>
      <c r="D42" s="3">
        <v>46266</v>
      </c>
      <c r="E42" s="2" t="s">
        <v>230</v>
      </c>
      <c r="F42" s="2" t="s">
        <v>225</v>
      </c>
      <c r="G42" s="4">
        <v>12.6</v>
      </c>
      <c r="H42" s="4">
        <v>12.6</v>
      </c>
      <c r="I42" s="4">
        <v>0</v>
      </c>
      <c r="J42" s="5">
        <v>2.2999999999999998</v>
      </c>
      <c r="K42" s="2" t="s">
        <v>226</v>
      </c>
      <c r="L42" s="2" t="s">
        <v>227</v>
      </c>
    </row>
    <row r="43" spans="1:12" ht="15">
      <c r="A43" s="2" t="s">
        <v>42</v>
      </c>
      <c r="B43" s="2">
        <v>5</v>
      </c>
      <c r="C43" s="2" t="s">
        <v>32</v>
      </c>
      <c r="D43" s="3">
        <v>46266</v>
      </c>
      <c r="E43" s="2" t="s">
        <v>239</v>
      </c>
      <c r="F43" s="2" t="s">
        <v>225</v>
      </c>
      <c r="G43" s="4">
        <v>8.1</v>
      </c>
      <c r="H43" s="4">
        <v>8.1</v>
      </c>
      <c r="I43" s="4">
        <v>0</v>
      </c>
      <c r="J43" s="5">
        <v>4.5999999999999996</v>
      </c>
      <c r="K43" s="2" t="s">
        <v>226</v>
      </c>
      <c r="L43" s="2" t="s">
        <v>227</v>
      </c>
    </row>
    <row r="44" spans="1:12" ht="15">
      <c r="A44" s="2" t="s">
        <v>42</v>
      </c>
      <c r="B44" s="2">
        <v>6</v>
      </c>
      <c r="C44" s="2" t="s">
        <v>32</v>
      </c>
      <c r="D44" s="3">
        <v>46266</v>
      </c>
      <c r="E44" s="2" t="s">
        <v>228</v>
      </c>
      <c r="F44" s="2" t="s">
        <v>225</v>
      </c>
      <c r="G44" s="4">
        <v>9</v>
      </c>
      <c r="H44" s="4">
        <v>9</v>
      </c>
      <c r="I44" s="4">
        <v>0</v>
      </c>
      <c r="J44" s="5">
        <v>2.7</v>
      </c>
      <c r="K44" s="2" t="s">
        <v>226</v>
      </c>
      <c r="L44" s="2" t="s">
        <v>227</v>
      </c>
    </row>
    <row r="45" spans="1:12" ht="15">
      <c r="A45" s="2" t="s">
        <v>42</v>
      </c>
      <c r="B45" s="2">
        <v>7</v>
      </c>
      <c r="C45" s="2" t="s">
        <v>32</v>
      </c>
      <c r="D45" s="3">
        <v>46266</v>
      </c>
      <c r="E45" s="2" t="s">
        <v>231</v>
      </c>
      <c r="F45" s="2" t="s">
        <v>225</v>
      </c>
      <c r="G45" s="4">
        <v>12</v>
      </c>
      <c r="H45" s="4">
        <v>12</v>
      </c>
      <c r="I45" s="4">
        <v>0</v>
      </c>
      <c r="J45" s="5">
        <v>10.1</v>
      </c>
      <c r="K45" s="2" t="s">
        <v>226</v>
      </c>
      <c r="L45" s="2" t="s">
        <v>227</v>
      </c>
    </row>
    <row r="46" spans="1:12" ht="15">
      <c r="A46" s="2" t="s">
        <v>42</v>
      </c>
      <c r="B46" s="2">
        <v>8</v>
      </c>
      <c r="C46" s="2" t="s">
        <v>32</v>
      </c>
      <c r="D46" s="3">
        <v>46266</v>
      </c>
      <c r="E46" s="2" t="s">
        <v>232</v>
      </c>
      <c r="F46" s="2" t="s">
        <v>225</v>
      </c>
      <c r="G46" s="4">
        <v>1</v>
      </c>
      <c r="H46" s="4">
        <v>0.7</v>
      </c>
      <c r="I46" s="4">
        <v>0</v>
      </c>
      <c r="J46" s="5">
        <v>7.3</v>
      </c>
      <c r="K46" s="2" t="s">
        <v>246</v>
      </c>
      <c r="L46" s="2" t="s">
        <v>227</v>
      </c>
    </row>
    <row r="47" spans="1:12" ht="15">
      <c r="A47" s="2" t="s">
        <v>42</v>
      </c>
      <c r="B47" s="2">
        <v>9</v>
      </c>
      <c r="C47" s="2" t="s">
        <v>32</v>
      </c>
      <c r="D47" s="3">
        <v>46266</v>
      </c>
      <c r="E47" s="2" t="s">
        <v>242</v>
      </c>
      <c r="F47" s="2" t="s">
        <v>236</v>
      </c>
      <c r="G47" s="4">
        <v>6</v>
      </c>
      <c r="H47" s="4">
        <v>6</v>
      </c>
      <c r="I47" s="4">
        <v>0</v>
      </c>
      <c r="J47" s="5">
        <v>118</v>
      </c>
      <c r="K47" s="2" t="s">
        <v>226</v>
      </c>
      <c r="L47" s="2" t="s">
        <v>227</v>
      </c>
    </row>
    <row r="48" spans="1:12" ht="15">
      <c r="A48" s="2" t="s">
        <v>42</v>
      </c>
      <c r="B48" s="2">
        <v>10</v>
      </c>
      <c r="C48" s="2" t="s">
        <v>32</v>
      </c>
      <c r="D48" s="3">
        <v>46266</v>
      </c>
      <c r="E48" s="2" t="s">
        <v>244</v>
      </c>
      <c r="F48" s="2" t="s">
        <v>234</v>
      </c>
      <c r="G48" s="4">
        <v>2</v>
      </c>
      <c r="H48" s="4">
        <v>2</v>
      </c>
      <c r="I48" s="4">
        <v>0</v>
      </c>
      <c r="J48" s="5">
        <v>59</v>
      </c>
      <c r="K48" s="2" t="s">
        <v>226</v>
      </c>
      <c r="L48" s="2" t="s">
        <v>227</v>
      </c>
    </row>
    <row r="49" spans="1:12" ht="15">
      <c r="A49" s="2" t="s">
        <v>43</v>
      </c>
      <c r="B49" s="2">
        <v>1</v>
      </c>
      <c r="C49" s="2" t="s">
        <v>33</v>
      </c>
      <c r="D49" s="3">
        <v>46266</v>
      </c>
      <c r="E49" s="2" t="s">
        <v>245</v>
      </c>
      <c r="F49" s="2" t="s">
        <v>225</v>
      </c>
      <c r="G49" s="4">
        <v>7.6</v>
      </c>
      <c r="H49" s="4">
        <v>7.6</v>
      </c>
      <c r="I49" s="4">
        <v>0</v>
      </c>
      <c r="J49" s="5">
        <v>5</v>
      </c>
      <c r="K49" s="2" t="s">
        <v>226</v>
      </c>
      <c r="L49" s="2" t="s">
        <v>227</v>
      </c>
    </row>
    <row r="50" spans="1:12" ht="15">
      <c r="A50" s="2" t="s">
        <v>43</v>
      </c>
      <c r="B50" s="2">
        <v>2</v>
      </c>
      <c r="C50" s="2" t="s">
        <v>33</v>
      </c>
      <c r="D50" s="3">
        <v>46266</v>
      </c>
      <c r="E50" s="2" t="s">
        <v>240</v>
      </c>
      <c r="F50" s="2" t="s">
        <v>225</v>
      </c>
      <c r="G50" s="4">
        <v>6.7</v>
      </c>
      <c r="H50" s="4">
        <v>6.7</v>
      </c>
      <c r="I50" s="4">
        <v>0</v>
      </c>
      <c r="J50" s="5">
        <v>6.3</v>
      </c>
      <c r="K50" s="2" t="s">
        <v>226</v>
      </c>
      <c r="L50" s="2" t="s">
        <v>227</v>
      </c>
    </row>
    <row r="51" spans="1:12" ht="15">
      <c r="A51" s="2" t="s">
        <v>43</v>
      </c>
      <c r="B51" s="2">
        <v>3</v>
      </c>
      <c r="C51" s="2" t="s">
        <v>33</v>
      </c>
      <c r="D51" s="3">
        <v>46266</v>
      </c>
      <c r="E51" s="2" t="s">
        <v>243</v>
      </c>
      <c r="F51" s="2" t="s">
        <v>225</v>
      </c>
      <c r="G51" s="4">
        <v>7.6</v>
      </c>
      <c r="H51" s="4">
        <v>7.6</v>
      </c>
      <c r="I51" s="4">
        <v>0</v>
      </c>
      <c r="J51" s="5">
        <v>4.0999999999999996</v>
      </c>
      <c r="K51" s="2" t="s">
        <v>226</v>
      </c>
      <c r="L51" s="2" t="s">
        <v>227</v>
      </c>
    </row>
    <row r="52" spans="1:12" ht="15">
      <c r="A52" s="2" t="s">
        <v>43</v>
      </c>
      <c r="B52" s="2">
        <v>4</v>
      </c>
      <c r="C52" s="2" t="s">
        <v>33</v>
      </c>
      <c r="D52" s="3">
        <v>46266</v>
      </c>
      <c r="E52" s="2" t="s">
        <v>228</v>
      </c>
      <c r="F52" s="2" t="s">
        <v>225</v>
      </c>
      <c r="G52" s="4">
        <v>6.7</v>
      </c>
      <c r="H52" s="4">
        <v>6.7</v>
      </c>
      <c r="I52" s="4">
        <v>0</v>
      </c>
      <c r="J52" s="5">
        <v>2.7</v>
      </c>
      <c r="K52" s="2" t="s">
        <v>226</v>
      </c>
      <c r="L52" s="2" t="s">
        <v>227</v>
      </c>
    </row>
    <row r="53" spans="1:12" ht="15">
      <c r="A53" s="2" t="s">
        <v>43</v>
      </c>
      <c r="B53" s="2">
        <v>5</v>
      </c>
      <c r="C53" s="2" t="s">
        <v>33</v>
      </c>
      <c r="D53" s="3">
        <v>46266</v>
      </c>
      <c r="E53" s="2" t="s">
        <v>247</v>
      </c>
      <c r="F53" s="2" t="s">
        <v>225</v>
      </c>
      <c r="G53" s="4">
        <v>9.3000000000000007</v>
      </c>
      <c r="H53" s="4">
        <v>9.3000000000000007</v>
      </c>
      <c r="I53" s="4">
        <v>0</v>
      </c>
      <c r="J53" s="5">
        <v>5</v>
      </c>
      <c r="K53" s="2" t="s">
        <v>226</v>
      </c>
      <c r="L53" s="2" t="s">
        <v>227</v>
      </c>
    </row>
    <row r="54" spans="1:12" ht="15">
      <c r="A54" s="2" t="s">
        <v>43</v>
      </c>
      <c r="B54" s="2">
        <v>6</v>
      </c>
      <c r="C54" s="2" t="s">
        <v>33</v>
      </c>
      <c r="D54" s="3">
        <v>46266</v>
      </c>
      <c r="E54" s="2" t="s">
        <v>239</v>
      </c>
      <c r="F54" s="2" t="s">
        <v>225</v>
      </c>
      <c r="G54" s="4">
        <v>13.5</v>
      </c>
      <c r="H54" s="4">
        <v>13.5</v>
      </c>
      <c r="I54" s="4">
        <v>0</v>
      </c>
      <c r="J54" s="5">
        <v>4.5999999999999996</v>
      </c>
      <c r="K54" s="2" t="s">
        <v>226</v>
      </c>
      <c r="L54" s="2" t="s">
        <v>227</v>
      </c>
    </row>
    <row r="55" spans="1:12" ht="15">
      <c r="A55" s="2" t="s">
        <v>43</v>
      </c>
      <c r="B55" s="2">
        <v>7</v>
      </c>
      <c r="C55" s="2" t="s">
        <v>33</v>
      </c>
      <c r="D55" s="3">
        <v>46266</v>
      </c>
      <c r="E55" s="2" t="s">
        <v>231</v>
      </c>
      <c r="F55" s="2" t="s">
        <v>225</v>
      </c>
      <c r="G55" s="4">
        <v>9</v>
      </c>
      <c r="H55" s="4">
        <v>9</v>
      </c>
      <c r="I55" s="4">
        <v>0</v>
      </c>
      <c r="J55" s="5">
        <v>10.1</v>
      </c>
      <c r="K55" s="2" t="s">
        <v>226</v>
      </c>
      <c r="L55" s="2" t="s">
        <v>227</v>
      </c>
    </row>
    <row r="56" spans="1:12" ht="15">
      <c r="A56" s="2" t="s">
        <v>43</v>
      </c>
      <c r="B56" s="2">
        <v>8</v>
      </c>
      <c r="C56" s="2" t="s">
        <v>33</v>
      </c>
      <c r="D56" s="3">
        <v>46266</v>
      </c>
      <c r="E56" s="2" t="s">
        <v>232</v>
      </c>
      <c r="F56" s="2" t="s">
        <v>225</v>
      </c>
      <c r="G56" s="4">
        <v>1</v>
      </c>
      <c r="H56" s="4">
        <v>1</v>
      </c>
      <c r="I56" s="4">
        <v>0</v>
      </c>
      <c r="J56" s="5">
        <v>7.3</v>
      </c>
      <c r="K56" s="2" t="s">
        <v>226</v>
      </c>
      <c r="L56" s="2" t="s">
        <v>227</v>
      </c>
    </row>
    <row r="57" spans="1:12" ht="15">
      <c r="A57" s="2" t="s">
        <v>43</v>
      </c>
      <c r="B57" s="2">
        <v>9</v>
      </c>
      <c r="C57" s="2" t="s">
        <v>33</v>
      </c>
      <c r="D57" s="3">
        <v>46266</v>
      </c>
      <c r="E57" s="2" t="s">
        <v>242</v>
      </c>
      <c r="F57" s="2" t="s">
        <v>236</v>
      </c>
      <c r="G57" s="4">
        <v>4</v>
      </c>
      <c r="H57" s="4">
        <v>4</v>
      </c>
      <c r="I57" s="4">
        <v>0</v>
      </c>
      <c r="J57" s="5">
        <v>118</v>
      </c>
      <c r="K57" s="2" t="s">
        <v>226</v>
      </c>
      <c r="L57" s="2" t="s">
        <v>227</v>
      </c>
    </row>
    <row r="58" spans="1:12" ht="15">
      <c r="A58" s="2" t="s">
        <v>43</v>
      </c>
      <c r="B58" s="2">
        <v>10</v>
      </c>
      <c r="C58" s="2" t="s">
        <v>33</v>
      </c>
      <c r="D58" s="3">
        <v>46266</v>
      </c>
      <c r="E58" s="2" t="s">
        <v>244</v>
      </c>
      <c r="F58" s="2" t="s">
        <v>234</v>
      </c>
      <c r="G58" s="4">
        <v>2</v>
      </c>
      <c r="H58" s="4">
        <v>2</v>
      </c>
      <c r="I58" s="4">
        <v>0</v>
      </c>
      <c r="J58" s="5">
        <v>59</v>
      </c>
      <c r="K58" s="2" t="s">
        <v>226</v>
      </c>
      <c r="L58" s="2" t="s">
        <v>227</v>
      </c>
    </row>
    <row r="59" spans="1:12" ht="15">
      <c r="A59" s="2" t="s">
        <v>44</v>
      </c>
      <c r="B59" s="2">
        <v>1</v>
      </c>
      <c r="C59" s="2" t="s">
        <v>28</v>
      </c>
      <c r="D59" s="3">
        <v>46267</v>
      </c>
      <c r="E59" s="2" t="s">
        <v>237</v>
      </c>
      <c r="F59" s="2" t="s">
        <v>225</v>
      </c>
      <c r="G59" s="4">
        <v>2.6</v>
      </c>
      <c r="H59" s="4">
        <v>2.6</v>
      </c>
      <c r="I59" s="4">
        <v>0.3</v>
      </c>
      <c r="J59" s="5">
        <v>4.4000000000000004</v>
      </c>
      <c r="K59" s="2" t="s">
        <v>249</v>
      </c>
      <c r="L59" s="2" t="s">
        <v>227</v>
      </c>
    </row>
    <row r="60" spans="1:12" ht="15">
      <c r="A60" s="2" t="s">
        <v>44</v>
      </c>
      <c r="B60" s="2">
        <v>2</v>
      </c>
      <c r="C60" s="2" t="s">
        <v>28</v>
      </c>
      <c r="D60" s="3">
        <v>46267</v>
      </c>
      <c r="E60" s="2" t="s">
        <v>243</v>
      </c>
      <c r="F60" s="2" t="s">
        <v>225</v>
      </c>
      <c r="G60" s="4">
        <v>3.2</v>
      </c>
      <c r="H60" s="4">
        <v>3.2</v>
      </c>
      <c r="I60" s="4">
        <v>0</v>
      </c>
      <c r="J60" s="5">
        <v>4.0999999999999996</v>
      </c>
      <c r="K60" s="2" t="s">
        <v>226</v>
      </c>
      <c r="L60" s="2" t="s">
        <v>227</v>
      </c>
    </row>
    <row r="61" spans="1:12" ht="15">
      <c r="A61" s="2" t="s">
        <v>44</v>
      </c>
      <c r="B61" s="2">
        <v>3</v>
      </c>
      <c r="C61" s="2" t="s">
        <v>28</v>
      </c>
      <c r="D61" s="3">
        <v>46267</v>
      </c>
      <c r="E61" s="2" t="s">
        <v>250</v>
      </c>
      <c r="F61" s="2" t="s">
        <v>225</v>
      </c>
      <c r="G61" s="4">
        <v>3</v>
      </c>
      <c r="H61" s="4">
        <v>3</v>
      </c>
      <c r="I61" s="4">
        <v>0</v>
      </c>
      <c r="J61" s="5">
        <v>4.7</v>
      </c>
      <c r="K61" s="2" t="s">
        <v>226</v>
      </c>
      <c r="L61" s="2" t="s">
        <v>227</v>
      </c>
    </row>
    <row r="62" spans="1:12" ht="15">
      <c r="A62" s="2" t="s">
        <v>44</v>
      </c>
      <c r="B62" s="2">
        <v>4</v>
      </c>
      <c r="C62" s="2" t="s">
        <v>28</v>
      </c>
      <c r="D62" s="3">
        <v>46267</v>
      </c>
      <c r="E62" s="2" t="s">
        <v>241</v>
      </c>
      <c r="F62" s="2" t="s">
        <v>225</v>
      </c>
      <c r="G62" s="4">
        <v>3.2</v>
      </c>
      <c r="H62" s="4">
        <v>3.2</v>
      </c>
      <c r="I62" s="4">
        <v>0</v>
      </c>
      <c r="J62" s="5">
        <v>3.3</v>
      </c>
      <c r="K62" s="2" t="s">
        <v>226</v>
      </c>
      <c r="L62" s="2" t="s">
        <v>227</v>
      </c>
    </row>
    <row r="63" spans="1:12" ht="15">
      <c r="A63" s="2" t="s">
        <v>45</v>
      </c>
      <c r="B63" s="2">
        <v>1</v>
      </c>
      <c r="C63" s="2" t="s">
        <v>29</v>
      </c>
      <c r="D63" s="3">
        <v>46267</v>
      </c>
      <c r="E63" s="2" t="s">
        <v>237</v>
      </c>
      <c r="F63" s="2" t="s">
        <v>225</v>
      </c>
      <c r="G63" s="4">
        <v>3.5</v>
      </c>
      <c r="H63" s="4">
        <v>3.5</v>
      </c>
      <c r="I63" s="4">
        <v>0</v>
      </c>
      <c r="J63" s="5">
        <v>4.4000000000000004</v>
      </c>
      <c r="K63" s="2" t="s">
        <v>226</v>
      </c>
      <c r="L63" s="2" t="s">
        <v>227</v>
      </c>
    </row>
    <row r="64" spans="1:12" ht="15">
      <c r="A64" s="2" t="s">
        <v>45</v>
      </c>
      <c r="B64" s="2">
        <v>2</v>
      </c>
      <c r="C64" s="2" t="s">
        <v>29</v>
      </c>
      <c r="D64" s="3">
        <v>46267</v>
      </c>
      <c r="E64" s="2" t="s">
        <v>229</v>
      </c>
      <c r="F64" s="2" t="s">
        <v>225</v>
      </c>
      <c r="G64" s="4">
        <v>6.5</v>
      </c>
      <c r="H64" s="4">
        <v>6.5</v>
      </c>
      <c r="I64" s="4">
        <v>0</v>
      </c>
      <c r="J64" s="5">
        <v>2.2999999999999998</v>
      </c>
      <c r="K64" s="2" t="s">
        <v>226</v>
      </c>
      <c r="L64" s="2" t="s">
        <v>227</v>
      </c>
    </row>
    <row r="65" spans="1:12" ht="15">
      <c r="A65" s="2" t="s">
        <v>45</v>
      </c>
      <c r="B65" s="2">
        <v>3</v>
      </c>
      <c r="C65" s="2" t="s">
        <v>29</v>
      </c>
      <c r="D65" s="3">
        <v>46267</v>
      </c>
      <c r="E65" s="2" t="s">
        <v>239</v>
      </c>
      <c r="F65" s="2" t="s">
        <v>225</v>
      </c>
      <c r="G65" s="4">
        <v>6.5</v>
      </c>
      <c r="H65" s="4">
        <v>6.5</v>
      </c>
      <c r="I65" s="4">
        <v>0</v>
      </c>
      <c r="J65" s="5">
        <v>4.5999999999999996</v>
      </c>
      <c r="K65" s="2" t="s">
        <v>226</v>
      </c>
      <c r="L65" s="2" t="s">
        <v>227</v>
      </c>
    </row>
    <row r="66" spans="1:12" ht="15">
      <c r="A66" s="2" t="s">
        <v>45</v>
      </c>
      <c r="B66" s="2">
        <v>4</v>
      </c>
      <c r="C66" s="2" t="s">
        <v>29</v>
      </c>
      <c r="D66" s="3">
        <v>46267</v>
      </c>
      <c r="E66" s="2" t="s">
        <v>230</v>
      </c>
      <c r="F66" s="2" t="s">
        <v>225</v>
      </c>
      <c r="G66" s="4">
        <v>7</v>
      </c>
      <c r="H66" s="4">
        <v>7</v>
      </c>
      <c r="I66" s="4">
        <v>0</v>
      </c>
      <c r="J66" s="5">
        <v>2.2999999999999998</v>
      </c>
      <c r="K66" s="2" t="s">
        <v>226</v>
      </c>
      <c r="L66" s="2" t="s">
        <v>227</v>
      </c>
    </row>
    <row r="67" spans="1:12" ht="15">
      <c r="A67" s="2" t="s">
        <v>45</v>
      </c>
      <c r="B67" s="2">
        <v>5</v>
      </c>
      <c r="C67" s="2" t="s">
        <v>29</v>
      </c>
      <c r="D67" s="3">
        <v>46267</v>
      </c>
      <c r="E67" s="2" t="s">
        <v>238</v>
      </c>
      <c r="F67" s="2" t="s">
        <v>225</v>
      </c>
      <c r="G67" s="4">
        <v>5.5</v>
      </c>
      <c r="H67" s="4">
        <v>5.5</v>
      </c>
      <c r="I67" s="4">
        <v>0</v>
      </c>
      <c r="J67" s="5">
        <v>3.3</v>
      </c>
      <c r="K67" s="2" t="s">
        <v>226</v>
      </c>
      <c r="L67" s="2" t="s">
        <v>227</v>
      </c>
    </row>
    <row r="68" spans="1:12" ht="15">
      <c r="A68" s="2" t="s">
        <v>46</v>
      </c>
      <c r="B68" s="2">
        <v>1</v>
      </c>
      <c r="C68" s="2" t="s">
        <v>30</v>
      </c>
      <c r="D68" s="3">
        <v>46267</v>
      </c>
      <c r="E68" s="2" t="s">
        <v>224</v>
      </c>
      <c r="F68" s="2" t="s">
        <v>225</v>
      </c>
      <c r="G68" s="4">
        <v>6.8</v>
      </c>
      <c r="H68" s="4">
        <v>6.8</v>
      </c>
      <c r="I68" s="4">
        <v>0</v>
      </c>
      <c r="J68" s="5">
        <v>4.5999999999999996</v>
      </c>
      <c r="K68" s="2" t="s">
        <v>226</v>
      </c>
      <c r="L68" s="2" t="s">
        <v>227</v>
      </c>
    </row>
    <row r="69" spans="1:12" ht="15">
      <c r="A69" s="2" t="s">
        <v>46</v>
      </c>
      <c r="B69" s="2">
        <v>2</v>
      </c>
      <c r="C69" s="2" t="s">
        <v>30</v>
      </c>
      <c r="D69" s="3">
        <v>46267</v>
      </c>
      <c r="E69" s="2" t="s">
        <v>247</v>
      </c>
      <c r="F69" s="2" t="s">
        <v>225</v>
      </c>
      <c r="G69" s="4">
        <v>5.0999999999999996</v>
      </c>
      <c r="H69" s="4">
        <v>5.0999999999999996</v>
      </c>
      <c r="I69" s="4">
        <v>0</v>
      </c>
      <c r="J69" s="5">
        <v>5</v>
      </c>
      <c r="K69" s="2" t="s">
        <v>226</v>
      </c>
      <c r="L69" s="2" t="s">
        <v>227</v>
      </c>
    </row>
    <row r="70" spans="1:12" ht="15">
      <c r="A70" s="2" t="s">
        <v>46</v>
      </c>
      <c r="B70" s="2">
        <v>3</v>
      </c>
      <c r="C70" s="2" t="s">
        <v>30</v>
      </c>
      <c r="D70" s="3">
        <v>46267</v>
      </c>
      <c r="E70" s="2" t="s">
        <v>243</v>
      </c>
      <c r="F70" s="2" t="s">
        <v>225</v>
      </c>
      <c r="G70" s="4">
        <v>6.3</v>
      </c>
      <c r="H70" s="4">
        <v>6.3</v>
      </c>
      <c r="I70" s="4">
        <v>0</v>
      </c>
      <c r="J70" s="5">
        <v>4.0999999999999996</v>
      </c>
      <c r="K70" s="2" t="s">
        <v>226</v>
      </c>
      <c r="L70" s="2" t="s">
        <v>227</v>
      </c>
    </row>
    <row r="71" spans="1:12" ht="15">
      <c r="A71" s="2" t="s">
        <v>46</v>
      </c>
      <c r="B71" s="2">
        <v>4</v>
      </c>
      <c r="C71" s="2" t="s">
        <v>30</v>
      </c>
      <c r="D71" s="3">
        <v>46267</v>
      </c>
      <c r="E71" s="2" t="s">
        <v>241</v>
      </c>
      <c r="F71" s="2" t="s">
        <v>225</v>
      </c>
      <c r="G71" s="4">
        <v>6.3</v>
      </c>
      <c r="H71" s="4">
        <v>6.3</v>
      </c>
      <c r="I71" s="4">
        <v>0</v>
      </c>
      <c r="J71" s="5">
        <v>3.3</v>
      </c>
      <c r="K71" s="2" t="s">
        <v>226</v>
      </c>
      <c r="L71" s="2" t="s">
        <v>227</v>
      </c>
    </row>
    <row r="72" spans="1:12" ht="15">
      <c r="A72" s="2" t="s">
        <v>46</v>
      </c>
      <c r="B72" s="2">
        <v>5</v>
      </c>
      <c r="C72" s="2" t="s">
        <v>30</v>
      </c>
      <c r="D72" s="3">
        <v>46267</v>
      </c>
      <c r="E72" s="2" t="s">
        <v>238</v>
      </c>
      <c r="F72" s="2" t="s">
        <v>225</v>
      </c>
      <c r="G72" s="4">
        <v>8</v>
      </c>
      <c r="H72" s="4">
        <v>8</v>
      </c>
      <c r="I72" s="4">
        <v>0</v>
      </c>
      <c r="J72" s="5">
        <v>3.3</v>
      </c>
      <c r="K72" s="2" t="s">
        <v>226</v>
      </c>
      <c r="L72" s="2" t="s">
        <v>227</v>
      </c>
    </row>
    <row r="73" spans="1:12" ht="15">
      <c r="A73" s="2" t="s">
        <v>46</v>
      </c>
      <c r="B73" s="2">
        <v>6</v>
      </c>
      <c r="C73" s="2" t="s">
        <v>30</v>
      </c>
      <c r="D73" s="3">
        <v>46267</v>
      </c>
      <c r="E73" s="2" t="s">
        <v>248</v>
      </c>
      <c r="F73" s="2" t="s">
        <v>225</v>
      </c>
      <c r="G73" s="4">
        <v>5.7</v>
      </c>
      <c r="H73" s="4">
        <v>5.7</v>
      </c>
      <c r="I73" s="4">
        <v>0</v>
      </c>
      <c r="J73" s="5">
        <v>5.15</v>
      </c>
      <c r="K73" s="2" t="s">
        <v>226</v>
      </c>
      <c r="L73" s="2" t="s">
        <v>227</v>
      </c>
    </row>
    <row r="74" spans="1:12" ht="15">
      <c r="A74" s="2" t="s">
        <v>47</v>
      </c>
      <c r="B74" s="2">
        <v>1</v>
      </c>
      <c r="C74" s="2" t="s">
        <v>32</v>
      </c>
      <c r="D74" s="3">
        <v>46267</v>
      </c>
      <c r="E74" s="2" t="s">
        <v>224</v>
      </c>
      <c r="F74" s="2" t="s">
        <v>225</v>
      </c>
      <c r="G74" s="4">
        <v>11.4</v>
      </c>
      <c r="H74" s="4">
        <v>11.4</v>
      </c>
      <c r="I74" s="4">
        <v>0</v>
      </c>
      <c r="J74" s="5">
        <v>4.5999999999999996</v>
      </c>
      <c r="K74" s="2" t="s">
        <v>226</v>
      </c>
      <c r="L74" s="2" t="s">
        <v>227</v>
      </c>
    </row>
    <row r="75" spans="1:12" ht="15">
      <c r="A75" s="2" t="s">
        <v>47</v>
      </c>
      <c r="B75" s="2">
        <v>2</v>
      </c>
      <c r="C75" s="2" t="s">
        <v>32</v>
      </c>
      <c r="D75" s="3">
        <v>46267</v>
      </c>
      <c r="E75" s="2" t="s">
        <v>239</v>
      </c>
      <c r="F75" s="2" t="s">
        <v>225</v>
      </c>
      <c r="G75" s="4">
        <v>15.2</v>
      </c>
      <c r="H75" s="4">
        <v>15.2</v>
      </c>
      <c r="I75" s="4">
        <v>0</v>
      </c>
      <c r="J75" s="5">
        <v>4.5999999999999996</v>
      </c>
      <c r="K75" s="2" t="s">
        <v>226</v>
      </c>
      <c r="L75" s="2" t="s">
        <v>227</v>
      </c>
    </row>
    <row r="76" spans="1:12" ht="15">
      <c r="A76" s="2" t="s">
        <v>47</v>
      </c>
      <c r="B76" s="2">
        <v>3</v>
      </c>
      <c r="C76" s="2" t="s">
        <v>32</v>
      </c>
      <c r="D76" s="3">
        <v>46267</v>
      </c>
      <c r="E76" s="2" t="s">
        <v>240</v>
      </c>
      <c r="F76" s="2" t="s">
        <v>225</v>
      </c>
      <c r="G76" s="4">
        <v>7.6</v>
      </c>
      <c r="H76" s="4">
        <v>7.6</v>
      </c>
      <c r="I76" s="4">
        <v>0</v>
      </c>
      <c r="J76" s="5">
        <v>6.3</v>
      </c>
      <c r="K76" s="2" t="s">
        <v>226</v>
      </c>
      <c r="L76" s="2" t="s">
        <v>227</v>
      </c>
    </row>
    <row r="77" spans="1:12" ht="15">
      <c r="A77" s="2" t="s">
        <v>47</v>
      </c>
      <c r="B77" s="2">
        <v>4</v>
      </c>
      <c r="C77" s="2" t="s">
        <v>32</v>
      </c>
      <c r="D77" s="3">
        <v>46267</v>
      </c>
      <c r="E77" s="2" t="s">
        <v>230</v>
      </c>
      <c r="F77" s="2" t="s">
        <v>225</v>
      </c>
      <c r="G77" s="4">
        <v>8.6</v>
      </c>
      <c r="H77" s="4">
        <v>8.6</v>
      </c>
      <c r="I77" s="4">
        <v>0</v>
      </c>
      <c r="J77" s="5">
        <v>2.2999999999999998</v>
      </c>
      <c r="K77" s="2" t="s">
        <v>226</v>
      </c>
      <c r="L77" s="2" t="s">
        <v>227</v>
      </c>
    </row>
    <row r="78" spans="1:12" ht="15">
      <c r="A78" s="2" t="s">
        <v>47</v>
      </c>
      <c r="B78" s="2">
        <v>5</v>
      </c>
      <c r="C78" s="2" t="s">
        <v>32</v>
      </c>
      <c r="D78" s="3">
        <v>46267</v>
      </c>
      <c r="E78" s="2" t="s">
        <v>229</v>
      </c>
      <c r="F78" s="2" t="s">
        <v>225</v>
      </c>
      <c r="G78" s="4">
        <v>12.4</v>
      </c>
      <c r="H78" s="4">
        <v>12.4</v>
      </c>
      <c r="I78" s="4">
        <v>0</v>
      </c>
      <c r="J78" s="5">
        <v>2.2999999999999998</v>
      </c>
      <c r="K78" s="2" t="s">
        <v>226</v>
      </c>
      <c r="L78" s="2" t="s">
        <v>227</v>
      </c>
    </row>
    <row r="79" spans="1:12" ht="15">
      <c r="A79" s="2" t="s">
        <v>47</v>
      </c>
      <c r="B79" s="2">
        <v>6</v>
      </c>
      <c r="C79" s="2" t="s">
        <v>32</v>
      </c>
      <c r="D79" s="3">
        <v>46267</v>
      </c>
      <c r="E79" s="2" t="s">
        <v>238</v>
      </c>
      <c r="F79" s="2" t="s">
        <v>225</v>
      </c>
      <c r="G79" s="4">
        <v>10.5</v>
      </c>
      <c r="H79" s="4">
        <v>10.5</v>
      </c>
      <c r="I79" s="4">
        <v>0</v>
      </c>
      <c r="J79" s="5">
        <v>3.3</v>
      </c>
      <c r="K79" s="2" t="s">
        <v>226</v>
      </c>
      <c r="L79" s="2" t="s">
        <v>227</v>
      </c>
    </row>
    <row r="80" spans="1:12" ht="15">
      <c r="A80" s="2" t="s">
        <v>48</v>
      </c>
      <c r="B80" s="2">
        <v>1</v>
      </c>
      <c r="C80" s="2" t="s">
        <v>33</v>
      </c>
      <c r="D80" s="3">
        <v>46267</v>
      </c>
      <c r="E80" s="2" t="s">
        <v>245</v>
      </c>
      <c r="F80" s="2" t="s">
        <v>225</v>
      </c>
      <c r="G80" s="4">
        <v>9</v>
      </c>
      <c r="H80" s="4">
        <v>9</v>
      </c>
      <c r="I80" s="4">
        <v>0</v>
      </c>
      <c r="J80" s="5">
        <v>5</v>
      </c>
      <c r="K80" s="2" t="s">
        <v>226</v>
      </c>
      <c r="L80" s="2" t="s">
        <v>227</v>
      </c>
    </row>
    <row r="81" spans="1:12" ht="15">
      <c r="A81" s="2" t="s">
        <v>48</v>
      </c>
      <c r="B81" s="2">
        <v>2</v>
      </c>
      <c r="C81" s="2" t="s">
        <v>33</v>
      </c>
      <c r="D81" s="3">
        <v>46267</v>
      </c>
      <c r="E81" s="2" t="s">
        <v>247</v>
      </c>
      <c r="F81" s="2" t="s">
        <v>225</v>
      </c>
      <c r="G81" s="4">
        <v>10.4</v>
      </c>
      <c r="H81" s="4">
        <v>10.4</v>
      </c>
      <c r="I81" s="4">
        <v>0</v>
      </c>
      <c r="J81" s="5">
        <v>5</v>
      </c>
      <c r="K81" s="2" t="s">
        <v>226</v>
      </c>
      <c r="L81" s="2" t="s">
        <v>227</v>
      </c>
    </row>
    <row r="82" spans="1:12" ht="15">
      <c r="A82" s="2" t="s">
        <v>48</v>
      </c>
      <c r="B82" s="2">
        <v>3</v>
      </c>
      <c r="C82" s="2" t="s">
        <v>33</v>
      </c>
      <c r="D82" s="3">
        <v>46267</v>
      </c>
      <c r="E82" s="2" t="s">
        <v>243</v>
      </c>
      <c r="F82" s="2" t="s">
        <v>225</v>
      </c>
      <c r="G82" s="4">
        <v>8.3000000000000007</v>
      </c>
      <c r="H82" s="4">
        <v>8.3000000000000007</v>
      </c>
      <c r="I82" s="4">
        <v>0</v>
      </c>
      <c r="J82" s="5">
        <v>4.0999999999999996</v>
      </c>
      <c r="K82" s="2" t="s">
        <v>226</v>
      </c>
      <c r="L82" s="2" t="s">
        <v>227</v>
      </c>
    </row>
    <row r="83" spans="1:12" ht="15">
      <c r="A83" s="2" t="s">
        <v>48</v>
      </c>
      <c r="B83" s="2">
        <v>4</v>
      </c>
      <c r="C83" s="2" t="s">
        <v>33</v>
      </c>
      <c r="D83" s="3">
        <v>46267</v>
      </c>
      <c r="E83" s="2" t="s">
        <v>250</v>
      </c>
      <c r="F83" s="2" t="s">
        <v>225</v>
      </c>
      <c r="G83" s="4">
        <v>4.8</v>
      </c>
      <c r="H83" s="4">
        <v>4.8</v>
      </c>
      <c r="I83" s="4">
        <v>0</v>
      </c>
      <c r="J83" s="5">
        <v>4.7</v>
      </c>
      <c r="K83" s="2" t="s">
        <v>226</v>
      </c>
      <c r="L83" s="2" t="s">
        <v>227</v>
      </c>
    </row>
    <row r="84" spans="1:12" ht="15">
      <c r="A84" s="2" t="s">
        <v>48</v>
      </c>
      <c r="B84" s="2">
        <v>5</v>
      </c>
      <c r="C84" s="2" t="s">
        <v>33</v>
      </c>
      <c r="D84" s="3">
        <v>46267</v>
      </c>
      <c r="E84" s="2" t="s">
        <v>240</v>
      </c>
      <c r="F84" s="2" t="s">
        <v>225</v>
      </c>
      <c r="G84" s="4">
        <v>8.3000000000000007</v>
      </c>
      <c r="H84" s="4">
        <v>8.3000000000000007</v>
      </c>
      <c r="I84" s="4">
        <v>0</v>
      </c>
      <c r="J84" s="5">
        <v>6.3</v>
      </c>
      <c r="K84" s="2" t="s">
        <v>226</v>
      </c>
      <c r="L84" s="2" t="s">
        <v>227</v>
      </c>
    </row>
    <row r="85" spans="1:12" ht="15">
      <c r="A85" s="2" t="s">
        <v>48</v>
      </c>
      <c r="B85" s="2">
        <v>6</v>
      </c>
      <c r="C85" s="2" t="s">
        <v>33</v>
      </c>
      <c r="D85" s="3">
        <v>46267</v>
      </c>
      <c r="E85" s="2" t="s">
        <v>238</v>
      </c>
      <c r="F85" s="2" t="s">
        <v>225</v>
      </c>
      <c r="G85" s="4">
        <v>4.8</v>
      </c>
      <c r="H85" s="4">
        <v>4.8</v>
      </c>
      <c r="I85" s="4">
        <v>0</v>
      </c>
      <c r="J85" s="5">
        <v>3.3</v>
      </c>
      <c r="K85" s="2" t="s">
        <v>226</v>
      </c>
      <c r="L85" s="2" t="s">
        <v>227</v>
      </c>
    </row>
    <row r="86" spans="1:12" ht="15">
      <c r="A86" s="2" t="s">
        <v>49</v>
      </c>
      <c r="B86" s="2">
        <v>1</v>
      </c>
      <c r="C86" s="2" t="s">
        <v>28</v>
      </c>
      <c r="D86" s="3">
        <v>46268</v>
      </c>
      <c r="E86" s="2" t="s">
        <v>237</v>
      </c>
      <c r="F86" s="2" t="s">
        <v>225</v>
      </c>
      <c r="G86" s="4">
        <v>2.6</v>
      </c>
      <c r="H86" s="4">
        <v>2.4</v>
      </c>
      <c r="I86" s="4">
        <v>0</v>
      </c>
      <c r="J86" s="5">
        <v>4.4000000000000004</v>
      </c>
      <c r="K86" s="2" t="s">
        <v>246</v>
      </c>
      <c r="L86" s="2" t="s">
        <v>227</v>
      </c>
    </row>
    <row r="87" spans="1:12" ht="15">
      <c r="A87" s="2" t="s">
        <v>49</v>
      </c>
      <c r="B87" s="2">
        <v>2</v>
      </c>
      <c r="C87" s="2" t="s">
        <v>28</v>
      </c>
      <c r="D87" s="3">
        <v>46268</v>
      </c>
      <c r="E87" s="2" t="s">
        <v>247</v>
      </c>
      <c r="F87" s="2" t="s">
        <v>225</v>
      </c>
      <c r="G87" s="4">
        <v>2.8</v>
      </c>
      <c r="H87" s="4">
        <v>2.8</v>
      </c>
      <c r="I87" s="4">
        <v>0</v>
      </c>
      <c r="J87" s="5">
        <v>5</v>
      </c>
      <c r="K87" s="2" t="s">
        <v>226</v>
      </c>
      <c r="L87" s="2" t="s">
        <v>227</v>
      </c>
    </row>
    <row r="88" spans="1:12" ht="15">
      <c r="A88" s="2" t="s">
        <v>49</v>
      </c>
      <c r="B88" s="2">
        <v>3</v>
      </c>
      <c r="C88" s="2" t="s">
        <v>28</v>
      </c>
      <c r="D88" s="3">
        <v>46268</v>
      </c>
      <c r="E88" s="2" t="s">
        <v>248</v>
      </c>
      <c r="F88" s="2" t="s">
        <v>225</v>
      </c>
      <c r="G88" s="4">
        <v>3</v>
      </c>
      <c r="H88" s="4">
        <v>2.5</v>
      </c>
      <c r="I88" s="4">
        <v>0</v>
      </c>
      <c r="J88" s="5">
        <v>5.15</v>
      </c>
      <c r="K88" s="2" t="s">
        <v>246</v>
      </c>
      <c r="L88" s="2" t="s">
        <v>227</v>
      </c>
    </row>
    <row r="89" spans="1:12" ht="15">
      <c r="A89" s="2" t="s">
        <v>49</v>
      </c>
      <c r="B89" s="2">
        <v>4</v>
      </c>
      <c r="C89" s="2" t="s">
        <v>28</v>
      </c>
      <c r="D89" s="3">
        <v>46268</v>
      </c>
      <c r="E89" s="2" t="s">
        <v>238</v>
      </c>
      <c r="F89" s="2" t="s">
        <v>225</v>
      </c>
      <c r="G89" s="4">
        <v>3</v>
      </c>
      <c r="H89" s="4">
        <v>3</v>
      </c>
      <c r="I89" s="4">
        <v>0</v>
      </c>
      <c r="J89" s="5">
        <v>3.3</v>
      </c>
      <c r="K89" s="2" t="s">
        <v>226</v>
      </c>
      <c r="L89" s="2" t="s">
        <v>227</v>
      </c>
    </row>
    <row r="90" spans="1:12" ht="15">
      <c r="A90" s="2" t="s">
        <v>49</v>
      </c>
      <c r="B90" s="2">
        <v>5</v>
      </c>
      <c r="C90" s="2" t="s">
        <v>28</v>
      </c>
      <c r="D90" s="3">
        <v>46268</v>
      </c>
      <c r="E90" s="2" t="s">
        <v>231</v>
      </c>
      <c r="F90" s="2" t="s">
        <v>225</v>
      </c>
      <c r="G90" s="4">
        <v>3</v>
      </c>
      <c r="H90" s="4">
        <v>3</v>
      </c>
      <c r="I90" s="4">
        <v>0</v>
      </c>
      <c r="J90" s="5">
        <v>10.1</v>
      </c>
      <c r="K90" s="2" t="s">
        <v>226</v>
      </c>
      <c r="L90" s="2" t="s">
        <v>227</v>
      </c>
    </row>
    <row r="91" spans="1:12" ht="15">
      <c r="A91" s="2" t="s">
        <v>50</v>
      </c>
      <c r="B91" s="2">
        <v>1</v>
      </c>
      <c r="C91" s="2" t="s">
        <v>29</v>
      </c>
      <c r="D91" s="3">
        <v>46268</v>
      </c>
      <c r="E91" s="2" t="s">
        <v>237</v>
      </c>
      <c r="F91" s="2" t="s">
        <v>225</v>
      </c>
      <c r="G91" s="4">
        <v>5.8</v>
      </c>
      <c r="H91" s="4">
        <v>5.8</v>
      </c>
      <c r="I91" s="4">
        <v>0</v>
      </c>
      <c r="J91" s="5">
        <v>4.4000000000000004</v>
      </c>
      <c r="K91" s="2" t="s">
        <v>226</v>
      </c>
      <c r="L91" s="2" t="s">
        <v>227</v>
      </c>
    </row>
    <row r="92" spans="1:12" ht="15">
      <c r="A92" s="2" t="s">
        <v>50</v>
      </c>
      <c r="B92" s="2">
        <v>2</v>
      </c>
      <c r="C92" s="2" t="s">
        <v>29</v>
      </c>
      <c r="D92" s="3">
        <v>46268</v>
      </c>
      <c r="E92" s="2" t="s">
        <v>241</v>
      </c>
      <c r="F92" s="2" t="s">
        <v>225</v>
      </c>
      <c r="G92" s="4">
        <v>3.5</v>
      </c>
      <c r="H92" s="4">
        <v>3.5</v>
      </c>
      <c r="I92" s="4">
        <v>0</v>
      </c>
      <c r="J92" s="5">
        <v>3.3</v>
      </c>
      <c r="K92" s="2" t="s">
        <v>226</v>
      </c>
      <c r="L92" s="2" t="s">
        <v>227</v>
      </c>
    </row>
    <row r="93" spans="1:12" ht="15">
      <c r="A93" s="2" t="s">
        <v>50</v>
      </c>
      <c r="B93" s="2">
        <v>3</v>
      </c>
      <c r="C93" s="2" t="s">
        <v>29</v>
      </c>
      <c r="D93" s="3">
        <v>46268</v>
      </c>
      <c r="E93" s="2" t="s">
        <v>230</v>
      </c>
      <c r="F93" s="2" t="s">
        <v>225</v>
      </c>
      <c r="G93" s="4">
        <v>7.1</v>
      </c>
      <c r="H93" s="4">
        <v>7.1</v>
      </c>
      <c r="I93" s="4">
        <v>0</v>
      </c>
      <c r="J93" s="5">
        <v>2.2999999999999998</v>
      </c>
      <c r="K93" s="2" t="s">
        <v>226</v>
      </c>
      <c r="L93" s="2" t="s">
        <v>227</v>
      </c>
    </row>
    <row r="94" spans="1:12" ht="15">
      <c r="A94" s="2" t="s">
        <v>50</v>
      </c>
      <c r="B94" s="2">
        <v>4</v>
      </c>
      <c r="C94" s="2" t="s">
        <v>29</v>
      </c>
      <c r="D94" s="3">
        <v>46268</v>
      </c>
      <c r="E94" s="2" t="s">
        <v>229</v>
      </c>
      <c r="F94" s="2" t="s">
        <v>225</v>
      </c>
      <c r="G94" s="4">
        <v>4.9000000000000004</v>
      </c>
      <c r="H94" s="4">
        <v>4.7</v>
      </c>
      <c r="I94" s="4">
        <v>0</v>
      </c>
      <c r="J94" s="5">
        <v>2.2999999999999998</v>
      </c>
      <c r="K94" s="2" t="s">
        <v>246</v>
      </c>
      <c r="L94" s="2" t="s">
        <v>227</v>
      </c>
    </row>
    <row r="95" spans="1:12" ht="15">
      <c r="A95" s="2" t="s">
        <v>50</v>
      </c>
      <c r="B95" s="2">
        <v>5</v>
      </c>
      <c r="C95" s="2" t="s">
        <v>29</v>
      </c>
      <c r="D95" s="3">
        <v>46268</v>
      </c>
      <c r="E95" s="2" t="s">
        <v>240</v>
      </c>
      <c r="F95" s="2" t="s">
        <v>225</v>
      </c>
      <c r="G95" s="4">
        <v>5.3</v>
      </c>
      <c r="H95" s="4">
        <v>5.3</v>
      </c>
      <c r="I95" s="4">
        <v>0</v>
      </c>
      <c r="J95" s="5">
        <v>6.3</v>
      </c>
      <c r="K95" s="2" t="s">
        <v>226</v>
      </c>
      <c r="L95" s="2" t="s">
        <v>227</v>
      </c>
    </row>
    <row r="96" spans="1:12" ht="15">
      <c r="A96" s="2" t="s">
        <v>50</v>
      </c>
      <c r="B96" s="2">
        <v>6</v>
      </c>
      <c r="C96" s="2" t="s">
        <v>29</v>
      </c>
      <c r="D96" s="3">
        <v>46268</v>
      </c>
      <c r="E96" s="2" t="s">
        <v>231</v>
      </c>
      <c r="F96" s="2" t="s">
        <v>225</v>
      </c>
      <c r="G96" s="4">
        <v>4</v>
      </c>
      <c r="H96" s="4">
        <v>4</v>
      </c>
      <c r="I96" s="4">
        <v>0</v>
      </c>
      <c r="J96" s="5">
        <v>10.1</v>
      </c>
      <c r="K96" s="2" t="s">
        <v>226</v>
      </c>
      <c r="L96" s="2" t="s">
        <v>227</v>
      </c>
    </row>
    <row r="97" spans="1:12" ht="15">
      <c r="A97" s="2" t="s">
        <v>51</v>
      </c>
      <c r="B97" s="2">
        <v>1</v>
      </c>
      <c r="C97" s="2" t="s">
        <v>30</v>
      </c>
      <c r="D97" s="3">
        <v>46268</v>
      </c>
      <c r="E97" s="2" t="s">
        <v>245</v>
      </c>
      <c r="F97" s="2" t="s">
        <v>225</v>
      </c>
      <c r="G97" s="4">
        <v>8.1999999999999993</v>
      </c>
      <c r="H97" s="4">
        <v>8.1999999999999993</v>
      </c>
      <c r="I97" s="4">
        <v>0</v>
      </c>
      <c r="J97" s="5">
        <v>5</v>
      </c>
      <c r="K97" s="2" t="s">
        <v>226</v>
      </c>
      <c r="L97" s="2" t="s">
        <v>227</v>
      </c>
    </row>
    <row r="98" spans="1:12" ht="15">
      <c r="A98" s="2" t="s">
        <v>51</v>
      </c>
      <c r="B98" s="2">
        <v>2</v>
      </c>
      <c r="C98" s="2" t="s">
        <v>30</v>
      </c>
      <c r="D98" s="3">
        <v>46268</v>
      </c>
      <c r="E98" s="2" t="s">
        <v>247</v>
      </c>
      <c r="F98" s="2" t="s">
        <v>225</v>
      </c>
      <c r="G98" s="4">
        <v>4.5999999999999996</v>
      </c>
      <c r="H98" s="4">
        <v>4.5999999999999996</v>
      </c>
      <c r="I98" s="4">
        <v>0</v>
      </c>
      <c r="J98" s="5">
        <v>5</v>
      </c>
      <c r="K98" s="2" t="s">
        <v>226</v>
      </c>
      <c r="L98" s="2" t="s">
        <v>227</v>
      </c>
    </row>
    <row r="99" spans="1:12" ht="15">
      <c r="A99" s="2" t="s">
        <v>51</v>
      </c>
      <c r="B99" s="2">
        <v>3</v>
      </c>
      <c r="C99" s="2" t="s">
        <v>30</v>
      </c>
      <c r="D99" s="3">
        <v>46268</v>
      </c>
      <c r="E99" s="2" t="s">
        <v>229</v>
      </c>
      <c r="F99" s="2" t="s">
        <v>225</v>
      </c>
      <c r="G99" s="4">
        <v>6.2</v>
      </c>
      <c r="H99" s="4">
        <v>6.2</v>
      </c>
      <c r="I99" s="4">
        <v>0</v>
      </c>
      <c r="J99" s="5">
        <v>2.2999999999999998</v>
      </c>
      <c r="K99" s="2" t="s">
        <v>226</v>
      </c>
      <c r="L99" s="2" t="s">
        <v>227</v>
      </c>
    </row>
    <row r="100" spans="1:12" ht="15">
      <c r="A100" s="2" t="s">
        <v>51</v>
      </c>
      <c r="B100" s="2">
        <v>4</v>
      </c>
      <c r="C100" s="2" t="s">
        <v>30</v>
      </c>
      <c r="D100" s="3">
        <v>46268</v>
      </c>
      <c r="E100" s="2" t="s">
        <v>239</v>
      </c>
      <c r="F100" s="2" t="s">
        <v>225</v>
      </c>
      <c r="G100" s="4">
        <v>6.7</v>
      </c>
      <c r="H100" s="4">
        <v>6.7</v>
      </c>
      <c r="I100" s="4">
        <v>0</v>
      </c>
      <c r="J100" s="5">
        <v>4.5999999999999996</v>
      </c>
      <c r="K100" s="2" t="s">
        <v>226</v>
      </c>
      <c r="L100" s="2" t="s">
        <v>227</v>
      </c>
    </row>
    <row r="101" spans="1:12" ht="15">
      <c r="A101" s="2" t="s">
        <v>51</v>
      </c>
      <c r="B101" s="2">
        <v>5</v>
      </c>
      <c r="C101" s="2" t="s">
        <v>30</v>
      </c>
      <c r="D101" s="3">
        <v>46268</v>
      </c>
      <c r="E101" s="2" t="s">
        <v>250</v>
      </c>
      <c r="F101" s="2" t="s">
        <v>225</v>
      </c>
      <c r="G101" s="4">
        <v>7.2</v>
      </c>
      <c r="H101" s="4">
        <v>7.2</v>
      </c>
      <c r="I101" s="4">
        <v>0</v>
      </c>
      <c r="J101" s="5">
        <v>4.7</v>
      </c>
      <c r="K101" s="2" t="s">
        <v>226</v>
      </c>
      <c r="L101" s="2" t="s">
        <v>227</v>
      </c>
    </row>
    <row r="102" spans="1:12" ht="15">
      <c r="A102" s="2" t="s">
        <v>51</v>
      </c>
      <c r="B102" s="2">
        <v>6</v>
      </c>
      <c r="C102" s="2" t="s">
        <v>30</v>
      </c>
      <c r="D102" s="3">
        <v>46268</v>
      </c>
      <c r="E102" s="2" t="s">
        <v>241</v>
      </c>
      <c r="F102" s="2" t="s">
        <v>225</v>
      </c>
      <c r="G102" s="4">
        <v>6.2</v>
      </c>
      <c r="H102" s="4">
        <v>5.7</v>
      </c>
      <c r="I102" s="4">
        <v>0</v>
      </c>
      <c r="J102" s="5">
        <v>3.3</v>
      </c>
      <c r="K102" s="2" t="s">
        <v>246</v>
      </c>
      <c r="L102" s="2" t="s">
        <v>227</v>
      </c>
    </row>
    <row r="103" spans="1:12" ht="15">
      <c r="A103" s="2" t="s">
        <v>51</v>
      </c>
      <c r="B103" s="2">
        <v>7</v>
      </c>
      <c r="C103" s="2" t="s">
        <v>30</v>
      </c>
      <c r="D103" s="3">
        <v>46268</v>
      </c>
      <c r="E103" s="2" t="s">
        <v>231</v>
      </c>
      <c r="F103" s="2" t="s">
        <v>225</v>
      </c>
      <c r="G103" s="4">
        <v>6</v>
      </c>
      <c r="H103" s="4">
        <v>6</v>
      </c>
      <c r="I103" s="4">
        <v>0</v>
      </c>
      <c r="J103" s="5">
        <v>10.1</v>
      </c>
      <c r="K103" s="2" t="s">
        <v>226</v>
      </c>
      <c r="L103" s="2" t="s">
        <v>227</v>
      </c>
    </row>
    <row r="104" spans="1:12" ht="15">
      <c r="A104" s="2" t="s">
        <v>52</v>
      </c>
      <c r="B104" s="2">
        <v>1</v>
      </c>
      <c r="C104" s="2" t="s">
        <v>31</v>
      </c>
      <c r="D104" s="3">
        <v>46268</v>
      </c>
      <c r="E104" s="2" t="s">
        <v>245</v>
      </c>
      <c r="F104" s="2" t="s">
        <v>225</v>
      </c>
      <c r="G104" s="4">
        <v>5.6</v>
      </c>
      <c r="H104" s="4">
        <v>5.6</v>
      </c>
      <c r="I104" s="4">
        <v>0</v>
      </c>
      <c r="J104" s="5">
        <v>5</v>
      </c>
      <c r="K104" s="2" t="s">
        <v>226</v>
      </c>
      <c r="L104" s="2" t="s">
        <v>227</v>
      </c>
    </row>
    <row r="105" spans="1:12" ht="15">
      <c r="A105" s="2" t="s">
        <v>52</v>
      </c>
      <c r="B105" s="2">
        <v>2</v>
      </c>
      <c r="C105" s="2" t="s">
        <v>31</v>
      </c>
      <c r="D105" s="3">
        <v>46268</v>
      </c>
      <c r="E105" s="2" t="s">
        <v>239</v>
      </c>
      <c r="F105" s="2" t="s">
        <v>225</v>
      </c>
      <c r="G105" s="4">
        <v>4.0999999999999996</v>
      </c>
      <c r="H105" s="4">
        <v>4.0999999999999996</v>
      </c>
      <c r="I105" s="4">
        <v>0</v>
      </c>
      <c r="J105" s="5">
        <v>4.5999999999999996</v>
      </c>
      <c r="K105" s="2" t="s">
        <v>226</v>
      </c>
      <c r="L105" s="2" t="s">
        <v>227</v>
      </c>
    </row>
    <row r="106" spans="1:12" ht="15">
      <c r="A106" s="2" t="s">
        <v>52</v>
      </c>
      <c r="B106" s="2">
        <v>3</v>
      </c>
      <c r="C106" s="2" t="s">
        <v>31</v>
      </c>
      <c r="D106" s="3">
        <v>46268</v>
      </c>
      <c r="E106" s="2" t="s">
        <v>241</v>
      </c>
      <c r="F106" s="2" t="s">
        <v>225</v>
      </c>
      <c r="G106" s="4">
        <v>7.6</v>
      </c>
      <c r="H106" s="4">
        <v>7.6</v>
      </c>
      <c r="I106" s="4">
        <v>0</v>
      </c>
      <c r="J106" s="5">
        <v>3.3</v>
      </c>
      <c r="K106" s="2" t="s">
        <v>226</v>
      </c>
      <c r="L106" s="2" t="s">
        <v>227</v>
      </c>
    </row>
    <row r="107" spans="1:12" ht="15">
      <c r="A107" s="2" t="s">
        <v>52</v>
      </c>
      <c r="B107" s="2">
        <v>4</v>
      </c>
      <c r="C107" s="2" t="s">
        <v>31</v>
      </c>
      <c r="D107" s="3">
        <v>46268</v>
      </c>
      <c r="E107" s="2" t="s">
        <v>240</v>
      </c>
      <c r="F107" s="2" t="s">
        <v>225</v>
      </c>
      <c r="G107" s="4">
        <v>7.6</v>
      </c>
      <c r="H107" s="4">
        <v>7.6</v>
      </c>
      <c r="I107" s="4">
        <v>0</v>
      </c>
      <c r="J107" s="5">
        <v>6.3</v>
      </c>
      <c r="K107" s="2" t="s">
        <v>226</v>
      </c>
      <c r="L107" s="2" t="s">
        <v>227</v>
      </c>
    </row>
    <row r="108" spans="1:12" ht="15">
      <c r="A108" s="2" t="s">
        <v>52</v>
      </c>
      <c r="B108" s="2">
        <v>5</v>
      </c>
      <c r="C108" s="2" t="s">
        <v>31</v>
      </c>
      <c r="D108" s="3">
        <v>46268</v>
      </c>
      <c r="E108" s="2" t="s">
        <v>248</v>
      </c>
      <c r="F108" s="2" t="s">
        <v>225</v>
      </c>
      <c r="G108" s="4">
        <v>7.1</v>
      </c>
      <c r="H108" s="4">
        <v>7.1</v>
      </c>
      <c r="I108" s="4">
        <v>0</v>
      </c>
      <c r="J108" s="5">
        <v>5.15</v>
      </c>
      <c r="K108" s="2" t="s">
        <v>226</v>
      </c>
      <c r="L108" s="2" t="s">
        <v>227</v>
      </c>
    </row>
    <row r="109" spans="1:12" ht="15">
      <c r="A109" s="2" t="s">
        <v>52</v>
      </c>
      <c r="B109" s="2">
        <v>6</v>
      </c>
      <c r="C109" s="2" t="s">
        <v>31</v>
      </c>
      <c r="D109" s="3">
        <v>46268</v>
      </c>
      <c r="E109" s="2" t="s">
        <v>247</v>
      </c>
      <c r="F109" s="2" t="s">
        <v>225</v>
      </c>
      <c r="G109" s="4">
        <v>7.1</v>
      </c>
      <c r="H109" s="4">
        <v>7.1</v>
      </c>
      <c r="I109" s="4">
        <v>0</v>
      </c>
      <c r="J109" s="5">
        <v>5</v>
      </c>
      <c r="K109" s="2" t="s">
        <v>226</v>
      </c>
      <c r="L109" s="2" t="s">
        <v>227</v>
      </c>
    </row>
    <row r="110" spans="1:12" ht="15">
      <c r="A110" s="2" t="s">
        <v>53</v>
      </c>
      <c r="B110" s="2">
        <v>1</v>
      </c>
      <c r="C110" s="2" t="s">
        <v>32</v>
      </c>
      <c r="D110" s="3">
        <v>46268</v>
      </c>
      <c r="E110" s="2" t="s">
        <v>245</v>
      </c>
      <c r="F110" s="2" t="s">
        <v>225</v>
      </c>
      <c r="G110" s="4">
        <v>8.1999999999999993</v>
      </c>
      <c r="H110" s="4">
        <v>8.1999999999999993</v>
      </c>
      <c r="I110" s="4">
        <v>0</v>
      </c>
      <c r="J110" s="5">
        <v>5</v>
      </c>
      <c r="K110" s="2" t="s">
        <v>226</v>
      </c>
      <c r="L110" s="2" t="s">
        <v>227</v>
      </c>
    </row>
    <row r="111" spans="1:12" ht="15">
      <c r="A111" s="2" t="s">
        <v>53</v>
      </c>
      <c r="B111" s="2">
        <v>2</v>
      </c>
      <c r="C111" s="2" t="s">
        <v>32</v>
      </c>
      <c r="D111" s="3">
        <v>46268</v>
      </c>
      <c r="E111" s="2" t="s">
        <v>238</v>
      </c>
      <c r="F111" s="2" t="s">
        <v>225</v>
      </c>
      <c r="G111" s="4">
        <v>8.1999999999999993</v>
      </c>
      <c r="H111" s="4">
        <v>8.1999999999999993</v>
      </c>
      <c r="I111" s="4">
        <v>0</v>
      </c>
      <c r="J111" s="5">
        <v>3.3</v>
      </c>
      <c r="K111" s="2" t="s">
        <v>226</v>
      </c>
      <c r="L111" s="2" t="s">
        <v>227</v>
      </c>
    </row>
    <row r="112" spans="1:12" ht="15">
      <c r="A112" s="2" t="s">
        <v>53</v>
      </c>
      <c r="B112" s="2">
        <v>3</v>
      </c>
      <c r="C112" s="2" t="s">
        <v>32</v>
      </c>
      <c r="D112" s="3">
        <v>46268</v>
      </c>
      <c r="E112" s="2" t="s">
        <v>243</v>
      </c>
      <c r="F112" s="2" t="s">
        <v>225</v>
      </c>
      <c r="G112" s="4">
        <v>13.3</v>
      </c>
      <c r="H112" s="4">
        <v>13.3</v>
      </c>
      <c r="I112" s="4">
        <v>0</v>
      </c>
      <c r="J112" s="5">
        <v>4.0999999999999996</v>
      </c>
      <c r="K112" s="2" t="s">
        <v>226</v>
      </c>
      <c r="L112" s="2" t="s">
        <v>227</v>
      </c>
    </row>
    <row r="113" spans="1:12" ht="15">
      <c r="A113" s="2" t="s">
        <v>53</v>
      </c>
      <c r="B113" s="2">
        <v>4</v>
      </c>
      <c r="C113" s="2" t="s">
        <v>32</v>
      </c>
      <c r="D113" s="3">
        <v>46268</v>
      </c>
      <c r="E113" s="2" t="s">
        <v>247</v>
      </c>
      <c r="F113" s="2" t="s">
        <v>225</v>
      </c>
      <c r="G113" s="4">
        <v>7.2</v>
      </c>
      <c r="H113" s="4">
        <v>7.2</v>
      </c>
      <c r="I113" s="4">
        <v>0</v>
      </c>
      <c r="J113" s="5">
        <v>5</v>
      </c>
      <c r="K113" s="2" t="s">
        <v>226</v>
      </c>
      <c r="L113" s="2" t="s">
        <v>227</v>
      </c>
    </row>
    <row r="114" spans="1:12" ht="15">
      <c r="A114" s="2" t="s">
        <v>53</v>
      </c>
      <c r="B114" s="2">
        <v>5</v>
      </c>
      <c r="C114" s="2" t="s">
        <v>32</v>
      </c>
      <c r="D114" s="3">
        <v>46268</v>
      </c>
      <c r="E114" s="2" t="s">
        <v>240</v>
      </c>
      <c r="F114" s="2" t="s">
        <v>225</v>
      </c>
      <c r="G114" s="4">
        <v>8.1999999999999993</v>
      </c>
      <c r="H114" s="4">
        <v>8.1999999999999993</v>
      </c>
      <c r="I114" s="4">
        <v>0</v>
      </c>
      <c r="J114" s="5">
        <v>6.3</v>
      </c>
      <c r="K114" s="2" t="s">
        <v>226</v>
      </c>
      <c r="L114" s="2" t="s">
        <v>227</v>
      </c>
    </row>
    <row r="115" spans="1:12" ht="15">
      <c r="A115" s="2" t="s">
        <v>53</v>
      </c>
      <c r="B115" s="2">
        <v>6</v>
      </c>
      <c r="C115" s="2" t="s">
        <v>32</v>
      </c>
      <c r="D115" s="3">
        <v>46268</v>
      </c>
      <c r="E115" s="2" t="s">
        <v>228</v>
      </c>
      <c r="F115" s="2" t="s">
        <v>225</v>
      </c>
      <c r="G115" s="4">
        <v>16.399999999999999</v>
      </c>
      <c r="H115" s="4">
        <v>16.399999999999999</v>
      </c>
      <c r="I115" s="4">
        <v>0</v>
      </c>
      <c r="J115" s="5">
        <v>2.7</v>
      </c>
      <c r="K115" s="2" t="s">
        <v>226</v>
      </c>
      <c r="L115" s="2" t="s">
        <v>227</v>
      </c>
    </row>
    <row r="116" spans="1:12" ht="15">
      <c r="A116" s="2" t="s">
        <v>53</v>
      </c>
      <c r="B116" s="2">
        <v>7</v>
      </c>
      <c r="C116" s="2" t="s">
        <v>32</v>
      </c>
      <c r="D116" s="3">
        <v>46268</v>
      </c>
      <c r="E116" s="2" t="s">
        <v>231</v>
      </c>
      <c r="F116" s="2" t="s">
        <v>225</v>
      </c>
      <c r="G116" s="4">
        <v>12</v>
      </c>
      <c r="H116" s="4">
        <v>12</v>
      </c>
      <c r="I116" s="4">
        <v>0</v>
      </c>
      <c r="J116" s="5">
        <v>10.1</v>
      </c>
      <c r="K116" s="2" t="s">
        <v>226</v>
      </c>
      <c r="L116" s="2" t="s">
        <v>227</v>
      </c>
    </row>
    <row r="117" spans="1:12" ht="15">
      <c r="A117" s="2" t="s">
        <v>54</v>
      </c>
      <c r="B117" s="2">
        <v>1</v>
      </c>
      <c r="C117" s="2" t="s">
        <v>33</v>
      </c>
      <c r="D117" s="3">
        <v>46268</v>
      </c>
      <c r="E117" s="2" t="s">
        <v>237</v>
      </c>
      <c r="F117" s="2" t="s">
        <v>225</v>
      </c>
      <c r="G117" s="4">
        <v>5</v>
      </c>
      <c r="H117" s="4">
        <v>5</v>
      </c>
      <c r="I117" s="4">
        <v>0</v>
      </c>
      <c r="J117" s="5">
        <v>4.4000000000000004</v>
      </c>
      <c r="K117" s="2" t="s">
        <v>226</v>
      </c>
      <c r="L117" s="2" t="s">
        <v>227</v>
      </c>
    </row>
    <row r="118" spans="1:12" ht="15">
      <c r="A118" s="2" t="s">
        <v>54</v>
      </c>
      <c r="B118" s="2">
        <v>2</v>
      </c>
      <c r="C118" s="2" t="s">
        <v>33</v>
      </c>
      <c r="D118" s="3">
        <v>46268</v>
      </c>
      <c r="E118" s="2" t="s">
        <v>230</v>
      </c>
      <c r="F118" s="2" t="s">
        <v>225</v>
      </c>
      <c r="G118" s="4">
        <v>4.4000000000000004</v>
      </c>
      <c r="H118" s="4">
        <v>4.4000000000000004</v>
      </c>
      <c r="I118" s="4">
        <v>0</v>
      </c>
      <c r="J118" s="5">
        <v>2.2999999999999998</v>
      </c>
      <c r="K118" s="2" t="s">
        <v>226</v>
      </c>
      <c r="L118" s="2" t="s">
        <v>227</v>
      </c>
    </row>
    <row r="119" spans="1:12" ht="15">
      <c r="A119" s="2" t="s">
        <v>54</v>
      </c>
      <c r="B119" s="2">
        <v>3</v>
      </c>
      <c r="C119" s="2" t="s">
        <v>33</v>
      </c>
      <c r="D119" s="3">
        <v>46268</v>
      </c>
      <c r="E119" s="2" t="s">
        <v>241</v>
      </c>
      <c r="F119" s="2" t="s">
        <v>225</v>
      </c>
      <c r="G119" s="4">
        <v>8.8000000000000007</v>
      </c>
      <c r="H119" s="4">
        <v>8.8000000000000007</v>
      </c>
      <c r="I119" s="4">
        <v>0</v>
      </c>
      <c r="J119" s="5">
        <v>3.3</v>
      </c>
      <c r="K119" s="2" t="s">
        <v>226</v>
      </c>
      <c r="L119" s="2" t="s">
        <v>227</v>
      </c>
    </row>
    <row r="120" spans="1:12" ht="15">
      <c r="A120" s="2" t="s">
        <v>54</v>
      </c>
      <c r="B120" s="2">
        <v>4</v>
      </c>
      <c r="C120" s="2" t="s">
        <v>33</v>
      </c>
      <c r="D120" s="3">
        <v>46268</v>
      </c>
      <c r="E120" s="2" t="s">
        <v>250</v>
      </c>
      <c r="F120" s="2" t="s">
        <v>225</v>
      </c>
      <c r="G120" s="4">
        <v>9.5</v>
      </c>
      <c r="H120" s="4">
        <v>9.5</v>
      </c>
      <c r="I120" s="4">
        <v>0</v>
      </c>
      <c r="J120" s="5">
        <v>4.7</v>
      </c>
      <c r="K120" s="2" t="s">
        <v>226</v>
      </c>
      <c r="L120" s="2" t="s">
        <v>227</v>
      </c>
    </row>
    <row r="121" spans="1:12" ht="15">
      <c r="A121" s="2" t="s">
        <v>54</v>
      </c>
      <c r="B121" s="2">
        <v>5</v>
      </c>
      <c r="C121" s="2" t="s">
        <v>33</v>
      </c>
      <c r="D121" s="3">
        <v>46268</v>
      </c>
      <c r="E121" s="2" t="s">
        <v>229</v>
      </c>
      <c r="F121" s="2" t="s">
        <v>225</v>
      </c>
      <c r="G121" s="4">
        <v>10.1</v>
      </c>
      <c r="H121" s="4">
        <v>10.1</v>
      </c>
      <c r="I121" s="4">
        <v>0</v>
      </c>
      <c r="J121" s="5">
        <v>2.2999999999999998</v>
      </c>
      <c r="K121" s="2" t="s">
        <v>226</v>
      </c>
      <c r="L121" s="2" t="s">
        <v>227</v>
      </c>
    </row>
    <row r="122" spans="1:12" ht="15">
      <c r="A122" s="2" t="s">
        <v>54</v>
      </c>
      <c r="B122" s="2">
        <v>6</v>
      </c>
      <c r="C122" s="2" t="s">
        <v>33</v>
      </c>
      <c r="D122" s="3">
        <v>46268</v>
      </c>
      <c r="E122" s="2" t="s">
        <v>243</v>
      </c>
      <c r="F122" s="2" t="s">
        <v>225</v>
      </c>
      <c r="G122" s="4">
        <v>8.1999999999999993</v>
      </c>
      <c r="H122" s="4">
        <v>8.1999999999999993</v>
      </c>
      <c r="I122" s="4">
        <v>0</v>
      </c>
      <c r="J122" s="5">
        <v>4.0999999999999996</v>
      </c>
      <c r="K122" s="2" t="s">
        <v>226</v>
      </c>
      <c r="L122" s="2" t="s">
        <v>227</v>
      </c>
    </row>
    <row r="123" spans="1:12" ht="15">
      <c r="A123" s="2" t="s">
        <v>54</v>
      </c>
      <c r="B123" s="2">
        <v>7</v>
      </c>
      <c r="C123" s="2" t="s">
        <v>33</v>
      </c>
      <c r="D123" s="3">
        <v>46268</v>
      </c>
      <c r="E123" s="2" t="s">
        <v>231</v>
      </c>
      <c r="F123" s="2" t="s">
        <v>225</v>
      </c>
      <c r="G123" s="4">
        <v>9</v>
      </c>
      <c r="H123" s="4">
        <v>9</v>
      </c>
      <c r="I123" s="4">
        <v>0</v>
      </c>
      <c r="J123" s="5">
        <v>10.1</v>
      </c>
      <c r="K123" s="2" t="s">
        <v>226</v>
      </c>
      <c r="L123" s="2" t="s">
        <v>227</v>
      </c>
    </row>
    <row r="124" spans="1:12" ht="15">
      <c r="A124" s="2" t="s">
        <v>55</v>
      </c>
      <c r="B124" s="2">
        <v>1</v>
      </c>
      <c r="C124" s="2" t="s">
        <v>28</v>
      </c>
      <c r="D124" s="3">
        <v>46269</v>
      </c>
      <c r="E124" s="2" t="s">
        <v>224</v>
      </c>
      <c r="F124" s="2" t="s">
        <v>225</v>
      </c>
      <c r="G124" s="4">
        <v>2.6</v>
      </c>
      <c r="H124" s="4">
        <v>2.6</v>
      </c>
      <c r="I124" s="4">
        <v>0</v>
      </c>
      <c r="J124" s="5">
        <v>4.5999999999999996</v>
      </c>
      <c r="K124" s="2" t="s">
        <v>226</v>
      </c>
      <c r="L124" s="2" t="s">
        <v>227</v>
      </c>
    </row>
    <row r="125" spans="1:12" ht="15">
      <c r="A125" s="2" t="s">
        <v>55</v>
      </c>
      <c r="B125" s="2">
        <v>2</v>
      </c>
      <c r="C125" s="2" t="s">
        <v>28</v>
      </c>
      <c r="D125" s="3">
        <v>46269</v>
      </c>
      <c r="E125" s="2" t="s">
        <v>243</v>
      </c>
      <c r="F125" s="2" t="s">
        <v>225</v>
      </c>
      <c r="G125" s="4">
        <v>2</v>
      </c>
      <c r="H125" s="4">
        <v>2</v>
      </c>
      <c r="I125" s="4">
        <v>0</v>
      </c>
      <c r="J125" s="5">
        <v>4.0999999999999996</v>
      </c>
      <c r="K125" s="2" t="s">
        <v>226</v>
      </c>
      <c r="L125" s="2" t="s">
        <v>227</v>
      </c>
    </row>
    <row r="126" spans="1:12" ht="15">
      <c r="A126" s="2" t="s">
        <v>55</v>
      </c>
      <c r="B126" s="2">
        <v>3</v>
      </c>
      <c r="C126" s="2" t="s">
        <v>28</v>
      </c>
      <c r="D126" s="3">
        <v>46269</v>
      </c>
      <c r="E126" s="2" t="s">
        <v>248</v>
      </c>
      <c r="F126" s="2" t="s">
        <v>225</v>
      </c>
      <c r="G126" s="4">
        <v>3.1</v>
      </c>
      <c r="H126" s="4">
        <v>3.1</v>
      </c>
      <c r="I126" s="4">
        <v>0</v>
      </c>
      <c r="J126" s="5">
        <v>5.15</v>
      </c>
      <c r="K126" s="2" t="s">
        <v>226</v>
      </c>
      <c r="L126" s="2" t="s">
        <v>227</v>
      </c>
    </row>
    <row r="127" spans="1:12" ht="15">
      <c r="A127" s="2" t="s">
        <v>55</v>
      </c>
      <c r="B127" s="2">
        <v>4</v>
      </c>
      <c r="C127" s="2" t="s">
        <v>28</v>
      </c>
      <c r="D127" s="3">
        <v>46269</v>
      </c>
      <c r="E127" s="2" t="s">
        <v>247</v>
      </c>
      <c r="F127" s="2" t="s">
        <v>225</v>
      </c>
      <c r="G127" s="4">
        <v>2.9</v>
      </c>
      <c r="H127" s="4">
        <v>2.9</v>
      </c>
      <c r="I127" s="4">
        <v>0</v>
      </c>
      <c r="J127" s="5">
        <v>5</v>
      </c>
      <c r="K127" s="2" t="s">
        <v>226</v>
      </c>
      <c r="L127" s="2" t="s">
        <v>227</v>
      </c>
    </row>
    <row r="128" spans="1:12" ht="15">
      <c r="A128" s="2" t="s">
        <v>55</v>
      </c>
      <c r="B128" s="2">
        <v>5</v>
      </c>
      <c r="C128" s="2" t="s">
        <v>28</v>
      </c>
      <c r="D128" s="3">
        <v>46269</v>
      </c>
      <c r="E128" s="2" t="s">
        <v>232</v>
      </c>
      <c r="F128" s="2" t="s">
        <v>225</v>
      </c>
      <c r="G128" s="4">
        <v>0.5</v>
      </c>
      <c r="H128" s="4">
        <v>0.3</v>
      </c>
      <c r="I128" s="4">
        <v>0</v>
      </c>
      <c r="J128" s="5">
        <v>7.3</v>
      </c>
      <c r="K128" s="2" t="s">
        <v>246</v>
      </c>
      <c r="L128" s="2" t="s">
        <v>227</v>
      </c>
    </row>
    <row r="129" spans="1:12" ht="15">
      <c r="A129" s="2" t="s">
        <v>56</v>
      </c>
      <c r="B129" s="2">
        <v>1</v>
      </c>
      <c r="C129" s="2" t="s">
        <v>29</v>
      </c>
      <c r="D129" s="3">
        <v>46269</v>
      </c>
      <c r="E129" s="2" t="s">
        <v>224</v>
      </c>
      <c r="F129" s="2" t="s">
        <v>225</v>
      </c>
      <c r="G129" s="4">
        <v>4.2</v>
      </c>
      <c r="H129" s="4">
        <v>4.2</v>
      </c>
      <c r="I129" s="4">
        <v>0.5</v>
      </c>
      <c r="J129" s="5">
        <v>4.5999999999999996</v>
      </c>
      <c r="K129" s="2" t="s">
        <v>249</v>
      </c>
      <c r="L129" s="2" t="s">
        <v>227</v>
      </c>
    </row>
    <row r="130" spans="1:12" ht="15">
      <c r="A130" s="2" t="s">
        <v>56</v>
      </c>
      <c r="B130" s="2">
        <v>2</v>
      </c>
      <c r="C130" s="2" t="s">
        <v>29</v>
      </c>
      <c r="D130" s="3">
        <v>46269</v>
      </c>
      <c r="E130" s="2" t="s">
        <v>250</v>
      </c>
      <c r="F130" s="2" t="s">
        <v>225</v>
      </c>
      <c r="G130" s="4">
        <v>6</v>
      </c>
      <c r="H130" s="4">
        <v>6</v>
      </c>
      <c r="I130" s="4">
        <v>0</v>
      </c>
      <c r="J130" s="5">
        <v>4.7</v>
      </c>
      <c r="K130" s="2" t="s">
        <v>226</v>
      </c>
      <c r="L130" s="2" t="s">
        <v>227</v>
      </c>
    </row>
    <row r="131" spans="1:12" ht="15">
      <c r="A131" s="2" t="s">
        <v>56</v>
      </c>
      <c r="B131" s="2">
        <v>3</v>
      </c>
      <c r="C131" s="2" t="s">
        <v>29</v>
      </c>
      <c r="D131" s="3">
        <v>46269</v>
      </c>
      <c r="E131" s="2" t="s">
        <v>229</v>
      </c>
      <c r="F131" s="2" t="s">
        <v>225</v>
      </c>
      <c r="G131" s="4">
        <v>6.7</v>
      </c>
      <c r="H131" s="4">
        <v>6.7</v>
      </c>
      <c r="I131" s="4">
        <v>0</v>
      </c>
      <c r="J131" s="5">
        <v>2.2999999999999998</v>
      </c>
      <c r="K131" s="2" t="s">
        <v>226</v>
      </c>
      <c r="L131" s="2" t="s">
        <v>227</v>
      </c>
    </row>
    <row r="132" spans="1:12" ht="15">
      <c r="A132" s="2" t="s">
        <v>56</v>
      </c>
      <c r="B132" s="2">
        <v>4</v>
      </c>
      <c r="C132" s="2" t="s">
        <v>29</v>
      </c>
      <c r="D132" s="3">
        <v>46269</v>
      </c>
      <c r="E132" s="2" t="s">
        <v>239</v>
      </c>
      <c r="F132" s="2" t="s">
        <v>225</v>
      </c>
      <c r="G132" s="4">
        <v>9.1</v>
      </c>
      <c r="H132" s="4">
        <v>9.1</v>
      </c>
      <c r="I132" s="4">
        <v>0</v>
      </c>
      <c r="J132" s="5">
        <v>4.5999999999999996</v>
      </c>
      <c r="K132" s="2" t="s">
        <v>226</v>
      </c>
      <c r="L132" s="2" t="s">
        <v>227</v>
      </c>
    </row>
    <row r="133" spans="1:12" ht="15">
      <c r="A133" s="2" t="s">
        <v>56</v>
      </c>
      <c r="B133" s="2">
        <v>5</v>
      </c>
      <c r="C133" s="2" t="s">
        <v>29</v>
      </c>
      <c r="D133" s="3">
        <v>46269</v>
      </c>
      <c r="E133" s="2" t="s">
        <v>240</v>
      </c>
      <c r="F133" s="2" t="s">
        <v>225</v>
      </c>
      <c r="G133" s="4">
        <v>7.3</v>
      </c>
      <c r="H133" s="4">
        <v>7.3</v>
      </c>
      <c r="I133" s="4">
        <v>0</v>
      </c>
      <c r="J133" s="5">
        <v>6.3</v>
      </c>
      <c r="K133" s="2" t="s">
        <v>226</v>
      </c>
      <c r="L133" s="2" t="s">
        <v>227</v>
      </c>
    </row>
    <row r="134" spans="1:12" ht="15">
      <c r="A134" s="2" t="s">
        <v>56</v>
      </c>
      <c r="B134" s="2">
        <v>6</v>
      </c>
      <c r="C134" s="2" t="s">
        <v>29</v>
      </c>
      <c r="D134" s="3">
        <v>46269</v>
      </c>
      <c r="E134" s="2" t="s">
        <v>232</v>
      </c>
      <c r="F134" s="2" t="s">
        <v>225</v>
      </c>
      <c r="G134" s="4">
        <v>1</v>
      </c>
      <c r="H134" s="4">
        <v>1</v>
      </c>
      <c r="I134" s="4">
        <v>0</v>
      </c>
      <c r="J134" s="5">
        <v>7.3</v>
      </c>
      <c r="K134" s="2" t="s">
        <v>226</v>
      </c>
      <c r="L134" s="2" t="s">
        <v>227</v>
      </c>
    </row>
    <row r="135" spans="1:12" ht="15">
      <c r="A135" s="2" t="s">
        <v>57</v>
      </c>
      <c r="B135" s="2">
        <v>1</v>
      </c>
      <c r="C135" s="2" t="s">
        <v>30</v>
      </c>
      <c r="D135" s="3">
        <v>46269</v>
      </c>
      <c r="E135" s="2" t="s">
        <v>237</v>
      </c>
      <c r="F135" s="2" t="s">
        <v>225</v>
      </c>
      <c r="G135" s="4">
        <v>8.6999999999999993</v>
      </c>
      <c r="H135" s="4">
        <v>8.6999999999999993</v>
      </c>
      <c r="I135" s="4">
        <v>0</v>
      </c>
      <c r="J135" s="5">
        <v>4.4000000000000004</v>
      </c>
      <c r="K135" s="2" t="s">
        <v>226</v>
      </c>
      <c r="L135" s="2" t="s">
        <v>227</v>
      </c>
    </row>
    <row r="136" spans="1:12" ht="15">
      <c r="A136" s="2" t="s">
        <v>57</v>
      </c>
      <c r="B136" s="2">
        <v>2</v>
      </c>
      <c r="C136" s="2" t="s">
        <v>30</v>
      </c>
      <c r="D136" s="3">
        <v>46269</v>
      </c>
      <c r="E136" s="2" t="s">
        <v>248</v>
      </c>
      <c r="F136" s="2" t="s">
        <v>225</v>
      </c>
      <c r="G136" s="4">
        <v>5.3</v>
      </c>
      <c r="H136" s="4">
        <v>5.3</v>
      </c>
      <c r="I136" s="4">
        <v>0</v>
      </c>
      <c r="J136" s="5">
        <v>5.15</v>
      </c>
      <c r="K136" s="2" t="s">
        <v>226</v>
      </c>
      <c r="L136" s="2" t="s">
        <v>227</v>
      </c>
    </row>
    <row r="137" spans="1:12" ht="15">
      <c r="A137" s="2" t="s">
        <v>57</v>
      </c>
      <c r="B137" s="2">
        <v>3</v>
      </c>
      <c r="C137" s="2" t="s">
        <v>30</v>
      </c>
      <c r="D137" s="3">
        <v>46269</v>
      </c>
      <c r="E137" s="2" t="s">
        <v>229</v>
      </c>
      <c r="F137" s="2" t="s">
        <v>225</v>
      </c>
      <c r="G137" s="4">
        <v>8</v>
      </c>
      <c r="H137" s="4">
        <v>8</v>
      </c>
      <c r="I137" s="4">
        <v>0</v>
      </c>
      <c r="J137" s="5">
        <v>2.2999999999999998</v>
      </c>
      <c r="K137" s="2" t="s">
        <v>226</v>
      </c>
      <c r="L137" s="2" t="s">
        <v>227</v>
      </c>
    </row>
    <row r="138" spans="1:12" ht="15">
      <c r="A138" s="2" t="s">
        <v>57</v>
      </c>
      <c r="B138" s="2">
        <v>4</v>
      </c>
      <c r="C138" s="2" t="s">
        <v>30</v>
      </c>
      <c r="D138" s="3">
        <v>46269</v>
      </c>
      <c r="E138" s="2" t="s">
        <v>240</v>
      </c>
      <c r="F138" s="2" t="s">
        <v>225</v>
      </c>
      <c r="G138" s="4">
        <v>10.7</v>
      </c>
      <c r="H138" s="4">
        <v>10.7</v>
      </c>
      <c r="I138" s="4">
        <v>0</v>
      </c>
      <c r="J138" s="5">
        <v>6.3</v>
      </c>
      <c r="K138" s="2" t="s">
        <v>226</v>
      </c>
      <c r="L138" s="2" t="s">
        <v>227</v>
      </c>
    </row>
    <row r="139" spans="1:12" ht="15">
      <c r="A139" s="2" t="s">
        <v>57</v>
      </c>
      <c r="B139" s="2">
        <v>5</v>
      </c>
      <c r="C139" s="2" t="s">
        <v>30</v>
      </c>
      <c r="D139" s="3">
        <v>46269</v>
      </c>
      <c r="E139" s="2" t="s">
        <v>241</v>
      </c>
      <c r="F139" s="2" t="s">
        <v>225</v>
      </c>
      <c r="G139" s="4">
        <v>5.3</v>
      </c>
      <c r="H139" s="4">
        <v>5.3</v>
      </c>
      <c r="I139" s="4">
        <v>0</v>
      </c>
      <c r="J139" s="5">
        <v>3.3</v>
      </c>
      <c r="K139" s="2" t="s">
        <v>226</v>
      </c>
      <c r="L139" s="2" t="s">
        <v>227</v>
      </c>
    </row>
    <row r="140" spans="1:12" ht="15">
      <c r="A140" s="2" t="s">
        <v>57</v>
      </c>
      <c r="B140" s="2">
        <v>6</v>
      </c>
      <c r="C140" s="2" t="s">
        <v>30</v>
      </c>
      <c r="D140" s="3">
        <v>46269</v>
      </c>
      <c r="E140" s="2" t="s">
        <v>250</v>
      </c>
      <c r="F140" s="2" t="s">
        <v>225</v>
      </c>
      <c r="G140" s="4">
        <v>6</v>
      </c>
      <c r="H140" s="4">
        <v>6</v>
      </c>
      <c r="I140" s="4">
        <v>0</v>
      </c>
      <c r="J140" s="5">
        <v>4.7</v>
      </c>
      <c r="K140" s="2" t="s">
        <v>226</v>
      </c>
      <c r="L140" s="2" t="s">
        <v>227</v>
      </c>
    </row>
    <row r="141" spans="1:12" ht="15">
      <c r="A141" s="2" t="s">
        <v>57</v>
      </c>
      <c r="B141" s="2">
        <v>7</v>
      </c>
      <c r="C141" s="2" t="s">
        <v>30</v>
      </c>
      <c r="D141" s="3">
        <v>46269</v>
      </c>
      <c r="E141" s="2" t="s">
        <v>232</v>
      </c>
      <c r="F141" s="2" t="s">
        <v>225</v>
      </c>
      <c r="G141" s="4">
        <v>1</v>
      </c>
      <c r="H141" s="4">
        <v>1</v>
      </c>
      <c r="I141" s="4">
        <v>0</v>
      </c>
      <c r="J141" s="5">
        <v>7.3</v>
      </c>
      <c r="K141" s="2" t="s">
        <v>226</v>
      </c>
      <c r="L141" s="2" t="s">
        <v>227</v>
      </c>
    </row>
    <row r="142" spans="1:12" ht="15">
      <c r="A142" s="2" t="s">
        <v>58</v>
      </c>
      <c r="B142" s="2">
        <v>1</v>
      </c>
      <c r="C142" s="2" t="s">
        <v>32</v>
      </c>
      <c r="D142" s="3">
        <v>46269</v>
      </c>
      <c r="E142" s="2" t="s">
        <v>224</v>
      </c>
      <c r="F142" s="2" t="s">
        <v>225</v>
      </c>
      <c r="G142" s="4">
        <v>15.2</v>
      </c>
      <c r="H142" s="4">
        <v>15.2</v>
      </c>
      <c r="I142" s="4">
        <v>0</v>
      </c>
      <c r="J142" s="5">
        <v>4.5999999999999996</v>
      </c>
      <c r="K142" s="2" t="s">
        <v>226</v>
      </c>
      <c r="L142" s="2" t="s">
        <v>227</v>
      </c>
    </row>
    <row r="143" spans="1:12" ht="15">
      <c r="A143" s="2" t="s">
        <v>58</v>
      </c>
      <c r="B143" s="2">
        <v>2</v>
      </c>
      <c r="C143" s="2" t="s">
        <v>32</v>
      </c>
      <c r="D143" s="3">
        <v>46269</v>
      </c>
      <c r="E143" s="2" t="s">
        <v>243</v>
      </c>
      <c r="F143" s="2" t="s">
        <v>225</v>
      </c>
      <c r="G143" s="4">
        <v>11.9</v>
      </c>
      <c r="H143" s="4">
        <v>11.9</v>
      </c>
      <c r="I143" s="4">
        <v>0</v>
      </c>
      <c r="J143" s="5">
        <v>4.0999999999999996</v>
      </c>
      <c r="K143" s="2" t="s">
        <v>226</v>
      </c>
      <c r="L143" s="2" t="s">
        <v>227</v>
      </c>
    </row>
    <row r="144" spans="1:12" ht="15">
      <c r="A144" s="2" t="s">
        <v>58</v>
      </c>
      <c r="B144" s="2">
        <v>3</v>
      </c>
      <c r="C144" s="2" t="s">
        <v>32</v>
      </c>
      <c r="D144" s="3">
        <v>46269</v>
      </c>
      <c r="E144" s="2" t="s">
        <v>241</v>
      </c>
      <c r="F144" s="2" t="s">
        <v>225</v>
      </c>
      <c r="G144" s="4">
        <v>8.6999999999999993</v>
      </c>
      <c r="H144" s="4">
        <v>8.6999999999999993</v>
      </c>
      <c r="I144" s="4">
        <v>0</v>
      </c>
      <c r="J144" s="5">
        <v>3.3</v>
      </c>
      <c r="K144" s="2" t="s">
        <v>226</v>
      </c>
      <c r="L144" s="2" t="s">
        <v>227</v>
      </c>
    </row>
    <row r="145" spans="1:12" ht="15">
      <c r="A145" s="2" t="s">
        <v>58</v>
      </c>
      <c r="B145" s="2">
        <v>4</v>
      </c>
      <c r="C145" s="2" t="s">
        <v>32</v>
      </c>
      <c r="D145" s="3">
        <v>46269</v>
      </c>
      <c r="E145" s="2" t="s">
        <v>229</v>
      </c>
      <c r="F145" s="2" t="s">
        <v>225</v>
      </c>
      <c r="G145" s="4">
        <v>7.6</v>
      </c>
      <c r="H145" s="4">
        <v>7.6</v>
      </c>
      <c r="I145" s="4">
        <v>0</v>
      </c>
      <c r="J145" s="5">
        <v>2.2999999999999998</v>
      </c>
      <c r="K145" s="2" t="s">
        <v>226</v>
      </c>
      <c r="L145" s="2" t="s">
        <v>227</v>
      </c>
    </row>
    <row r="146" spans="1:12" ht="15">
      <c r="A146" s="2" t="s">
        <v>58</v>
      </c>
      <c r="B146" s="2">
        <v>5</v>
      </c>
      <c r="C146" s="2" t="s">
        <v>32</v>
      </c>
      <c r="D146" s="3">
        <v>46269</v>
      </c>
      <c r="E146" s="2" t="s">
        <v>239</v>
      </c>
      <c r="F146" s="2" t="s">
        <v>225</v>
      </c>
      <c r="G146" s="4">
        <v>17.3</v>
      </c>
      <c r="H146" s="4">
        <v>17.3</v>
      </c>
      <c r="I146" s="4">
        <v>0</v>
      </c>
      <c r="J146" s="5">
        <v>4.5999999999999996</v>
      </c>
      <c r="K146" s="2" t="s">
        <v>226</v>
      </c>
      <c r="L146" s="2" t="s">
        <v>227</v>
      </c>
    </row>
    <row r="147" spans="1:12" ht="15">
      <c r="A147" s="2" t="s">
        <v>58</v>
      </c>
      <c r="B147" s="2">
        <v>6</v>
      </c>
      <c r="C147" s="2" t="s">
        <v>32</v>
      </c>
      <c r="D147" s="3">
        <v>46269</v>
      </c>
      <c r="E147" s="2" t="s">
        <v>230</v>
      </c>
      <c r="F147" s="2" t="s">
        <v>225</v>
      </c>
      <c r="G147" s="4">
        <v>7.6</v>
      </c>
      <c r="H147" s="4">
        <v>7.6</v>
      </c>
      <c r="I147" s="4">
        <v>0</v>
      </c>
      <c r="J147" s="5">
        <v>2.2999999999999998</v>
      </c>
      <c r="K147" s="2" t="s">
        <v>226</v>
      </c>
      <c r="L147" s="2" t="s">
        <v>227</v>
      </c>
    </row>
    <row r="148" spans="1:12" ht="15">
      <c r="A148" s="2" t="s">
        <v>58</v>
      </c>
      <c r="B148" s="2">
        <v>7</v>
      </c>
      <c r="C148" s="2" t="s">
        <v>32</v>
      </c>
      <c r="D148" s="3">
        <v>46269</v>
      </c>
      <c r="E148" s="2" t="s">
        <v>232</v>
      </c>
      <c r="F148" s="2" t="s">
        <v>225</v>
      </c>
      <c r="G148" s="4">
        <v>1</v>
      </c>
      <c r="H148" s="4">
        <v>1</v>
      </c>
      <c r="I148" s="4">
        <v>0</v>
      </c>
      <c r="J148" s="5">
        <v>7.3</v>
      </c>
      <c r="K148" s="2" t="s">
        <v>226</v>
      </c>
      <c r="L148" s="2" t="s">
        <v>227</v>
      </c>
    </row>
    <row r="149" spans="1:12" ht="15">
      <c r="A149" s="2" t="s">
        <v>59</v>
      </c>
      <c r="B149" s="2">
        <v>1</v>
      </c>
      <c r="C149" s="2" t="s">
        <v>33</v>
      </c>
      <c r="D149" s="3">
        <v>46269</v>
      </c>
      <c r="E149" s="2" t="s">
        <v>224</v>
      </c>
      <c r="F149" s="2" t="s">
        <v>225</v>
      </c>
      <c r="G149" s="4">
        <v>6</v>
      </c>
      <c r="H149" s="4">
        <v>6</v>
      </c>
      <c r="I149" s="4">
        <v>0</v>
      </c>
      <c r="J149" s="5">
        <v>4.5999999999999996</v>
      </c>
      <c r="K149" s="2" t="s">
        <v>226</v>
      </c>
      <c r="L149" s="2" t="s">
        <v>227</v>
      </c>
    </row>
    <row r="150" spans="1:12" ht="15">
      <c r="A150" s="2" t="s">
        <v>59</v>
      </c>
      <c r="B150" s="2">
        <v>2</v>
      </c>
      <c r="C150" s="2" t="s">
        <v>33</v>
      </c>
      <c r="D150" s="3">
        <v>46269</v>
      </c>
      <c r="E150" s="2" t="s">
        <v>241</v>
      </c>
      <c r="F150" s="2" t="s">
        <v>225</v>
      </c>
      <c r="G150" s="4">
        <v>8</v>
      </c>
      <c r="H150" s="4">
        <v>8</v>
      </c>
      <c r="I150" s="4">
        <v>0</v>
      </c>
      <c r="J150" s="5">
        <v>3.3</v>
      </c>
      <c r="K150" s="2" t="s">
        <v>226</v>
      </c>
      <c r="L150" s="2" t="s">
        <v>227</v>
      </c>
    </row>
    <row r="151" spans="1:12" ht="15">
      <c r="A151" s="2" t="s">
        <v>59</v>
      </c>
      <c r="B151" s="2">
        <v>3</v>
      </c>
      <c r="C151" s="2" t="s">
        <v>33</v>
      </c>
      <c r="D151" s="3">
        <v>46269</v>
      </c>
      <c r="E151" s="2" t="s">
        <v>229</v>
      </c>
      <c r="F151" s="2" t="s">
        <v>225</v>
      </c>
      <c r="G151" s="4">
        <v>8</v>
      </c>
      <c r="H151" s="4">
        <v>8</v>
      </c>
      <c r="I151" s="4">
        <v>0</v>
      </c>
      <c r="J151" s="5">
        <v>2.2999999999999998</v>
      </c>
      <c r="K151" s="2" t="s">
        <v>226</v>
      </c>
      <c r="L151" s="2" t="s">
        <v>227</v>
      </c>
    </row>
    <row r="152" spans="1:12" ht="15">
      <c r="A152" s="2" t="s">
        <v>59</v>
      </c>
      <c r="B152" s="2">
        <v>4</v>
      </c>
      <c r="C152" s="2" t="s">
        <v>33</v>
      </c>
      <c r="D152" s="3">
        <v>46269</v>
      </c>
      <c r="E152" s="2" t="s">
        <v>247</v>
      </c>
      <c r="F152" s="2" t="s">
        <v>225</v>
      </c>
      <c r="G152" s="4">
        <v>8.6</v>
      </c>
      <c r="H152" s="4">
        <v>8.6</v>
      </c>
      <c r="I152" s="4">
        <v>0</v>
      </c>
      <c r="J152" s="5">
        <v>5</v>
      </c>
      <c r="K152" s="2" t="s">
        <v>226</v>
      </c>
      <c r="L152" s="2" t="s">
        <v>227</v>
      </c>
    </row>
    <row r="153" spans="1:12" ht="15">
      <c r="A153" s="2" t="s">
        <v>59</v>
      </c>
      <c r="B153" s="2">
        <v>5</v>
      </c>
      <c r="C153" s="2" t="s">
        <v>33</v>
      </c>
      <c r="D153" s="3">
        <v>46269</v>
      </c>
      <c r="E153" s="2" t="s">
        <v>250</v>
      </c>
      <c r="F153" s="2" t="s">
        <v>225</v>
      </c>
      <c r="G153" s="4">
        <v>8</v>
      </c>
      <c r="H153" s="4">
        <v>8</v>
      </c>
      <c r="I153" s="4">
        <v>0</v>
      </c>
      <c r="J153" s="5">
        <v>4.7</v>
      </c>
      <c r="K153" s="2" t="s">
        <v>226</v>
      </c>
      <c r="L153" s="2" t="s">
        <v>227</v>
      </c>
    </row>
    <row r="154" spans="1:12" ht="15">
      <c r="A154" s="2" t="s">
        <v>59</v>
      </c>
      <c r="B154" s="2">
        <v>6</v>
      </c>
      <c r="C154" s="2" t="s">
        <v>33</v>
      </c>
      <c r="D154" s="3">
        <v>46269</v>
      </c>
      <c r="E154" s="2" t="s">
        <v>228</v>
      </c>
      <c r="F154" s="2" t="s">
        <v>225</v>
      </c>
      <c r="G154" s="4">
        <v>4.7</v>
      </c>
      <c r="H154" s="4">
        <v>4.7</v>
      </c>
      <c r="I154" s="4">
        <v>0</v>
      </c>
      <c r="J154" s="5">
        <v>2.7</v>
      </c>
      <c r="K154" s="2" t="s">
        <v>226</v>
      </c>
      <c r="L154" s="2" t="s">
        <v>227</v>
      </c>
    </row>
    <row r="155" spans="1:12" ht="15">
      <c r="A155" s="2" t="s">
        <v>59</v>
      </c>
      <c r="B155" s="2">
        <v>7</v>
      </c>
      <c r="C155" s="2" t="s">
        <v>33</v>
      </c>
      <c r="D155" s="3">
        <v>46269</v>
      </c>
      <c r="E155" s="2" t="s">
        <v>232</v>
      </c>
      <c r="F155" s="2" t="s">
        <v>225</v>
      </c>
      <c r="G155" s="4">
        <v>1</v>
      </c>
      <c r="H155" s="4">
        <v>1</v>
      </c>
      <c r="I155" s="4">
        <v>0</v>
      </c>
      <c r="J155" s="5">
        <v>7.3</v>
      </c>
      <c r="K155" s="2" t="s">
        <v>226</v>
      </c>
      <c r="L155" s="2" t="s">
        <v>227</v>
      </c>
    </row>
    <row r="156" spans="1:12" ht="15">
      <c r="A156" s="2" t="s">
        <v>60</v>
      </c>
      <c r="B156" s="2">
        <v>1</v>
      </c>
      <c r="C156" s="2" t="s">
        <v>28</v>
      </c>
      <c r="D156" s="3">
        <v>46270</v>
      </c>
      <c r="E156" s="2" t="s">
        <v>245</v>
      </c>
      <c r="F156" s="2" t="s">
        <v>225</v>
      </c>
      <c r="G156" s="4">
        <v>3.1</v>
      </c>
      <c r="H156" s="4">
        <v>3.1</v>
      </c>
      <c r="I156" s="4">
        <v>0</v>
      </c>
      <c r="J156" s="5">
        <v>5</v>
      </c>
      <c r="K156" s="2" t="s">
        <v>226</v>
      </c>
      <c r="L156" s="2" t="s">
        <v>227</v>
      </c>
    </row>
    <row r="157" spans="1:12" ht="15">
      <c r="A157" s="2" t="s">
        <v>60</v>
      </c>
      <c r="B157" s="2">
        <v>2</v>
      </c>
      <c r="C157" s="2" t="s">
        <v>28</v>
      </c>
      <c r="D157" s="3">
        <v>46270</v>
      </c>
      <c r="E157" s="2" t="s">
        <v>250</v>
      </c>
      <c r="F157" s="2" t="s">
        <v>225</v>
      </c>
      <c r="G157" s="4">
        <v>2.4</v>
      </c>
      <c r="H157" s="4">
        <v>2.4</v>
      </c>
      <c r="I157" s="4">
        <v>0</v>
      </c>
      <c r="J157" s="5">
        <v>4.7</v>
      </c>
      <c r="K157" s="2" t="s">
        <v>226</v>
      </c>
      <c r="L157" s="2" t="s">
        <v>227</v>
      </c>
    </row>
    <row r="158" spans="1:12" ht="15">
      <c r="A158" s="2" t="s">
        <v>60</v>
      </c>
      <c r="B158" s="2">
        <v>3</v>
      </c>
      <c r="C158" s="2" t="s">
        <v>28</v>
      </c>
      <c r="D158" s="3">
        <v>46270</v>
      </c>
      <c r="E158" s="2" t="s">
        <v>241</v>
      </c>
      <c r="F158" s="2" t="s">
        <v>225</v>
      </c>
      <c r="G158" s="4">
        <v>3.1</v>
      </c>
      <c r="H158" s="4">
        <v>3.1</v>
      </c>
      <c r="I158" s="4">
        <v>0</v>
      </c>
      <c r="J158" s="5">
        <v>3.3</v>
      </c>
      <c r="K158" s="2" t="s">
        <v>226</v>
      </c>
      <c r="L158" s="2" t="s">
        <v>227</v>
      </c>
    </row>
    <row r="159" spans="1:12" ht="15">
      <c r="A159" s="2" t="s">
        <v>60</v>
      </c>
      <c r="B159" s="2">
        <v>4</v>
      </c>
      <c r="C159" s="2" t="s">
        <v>28</v>
      </c>
      <c r="D159" s="3">
        <v>46270</v>
      </c>
      <c r="E159" s="2" t="s">
        <v>248</v>
      </c>
      <c r="F159" s="2" t="s">
        <v>225</v>
      </c>
      <c r="G159" s="4">
        <v>2.9</v>
      </c>
      <c r="H159" s="4">
        <v>2.9</v>
      </c>
      <c r="I159" s="4">
        <v>0</v>
      </c>
      <c r="J159" s="5">
        <v>5.15</v>
      </c>
      <c r="K159" s="2" t="s">
        <v>226</v>
      </c>
      <c r="L159" s="2" t="s">
        <v>227</v>
      </c>
    </row>
    <row r="160" spans="1:12" ht="15">
      <c r="A160" s="2" t="s">
        <v>60</v>
      </c>
      <c r="B160" s="2">
        <v>5</v>
      </c>
      <c r="C160" s="2" t="s">
        <v>28</v>
      </c>
      <c r="D160" s="3">
        <v>46270</v>
      </c>
      <c r="E160" s="2" t="s">
        <v>231</v>
      </c>
      <c r="F160" s="2" t="s">
        <v>225</v>
      </c>
      <c r="G160" s="4">
        <v>3</v>
      </c>
      <c r="H160" s="4">
        <v>3</v>
      </c>
      <c r="I160" s="4">
        <v>0</v>
      </c>
      <c r="J160" s="5">
        <v>10.1</v>
      </c>
      <c r="K160" s="2" t="s">
        <v>226</v>
      </c>
      <c r="L160" s="2" t="s">
        <v>227</v>
      </c>
    </row>
    <row r="161" spans="1:12" ht="15">
      <c r="A161" s="2" t="s">
        <v>61</v>
      </c>
      <c r="B161" s="2">
        <v>1</v>
      </c>
      <c r="C161" s="2" t="s">
        <v>29</v>
      </c>
      <c r="D161" s="3">
        <v>46270</v>
      </c>
      <c r="E161" s="2" t="s">
        <v>224</v>
      </c>
      <c r="F161" s="2" t="s">
        <v>225</v>
      </c>
      <c r="G161" s="4">
        <v>7.5</v>
      </c>
      <c r="H161" s="4">
        <v>7.5</v>
      </c>
      <c r="I161" s="4">
        <v>0</v>
      </c>
      <c r="J161" s="5">
        <v>4.5999999999999996</v>
      </c>
      <c r="K161" s="2" t="s">
        <v>226</v>
      </c>
      <c r="L161" s="2" t="s">
        <v>227</v>
      </c>
    </row>
    <row r="162" spans="1:12" ht="15">
      <c r="A162" s="2" t="s">
        <v>61</v>
      </c>
      <c r="B162" s="2">
        <v>2</v>
      </c>
      <c r="C162" s="2" t="s">
        <v>29</v>
      </c>
      <c r="D162" s="3">
        <v>46270</v>
      </c>
      <c r="E162" s="2" t="s">
        <v>240</v>
      </c>
      <c r="F162" s="2" t="s">
        <v>225</v>
      </c>
      <c r="G162" s="4">
        <v>8.8000000000000007</v>
      </c>
      <c r="H162" s="4">
        <v>8.8000000000000007</v>
      </c>
      <c r="I162" s="4">
        <v>0</v>
      </c>
      <c r="J162" s="5">
        <v>6.3</v>
      </c>
      <c r="K162" s="2" t="s">
        <v>226</v>
      </c>
      <c r="L162" s="2" t="s">
        <v>227</v>
      </c>
    </row>
    <row r="163" spans="1:12" ht="15">
      <c r="A163" s="2" t="s">
        <v>61</v>
      </c>
      <c r="B163" s="2">
        <v>3</v>
      </c>
      <c r="C163" s="2" t="s">
        <v>29</v>
      </c>
      <c r="D163" s="3">
        <v>46270</v>
      </c>
      <c r="E163" s="2" t="s">
        <v>241</v>
      </c>
      <c r="F163" s="2" t="s">
        <v>225</v>
      </c>
      <c r="G163" s="4">
        <v>6.3</v>
      </c>
      <c r="H163" s="4">
        <v>6.3</v>
      </c>
      <c r="I163" s="4">
        <v>0</v>
      </c>
      <c r="J163" s="5">
        <v>3.3</v>
      </c>
      <c r="K163" s="2" t="s">
        <v>226</v>
      </c>
      <c r="L163" s="2" t="s">
        <v>227</v>
      </c>
    </row>
    <row r="164" spans="1:12" ht="15">
      <c r="A164" s="2" t="s">
        <v>61</v>
      </c>
      <c r="B164" s="2">
        <v>4</v>
      </c>
      <c r="C164" s="2" t="s">
        <v>29</v>
      </c>
      <c r="D164" s="3">
        <v>46270</v>
      </c>
      <c r="E164" s="2" t="s">
        <v>248</v>
      </c>
      <c r="F164" s="2" t="s">
        <v>225</v>
      </c>
      <c r="G164" s="4">
        <v>6.9</v>
      </c>
      <c r="H164" s="4">
        <v>6.9</v>
      </c>
      <c r="I164" s="4">
        <v>0</v>
      </c>
      <c r="J164" s="5">
        <v>5.15</v>
      </c>
      <c r="K164" s="2" t="s">
        <v>226</v>
      </c>
      <c r="L164" s="2" t="s">
        <v>227</v>
      </c>
    </row>
    <row r="165" spans="1:12" ht="15">
      <c r="A165" s="2" t="s">
        <v>61</v>
      </c>
      <c r="B165" s="2">
        <v>5</v>
      </c>
      <c r="C165" s="2" t="s">
        <v>29</v>
      </c>
      <c r="D165" s="3">
        <v>46270</v>
      </c>
      <c r="E165" s="2" t="s">
        <v>243</v>
      </c>
      <c r="F165" s="2" t="s">
        <v>225</v>
      </c>
      <c r="G165" s="4">
        <v>9.4</v>
      </c>
      <c r="H165" s="4">
        <v>9.4</v>
      </c>
      <c r="I165" s="4">
        <v>0</v>
      </c>
      <c r="J165" s="5">
        <v>4.0999999999999996</v>
      </c>
      <c r="K165" s="2" t="s">
        <v>226</v>
      </c>
      <c r="L165" s="2" t="s">
        <v>227</v>
      </c>
    </row>
    <row r="166" spans="1:12" ht="15">
      <c r="A166" s="2" t="s">
        <v>61</v>
      </c>
      <c r="B166" s="2">
        <v>6</v>
      </c>
      <c r="C166" s="2" t="s">
        <v>29</v>
      </c>
      <c r="D166" s="3">
        <v>46270</v>
      </c>
      <c r="E166" s="2" t="s">
        <v>231</v>
      </c>
      <c r="F166" s="2" t="s">
        <v>225</v>
      </c>
      <c r="G166" s="4">
        <v>4</v>
      </c>
      <c r="H166" s="4">
        <v>4</v>
      </c>
      <c r="I166" s="4">
        <v>0</v>
      </c>
      <c r="J166" s="5">
        <v>10.1</v>
      </c>
      <c r="K166" s="2" t="s">
        <v>226</v>
      </c>
      <c r="L166" s="2" t="s">
        <v>227</v>
      </c>
    </row>
    <row r="167" spans="1:12" ht="15">
      <c r="A167" s="2" t="s">
        <v>62</v>
      </c>
      <c r="B167" s="2">
        <v>1</v>
      </c>
      <c r="C167" s="2" t="s">
        <v>30</v>
      </c>
      <c r="D167" s="3">
        <v>46270</v>
      </c>
      <c r="E167" s="2" t="s">
        <v>237</v>
      </c>
      <c r="F167" s="2" t="s">
        <v>225</v>
      </c>
      <c r="G167" s="4">
        <v>6.6</v>
      </c>
      <c r="H167" s="4">
        <v>6.6</v>
      </c>
      <c r="I167" s="4">
        <v>0</v>
      </c>
      <c r="J167" s="5">
        <v>4.4000000000000004</v>
      </c>
      <c r="K167" s="2" t="s">
        <v>226</v>
      </c>
      <c r="L167" s="2" t="s">
        <v>227</v>
      </c>
    </row>
    <row r="168" spans="1:12" ht="15">
      <c r="A168" s="2" t="s">
        <v>62</v>
      </c>
      <c r="B168" s="2">
        <v>2</v>
      </c>
      <c r="C168" s="2" t="s">
        <v>30</v>
      </c>
      <c r="D168" s="3">
        <v>46270</v>
      </c>
      <c r="E168" s="2" t="s">
        <v>247</v>
      </c>
      <c r="F168" s="2" t="s">
        <v>225</v>
      </c>
      <c r="G168" s="4">
        <v>6.6</v>
      </c>
      <c r="H168" s="4">
        <v>6.6</v>
      </c>
      <c r="I168" s="4">
        <v>0</v>
      </c>
      <c r="J168" s="5">
        <v>5</v>
      </c>
      <c r="K168" s="2" t="s">
        <v>226</v>
      </c>
      <c r="L168" s="2" t="s">
        <v>227</v>
      </c>
    </row>
    <row r="169" spans="1:12" ht="15">
      <c r="A169" s="2" t="s">
        <v>62</v>
      </c>
      <c r="B169" s="2">
        <v>3</v>
      </c>
      <c r="C169" s="2" t="s">
        <v>30</v>
      </c>
      <c r="D169" s="3">
        <v>46270</v>
      </c>
      <c r="E169" s="2" t="s">
        <v>228</v>
      </c>
      <c r="F169" s="2" t="s">
        <v>225</v>
      </c>
      <c r="G169" s="4">
        <v>6.6</v>
      </c>
      <c r="H169" s="4">
        <v>6.6</v>
      </c>
      <c r="I169" s="4">
        <v>0</v>
      </c>
      <c r="J169" s="5">
        <v>2.7</v>
      </c>
      <c r="K169" s="2" t="s">
        <v>226</v>
      </c>
      <c r="L169" s="2" t="s">
        <v>227</v>
      </c>
    </row>
    <row r="170" spans="1:12" ht="15">
      <c r="A170" s="2" t="s">
        <v>62</v>
      </c>
      <c r="B170" s="2">
        <v>4</v>
      </c>
      <c r="C170" s="2" t="s">
        <v>30</v>
      </c>
      <c r="D170" s="3">
        <v>46270</v>
      </c>
      <c r="E170" s="2" t="s">
        <v>238</v>
      </c>
      <c r="F170" s="2" t="s">
        <v>225</v>
      </c>
      <c r="G170" s="4">
        <v>4.9000000000000004</v>
      </c>
      <c r="H170" s="4">
        <v>4.9000000000000004</v>
      </c>
      <c r="I170" s="4">
        <v>0</v>
      </c>
      <c r="J170" s="5">
        <v>3.3</v>
      </c>
      <c r="K170" s="2" t="s">
        <v>226</v>
      </c>
      <c r="L170" s="2" t="s">
        <v>227</v>
      </c>
    </row>
    <row r="171" spans="1:12" ht="15">
      <c r="A171" s="2" t="s">
        <v>62</v>
      </c>
      <c r="B171" s="2">
        <v>5</v>
      </c>
      <c r="C171" s="2" t="s">
        <v>30</v>
      </c>
      <c r="D171" s="3">
        <v>46270</v>
      </c>
      <c r="E171" s="2" t="s">
        <v>229</v>
      </c>
      <c r="F171" s="2" t="s">
        <v>225</v>
      </c>
      <c r="G171" s="4">
        <v>4.9000000000000004</v>
      </c>
      <c r="H171" s="4">
        <v>4.9000000000000004</v>
      </c>
      <c r="I171" s="4">
        <v>0</v>
      </c>
      <c r="J171" s="5">
        <v>2.2999999999999998</v>
      </c>
      <c r="K171" s="2" t="s">
        <v>226</v>
      </c>
      <c r="L171" s="2" t="s">
        <v>227</v>
      </c>
    </row>
    <row r="172" spans="1:12" ht="15">
      <c r="A172" s="2" t="s">
        <v>62</v>
      </c>
      <c r="B172" s="2">
        <v>6</v>
      </c>
      <c r="C172" s="2" t="s">
        <v>30</v>
      </c>
      <c r="D172" s="3">
        <v>46270</v>
      </c>
      <c r="E172" s="2" t="s">
        <v>243</v>
      </c>
      <c r="F172" s="2" t="s">
        <v>225</v>
      </c>
      <c r="G172" s="4">
        <v>8.1999999999999993</v>
      </c>
      <c r="H172" s="4">
        <v>8.1999999999999993</v>
      </c>
      <c r="I172" s="4">
        <v>0</v>
      </c>
      <c r="J172" s="5">
        <v>4.0999999999999996</v>
      </c>
      <c r="K172" s="2" t="s">
        <v>226</v>
      </c>
      <c r="L172" s="2" t="s">
        <v>227</v>
      </c>
    </row>
    <row r="173" spans="1:12" ht="15">
      <c r="A173" s="2" t="s">
        <v>62</v>
      </c>
      <c r="B173" s="2">
        <v>7</v>
      </c>
      <c r="C173" s="2" t="s">
        <v>30</v>
      </c>
      <c r="D173" s="3">
        <v>46270</v>
      </c>
      <c r="E173" s="2" t="s">
        <v>231</v>
      </c>
      <c r="F173" s="2" t="s">
        <v>225</v>
      </c>
      <c r="G173" s="4">
        <v>6</v>
      </c>
      <c r="H173" s="4">
        <v>6</v>
      </c>
      <c r="I173" s="4">
        <v>0</v>
      </c>
      <c r="J173" s="5">
        <v>10.1</v>
      </c>
      <c r="K173" s="2" t="s">
        <v>226</v>
      </c>
      <c r="L173" s="2" t="s">
        <v>227</v>
      </c>
    </row>
    <row r="174" spans="1:12" ht="15">
      <c r="A174" s="2" t="s">
        <v>63</v>
      </c>
      <c r="B174" s="2">
        <v>1</v>
      </c>
      <c r="C174" s="2" t="s">
        <v>31</v>
      </c>
      <c r="D174" s="3">
        <v>46270</v>
      </c>
      <c r="E174" s="2" t="s">
        <v>224</v>
      </c>
      <c r="F174" s="2" t="s">
        <v>225</v>
      </c>
      <c r="G174" s="4">
        <v>9.4</v>
      </c>
      <c r="H174" s="4">
        <v>9.4</v>
      </c>
      <c r="I174" s="4">
        <v>0</v>
      </c>
      <c r="J174" s="5">
        <v>4.5999999999999996</v>
      </c>
      <c r="K174" s="2" t="s">
        <v>226</v>
      </c>
      <c r="L174" s="2" t="s">
        <v>227</v>
      </c>
    </row>
    <row r="175" spans="1:12" ht="15">
      <c r="A175" s="2" t="s">
        <v>63</v>
      </c>
      <c r="B175" s="2">
        <v>2</v>
      </c>
      <c r="C175" s="2" t="s">
        <v>31</v>
      </c>
      <c r="D175" s="3">
        <v>46270</v>
      </c>
      <c r="E175" s="2" t="s">
        <v>238</v>
      </c>
      <c r="F175" s="2" t="s">
        <v>225</v>
      </c>
      <c r="G175" s="4">
        <v>8.6999999999999993</v>
      </c>
      <c r="H175" s="4">
        <v>8.6999999999999993</v>
      </c>
      <c r="I175" s="4">
        <v>0</v>
      </c>
      <c r="J175" s="5">
        <v>3.3</v>
      </c>
      <c r="K175" s="2" t="s">
        <v>226</v>
      </c>
      <c r="L175" s="2" t="s">
        <v>227</v>
      </c>
    </row>
    <row r="176" spans="1:12" ht="15">
      <c r="A176" s="2" t="s">
        <v>63</v>
      </c>
      <c r="B176" s="2">
        <v>3</v>
      </c>
      <c r="C176" s="2" t="s">
        <v>31</v>
      </c>
      <c r="D176" s="3">
        <v>46270</v>
      </c>
      <c r="E176" s="2" t="s">
        <v>243</v>
      </c>
      <c r="F176" s="2" t="s">
        <v>225</v>
      </c>
      <c r="G176" s="4">
        <v>5.0999999999999996</v>
      </c>
      <c r="H176" s="4">
        <v>5.0999999999999996</v>
      </c>
      <c r="I176" s="4">
        <v>0</v>
      </c>
      <c r="J176" s="5">
        <v>4.0999999999999996</v>
      </c>
      <c r="K176" s="2" t="s">
        <v>226</v>
      </c>
      <c r="L176" s="2" t="s">
        <v>227</v>
      </c>
    </row>
    <row r="177" spans="1:12" ht="15">
      <c r="A177" s="2" t="s">
        <v>63</v>
      </c>
      <c r="B177" s="2">
        <v>4</v>
      </c>
      <c r="C177" s="2" t="s">
        <v>31</v>
      </c>
      <c r="D177" s="3">
        <v>46270</v>
      </c>
      <c r="E177" s="2" t="s">
        <v>241</v>
      </c>
      <c r="F177" s="2" t="s">
        <v>225</v>
      </c>
      <c r="G177" s="4">
        <v>5.0999999999999996</v>
      </c>
      <c r="H177" s="4">
        <v>4.5999999999999996</v>
      </c>
      <c r="I177" s="4">
        <v>0</v>
      </c>
      <c r="J177" s="5">
        <v>3.3</v>
      </c>
      <c r="K177" s="2" t="s">
        <v>246</v>
      </c>
      <c r="L177" s="2" t="s">
        <v>227</v>
      </c>
    </row>
    <row r="178" spans="1:12" ht="15">
      <c r="A178" s="2" t="s">
        <v>63</v>
      </c>
      <c r="B178" s="2">
        <v>5</v>
      </c>
      <c r="C178" s="2" t="s">
        <v>31</v>
      </c>
      <c r="D178" s="3">
        <v>46270</v>
      </c>
      <c r="E178" s="2" t="s">
        <v>229</v>
      </c>
      <c r="F178" s="2" t="s">
        <v>225</v>
      </c>
      <c r="G178" s="4">
        <v>11.6</v>
      </c>
      <c r="H178" s="4">
        <v>11.6</v>
      </c>
      <c r="I178" s="4">
        <v>0</v>
      </c>
      <c r="J178" s="5">
        <v>2.2999999999999998</v>
      </c>
      <c r="K178" s="2" t="s">
        <v>226</v>
      </c>
      <c r="L178" s="2" t="s">
        <v>227</v>
      </c>
    </row>
    <row r="179" spans="1:12" ht="15">
      <c r="A179" s="2" t="s">
        <v>63</v>
      </c>
      <c r="B179" s="2">
        <v>6</v>
      </c>
      <c r="C179" s="2" t="s">
        <v>31</v>
      </c>
      <c r="D179" s="3">
        <v>46270</v>
      </c>
      <c r="E179" s="2" t="s">
        <v>240</v>
      </c>
      <c r="F179" s="2" t="s">
        <v>225</v>
      </c>
      <c r="G179" s="4">
        <v>8.6999999999999993</v>
      </c>
      <c r="H179" s="4">
        <v>8.6999999999999993</v>
      </c>
      <c r="I179" s="4">
        <v>0</v>
      </c>
      <c r="J179" s="5">
        <v>6.3</v>
      </c>
      <c r="K179" s="2" t="s">
        <v>226</v>
      </c>
      <c r="L179" s="2" t="s">
        <v>227</v>
      </c>
    </row>
    <row r="180" spans="1:12" ht="15">
      <c r="A180" s="2" t="s">
        <v>63</v>
      </c>
      <c r="B180" s="2">
        <v>7</v>
      </c>
      <c r="C180" s="2" t="s">
        <v>31</v>
      </c>
      <c r="D180" s="3">
        <v>46270</v>
      </c>
      <c r="E180" s="2" t="s">
        <v>231</v>
      </c>
      <c r="F180" s="2" t="s">
        <v>225</v>
      </c>
      <c r="G180" s="4">
        <v>5</v>
      </c>
      <c r="H180" s="4">
        <v>5</v>
      </c>
      <c r="I180" s="4">
        <v>0</v>
      </c>
      <c r="J180" s="5">
        <v>10.1</v>
      </c>
      <c r="K180" s="2" t="s">
        <v>226</v>
      </c>
      <c r="L180" s="2" t="s">
        <v>227</v>
      </c>
    </row>
    <row r="181" spans="1:12" ht="15">
      <c r="A181" s="2" t="s">
        <v>64</v>
      </c>
      <c r="B181" s="2">
        <v>1</v>
      </c>
      <c r="C181" s="2" t="s">
        <v>33</v>
      </c>
      <c r="D181" s="3">
        <v>46270</v>
      </c>
      <c r="E181" s="2" t="s">
        <v>224</v>
      </c>
      <c r="F181" s="2" t="s">
        <v>225</v>
      </c>
      <c r="G181" s="4">
        <v>6.1</v>
      </c>
      <c r="H181" s="4">
        <v>6.1</v>
      </c>
      <c r="I181" s="4">
        <v>0</v>
      </c>
      <c r="J181" s="5">
        <v>4.5999999999999996</v>
      </c>
      <c r="K181" s="2" t="s">
        <v>226</v>
      </c>
      <c r="L181" s="2" t="s">
        <v>227</v>
      </c>
    </row>
    <row r="182" spans="1:12" ht="15">
      <c r="A182" s="2" t="s">
        <v>64</v>
      </c>
      <c r="B182" s="2">
        <v>2</v>
      </c>
      <c r="C182" s="2" t="s">
        <v>33</v>
      </c>
      <c r="D182" s="3">
        <v>46270</v>
      </c>
      <c r="E182" s="2" t="s">
        <v>238</v>
      </c>
      <c r="F182" s="2" t="s">
        <v>225</v>
      </c>
      <c r="G182" s="4">
        <v>9.4</v>
      </c>
      <c r="H182" s="4">
        <v>8.9</v>
      </c>
      <c r="I182" s="4">
        <v>0</v>
      </c>
      <c r="J182" s="5">
        <v>3.3</v>
      </c>
      <c r="K182" s="2" t="s">
        <v>246</v>
      </c>
      <c r="L182" s="2" t="s">
        <v>227</v>
      </c>
    </row>
    <row r="183" spans="1:12" ht="15">
      <c r="A183" s="2" t="s">
        <v>64</v>
      </c>
      <c r="B183" s="2">
        <v>3</v>
      </c>
      <c r="C183" s="2" t="s">
        <v>33</v>
      </c>
      <c r="D183" s="3">
        <v>46270</v>
      </c>
      <c r="E183" s="2" t="s">
        <v>248</v>
      </c>
      <c r="F183" s="2" t="s">
        <v>225</v>
      </c>
      <c r="G183" s="4">
        <v>8.1</v>
      </c>
      <c r="H183" s="4">
        <v>8.1</v>
      </c>
      <c r="I183" s="4">
        <v>0</v>
      </c>
      <c r="J183" s="5">
        <v>5.15</v>
      </c>
      <c r="K183" s="2" t="s">
        <v>226</v>
      </c>
      <c r="L183" s="2" t="s">
        <v>227</v>
      </c>
    </row>
    <row r="184" spans="1:12" ht="15">
      <c r="A184" s="2" t="s">
        <v>64</v>
      </c>
      <c r="B184" s="2">
        <v>4</v>
      </c>
      <c r="C184" s="2" t="s">
        <v>33</v>
      </c>
      <c r="D184" s="3">
        <v>46270</v>
      </c>
      <c r="E184" s="2" t="s">
        <v>230</v>
      </c>
      <c r="F184" s="2" t="s">
        <v>225</v>
      </c>
      <c r="G184" s="4">
        <v>10.8</v>
      </c>
      <c r="H184" s="4">
        <v>10.8</v>
      </c>
      <c r="I184" s="4">
        <v>0</v>
      </c>
      <c r="J184" s="5">
        <v>2.2999999999999998</v>
      </c>
      <c r="K184" s="2" t="s">
        <v>226</v>
      </c>
      <c r="L184" s="2" t="s">
        <v>227</v>
      </c>
    </row>
    <row r="185" spans="1:12" ht="15">
      <c r="A185" s="2" t="s">
        <v>64</v>
      </c>
      <c r="B185" s="2">
        <v>5</v>
      </c>
      <c r="C185" s="2" t="s">
        <v>33</v>
      </c>
      <c r="D185" s="3">
        <v>46270</v>
      </c>
      <c r="E185" s="2" t="s">
        <v>241</v>
      </c>
      <c r="F185" s="2" t="s">
        <v>225</v>
      </c>
      <c r="G185" s="4">
        <v>8.1</v>
      </c>
      <c r="H185" s="4">
        <v>8.1</v>
      </c>
      <c r="I185" s="4">
        <v>0</v>
      </c>
      <c r="J185" s="5">
        <v>3.3</v>
      </c>
      <c r="K185" s="2" t="s">
        <v>226</v>
      </c>
      <c r="L185" s="2" t="s">
        <v>227</v>
      </c>
    </row>
    <row r="186" spans="1:12" ht="15">
      <c r="A186" s="2" t="s">
        <v>64</v>
      </c>
      <c r="B186" s="2">
        <v>6</v>
      </c>
      <c r="C186" s="2" t="s">
        <v>33</v>
      </c>
      <c r="D186" s="3">
        <v>46270</v>
      </c>
      <c r="E186" s="2" t="s">
        <v>247</v>
      </c>
      <c r="F186" s="2" t="s">
        <v>225</v>
      </c>
      <c r="G186" s="4">
        <v>7.4</v>
      </c>
      <c r="H186" s="4">
        <v>7.4</v>
      </c>
      <c r="I186" s="4">
        <v>0</v>
      </c>
      <c r="J186" s="5">
        <v>5</v>
      </c>
      <c r="K186" s="2" t="s">
        <v>226</v>
      </c>
      <c r="L186" s="2" t="s">
        <v>227</v>
      </c>
    </row>
    <row r="187" spans="1:12" ht="15">
      <c r="A187" s="2" t="s">
        <v>64</v>
      </c>
      <c r="B187" s="2">
        <v>7</v>
      </c>
      <c r="C187" s="2" t="s">
        <v>33</v>
      </c>
      <c r="D187" s="3">
        <v>46270</v>
      </c>
      <c r="E187" s="2" t="s">
        <v>231</v>
      </c>
      <c r="F187" s="2" t="s">
        <v>225</v>
      </c>
      <c r="G187" s="4">
        <v>9</v>
      </c>
      <c r="H187" s="4">
        <v>9</v>
      </c>
      <c r="I187" s="4">
        <v>0</v>
      </c>
      <c r="J187" s="5">
        <v>10.1</v>
      </c>
      <c r="K187" s="2" t="s">
        <v>226</v>
      </c>
      <c r="L187" s="2" t="s">
        <v>227</v>
      </c>
    </row>
    <row r="188" spans="1:12" ht="15">
      <c r="A188" s="2" t="s">
        <v>65</v>
      </c>
      <c r="B188" s="2">
        <v>1</v>
      </c>
      <c r="C188" s="2" t="s">
        <v>29</v>
      </c>
      <c r="D188" s="3">
        <v>46271</v>
      </c>
      <c r="E188" s="2" t="s">
        <v>224</v>
      </c>
      <c r="F188" s="2" t="s">
        <v>225</v>
      </c>
      <c r="G188" s="4">
        <v>7.8</v>
      </c>
      <c r="H188" s="4">
        <v>7.8</v>
      </c>
      <c r="I188" s="4">
        <v>0.3</v>
      </c>
      <c r="J188" s="5">
        <v>4.5999999999999996</v>
      </c>
      <c r="K188" s="2" t="s">
        <v>249</v>
      </c>
      <c r="L188" s="2" t="s">
        <v>227</v>
      </c>
    </row>
    <row r="189" spans="1:12" ht="15">
      <c r="A189" s="2" t="s">
        <v>65</v>
      </c>
      <c r="B189" s="2">
        <v>2</v>
      </c>
      <c r="C189" s="2" t="s">
        <v>29</v>
      </c>
      <c r="D189" s="3">
        <v>46271</v>
      </c>
      <c r="E189" s="2" t="s">
        <v>239</v>
      </c>
      <c r="F189" s="2" t="s">
        <v>225</v>
      </c>
      <c r="G189" s="4">
        <v>6.7</v>
      </c>
      <c r="H189" s="4">
        <v>6.7</v>
      </c>
      <c r="I189" s="4">
        <v>0</v>
      </c>
      <c r="J189" s="5">
        <v>4.5999999999999996</v>
      </c>
      <c r="K189" s="2" t="s">
        <v>226</v>
      </c>
      <c r="L189" s="2" t="s">
        <v>227</v>
      </c>
    </row>
    <row r="190" spans="1:12" ht="15">
      <c r="A190" s="2" t="s">
        <v>65</v>
      </c>
      <c r="B190" s="2">
        <v>3</v>
      </c>
      <c r="C190" s="2" t="s">
        <v>29</v>
      </c>
      <c r="D190" s="3">
        <v>46271</v>
      </c>
      <c r="E190" s="2" t="s">
        <v>243</v>
      </c>
      <c r="F190" s="2" t="s">
        <v>225</v>
      </c>
      <c r="G190" s="4">
        <v>4.0999999999999996</v>
      </c>
      <c r="H190" s="4">
        <v>4.0999999999999996</v>
      </c>
      <c r="I190" s="4">
        <v>0</v>
      </c>
      <c r="J190" s="5">
        <v>4.0999999999999996</v>
      </c>
      <c r="K190" s="2" t="s">
        <v>226</v>
      </c>
      <c r="L190" s="2" t="s">
        <v>227</v>
      </c>
    </row>
    <row r="191" spans="1:12" ht="15">
      <c r="A191" s="2" t="s">
        <v>65</v>
      </c>
      <c r="B191" s="2">
        <v>4</v>
      </c>
      <c r="C191" s="2" t="s">
        <v>29</v>
      </c>
      <c r="D191" s="3">
        <v>46271</v>
      </c>
      <c r="E191" s="2" t="s">
        <v>250</v>
      </c>
      <c r="F191" s="2" t="s">
        <v>225</v>
      </c>
      <c r="G191" s="4">
        <v>7.2</v>
      </c>
      <c r="H191" s="4">
        <v>7.2</v>
      </c>
      <c r="I191" s="4">
        <v>0</v>
      </c>
      <c r="J191" s="5">
        <v>4.7</v>
      </c>
      <c r="K191" s="2" t="s">
        <v>226</v>
      </c>
      <c r="L191" s="2" t="s">
        <v>227</v>
      </c>
    </row>
    <row r="192" spans="1:12" ht="15">
      <c r="A192" s="2" t="s">
        <v>65</v>
      </c>
      <c r="B192" s="2">
        <v>5</v>
      </c>
      <c r="C192" s="2" t="s">
        <v>29</v>
      </c>
      <c r="D192" s="3">
        <v>46271</v>
      </c>
      <c r="E192" s="2" t="s">
        <v>248</v>
      </c>
      <c r="F192" s="2" t="s">
        <v>225</v>
      </c>
      <c r="G192" s="4">
        <v>6.7</v>
      </c>
      <c r="H192" s="4">
        <v>6.7</v>
      </c>
      <c r="I192" s="4">
        <v>0</v>
      </c>
      <c r="J192" s="5">
        <v>5.15</v>
      </c>
      <c r="K192" s="2" t="s">
        <v>226</v>
      </c>
      <c r="L192" s="2" t="s">
        <v>227</v>
      </c>
    </row>
    <row r="193" spans="1:12" ht="15">
      <c r="A193" s="2" t="s">
        <v>65</v>
      </c>
      <c r="B193" s="2">
        <v>6</v>
      </c>
      <c r="C193" s="2" t="s">
        <v>29</v>
      </c>
      <c r="D193" s="3">
        <v>46271</v>
      </c>
      <c r="E193" s="2" t="s">
        <v>242</v>
      </c>
      <c r="F193" s="2" t="s">
        <v>236</v>
      </c>
      <c r="G193" s="4">
        <v>3</v>
      </c>
      <c r="H193" s="4">
        <v>3</v>
      </c>
      <c r="I193" s="4">
        <v>0</v>
      </c>
      <c r="J193" s="5">
        <v>118</v>
      </c>
      <c r="K193" s="2" t="s">
        <v>226</v>
      </c>
      <c r="L193" s="2" t="s">
        <v>227</v>
      </c>
    </row>
    <row r="194" spans="1:12" ht="15">
      <c r="A194" s="2" t="s">
        <v>65</v>
      </c>
      <c r="B194" s="2">
        <v>7</v>
      </c>
      <c r="C194" s="2" t="s">
        <v>29</v>
      </c>
      <c r="D194" s="3">
        <v>46271</v>
      </c>
      <c r="E194" s="2" t="s">
        <v>233</v>
      </c>
      <c r="F194" s="2" t="s">
        <v>234</v>
      </c>
      <c r="G194" s="4">
        <v>1</v>
      </c>
      <c r="H194" s="4">
        <v>1</v>
      </c>
      <c r="I194" s="4">
        <v>0</v>
      </c>
      <c r="J194" s="5">
        <v>71</v>
      </c>
      <c r="K194" s="2" t="s">
        <v>226</v>
      </c>
      <c r="L194" s="2" t="s">
        <v>227</v>
      </c>
    </row>
    <row r="195" spans="1:12" ht="15">
      <c r="A195" s="2" t="s">
        <v>66</v>
      </c>
      <c r="B195" s="2">
        <v>1</v>
      </c>
      <c r="C195" s="2" t="s">
        <v>33</v>
      </c>
      <c r="D195" s="3">
        <v>46271</v>
      </c>
      <c r="E195" s="2" t="s">
        <v>237</v>
      </c>
      <c r="F195" s="2" t="s">
        <v>225</v>
      </c>
      <c r="G195" s="4">
        <v>7.6</v>
      </c>
      <c r="H195" s="4">
        <v>7.6</v>
      </c>
      <c r="I195" s="4">
        <v>0</v>
      </c>
      <c r="J195" s="5">
        <v>4.4000000000000004</v>
      </c>
      <c r="K195" s="2" t="s">
        <v>226</v>
      </c>
      <c r="L195" s="2" t="s">
        <v>227</v>
      </c>
    </row>
    <row r="196" spans="1:12" ht="15">
      <c r="A196" s="2" t="s">
        <v>66</v>
      </c>
      <c r="B196" s="2">
        <v>2</v>
      </c>
      <c r="C196" s="2" t="s">
        <v>33</v>
      </c>
      <c r="D196" s="3">
        <v>46271</v>
      </c>
      <c r="E196" s="2" t="s">
        <v>240</v>
      </c>
      <c r="F196" s="2" t="s">
        <v>225</v>
      </c>
      <c r="G196" s="4">
        <v>4.8</v>
      </c>
      <c r="H196" s="4">
        <v>4.8</v>
      </c>
      <c r="I196" s="4">
        <v>0</v>
      </c>
      <c r="J196" s="5">
        <v>6.3</v>
      </c>
      <c r="K196" s="2" t="s">
        <v>226</v>
      </c>
      <c r="L196" s="2" t="s">
        <v>227</v>
      </c>
    </row>
    <row r="197" spans="1:12" ht="15">
      <c r="A197" s="2" t="s">
        <v>66</v>
      </c>
      <c r="B197" s="2">
        <v>3</v>
      </c>
      <c r="C197" s="2" t="s">
        <v>33</v>
      </c>
      <c r="D197" s="3">
        <v>46271</v>
      </c>
      <c r="E197" s="2" t="s">
        <v>229</v>
      </c>
      <c r="F197" s="2" t="s">
        <v>225</v>
      </c>
      <c r="G197" s="4">
        <v>11</v>
      </c>
      <c r="H197" s="4">
        <v>11</v>
      </c>
      <c r="I197" s="4">
        <v>0</v>
      </c>
      <c r="J197" s="5">
        <v>2.2999999999999998</v>
      </c>
      <c r="K197" s="2" t="s">
        <v>226</v>
      </c>
      <c r="L197" s="2" t="s">
        <v>227</v>
      </c>
    </row>
    <row r="198" spans="1:12" ht="15">
      <c r="A198" s="2" t="s">
        <v>66</v>
      </c>
      <c r="B198" s="2">
        <v>4</v>
      </c>
      <c r="C198" s="2" t="s">
        <v>33</v>
      </c>
      <c r="D198" s="3">
        <v>46271</v>
      </c>
      <c r="E198" s="2" t="s">
        <v>250</v>
      </c>
      <c r="F198" s="2" t="s">
        <v>225</v>
      </c>
      <c r="G198" s="4">
        <v>7.6</v>
      </c>
      <c r="H198" s="4">
        <v>7.6</v>
      </c>
      <c r="I198" s="4">
        <v>0</v>
      </c>
      <c r="J198" s="5">
        <v>4.7</v>
      </c>
      <c r="K198" s="2" t="s">
        <v>226</v>
      </c>
      <c r="L198" s="2" t="s">
        <v>227</v>
      </c>
    </row>
    <row r="199" spans="1:12" ht="15">
      <c r="A199" s="2" t="s">
        <v>66</v>
      </c>
      <c r="B199" s="2">
        <v>5</v>
      </c>
      <c r="C199" s="2" t="s">
        <v>33</v>
      </c>
      <c r="D199" s="3">
        <v>46271</v>
      </c>
      <c r="E199" s="2" t="s">
        <v>241</v>
      </c>
      <c r="F199" s="2" t="s">
        <v>225</v>
      </c>
      <c r="G199" s="4">
        <v>5.5</v>
      </c>
      <c r="H199" s="4">
        <v>5.5</v>
      </c>
      <c r="I199" s="4">
        <v>0</v>
      </c>
      <c r="J199" s="5">
        <v>3.3</v>
      </c>
      <c r="K199" s="2" t="s">
        <v>226</v>
      </c>
      <c r="L199" s="2" t="s">
        <v>227</v>
      </c>
    </row>
    <row r="200" spans="1:12" ht="15">
      <c r="A200" s="2" t="s">
        <v>66</v>
      </c>
      <c r="B200" s="2">
        <v>6</v>
      </c>
      <c r="C200" s="2" t="s">
        <v>33</v>
      </c>
      <c r="D200" s="3">
        <v>46271</v>
      </c>
      <c r="E200" s="2" t="s">
        <v>247</v>
      </c>
      <c r="F200" s="2" t="s">
        <v>225</v>
      </c>
      <c r="G200" s="4">
        <v>9.6</v>
      </c>
      <c r="H200" s="4">
        <v>9.6</v>
      </c>
      <c r="I200" s="4">
        <v>0</v>
      </c>
      <c r="J200" s="5">
        <v>5</v>
      </c>
      <c r="K200" s="2" t="s">
        <v>226</v>
      </c>
      <c r="L200" s="2" t="s">
        <v>227</v>
      </c>
    </row>
    <row r="201" spans="1:12" ht="15">
      <c r="A201" s="2" t="s">
        <v>66</v>
      </c>
      <c r="B201" s="2">
        <v>7</v>
      </c>
      <c r="C201" s="2" t="s">
        <v>33</v>
      </c>
      <c r="D201" s="3">
        <v>46271</v>
      </c>
      <c r="E201" s="2" t="s">
        <v>242</v>
      </c>
      <c r="F201" s="2" t="s">
        <v>236</v>
      </c>
      <c r="G201" s="4">
        <v>4</v>
      </c>
      <c r="H201" s="4">
        <v>4</v>
      </c>
      <c r="I201" s="4">
        <v>0</v>
      </c>
      <c r="J201" s="5">
        <v>118</v>
      </c>
      <c r="K201" s="2" t="s">
        <v>226</v>
      </c>
      <c r="L201" s="2" t="s">
        <v>227</v>
      </c>
    </row>
    <row r="202" spans="1:12" ht="15">
      <c r="A202" s="2" t="s">
        <v>66</v>
      </c>
      <c r="B202" s="2">
        <v>8</v>
      </c>
      <c r="C202" s="2" t="s">
        <v>33</v>
      </c>
      <c r="D202" s="3">
        <v>46271</v>
      </c>
      <c r="E202" s="2" t="s">
        <v>244</v>
      </c>
      <c r="F202" s="2" t="s">
        <v>234</v>
      </c>
      <c r="G202" s="4">
        <v>2</v>
      </c>
      <c r="H202" s="4">
        <v>2</v>
      </c>
      <c r="I202" s="4">
        <v>0</v>
      </c>
      <c r="J202" s="5">
        <v>59</v>
      </c>
      <c r="K202" s="2" t="s">
        <v>226</v>
      </c>
      <c r="L202" s="2" t="s">
        <v>227</v>
      </c>
    </row>
    <row r="203" spans="1:12" ht="15">
      <c r="A203" s="2" t="s">
        <v>67</v>
      </c>
      <c r="B203" s="2">
        <v>1</v>
      </c>
      <c r="C203" s="2" t="s">
        <v>28</v>
      </c>
      <c r="D203" s="3">
        <v>46272</v>
      </c>
      <c r="E203" s="2" t="s">
        <v>245</v>
      </c>
      <c r="F203" s="2" t="s">
        <v>225</v>
      </c>
      <c r="G203" s="4">
        <v>3.3</v>
      </c>
      <c r="H203" s="4">
        <v>3.3</v>
      </c>
      <c r="I203" s="4">
        <v>0</v>
      </c>
      <c r="J203" s="5">
        <v>5</v>
      </c>
      <c r="K203" s="2" t="s">
        <v>226</v>
      </c>
      <c r="L203" s="2" t="s">
        <v>227</v>
      </c>
    </row>
    <row r="204" spans="1:12" ht="15">
      <c r="A204" s="2" t="s">
        <v>67</v>
      </c>
      <c r="B204" s="2">
        <v>2</v>
      </c>
      <c r="C204" s="2" t="s">
        <v>28</v>
      </c>
      <c r="D204" s="3">
        <v>46272</v>
      </c>
      <c r="E204" s="2" t="s">
        <v>228</v>
      </c>
      <c r="F204" s="2" t="s">
        <v>225</v>
      </c>
      <c r="G204" s="4">
        <v>2.1</v>
      </c>
      <c r="H204" s="4">
        <v>2.1</v>
      </c>
      <c r="I204" s="4">
        <v>0</v>
      </c>
      <c r="J204" s="5">
        <v>2.7</v>
      </c>
      <c r="K204" s="2" t="s">
        <v>226</v>
      </c>
      <c r="L204" s="2" t="s">
        <v>227</v>
      </c>
    </row>
    <row r="205" spans="1:12" ht="15">
      <c r="A205" s="2" t="s">
        <v>67</v>
      </c>
      <c r="B205" s="2">
        <v>3</v>
      </c>
      <c r="C205" s="2" t="s">
        <v>28</v>
      </c>
      <c r="D205" s="3">
        <v>46272</v>
      </c>
      <c r="E205" s="2" t="s">
        <v>238</v>
      </c>
      <c r="F205" s="2" t="s">
        <v>225</v>
      </c>
      <c r="G205" s="4">
        <v>3.3</v>
      </c>
      <c r="H205" s="4">
        <v>3.3</v>
      </c>
      <c r="I205" s="4">
        <v>0</v>
      </c>
      <c r="J205" s="5">
        <v>3.3</v>
      </c>
      <c r="K205" s="2" t="s">
        <v>226</v>
      </c>
      <c r="L205" s="2" t="s">
        <v>227</v>
      </c>
    </row>
    <row r="206" spans="1:12" ht="15">
      <c r="A206" s="2" t="s">
        <v>67</v>
      </c>
      <c r="B206" s="2">
        <v>4</v>
      </c>
      <c r="C206" s="2" t="s">
        <v>28</v>
      </c>
      <c r="D206" s="3">
        <v>46272</v>
      </c>
      <c r="E206" s="2" t="s">
        <v>243</v>
      </c>
      <c r="F206" s="2" t="s">
        <v>225</v>
      </c>
      <c r="G206" s="4">
        <v>3.8</v>
      </c>
      <c r="H206" s="4">
        <v>3.8</v>
      </c>
      <c r="I206" s="4">
        <v>0</v>
      </c>
      <c r="J206" s="5">
        <v>4.0999999999999996</v>
      </c>
      <c r="K206" s="2" t="s">
        <v>226</v>
      </c>
      <c r="L206" s="2" t="s">
        <v>227</v>
      </c>
    </row>
    <row r="207" spans="1:12" ht="15">
      <c r="A207" s="2" t="s">
        <v>67</v>
      </c>
      <c r="B207" s="2">
        <v>5</v>
      </c>
      <c r="C207" s="2" t="s">
        <v>28</v>
      </c>
      <c r="D207" s="3">
        <v>46272</v>
      </c>
      <c r="E207" s="2" t="s">
        <v>233</v>
      </c>
      <c r="F207" s="2" t="s">
        <v>234</v>
      </c>
      <c r="G207" s="4">
        <v>1</v>
      </c>
      <c r="H207" s="4">
        <v>1</v>
      </c>
      <c r="I207" s="4">
        <v>0</v>
      </c>
      <c r="J207" s="5">
        <v>71</v>
      </c>
      <c r="K207" s="2" t="s">
        <v>226</v>
      </c>
      <c r="L207" s="2" t="s">
        <v>227</v>
      </c>
    </row>
    <row r="208" spans="1:12" ht="15">
      <c r="A208" s="2" t="s">
        <v>67</v>
      </c>
      <c r="B208" s="2">
        <v>6</v>
      </c>
      <c r="C208" s="2" t="s">
        <v>28</v>
      </c>
      <c r="D208" s="3">
        <v>46272</v>
      </c>
      <c r="E208" s="2" t="s">
        <v>235</v>
      </c>
      <c r="F208" s="2" t="s">
        <v>236</v>
      </c>
      <c r="G208" s="4">
        <v>1</v>
      </c>
      <c r="H208" s="4">
        <v>1</v>
      </c>
      <c r="I208" s="4">
        <v>0</v>
      </c>
      <c r="J208" s="5">
        <v>111</v>
      </c>
      <c r="K208" s="2" t="s">
        <v>226</v>
      </c>
      <c r="L208" s="2" t="s">
        <v>227</v>
      </c>
    </row>
    <row r="209" spans="1:12" ht="15">
      <c r="A209" s="2" t="s">
        <v>68</v>
      </c>
      <c r="B209" s="2">
        <v>1</v>
      </c>
      <c r="C209" s="2" t="s">
        <v>30</v>
      </c>
      <c r="D209" s="3">
        <v>46272</v>
      </c>
      <c r="E209" s="2" t="s">
        <v>224</v>
      </c>
      <c r="F209" s="2" t="s">
        <v>225</v>
      </c>
      <c r="G209" s="4">
        <v>5.5</v>
      </c>
      <c r="H209" s="4">
        <v>5.5</v>
      </c>
      <c r="I209" s="4">
        <v>0</v>
      </c>
      <c r="J209" s="5">
        <v>4.5999999999999996</v>
      </c>
      <c r="K209" s="2" t="s">
        <v>226</v>
      </c>
      <c r="L209" s="2" t="s">
        <v>227</v>
      </c>
    </row>
    <row r="210" spans="1:12" ht="15">
      <c r="A210" s="2" t="s">
        <v>68</v>
      </c>
      <c r="B210" s="2">
        <v>2</v>
      </c>
      <c r="C210" s="2" t="s">
        <v>30</v>
      </c>
      <c r="D210" s="3">
        <v>46272</v>
      </c>
      <c r="E210" s="2" t="s">
        <v>243</v>
      </c>
      <c r="F210" s="2" t="s">
        <v>225</v>
      </c>
      <c r="G210" s="4">
        <v>4.4000000000000004</v>
      </c>
      <c r="H210" s="4">
        <v>4.4000000000000004</v>
      </c>
      <c r="I210" s="4">
        <v>0</v>
      </c>
      <c r="J210" s="5">
        <v>4.0999999999999996</v>
      </c>
      <c r="K210" s="2" t="s">
        <v>226</v>
      </c>
      <c r="L210" s="2" t="s">
        <v>227</v>
      </c>
    </row>
    <row r="211" spans="1:12" ht="15">
      <c r="A211" s="2" t="s">
        <v>68</v>
      </c>
      <c r="B211" s="2">
        <v>3</v>
      </c>
      <c r="C211" s="2" t="s">
        <v>30</v>
      </c>
      <c r="D211" s="3">
        <v>46272</v>
      </c>
      <c r="E211" s="2" t="s">
        <v>247</v>
      </c>
      <c r="F211" s="2" t="s">
        <v>225</v>
      </c>
      <c r="G211" s="4">
        <v>7.2</v>
      </c>
      <c r="H211" s="4">
        <v>7.2</v>
      </c>
      <c r="I211" s="4">
        <v>0</v>
      </c>
      <c r="J211" s="5">
        <v>5</v>
      </c>
      <c r="K211" s="2" t="s">
        <v>226</v>
      </c>
      <c r="L211" s="2" t="s">
        <v>227</v>
      </c>
    </row>
    <row r="212" spans="1:12" ht="15">
      <c r="A212" s="2" t="s">
        <v>68</v>
      </c>
      <c r="B212" s="2">
        <v>4</v>
      </c>
      <c r="C212" s="2" t="s">
        <v>30</v>
      </c>
      <c r="D212" s="3">
        <v>46272</v>
      </c>
      <c r="E212" s="2" t="s">
        <v>229</v>
      </c>
      <c r="F212" s="2" t="s">
        <v>225</v>
      </c>
      <c r="G212" s="4">
        <v>6.1</v>
      </c>
      <c r="H212" s="4">
        <v>5.6</v>
      </c>
      <c r="I212" s="4">
        <v>0</v>
      </c>
      <c r="J212" s="5">
        <v>2.2999999999999998</v>
      </c>
      <c r="K212" s="2" t="s">
        <v>246</v>
      </c>
      <c r="L212" s="2" t="s">
        <v>227</v>
      </c>
    </row>
    <row r="213" spans="1:12" ht="15">
      <c r="A213" s="2" t="s">
        <v>68</v>
      </c>
      <c r="B213" s="2">
        <v>5</v>
      </c>
      <c r="C213" s="2" t="s">
        <v>30</v>
      </c>
      <c r="D213" s="3">
        <v>46272</v>
      </c>
      <c r="E213" s="2" t="s">
        <v>239</v>
      </c>
      <c r="F213" s="2" t="s">
        <v>225</v>
      </c>
      <c r="G213" s="4">
        <v>8.8000000000000007</v>
      </c>
      <c r="H213" s="4">
        <v>8.8000000000000007</v>
      </c>
      <c r="I213" s="4">
        <v>0</v>
      </c>
      <c r="J213" s="5">
        <v>4.5999999999999996</v>
      </c>
      <c r="K213" s="2" t="s">
        <v>226</v>
      </c>
      <c r="L213" s="2" t="s">
        <v>227</v>
      </c>
    </row>
    <row r="214" spans="1:12" ht="15">
      <c r="A214" s="2" t="s">
        <v>68</v>
      </c>
      <c r="B214" s="2">
        <v>6</v>
      </c>
      <c r="C214" s="2" t="s">
        <v>30</v>
      </c>
      <c r="D214" s="3">
        <v>46272</v>
      </c>
      <c r="E214" s="2" t="s">
        <v>248</v>
      </c>
      <c r="F214" s="2" t="s">
        <v>225</v>
      </c>
      <c r="G214" s="4">
        <v>8.8000000000000007</v>
      </c>
      <c r="H214" s="4">
        <v>8.8000000000000007</v>
      </c>
      <c r="I214" s="4">
        <v>0</v>
      </c>
      <c r="J214" s="5">
        <v>5.15</v>
      </c>
      <c r="K214" s="2" t="s">
        <v>226</v>
      </c>
      <c r="L214" s="2" t="s">
        <v>227</v>
      </c>
    </row>
    <row r="215" spans="1:12" ht="15">
      <c r="A215" s="2" t="s">
        <v>68</v>
      </c>
      <c r="B215" s="2">
        <v>7</v>
      </c>
      <c r="C215" s="2" t="s">
        <v>30</v>
      </c>
      <c r="D215" s="3">
        <v>46272</v>
      </c>
      <c r="E215" s="2" t="s">
        <v>242</v>
      </c>
      <c r="F215" s="2" t="s">
        <v>236</v>
      </c>
      <c r="G215" s="4">
        <v>5</v>
      </c>
      <c r="H215" s="4">
        <v>5</v>
      </c>
      <c r="I215" s="4">
        <v>0</v>
      </c>
      <c r="J215" s="5">
        <v>118</v>
      </c>
      <c r="K215" s="2" t="s">
        <v>226</v>
      </c>
      <c r="L215" s="2" t="s">
        <v>227</v>
      </c>
    </row>
    <row r="216" spans="1:12" ht="15">
      <c r="A216" s="2" t="s">
        <v>68</v>
      </c>
      <c r="B216" s="2">
        <v>8</v>
      </c>
      <c r="C216" s="2" t="s">
        <v>30</v>
      </c>
      <c r="D216" s="3">
        <v>46272</v>
      </c>
      <c r="E216" s="2" t="s">
        <v>244</v>
      </c>
      <c r="F216" s="2" t="s">
        <v>234</v>
      </c>
      <c r="G216" s="4">
        <v>2</v>
      </c>
      <c r="H216" s="4">
        <v>2</v>
      </c>
      <c r="I216" s="4">
        <v>0</v>
      </c>
      <c r="J216" s="5">
        <v>59</v>
      </c>
      <c r="K216" s="2" t="s">
        <v>226</v>
      </c>
      <c r="L216" s="2" t="s">
        <v>227</v>
      </c>
    </row>
    <row r="217" spans="1:12" ht="15">
      <c r="A217" s="2" t="s">
        <v>69</v>
      </c>
      <c r="B217" s="2">
        <v>1</v>
      </c>
      <c r="C217" s="2" t="s">
        <v>32</v>
      </c>
      <c r="D217" s="3">
        <v>46272</v>
      </c>
      <c r="E217" s="2" t="s">
        <v>224</v>
      </c>
      <c r="F217" s="2" t="s">
        <v>225</v>
      </c>
      <c r="G217" s="4">
        <v>12</v>
      </c>
      <c r="H217" s="4">
        <v>12</v>
      </c>
      <c r="I217" s="4">
        <v>0</v>
      </c>
      <c r="J217" s="5">
        <v>4.5999999999999996</v>
      </c>
      <c r="K217" s="2" t="s">
        <v>226</v>
      </c>
      <c r="L217" s="2" t="s">
        <v>227</v>
      </c>
    </row>
    <row r="218" spans="1:12" ht="15">
      <c r="A218" s="2" t="s">
        <v>69</v>
      </c>
      <c r="B218" s="2">
        <v>2</v>
      </c>
      <c r="C218" s="2" t="s">
        <v>32</v>
      </c>
      <c r="D218" s="3">
        <v>46272</v>
      </c>
      <c r="E218" s="2" t="s">
        <v>239</v>
      </c>
      <c r="F218" s="2" t="s">
        <v>225</v>
      </c>
      <c r="G218" s="4">
        <v>9</v>
      </c>
      <c r="H218" s="4">
        <v>9</v>
      </c>
      <c r="I218" s="4">
        <v>0</v>
      </c>
      <c r="J218" s="5">
        <v>4.5999999999999996</v>
      </c>
      <c r="K218" s="2" t="s">
        <v>226</v>
      </c>
      <c r="L218" s="2" t="s">
        <v>227</v>
      </c>
    </row>
    <row r="219" spans="1:12" ht="15">
      <c r="A219" s="2" t="s">
        <v>69</v>
      </c>
      <c r="B219" s="2">
        <v>3</v>
      </c>
      <c r="C219" s="2" t="s">
        <v>32</v>
      </c>
      <c r="D219" s="3">
        <v>46272</v>
      </c>
      <c r="E219" s="2" t="s">
        <v>230</v>
      </c>
      <c r="F219" s="2" t="s">
        <v>225</v>
      </c>
      <c r="G219" s="4">
        <v>12</v>
      </c>
      <c r="H219" s="4">
        <v>12</v>
      </c>
      <c r="I219" s="4">
        <v>0</v>
      </c>
      <c r="J219" s="5">
        <v>2.2999999999999998</v>
      </c>
      <c r="K219" s="2" t="s">
        <v>226</v>
      </c>
      <c r="L219" s="2" t="s">
        <v>227</v>
      </c>
    </row>
    <row r="220" spans="1:12" ht="15">
      <c r="A220" s="2" t="s">
        <v>69</v>
      </c>
      <c r="B220" s="2">
        <v>4</v>
      </c>
      <c r="C220" s="2" t="s">
        <v>32</v>
      </c>
      <c r="D220" s="3">
        <v>46272</v>
      </c>
      <c r="E220" s="2" t="s">
        <v>229</v>
      </c>
      <c r="F220" s="2" t="s">
        <v>225</v>
      </c>
      <c r="G220" s="4">
        <v>8</v>
      </c>
      <c r="H220" s="4">
        <v>8</v>
      </c>
      <c r="I220" s="4">
        <v>0</v>
      </c>
      <c r="J220" s="5">
        <v>2.2999999999999998</v>
      </c>
      <c r="K220" s="2" t="s">
        <v>226</v>
      </c>
      <c r="L220" s="2" t="s">
        <v>227</v>
      </c>
    </row>
    <row r="221" spans="1:12" ht="15">
      <c r="A221" s="2" t="s">
        <v>69</v>
      </c>
      <c r="B221" s="2">
        <v>5</v>
      </c>
      <c r="C221" s="2" t="s">
        <v>32</v>
      </c>
      <c r="D221" s="3">
        <v>46272</v>
      </c>
      <c r="E221" s="2" t="s">
        <v>250</v>
      </c>
      <c r="F221" s="2" t="s">
        <v>225</v>
      </c>
      <c r="G221" s="4">
        <v>10</v>
      </c>
      <c r="H221" s="4">
        <v>10</v>
      </c>
      <c r="I221" s="4">
        <v>0</v>
      </c>
      <c r="J221" s="5">
        <v>4.7</v>
      </c>
      <c r="K221" s="2" t="s">
        <v>226</v>
      </c>
      <c r="L221" s="2" t="s">
        <v>227</v>
      </c>
    </row>
    <row r="222" spans="1:12" ht="15">
      <c r="A222" s="2" t="s">
        <v>69</v>
      </c>
      <c r="B222" s="2">
        <v>6</v>
      </c>
      <c r="C222" s="2" t="s">
        <v>32</v>
      </c>
      <c r="D222" s="3">
        <v>46272</v>
      </c>
      <c r="E222" s="2" t="s">
        <v>238</v>
      </c>
      <c r="F222" s="2" t="s">
        <v>225</v>
      </c>
      <c r="G222" s="4">
        <v>14</v>
      </c>
      <c r="H222" s="4">
        <v>14</v>
      </c>
      <c r="I222" s="4">
        <v>0</v>
      </c>
      <c r="J222" s="5">
        <v>3.3</v>
      </c>
      <c r="K222" s="2" t="s">
        <v>226</v>
      </c>
      <c r="L222" s="2" t="s">
        <v>227</v>
      </c>
    </row>
    <row r="223" spans="1:12" ht="15">
      <c r="A223" s="2" t="s">
        <v>69</v>
      </c>
      <c r="B223" s="2">
        <v>7</v>
      </c>
      <c r="C223" s="2" t="s">
        <v>32</v>
      </c>
      <c r="D223" s="3">
        <v>46272</v>
      </c>
      <c r="E223" s="2" t="s">
        <v>231</v>
      </c>
      <c r="F223" s="2" t="s">
        <v>225</v>
      </c>
      <c r="G223" s="4">
        <v>12</v>
      </c>
      <c r="H223" s="4">
        <v>12</v>
      </c>
      <c r="I223" s="4">
        <v>0</v>
      </c>
      <c r="J223" s="5">
        <v>10.1</v>
      </c>
      <c r="K223" s="2" t="s">
        <v>226</v>
      </c>
      <c r="L223" s="2" t="s">
        <v>227</v>
      </c>
    </row>
    <row r="224" spans="1:12" ht="15">
      <c r="A224" s="2" t="s">
        <v>70</v>
      </c>
      <c r="B224" s="2">
        <v>1</v>
      </c>
      <c r="C224" s="2" t="s">
        <v>33</v>
      </c>
      <c r="D224" s="3">
        <v>46272</v>
      </c>
      <c r="E224" s="2" t="s">
        <v>245</v>
      </c>
      <c r="F224" s="2" t="s">
        <v>225</v>
      </c>
      <c r="G224" s="4">
        <v>4.5999999999999996</v>
      </c>
      <c r="H224" s="4">
        <v>4.5999999999999996</v>
      </c>
      <c r="I224" s="4">
        <v>0</v>
      </c>
      <c r="J224" s="5">
        <v>5</v>
      </c>
      <c r="K224" s="2" t="s">
        <v>226</v>
      </c>
      <c r="L224" s="2" t="s">
        <v>227</v>
      </c>
    </row>
    <row r="225" spans="1:12" ht="15">
      <c r="A225" s="2" t="s">
        <v>70</v>
      </c>
      <c r="B225" s="2">
        <v>2</v>
      </c>
      <c r="C225" s="2" t="s">
        <v>33</v>
      </c>
      <c r="D225" s="3">
        <v>46272</v>
      </c>
      <c r="E225" s="2" t="s">
        <v>238</v>
      </c>
      <c r="F225" s="2" t="s">
        <v>225</v>
      </c>
      <c r="G225" s="4">
        <v>8.6</v>
      </c>
      <c r="H225" s="4">
        <v>8.6</v>
      </c>
      <c r="I225" s="4">
        <v>0</v>
      </c>
      <c r="J225" s="5">
        <v>3.3</v>
      </c>
      <c r="K225" s="2" t="s">
        <v>226</v>
      </c>
      <c r="L225" s="2" t="s">
        <v>227</v>
      </c>
    </row>
    <row r="226" spans="1:12" ht="15">
      <c r="A226" s="2" t="s">
        <v>70</v>
      </c>
      <c r="B226" s="2">
        <v>3</v>
      </c>
      <c r="C226" s="2" t="s">
        <v>33</v>
      </c>
      <c r="D226" s="3">
        <v>46272</v>
      </c>
      <c r="E226" s="2" t="s">
        <v>239</v>
      </c>
      <c r="F226" s="2" t="s">
        <v>225</v>
      </c>
      <c r="G226" s="4">
        <v>7.3</v>
      </c>
      <c r="H226" s="4">
        <v>7.3</v>
      </c>
      <c r="I226" s="4">
        <v>0</v>
      </c>
      <c r="J226" s="5">
        <v>4.5999999999999996</v>
      </c>
      <c r="K226" s="2" t="s">
        <v>226</v>
      </c>
      <c r="L226" s="2" t="s">
        <v>227</v>
      </c>
    </row>
    <row r="227" spans="1:12" ht="15">
      <c r="A227" s="2" t="s">
        <v>70</v>
      </c>
      <c r="B227" s="2">
        <v>4</v>
      </c>
      <c r="C227" s="2" t="s">
        <v>33</v>
      </c>
      <c r="D227" s="3">
        <v>46272</v>
      </c>
      <c r="E227" s="2" t="s">
        <v>240</v>
      </c>
      <c r="F227" s="2" t="s">
        <v>225</v>
      </c>
      <c r="G227" s="4">
        <v>9.3000000000000007</v>
      </c>
      <c r="H227" s="4">
        <v>9.3000000000000007</v>
      </c>
      <c r="I227" s="4">
        <v>0</v>
      </c>
      <c r="J227" s="5">
        <v>6.3</v>
      </c>
      <c r="K227" s="2" t="s">
        <v>226</v>
      </c>
      <c r="L227" s="2" t="s">
        <v>227</v>
      </c>
    </row>
    <row r="228" spans="1:12" ht="15">
      <c r="A228" s="2" t="s">
        <v>70</v>
      </c>
      <c r="B228" s="2">
        <v>5</v>
      </c>
      <c r="C228" s="2" t="s">
        <v>33</v>
      </c>
      <c r="D228" s="3">
        <v>46272</v>
      </c>
      <c r="E228" s="2" t="s">
        <v>229</v>
      </c>
      <c r="F228" s="2" t="s">
        <v>225</v>
      </c>
      <c r="G228" s="4">
        <v>8</v>
      </c>
      <c r="H228" s="4">
        <v>8</v>
      </c>
      <c r="I228" s="4">
        <v>0</v>
      </c>
      <c r="J228" s="5">
        <v>2.2999999999999998</v>
      </c>
      <c r="K228" s="2" t="s">
        <v>226</v>
      </c>
      <c r="L228" s="2" t="s">
        <v>227</v>
      </c>
    </row>
    <row r="229" spans="1:12" ht="15">
      <c r="A229" s="2" t="s">
        <v>70</v>
      </c>
      <c r="B229" s="2">
        <v>6</v>
      </c>
      <c r="C229" s="2" t="s">
        <v>33</v>
      </c>
      <c r="D229" s="3">
        <v>46272</v>
      </c>
      <c r="E229" s="2" t="s">
        <v>241</v>
      </c>
      <c r="F229" s="2" t="s">
        <v>225</v>
      </c>
      <c r="G229" s="4">
        <v>9.3000000000000007</v>
      </c>
      <c r="H229" s="4">
        <v>9.3000000000000007</v>
      </c>
      <c r="I229" s="4">
        <v>0</v>
      </c>
      <c r="J229" s="5">
        <v>3.3</v>
      </c>
      <c r="K229" s="2" t="s">
        <v>226</v>
      </c>
      <c r="L229" s="2" t="s">
        <v>227</v>
      </c>
    </row>
    <row r="230" spans="1:12" ht="15">
      <c r="A230" s="2" t="s">
        <v>70</v>
      </c>
      <c r="B230" s="2">
        <v>7</v>
      </c>
      <c r="C230" s="2" t="s">
        <v>33</v>
      </c>
      <c r="D230" s="3">
        <v>46272</v>
      </c>
      <c r="E230" s="2" t="s">
        <v>231</v>
      </c>
      <c r="F230" s="2" t="s">
        <v>225</v>
      </c>
      <c r="G230" s="4">
        <v>9</v>
      </c>
      <c r="H230" s="4">
        <v>9</v>
      </c>
      <c r="I230" s="4">
        <v>0</v>
      </c>
      <c r="J230" s="5">
        <v>10.1</v>
      </c>
      <c r="K230" s="2" t="s">
        <v>226</v>
      </c>
      <c r="L230" s="2" t="s">
        <v>227</v>
      </c>
    </row>
    <row r="231" spans="1:12" ht="15">
      <c r="A231" s="2" t="s">
        <v>70</v>
      </c>
      <c r="B231" s="2">
        <v>8</v>
      </c>
      <c r="C231" s="2" t="s">
        <v>33</v>
      </c>
      <c r="D231" s="3">
        <v>46272</v>
      </c>
      <c r="E231" s="2" t="s">
        <v>232</v>
      </c>
      <c r="F231" s="2" t="s">
        <v>225</v>
      </c>
      <c r="G231" s="4">
        <v>1</v>
      </c>
      <c r="H231" s="4">
        <v>1</v>
      </c>
      <c r="I231" s="4">
        <v>0</v>
      </c>
      <c r="J231" s="5">
        <v>7.3</v>
      </c>
      <c r="K231" s="2" t="s">
        <v>226</v>
      </c>
      <c r="L231" s="2" t="s">
        <v>227</v>
      </c>
    </row>
    <row r="232" spans="1:12" ht="15">
      <c r="A232" s="2" t="s">
        <v>71</v>
      </c>
      <c r="B232" s="2">
        <v>1</v>
      </c>
      <c r="C232" s="2" t="s">
        <v>28</v>
      </c>
      <c r="D232" s="3">
        <v>46273</v>
      </c>
      <c r="E232" s="2" t="s">
        <v>224</v>
      </c>
      <c r="F232" s="2" t="s">
        <v>225</v>
      </c>
      <c r="G232" s="4">
        <v>2.6</v>
      </c>
      <c r="H232" s="4">
        <v>2.6</v>
      </c>
      <c r="I232" s="4">
        <v>0</v>
      </c>
      <c r="J232" s="5">
        <v>5</v>
      </c>
      <c r="K232" s="2" t="s">
        <v>226</v>
      </c>
      <c r="L232" s="2" t="s">
        <v>227</v>
      </c>
    </row>
    <row r="233" spans="1:12" ht="15">
      <c r="A233" s="2" t="s">
        <v>71</v>
      </c>
      <c r="B233" s="2">
        <v>2</v>
      </c>
      <c r="C233" s="2" t="s">
        <v>28</v>
      </c>
      <c r="D233" s="3">
        <v>46273</v>
      </c>
      <c r="E233" s="2" t="s">
        <v>239</v>
      </c>
      <c r="F233" s="2" t="s">
        <v>225</v>
      </c>
      <c r="G233" s="4">
        <v>2.2999999999999998</v>
      </c>
      <c r="H233" s="4">
        <v>2.2999999999999998</v>
      </c>
      <c r="I233" s="4">
        <v>0</v>
      </c>
      <c r="J233" s="5">
        <v>4.8</v>
      </c>
      <c r="K233" s="2" t="s">
        <v>226</v>
      </c>
      <c r="L233" s="2" t="s">
        <v>227</v>
      </c>
    </row>
    <row r="234" spans="1:12" ht="15">
      <c r="A234" s="2" t="s">
        <v>71</v>
      </c>
      <c r="B234" s="2">
        <v>3</v>
      </c>
      <c r="C234" s="2" t="s">
        <v>28</v>
      </c>
      <c r="D234" s="3">
        <v>46273</v>
      </c>
      <c r="E234" s="2" t="s">
        <v>250</v>
      </c>
      <c r="F234" s="2" t="s">
        <v>225</v>
      </c>
      <c r="G234" s="4">
        <v>3.1</v>
      </c>
      <c r="H234" s="4">
        <v>3.1</v>
      </c>
      <c r="I234" s="4">
        <v>0</v>
      </c>
      <c r="J234" s="5">
        <v>5</v>
      </c>
      <c r="K234" s="2" t="s">
        <v>226</v>
      </c>
      <c r="L234" s="2" t="s">
        <v>227</v>
      </c>
    </row>
    <row r="235" spans="1:12" ht="15">
      <c r="A235" s="2" t="s">
        <v>71</v>
      </c>
      <c r="B235" s="2">
        <v>4</v>
      </c>
      <c r="C235" s="2" t="s">
        <v>28</v>
      </c>
      <c r="D235" s="3">
        <v>46273</v>
      </c>
      <c r="E235" s="2" t="s">
        <v>228</v>
      </c>
      <c r="F235" s="2" t="s">
        <v>225</v>
      </c>
      <c r="G235" s="4">
        <v>3.1</v>
      </c>
      <c r="H235" s="4">
        <v>3.1</v>
      </c>
      <c r="I235" s="4">
        <v>0</v>
      </c>
      <c r="J235" s="5">
        <v>2.7</v>
      </c>
      <c r="K235" s="2" t="s">
        <v>226</v>
      </c>
      <c r="L235" s="2" t="s">
        <v>227</v>
      </c>
    </row>
    <row r="236" spans="1:12" ht="15">
      <c r="A236" s="2" t="s">
        <v>71</v>
      </c>
      <c r="B236" s="2">
        <v>5</v>
      </c>
      <c r="C236" s="2" t="s">
        <v>28</v>
      </c>
      <c r="D236" s="3">
        <v>46273</v>
      </c>
      <c r="E236" s="2" t="s">
        <v>231</v>
      </c>
      <c r="F236" s="2" t="s">
        <v>225</v>
      </c>
      <c r="G236" s="4">
        <v>3</v>
      </c>
      <c r="H236" s="4">
        <v>3</v>
      </c>
      <c r="I236" s="4">
        <v>0</v>
      </c>
      <c r="J236" s="5">
        <v>10.4</v>
      </c>
      <c r="K236" s="2" t="s">
        <v>226</v>
      </c>
      <c r="L236" s="2" t="s">
        <v>227</v>
      </c>
    </row>
    <row r="237" spans="1:12" ht="15">
      <c r="A237" s="2" t="s">
        <v>71</v>
      </c>
      <c r="B237" s="2">
        <v>6</v>
      </c>
      <c r="C237" s="2" t="s">
        <v>28</v>
      </c>
      <c r="D237" s="3">
        <v>46273</v>
      </c>
      <c r="E237" s="2" t="s">
        <v>232</v>
      </c>
      <c r="F237" s="2" t="s">
        <v>225</v>
      </c>
      <c r="G237" s="4">
        <v>0.5</v>
      </c>
      <c r="H237" s="4">
        <v>0.5</v>
      </c>
      <c r="I237" s="4">
        <v>0</v>
      </c>
      <c r="J237" s="5">
        <v>7.2</v>
      </c>
      <c r="K237" s="2" t="s">
        <v>226</v>
      </c>
      <c r="L237" s="2" t="s">
        <v>227</v>
      </c>
    </row>
    <row r="238" spans="1:12" ht="15">
      <c r="A238" s="2" t="s">
        <v>72</v>
      </c>
      <c r="B238" s="2">
        <v>1</v>
      </c>
      <c r="C238" s="2" t="s">
        <v>29</v>
      </c>
      <c r="D238" s="3">
        <v>46273</v>
      </c>
      <c r="E238" s="2" t="s">
        <v>237</v>
      </c>
      <c r="F238" s="2" t="s">
        <v>225</v>
      </c>
      <c r="G238" s="4">
        <v>5.7</v>
      </c>
      <c r="H238" s="4">
        <v>5.7</v>
      </c>
      <c r="I238" s="4">
        <v>0.5</v>
      </c>
      <c r="J238" s="5">
        <v>4.3</v>
      </c>
      <c r="K238" s="2" t="s">
        <v>249</v>
      </c>
      <c r="L238" s="2" t="s">
        <v>227</v>
      </c>
    </row>
    <row r="239" spans="1:12" ht="15">
      <c r="A239" s="2" t="s">
        <v>72</v>
      </c>
      <c r="B239" s="2">
        <v>2</v>
      </c>
      <c r="C239" s="2" t="s">
        <v>29</v>
      </c>
      <c r="D239" s="3">
        <v>46273</v>
      </c>
      <c r="E239" s="2" t="s">
        <v>240</v>
      </c>
      <c r="F239" s="2" t="s">
        <v>225</v>
      </c>
      <c r="G239" s="4">
        <v>8</v>
      </c>
      <c r="H239" s="4">
        <v>8</v>
      </c>
      <c r="I239" s="4">
        <v>0</v>
      </c>
      <c r="J239" s="5">
        <v>6</v>
      </c>
      <c r="K239" s="2" t="s">
        <v>226</v>
      </c>
      <c r="L239" s="2" t="s">
        <v>227</v>
      </c>
    </row>
    <row r="240" spans="1:12" ht="15">
      <c r="A240" s="2" t="s">
        <v>72</v>
      </c>
      <c r="B240" s="2">
        <v>3</v>
      </c>
      <c r="C240" s="2" t="s">
        <v>29</v>
      </c>
      <c r="D240" s="3">
        <v>46273</v>
      </c>
      <c r="E240" s="2" t="s">
        <v>228</v>
      </c>
      <c r="F240" s="2" t="s">
        <v>225</v>
      </c>
      <c r="G240" s="4">
        <v>4</v>
      </c>
      <c r="H240" s="4">
        <v>4</v>
      </c>
      <c r="I240" s="4">
        <v>0</v>
      </c>
      <c r="J240" s="5">
        <v>2.7</v>
      </c>
      <c r="K240" s="2" t="s">
        <v>226</v>
      </c>
      <c r="L240" s="2" t="s">
        <v>227</v>
      </c>
    </row>
    <row r="241" spans="1:12" ht="15">
      <c r="A241" s="2" t="s">
        <v>72</v>
      </c>
      <c r="B241" s="2">
        <v>4</v>
      </c>
      <c r="C241" s="2" t="s">
        <v>29</v>
      </c>
      <c r="D241" s="3">
        <v>46273</v>
      </c>
      <c r="E241" s="2" t="s">
        <v>247</v>
      </c>
      <c r="F241" s="2" t="s">
        <v>225</v>
      </c>
      <c r="G241" s="4">
        <v>4.5999999999999996</v>
      </c>
      <c r="H241" s="4">
        <v>4.5999999999999996</v>
      </c>
      <c r="I241" s="4">
        <v>0</v>
      </c>
      <c r="J241" s="5">
        <v>5</v>
      </c>
      <c r="K241" s="2" t="s">
        <v>226</v>
      </c>
      <c r="L241" s="2" t="s">
        <v>227</v>
      </c>
    </row>
    <row r="242" spans="1:12" ht="15">
      <c r="A242" s="2" t="s">
        <v>72</v>
      </c>
      <c r="B242" s="2">
        <v>5</v>
      </c>
      <c r="C242" s="2" t="s">
        <v>29</v>
      </c>
      <c r="D242" s="3">
        <v>46273</v>
      </c>
      <c r="E242" s="2" t="s">
        <v>239</v>
      </c>
      <c r="F242" s="2" t="s">
        <v>225</v>
      </c>
      <c r="G242" s="4">
        <v>5.0999999999999996</v>
      </c>
      <c r="H242" s="4">
        <v>5.0999999999999996</v>
      </c>
      <c r="I242" s="4">
        <v>0</v>
      </c>
      <c r="J242" s="5">
        <v>4.8</v>
      </c>
      <c r="K242" s="2" t="s">
        <v>226</v>
      </c>
      <c r="L242" s="2" t="s">
        <v>227</v>
      </c>
    </row>
    <row r="243" spans="1:12" ht="15">
      <c r="A243" s="2" t="s">
        <v>72</v>
      </c>
      <c r="B243" s="2">
        <v>6</v>
      </c>
      <c r="C243" s="2" t="s">
        <v>29</v>
      </c>
      <c r="D243" s="3">
        <v>46273</v>
      </c>
      <c r="E243" s="2" t="s">
        <v>231</v>
      </c>
      <c r="F243" s="2" t="s">
        <v>225</v>
      </c>
      <c r="G243" s="4">
        <v>4</v>
      </c>
      <c r="H243" s="4">
        <v>4</v>
      </c>
      <c r="I243" s="4">
        <v>0</v>
      </c>
      <c r="J243" s="5">
        <v>10.4</v>
      </c>
      <c r="K243" s="2" t="s">
        <v>226</v>
      </c>
      <c r="L243" s="2" t="s">
        <v>227</v>
      </c>
    </row>
    <row r="244" spans="1:12" ht="15">
      <c r="A244" s="2" t="s">
        <v>72</v>
      </c>
      <c r="B244" s="2">
        <v>7</v>
      </c>
      <c r="C244" s="2" t="s">
        <v>29</v>
      </c>
      <c r="D244" s="3">
        <v>46273</v>
      </c>
      <c r="E244" s="2" t="s">
        <v>232</v>
      </c>
      <c r="F244" s="2" t="s">
        <v>225</v>
      </c>
      <c r="G244" s="4">
        <v>1</v>
      </c>
      <c r="H244" s="4">
        <v>1</v>
      </c>
      <c r="I244" s="4">
        <v>0</v>
      </c>
      <c r="J244" s="5">
        <v>7.2</v>
      </c>
      <c r="K244" s="2" t="s">
        <v>226</v>
      </c>
      <c r="L244" s="2" t="s">
        <v>227</v>
      </c>
    </row>
    <row r="245" spans="1:12" ht="15">
      <c r="A245" s="2" t="s">
        <v>73</v>
      </c>
      <c r="B245" s="2">
        <v>1</v>
      </c>
      <c r="C245" s="2" t="s">
        <v>30</v>
      </c>
      <c r="D245" s="3">
        <v>46273</v>
      </c>
      <c r="E245" s="2" t="s">
        <v>237</v>
      </c>
      <c r="F245" s="2" t="s">
        <v>225</v>
      </c>
      <c r="G245" s="4">
        <v>4.9000000000000004</v>
      </c>
      <c r="H245" s="4">
        <v>4.9000000000000004</v>
      </c>
      <c r="I245" s="4">
        <v>0.3</v>
      </c>
      <c r="J245" s="5">
        <v>4.3</v>
      </c>
      <c r="K245" s="2" t="s">
        <v>249</v>
      </c>
      <c r="L245" s="2" t="s">
        <v>227</v>
      </c>
    </row>
    <row r="246" spans="1:12" ht="15">
      <c r="A246" s="2" t="s">
        <v>73</v>
      </c>
      <c r="B246" s="2">
        <v>2</v>
      </c>
      <c r="C246" s="2" t="s">
        <v>30</v>
      </c>
      <c r="D246" s="3">
        <v>46273</v>
      </c>
      <c r="E246" s="2" t="s">
        <v>241</v>
      </c>
      <c r="F246" s="2" t="s">
        <v>225</v>
      </c>
      <c r="G246" s="4">
        <v>8.6</v>
      </c>
      <c r="H246" s="4">
        <v>8.6</v>
      </c>
      <c r="I246" s="4">
        <v>0</v>
      </c>
      <c r="J246" s="5">
        <v>2.9</v>
      </c>
      <c r="K246" s="2" t="s">
        <v>226</v>
      </c>
      <c r="L246" s="2" t="s">
        <v>227</v>
      </c>
    </row>
    <row r="247" spans="1:12" ht="15">
      <c r="A247" s="2" t="s">
        <v>73</v>
      </c>
      <c r="B247" s="2">
        <v>3</v>
      </c>
      <c r="C247" s="2" t="s">
        <v>30</v>
      </c>
      <c r="D247" s="3">
        <v>46273</v>
      </c>
      <c r="E247" s="2" t="s">
        <v>250</v>
      </c>
      <c r="F247" s="2" t="s">
        <v>225</v>
      </c>
      <c r="G247" s="4">
        <v>5.9</v>
      </c>
      <c r="H247" s="4">
        <v>5.9</v>
      </c>
      <c r="I247" s="4">
        <v>0</v>
      </c>
      <c r="J247" s="5">
        <v>5</v>
      </c>
      <c r="K247" s="2" t="s">
        <v>226</v>
      </c>
      <c r="L247" s="2" t="s">
        <v>227</v>
      </c>
    </row>
    <row r="248" spans="1:12" ht="15">
      <c r="A248" s="2" t="s">
        <v>73</v>
      </c>
      <c r="B248" s="2">
        <v>4</v>
      </c>
      <c r="C248" s="2" t="s">
        <v>30</v>
      </c>
      <c r="D248" s="3">
        <v>46273</v>
      </c>
      <c r="E248" s="2" t="s">
        <v>243</v>
      </c>
      <c r="F248" s="2" t="s">
        <v>225</v>
      </c>
      <c r="G248" s="4">
        <v>8.6</v>
      </c>
      <c r="H248" s="4">
        <v>8.6</v>
      </c>
      <c r="I248" s="4">
        <v>0</v>
      </c>
      <c r="J248" s="5">
        <v>4.4000000000000004</v>
      </c>
      <c r="K248" s="2" t="s">
        <v>226</v>
      </c>
      <c r="L248" s="2" t="s">
        <v>227</v>
      </c>
    </row>
    <row r="249" spans="1:12" ht="15">
      <c r="A249" s="2" t="s">
        <v>73</v>
      </c>
      <c r="B249" s="2">
        <v>5</v>
      </c>
      <c r="C249" s="2" t="s">
        <v>30</v>
      </c>
      <c r="D249" s="3">
        <v>46273</v>
      </c>
      <c r="E249" s="2" t="s">
        <v>229</v>
      </c>
      <c r="F249" s="2" t="s">
        <v>225</v>
      </c>
      <c r="G249" s="4">
        <v>8.6</v>
      </c>
      <c r="H249" s="4">
        <v>8.6</v>
      </c>
      <c r="I249" s="4">
        <v>0</v>
      </c>
      <c r="J249" s="5">
        <v>2.7</v>
      </c>
      <c r="K249" s="2" t="s">
        <v>226</v>
      </c>
      <c r="L249" s="2" t="s">
        <v>227</v>
      </c>
    </row>
    <row r="250" spans="1:12" ht="15">
      <c r="A250" s="2" t="s">
        <v>73</v>
      </c>
      <c r="B250" s="2">
        <v>6</v>
      </c>
      <c r="C250" s="2" t="s">
        <v>30</v>
      </c>
      <c r="D250" s="3">
        <v>46273</v>
      </c>
      <c r="E250" s="2" t="s">
        <v>247</v>
      </c>
      <c r="F250" s="2" t="s">
        <v>225</v>
      </c>
      <c r="G250" s="4">
        <v>8.6</v>
      </c>
      <c r="H250" s="4">
        <v>8.4</v>
      </c>
      <c r="I250" s="4">
        <v>0</v>
      </c>
      <c r="J250" s="5">
        <v>5</v>
      </c>
      <c r="K250" s="2" t="s">
        <v>246</v>
      </c>
      <c r="L250" s="2" t="s">
        <v>227</v>
      </c>
    </row>
    <row r="251" spans="1:12" ht="15">
      <c r="A251" s="2" t="s">
        <v>73</v>
      </c>
      <c r="B251" s="2">
        <v>7</v>
      </c>
      <c r="C251" s="2" t="s">
        <v>30</v>
      </c>
      <c r="D251" s="3">
        <v>46273</v>
      </c>
      <c r="E251" s="2" t="s">
        <v>231</v>
      </c>
      <c r="F251" s="2" t="s">
        <v>225</v>
      </c>
      <c r="G251" s="4">
        <v>6</v>
      </c>
      <c r="H251" s="4">
        <v>6</v>
      </c>
      <c r="I251" s="4">
        <v>0</v>
      </c>
      <c r="J251" s="5">
        <v>10.4</v>
      </c>
      <c r="K251" s="2" t="s">
        <v>226</v>
      </c>
      <c r="L251" s="2" t="s">
        <v>227</v>
      </c>
    </row>
    <row r="252" spans="1:12" ht="15">
      <c r="A252" s="2" t="s">
        <v>73</v>
      </c>
      <c r="B252" s="2">
        <v>8</v>
      </c>
      <c r="C252" s="2" t="s">
        <v>30</v>
      </c>
      <c r="D252" s="3">
        <v>46273</v>
      </c>
      <c r="E252" s="2" t="s">
        <v>232</v>
      </c>
      <c r="F252" s="2" t="s">
        <v>225</v>
      </c>
      <c r="G252" s="4">
        <v>1</v>
      </c>
      <c r="H252" s="4">
        <v>1</v>
      </c>
      <c r="I252" s="4">
        <v>0</v>
      </c>
      <c r="J252" s="5">
        <v>7.2</v>
      </c>
      <c r="K252" s="2" t="s">
        <v>226</v>
      </c>
      <c r="L252" s="2" t="s">
        <v>227</v>
      </c>
    </row>
    <row r="253" spans="1:12" ht="15">
      <c r="A253" s="2" t="s">
        <v>74</v>
      </c>
      <c r="B253" s="2">
        <v>1</v>
      </c>
      <c r="C253" s="2" t="s">
        <v>31</v>
      </c>
      <c r="D253" s="3">
        <v>46273</v>
      </c>
      <c r="E253" s="2" t="s">
        <v>237</v>
      </c>
      <c r="F253" s="2" t="s">
        <v>225</v>
      </c>
      <c r="G253" s="4">
        <v>6.4</v>
      </c>
      <c r="H253" s="4">
        <v>6.4</v>
      </c>
      <c r="I253" s="4">
        <v>0</v>
      </c>
      <c r="J253" s="5">
        <v>4.3</v>
      </c>
      <c r="K253" s="2" t="s">
        <v>226</v>
      </c>
      <c r="L253" s="2" t="s">
        <v>227</v>
      </c>
    </row>
    <row r="254" spans="1:12" ht="15">
      <c r="A254" s="2" t="s">
        <v>74</v>
      </c>
      <c r="B254" s="2">
        <v>2</v>
      </c>
      <c r="C254" s="2" t="s">
        <v>31</v>
      </c>
      <c r="D254" s="3">
        <v>46273</v>
      </c>
      <c r="E254" s="2" t="s">
        <v>250</v>
      </c>
      <c r="F254" s="2" t="s">
        <v>225</v>
      </c>
      <c r="G254" s="4">
        <v>4.4000000000000004</v>
      </c>
      <c r="H254" s="4">
        <v>4.4000000000000004</v>
      </c>
      <c r="I254" s="4">
        <v>0</v>
      </c>
      <c r="J254" s="5">
        <v>5</v>
      </c>
      <c r="K254" s="2" t="s">
        <v>226</v>
      </c>
      <c r="L254" s="2" t="s">
        <v>227</v>
      </c>
    </row>
    <row r="255" spans="1:12" ht="15">
      <c r="A255" s="2" t="s">
        <v>74</v>
      </c>
      <c r="B255" s="2">
        <v>3</v>
      </c>
      <c r="C255" s="2" t="s">
        <v>31</v>
      </c>
      <c r="D255" s="3">
        <v>46273</v>
      </c>
      <c r="E255" s="2" t="s">
        <v>238</v>
      </c>
      <c r="F255" s="2" t="s">
        <v>225</v>
      </c>
      <c r="G255" s="4">
        <v>5.6</v>
      </c>
      <c r="H255" s="4">
        <v>5.6</v>
      </c>
      <c r="I255" s="4">
        <v>0</v>
      </c>
      <c r="J255" s="5">
        <v>3.3</v>
      </c>
      <c r="K255" s="2" t="s">
        <v>226</v>
      </c>
      <c r="L255" s="2" t="s">
        <v>227</v>
      </c>
    </row>
    <row r="256" spans="1:12" ht="15">
      <c r="A256" s="2" t="s">
        <v>74</v>
      </c>
      <c r="B256" s="2">
        <v>4</v>
      </c>
      <c r="C256" s="2" t="s">
        <v>31</v>
      </c>
      <c r="D256" s="3">
        <v>46273</v>
      </c>
      <c r="E256" s="2" t="s">
        <v>248</v>
      </c>
      <c r="F256" s="2" t="s">
        <v>225</v>
      </c>
      <c r="G256" s="4">
        <v>6.4</v>
      </c>
      <c r="H256" s="4">
        <v>6.4</v>
      </c>
      <c r="I256" s="4">
        <v>0</v>
      </c>
      <c r="J256" s="5">
        <v>5.45</v>
      </c>
      <c r="K256" s="2" t="s">
        <v>226</v>
      </c>
      <c r="L256" s="2" t="s">
        <v>227</v>
      </c>
    </row>
    <row r="257" spans="1:12" ht="15">
      <c r="A257" s="2" t="s">
        <v>74</v>
      </c>
      <c r="B257" s="2">
        <v>5</v>
      </c>
      <c r="C257" s="2" t="s">
        <v>31</v>
      </c>
      <c r="D257" s="3">
        <v>46273</v>
      </c>
      <c r="E257" s="2" t="s">
        <v>241</v>
      </c>
      <c r="F257" s="2" t="s">
        <v>225</v>
      </c>
      <c r="G257" s="4">
        <v>6</v>
      </c>
      <c r="H257" s="4">
        <v>6</v>
      </c>
      <c r="I257" s="4">
        <v>0</v>
      </c>
      <c r="J257" s="5">
        <v>2.9</v>
      </c>
      <c r="K257" s="2" t="s">
        <v>226</v>
      </c>
      <c r="L257" s="2" t="s">
        <v>227</v>
      </c>
    </row>
    <row r="258" spans="1:12" ht="15">
      <c r="A258" s="2" t="s">
        <v>74</v>
      </c>
      <c r="B258" s="2">
        <v>6</v>
      </c>
      <c r="C258" s="2" t="s">
        <v>31</v>
      </c>
      <c r="D258" s="3">
        <v>46273</v>
      </c>
      <c r="E258" s="2" t="s">
        <v>240</v>
      </c>
      <c r="F258" s="2" t="s">
        <v>225</v>
      </c>
      <c r="G258" s="4">
        <v>6</v>
      </c>
      <c r="H258" s="4">
        <v>6</v>
      </c>
      <c r="I258" s="4">
        <v>0</v>
      </c>
      <c r="J258" s="5">
        <v>6</v>
      </c>
      <c r="K258" s="2" t="s">
        <v>226</v>
      </c>
      <c r="L258" s="2" t="s">
        <v>227</v>
      </c>
    </row>
    <row r="259" spans="1:12" ht="15">
      <c r="A259" s="2" t="s">
        <v>74</v>
      </c>
      <c r="B259" s="2">
        <v>7</v>
      </c>
      <c r="C259" s="2" t="s">
        <v>31</v>
      </c>
      <c r="D259" s="3">
        <v>46273</v>
      </c>
      <c r="E259" s="2" t="s">
        <v>232</v>
      </c>
      <c r="F259" s="2" t="s">
        <v>225</v>
      </c>
      <c r="G259" s="4">
        <v>1</v>
      </c>
      <c r="H259" s="4">
        <v>1</v>
      </c>
      <c r="I259" s="4">
        <v>0</v>
      </c>
      <c r="J259" s="5">
        <v>7.2</v>
      </c>
      <c r="K259" s="2" t="s">
        <v>226</v>
      </c>
      <c r="L259" s="2" t="s">
        <v>227</v>
      </c>
    </row>
    <row r="260" spans="1:12" ht="15">
      <c r="A260" s="2" t="s">
        <v>75</v>
      </c>
      <c r="B260" s="2">
        <v>1</v>
      </c>
      <c r="C260" s="2" t="s">
        <v>32</v>
      </c>
      <c r="D260" s="3">
        <v>46273</v>
      </c>
      <c r="E260" s="2" t="s">
        <v>237</v>
      </c>
      <c r="F260" s="2" t="s">
        <v>225</v>
      </c>
      <c r="G260" s="4">
        <v>7.4</v>
      </c>
      <c r="H260" s="4">
        <v>7.4</v>
      </c>
      <c r="I260" s="4">
        <v>0</v>
      </c>
      <c r="J260" s="5">
        <v>4.3</v>
      </c>
      <c r="K260" s="2" t="s">
        <v>226</v>
      </c>
      <c r="L260" s="2" t="s">
        <v>227</v>
      </c>
    </row>
    <row r="261" spans="1:12" ht="15">
      <c r="A261" s="2" t="s">
        <v>75</v>
      </c>
      <c r="B261" s="2">
        <v>2</v>
      </c>
      <c r="C261" s="2" t="s">
        <v>32</v>
      </c>
      <c r="D261" s="3">
        <v>46273</v>
      </c>
      <c r="E261" s="2" t="s">
        <v>238</v>
      </c>
      <c r="F261" s="2" t="s">
        <v>225</v>
      </c>
      <c r="G261" s="4">
        <v>6.5</v>
      </c>
      <c r="H261" s="4">
        <v>6.5</v>
      </c>
      <c r="I261" s="4">
        <v>0</v>
      </c>
      <c r="J261" s="5">
        <v>3.3</v>
      </c>
      <c r="K261" s="2" t="s">
        <v>226</v>
      </c>
      <c r="L261" s="2" t="s">
        <v>227</v>
      </c>
    </row>
    <row r="262" spans="1:12" ht="15">
      <c r="A262" s="2" t="s">
        <v>75</v>
      </c>
      <c r="B262" s="2">
        <v>3</v>
      </c>
      <c r="C262" s="2" t="s">
        <v>32</v>
      </c>
      <c r="D262" s="3">
        <v>46273</v>
      </c>
      <c r="E262" s="2" t="s">
        <v>229</v>
      </c>
      <c r="F262" s="2" t="s">
        <v>225</v>
      </c>
      <c r="G262" s="4">
        <v>6.5</v>
      </c>
      <c r="H262" s="4">
        <v>6.2</v>
      </c>
      <c r="I262" s="4">
        <v>0</v>
      </c>
      <c r="J262" s="5">
        <v>2.7</v>
      </c>
      <c r="K262" s="2" t="s">
        <v>246</v>
      </c>
      <c r="L262" s="2" t="s">
        <v>227</v>
      </c>
    </row>
    <row r="263" spans="1:12" ht="15">
      <c r="A263" s="2" t="s">
        <v>75</v>
      </c>
      <c r="B263" s="2">
        <v>4</v>
      </c>
      <c r="C263" s="2" t="s">
        <v>32</v>
      </c>
      <c r="D263" s="3">
        <v>46273</v>
      </c>
      <c r="E263" s="2" t="s">
        <v>241</v>
      </c>
      <c r="F263" s="2" t="s">
        <v>225</v>
      </c>
      <c r="G263" s="4">
        <v>14.9</v>
      </c>
      <c r="H263" s="4">
        <v>14.9</v>
      </c>
      <c r="I263" s="4">
        <v>0</v>
      </c>
      <c r="J263" s="5">
        <v>2.9</v>
      </c>
      <c r="K263" s="2" t="s">
        <v>226</v>
      </c>
      <c r="L263" s="2" t="s">
        <v>227</v>
      </c>
    </row>
    <row r="264" spans="1:12" ht="15">
      <c r="A264" s="2" t="s">
        <v>75</v>
      </c>
      <c r="B264" s="2">
        <v>5</v>
      </c>
      <c r="C264" s="2" t="s">
        <v>32</v>
      </c>
      <c r="D264" s="3">
        <v>46273</v>
      </c>
      <c r="E264" s="2" t="s">
        <v>247</v>
      </c>
      <c r="F264" s="2" t="s">
        <v>225</v>
      </c>
      <c r="G264" s="4">
        <v>10.199999999999999</v>
      </c>
      <c r="H264" s="4">
        <v>10.199999999999999</v>
      </c>
      <c r="I264" s="4">
        <v>0</v>
      </c>
      <c r="J264" s="5">
        <v>5</v>
      </c>
      <c r="K264" s="2" t="s">
        <v>226</v>
      </c>
      <c r="L264" s="2" t="s">
        <v>227</v>
      </c>
    </row>
    <row r="265" spans="1:12" ht="15">
      <c r="A265" s="2" t="s">
        <v>75</v>
      </c>
      <c r="B265" s="2">
        <v>6</v>
      </c>
      <c r="C265" s="2" t="s">
        <v>32</v>
      </c>
      <c r="D265" s="3">
        <v>46273</v>
      </c>
      <c r="E265" s="2" t="s">
        <v>240</v>
      </c>
      <c r="F265" s="2" t="s">
        <v>225</v>
      </c>
      <c r="G265" s="4">
        <v>10.199999999999999</v>
      </c>
      <c r="H265" s="4">
        <v>10.199999999999999</v>
      </c>
      <c r="I265" s="4">
        <v>0</v>
      </c>
      <c r="J265" s="5">
        <v>6</v>
      </c>
      <c r="K265" s="2" t="s">
        <v>226</v>
      </c>
      <c r="L265" s="2" t="s">
        <v>227</v>
      </c>
    </row>
    <row r="266" spans="1:12" ht="15">
      <c r="A266" s="2" t="s">
        <v>75</v>
      </c>
      <c r="B266" s="2">
        <v>7</v>
      </c>
      <c r="C266" s="2" t="s">
        <v>32</v>
      </c>
      <c r="D266" s="3">
        <v>46273</v>
      </c>
      <c r="E266" s="2" t="s">
        <v>242</v>
      </c>
      <c r="F266" s="2" t="s">
        <v>236</v>
      </c>
      <c r="G266" s="4">
        <v>6</v>
      </c>
      <c r="H266" s="4">
        <v>6</v>
      </c>
      <c r="I266" s="4">
        <v>0</v>
      </c>
      <c r="J266" s="5">
        <v>116</v>
      </c>
      <c r="K266" s="2" t="s">
        <v>226</v>
      </c>
      <c r="L266" s="2" t="s">
        <v>227</v>
      </c>
    </row>
    <row r="267" spans="1:12" ht="15">
      <c r="A267" s="2" t="s">
        <v>75</v>
      </c>
      <c r="B267" s="2">
        <v>8</v>
      </c>
      <c r="C267" s="2" t="s">
        <v>32</v>
      </c>
      <c r="D267" s="3">
        <v>46273</v>
      </c>
      <c r="E267" s="2" t="s">
        <v>244</v>
      </c>
      <c r="F267" s="2" t="s">
        <v>234</v>
      </c>
      <c r="G267" s="4">
        <v>2</v>
      </c>
      <c r="H267" s="4">
        <v>2</v>
      </c>
      <c r="I267" s="4">
        <v>0</v>
      </c>
      <c r="J267" s="5">
        <v>59</v>
      </c>
      <c r="K267" s="2" t="s">
        <v>226</v>
      </c>
      <c r="L267" s="2" t="s">
        <v>227</v>
      </c>
    </row>
    <row r="268" spans="1:12" ht="15">
      <c r="A268" s="2" t="s">
        <v>76</v>
      </c>
      <c r="B268" s="2">
        <v>1</v>
      </c>
      <c r="C268" s="2" t="s">
        <v>33</v>
      </c>
      <c r="D268" s="3">
        <v>46273</v>
      </c>
      <c r="E268" s="2" t="s">
        <v>245</v>
      </c>
      <c r="F268" s="2" t="s">
        <v>225</v>
      </c>
      <c r="G268" s="4">
        <v>10.1</v>
      </c>
      <c r="H268" s="4">
        <v>10.1</v>
      </c>
      <c r="I268" s="4">
        <v>0.5</v>
      </c>
      <c r="J268" s="5">
        <v>5</v>
      </c>
      <c r="K268" s="2" t="s">
        <v>249</v>
      </c>
      <c r="L268" s="2" t="s">
        <v>227</v>
      </c>
    </row>
    <row r="269" spans="1:12" ht="15">
      <c r="A269" s="2" t="s">
        <v>76</v>
      </c>
      <c r="B269" s="2">
        <v>2</v>
      </c>
      <c r="C269" s="2" t="s">
        <v>33</v>
      </c>
      <c r="D269" s="3">
        <v>46273</v>
      </c>
      <c r="E269" s="2" t="s">
        <v>228</v>
      </c>
      <c r="F269" s="2" t="s">
        <v>225</v>
      </c>
      <c r="G269" s="4">
        <v>8.4</v>
      </c>
      <c r="H269" s="4">
        <v>8.4</v>
      </c>
      <c r="I269" s="4">
        <v>0</v>
      </c>
      <c r="J269" s="5">
        <v>2.7</v>
      </c>
      <c r="K269" s="2" t="s">
        <v>226</v>
      </c>
      <c r="L269" s="2" t="s">
        <v>227</v>
      </c>
    </row>
    <row r="270" spans="1:12" ht="15">
      <c r="A270" s="2" t="s">
        <v>76</v>
      </c>
      <c r="B270" s="2">
        <v>3</v>
      </c>
      <c r="C270" s="2" t="s">
        <v>33</v>
      </c>
      <c r="D270" s="3">
        <v>46273</v>
      </c>
      <c r="E270" s="2" t="s">
        <v>247</v>
      </c>
      <c r="F270" s="2" t="s">
        <v>225</v>
      </c>
      <c r="G270" s="4">
        <v>8.4</v>
      </c>
      <c r="H270" s="4">
        <v>8.4</v>
      </c>
      <c r="I270" s="4">
        <v>0</v>
      </c>
      <c r="J270" s="5">
        <v>5</v>
      </c>
      <c r="K270" s="2" t="s">
        <v>226</v>
      </c>
      <c r="L270" s="2" t="s">
        <v>227</v>
      </c>
    </row>
    <row r="271" spans="1:12" ht="15">
      <c r="A271" s="2" t="s">
        <v>76</v>
      </c>
      <c r="B271" s="2">
        <v>4</v>
      </c>
      <c r="C271" s="2" t="s">
        <v>33</v>
      </c>
      <c r="D271" s="3">
        <v>46273</v>
      </c>
      <c r="E271" s="2" t="s">
        <v>241</v>
      </c>
      <c r="F271" s="2" t="s">
        <v>225</v>
      </c>
      <c r="G271" s="4">
        <v>9.3000000000000007</v>
      </c>
      <c r="H271" s="4">
        <v>9.3000000000000007</v>
      </c>
      <c r="I271" s="4">
        <v>0</v>
      </c>
      <c r="J271" s="5">
        <v>2.9</v>
      </c>
      <c r="K271" s="2" t="s">
        <v>226</v>
      </c>
      <c r="L271" s="2" t="s">
        <v>227</v>
      </c>
    </row>
    <row r="272" spans="1:12" ht="15">
      <c r="A272" s="2" t="s">
        <v>76</v>
      </c>
      <c r="B272" s="2">
        <v>5</v>
      </c>
      <c r="C272" s="2" t="s">
        <v>33</v>
      </c>
      <c r="D272" s="3">
        <v>46273</v>
      </c>
      <c r="E272" s="2" t="s">
        <v>230</v>
      </c>
      <c r="F272" s="2" t="s">
        <v>225</v>
      </c>
      <c r="G272" s="4">
        <v>5.9</v>
      </c>
      <c r="H272" s="4">
        <v>5.9</v>
      </c>
      <c r="I272" s="4">
        <v>0</v>
      </c>
      <c r="J272" s="5">
        <v>2.7</v>
      </c>
      <c r="K272" s="2" t="s">
        <v>226</v>
      </c>
      <c r="L272" s="2" t="s">
        <v>227</v>
      </c>
    </row>
    <row r="273" spans="1:12" ht="15">
      <c r="A273" s="2" t="s">
        <v>76</v>
      </c>
      <c r="B273" s="2">
        <v>6</v>
      </c>
      <c r="C273" s="2" t="s">
        <v>33</v>
      </c>
      <c r="D273" s="3">
        <v>46273</v>
      </c>
      <c r="E273" s="2" t="s">
        <v>239</v>
      </c>
      <c r="F273" s="2" t="s">
        <v>225</v>
      </c>
      <c r="G273" s="4">
        <v>6.8</v>
      </c>
      <c r="H273" s="4">
        <v>6.8</v>
      </c>
      <c r="I273" s="4">
        <v>0</v>
      </c>
      <c r="J273" s="5">
        <v>4.8</v>
      </c>
      <c r="K273" s="2" t="s">
        <v>226</v>
      </c>
      <c r="L273" s="2" t="s">
        <v>227</v>
      </c>
    </row>
    <row r="274" spans="1:12" ht="15">
      <c r="A274" s="2" t="s">
        <v>77</v>
      </c>
      <c r="B274" s="2">
        <v>1</v>
      </c>
      <c r="C274" s="2" t="s">
        <v>28</v>
      </c>
      <c r="D274" s="3">
        <v>46274</v>
      </c>
      <c r="E274" s="2" t="s">
        <v>237</v>
      </c>
      <c r="F274" s="2" t="s">
        <v>225</v>
      </c>
      <c r="G274" s="4">
        <v>3.4</v>
      </c>
      <c r="H274" s="4">
        <v>3.4</v>
      </c>
      <c r="I274" s="4">
        <v>0</v>
      </c>
      <c r="J274" s="5">
        <v>4.3</v>
      </c>
      <c r="K274" s="2" t="s">
        <v>226</v>
      </c>
      <c r="L274" s="2" t="s">
        <v>227</v>
      </c>
    </row>
    <row r="275" spans="1:12" ht="15">
      <c r="A275" s="2" t="s">
        <v>77</v>
      </c>
      <c r="B275" s="2">
        <v>2</v>
      </c>
      <c r="C275" s="2" t="s">
        <v>28</v>
      </c>
      <c r="D275" s="3">
        <v>46274</v>
      </c>
      <c r="E275" s="2" t="s">
        <v>230</v>
      </c>
      <c r="F275" s="2" t="s">
        <v>225</v>
      </c>
      <c r="G275" s="4">
        <v>1.7</v>
      </c>
      <c r="H275" s="4">
        <v>1.7</v>
      </c>
      <c r="I275" s="4">
        <v>0</v>
      </c>
      <c r="J275" s="5">
        <v>2.7</v>
      </c>
      <c r="K275" s="2" t="s">
        <v>226</v>
      </c>
      <c r="L275" s="2" t="s">
        <v>227</v>
      </c>
    </row>
    <row r="276" spans="1:12" ht="15">
      <c r="A276" s="2" t="s">
        <v>77</v>
      </c>
      <c r="B276" s="2">
        <v>3</v>
      </c>
      <c r="C276" s="2" t="s">
        <v>28</v>
      </c>
      <c r="D276" s="3">
        <v>46274</v>
      </c>
      <c r="E276" s="2" t="s">
        <v>240</v>
      </c>
      <c r="F276" s="2" t="s">
        <v>225</v>
      </c>
      <c r="G276" s="4">
        <v>3.2</v>
      </c>
      <c r="H276" s="4">
        <v>3.2</v>
      </c>
      <c r="I276" s="4">
        <v>0</v>
      </c>
      <c r="J276" s="5">
        <v>6</v>
      </c>
      <c r="K276" s="2" t="s">
        <v>226</v>
      </c>
      <c r="L276" s="2" t="s">
        <v>227</v>
      </c>
    </row>
    <row r="277" spans="1:12" ht="15">
      <c r="A277" s="2" t="s">
        <v>77</v>
      </c>
      <c r="B277" s="2">
        <v>4</v>
      </c>
      <c r="C277" s="2" t="s">
        <v>28</v>
      </c>
      <c r="D277" s="3">
        <v>46274</v>
      </c>
      <c r="E277" s="2" t="s">
        <v>241</v>
      </c>
      <c r="F277" s="2" t="s">
        <v>225</v>
      </c>
      <c r="G277" s="4">
        <v>2.5</v>
      </c>
      <c r="H277" s="4">
        <v>2.5</v>
      </c>
      <c r="I277" s="4">
        <v>0</v>
      </c>
      <c r="J277" s="5">
        <v>2.9</v>
      </c>
      <c r="K277" s="2" t="s">
        <v>226</v>
      </c>
      <c r="L277" s="2" t="s">
        <v>227</v>
      </c>
    </row>
    <row r="278" spans="1:12" ht="15">
      <c r="A278" s="2" t="s">
        <v>78</v>
      </c>
      <c r="B278" s="2">
        <v>1</v>
      </c>
      <c r="C278" s="2" t="s">
        <v>29</v>
      </c>
      <c r="D278" s="3">
        <v>46274</v>
      </c>
      <c r="E278" s="2" t="s">
        <v>224</v>
      </c>
      <c r="F278" s="2" t="s">
        <v>225</v>
      </c>
      <c r="G278" s="4">
        <v>3.2</v>
      </c>
      <c r="H278" s="4">
        <v>3.2</v>
      </c>
      <c r="I278" s="4">
        <v>0</v>
      </c>
      <c r="J278" s="5">
        <v>5</v>
      </c>
      <c r="K278" s="2" t="s">
        <v>226</v>
      </c>
      <c r="L278" s="2" t="s">
        <v>227</v>
      </c>
    </row>
    <row r="279" spans="1:12" ht="15">
      <c r="A279" s="2" t="s">
        <v>78</v>
      </c>
      <c r="B279" s="2">
        <v>2</v>
      </c>
      <c r="C279" s="2" t="s">
        <v>29</v>
      </c>
      <c r="D279" s="3">
        <v>46274</v>
      </c>
      <c r="E279" s="2" t="s">
        <v>239</v>
      </c>
      <c r="F279" s="2" t="s">
        <v>225</v>
      </c>
      <c r="G279" s="4">
        <v>5.6</v>
      </c>
      <c r="H279" s="4">
        <v>5.6</v>
      </c>
      <c r="I279" s="4">
        <v>0</v>
      </c>
      <c r="J279" s="5">
        <v>4.8</v>
      </c>
      <c r="K279" s="2" t="s">
        <v>226</v>
      </c>
      <c r="L279" s="2" t="s">
        <v>227</v>
      </c>
    </row>
    <row r="280" spans="1:12" ht="15">
      <c r="A280" s="2" t="s">
        <v>78</v>
      </c>
      <c r="B280" s="2">
        <v>3</v>
      </c>
      <c r="C280" s="2" t="s">
        <v>29</v>
      </c>
      <c r="D280" s="3">
        <v>46274</v>
      </c>
      <c r="E280" s="2" t="s">
        <v>241</v>
      </c>
      <c r="F280" s="2" t="s">
        <v>225</v>
      </c>
      <c r="G280" s="4">
        <v>4.4000000000000004</v>
      </c>
      <c r="H280" s="4">
        <v>4.4000000000000004</v>
      </c>
      <c r="I280" s="4">
        <v>0</v>
      </c>
      <c r="J280" s="5">
        <v>2.9</v>
      </c>
      <c r="K280" s="2" t="s">
        <v>226</v>
      </c>
      <c r="L280" s="2" t="s">
        <v>227</v>
      </c>
    </row>
    <row r="281" spans="1:12" ht="15">
      <c r="A281" s="2" t="s">
        <v>78</v>
      </c>
      <c r="B281" s="2">
        <v>4</v>
      </c>
      <c r="C281" s="2" t="s">
        <v>29</v>
      </c>
      <c r="D281" s="3">
        <v>46274</v>
      </c>
      <c r="E281" s="2" t="s">
        <v>238</v>
      </c>
      <c r="F281" s="2" t="s">
        <v>225</v>
      </c>
      <c r="G281" s="4">
        <v>6.4</v>
      </c>
      <c r="H281" s="4">
        <v>6.4</v>
      </c>
      <c r="I281" s="4">
        <v>0</v>
      </c>
      <c r="J281" s="5">
        <v>3.3</v>
      </c>
      <c r="K281" s="2" t="s">
        <v>226</v>
      </c>
      <c r="L281" s="2" t="s">
        <v>227</v>
      </c>
    </row>
    <row r="282" spans="1:12" ht="15">
      <c r="A282" s="2" t="s">
        <v>78</v>
      </c>
      <c r="B282" s="2">
        <v>5</v>
      </c>
      <c r="C282" s="2" t="s">
        <v>29</v>
      </c>
      <c r="D282" s="3">
        <v>46274</v>
      </c>
      <c r="E282" s="2" t="s">
        <v>230</v>
      </c>
      <c r="F282" s="2" t="s">
        <v>225</v>
      </c>
      <c r="G282" s="4">
        <v>6</v>
      </c>
      <c r="H282" s="4">
        <v>6</v>
      </c>
      <c r="I282" s="4">
        <v>0</v>
      </c>
      <c r="J282" s="5">
        <v>2.7</v>
      </c>
      <c r="K282" s="2" t="s">
        <v>226</v>
      </c>
      <c r="L282" s="2" t="s">
        <v>227</v>
      </c>
    </row>
    <row r="283" spans="1:12" ht="15">
      <c r="A283" s="2" t="s">
        <v>79</v>
      </c>
      <c r="B283" s="2">
        <v>1</v>
      </c>
      <c r="C283" s="2" t="s">
        <v>30</v>
      </c>
      <c r="D283" s="3">
        <v>46274</v>
      </c>
      <c r="E283" s="2" t="s">
        <v>245</v>
      </c>
      <c r="F283" s="2" t="s">
        <v>225</v>
      </c>
      <c r="G283" s="4">
        <v>7.6</v>
      </c>
      <c r="H283" s="4">
        <v>7.4</v>
      </c>
      <c r="I283" s="4">
        <v>0</v>
      </c>
      <c r="J283" s="5">
        <v>5</v>
      </c>
      <c r="K283" s="2" t="s">
        <v>246</v>
      </c>
      <c r="L283" s="2" t="s">
        <v>227</v>
      </c>
    </row>
    <row r="284" spans="1:12" ht="15">
      <c r="A284" s="2" t="s">
        <v>79</v>
      </c>
      <c r="B284" s="2">
        <v>2</v>
      </c>
      <c r="C284" s="2" t="s">
        <v>30</v>
      </c>
      <c r="D284" s="3">
        <v>46274</v>
      </c>
      <c r="E284" s="2" t="s">
        <v>238</v>
      </c>
      <c r="F284" s="2" t="s">
        <v>225</v>
      </c>
      <c r="G284" s="4">
        <v>4.0999999999999996</v>
      </c>
      <c r="H284" s="4">
        <v>4.0999999999999996</v>
      </c>
      <c r="I284" s="4">
        <v>0</v>
      </c>
      <c r="J284" s="5">
        <v>3.3</v>
      </c>
      <c r="K284" s="2" t="s">
        <v>226</v>
      </c>
      <c r="L284" s="2" t="s">
        <v>227</v>
      </c>
    </row>
    <row r="285" spans="1:12" ht="15">
      <c r="A285" s="2" t="s">
        <v>79</v>
      </c>
      <c r="B285" s="2">
        <v>3</v>
      </c>
      <c r="C285" s="2" t="s">
        <v>30</v>
      </c>
      <c r="D285" s="3">
        <v>46274</v>
      </c>
      <c r="E285" s="2" t="s">
        <v>248</v>
      </c>
      <c r="F285" s="2" t="s">
        <v>225</v>
      </c>
      <c r="G285" s="4">
        <v>4.7</v>
      </c>
      <c r="H285" s="4">
        <v>4.7</v>
      </c>
      <c r="I285" s="4">
        <v>0</v>
      </c>
      <c r="J285" s="5">
        <v>5.45</v>
      </c>
      <c r="K285" s="2" t="s">
        <v>226</v>
      </c>
      <c r="L285" s="2" t="s">
        <v>227</v>
      </c>
    </row>
    <row r="286" spans="1:12" ht="15">
      <c r="A286" s="2" t="s">
        <v>79</v>
      </c>
      <c r="B286" s="2">
        <v>4</v>
      </c>
      <c r="C286" s="2" t="s">
        <v>30</v>
      </c>
      <c r="D286" s="3">
        <v>46274</v>
      </c>
      <c r="E286" s="2" t="s">
        <v>230</v>
      </c>
      <c r="F286" s="2" t="s">
        <v>225</v>
      </c>
      <c r="G286" s="4">
        <v>6.5</v>
      </c>
      <c r="H286" s="4">
        <v>6.5</v>
      </c>
      <c r="I286" s="4">
        <v>0</v>
      </c>
      <c r="J286" s="5">
        <v>2.7</v>
      </c>
      <c r="K286" s="2" t="s">
        <v>226</v>
      </c>
      <c r="L286" s="2" t="s">
        <v>227</v>
      </c>
    </row>
    <row r="287" spans="1:12" ht="15">
      <c r="A287" s="2" t="s">
        <v>79</v>
      </c>
      <c r="B287" s="2">
        <v>5</v>
      </c>
      <c r="C287" s="2" t="s">
        <v>30</v>
      </c>
      <c r="D287" s="3">
        <v>46274</v>
      </c>
      <c r="E287" s="2" t="s">
        <v>241</v>
      </c>
      <c r="F287" s="2" t="s">
        <v>225</v>
      </c>
      <c r="G287" s="4">
        <v>7.1</v>
      </c>
      <c r="H287" s="4">
        <v>7.1</v>
      </c>
      <c r="I287" s="4">
        <v>0</v>
      </c>
      <c r="J287" s="5">
        <v>2.9</v>
      </c>
      <c r="K287" s="2" t="s">
        <v>226</v>
      </c>
      <c r="L287" s="2" t="s">
        <v>227</v>
      </c>
    </row>
    <row r="288" spans="1:12" ht="15">
      <c r="A288" s="2" t="s">
        <v>79</v>
      </c>
      <c r="B288" s="2">
        <v>6</v>
      </c>
      <c r="C288" s="2" t="s">
        <v>30</v>
      </c>
      <c r="D288" s="3">
        <v>46274</v>
      </c>
      <c r="E288" s="2" t="s">
        <v>239</v>
      </c>
      <c r="F288" s="2" t="s">
        <v>225</v>
      </c>
      <c r="G288" s="4">
        <v>8.1999999999999993</v>
      </c>
      <c r="H288" s="4">
        <v>8.1999999999999993</v>
      </c>
      <c r="I288" s="4">
        <v>0</v>
      </c>
      <c r="J288" s="5">
        <v>4.8</v>
      </c>
      <c r="K288" s="2" t="s">
        <v>226</v>
      </c>
      <c r="L288" s="2" t="s">
        <v>227</v>
      </c>
    </row>
    <row r="289" spans="1:12" ht="15">
      <c r="A289" s="2" t="s">
        <v>80</v>
      </c>
      <c r="B289" s="2">
        <v>1</v>
      </c>
      <c r="C289" s="2" t="s">
        <v>32</v>
      </c>
      <c r="D289" s="3">
        <v>46274</v>
      </c>
      <c r="E289" s="2" t="s">
        <v>237</v>
      </c>
      <c r="F289" s="2" t="s">
        <v>225</v>
      </c>
      <c r="G289" s="4">
        <v>12.8</v>
      </c>
      <c r="H289" s="4">
        <v>12.8</v>
      </c>
      <c r="I289" s="4">
        <v>0</v>
      </c>
      <c r="J289" s="5">
        <v>4.3</v>
      </c>
      <c r="K289" s="2" t="s">
        <v>226</v>
      </c>
      <c r="L289" s="2" t="s">
        <v>227</v>
      </c>
    </row>
    <row r="290" spans="1:12" ht="15">
      <c r="A290" s="2" t="s">
        <v>80</v>
      </c>
      <c r="B290" s="2">
        <v>2</v>
      </c>
      <c r="C290" s="2" t="s">
        <v>32</v>
      </c>
      <c r="D290" s="3">
        <v>46274</v>
      </c>
      <c r="E290" s="2" t="s">
        <v>243</v>
      </c>
      <c r="F290" s="2" t="s">
        <v>225</v>
      </c>
      <c r="G290" s="4">
        <v>8.1999999999999993</v>
      </c>
      <c r="H290" s="4">
        <v>8.1999999999999993</v>
      </c>
      <c r="I290" s="4">
        <v>0</v>
      </c>
      <c r="J290" s="5">
        <v>4.4000000000000004</v>
      </c>
      <c r="K290" s="2" t="s">
        <v>226</v>
      </c>
      <c r="L290" s="2" t="s">
        <v>227</v>
      </c>
    </row>
    <row r="291" spans="1:12" ht="15">
      <c r="A291" s="2" t="s">
        <v>80</v>
      </c>
      <c r="B291" s="2">
        <v>3</v>
      </c>
      <c r="C291" s="2" t="s">
        <v>32</v>
      </c>
      <c r="D291" s="3">
        <v>46274</v>
      </c>
      <c r="E291" s="2" t="s">
        <v>240</v>
      </c>
      <c r="F291" s="2" t="s">
        <v>225</v>
      </c>
      <c r="G291" s="4">
        <v>11.9</v>
      </c>
      <c r="H291" s="4">
        <v>11.9</v>
      </c>
      <c r="I291" s="4">
        <v>0</v>
      </c>
      <c r="J291" s="5">
        <v>6</v>
      </c>
      <c r="K291" s="2" t="s">
        <v>226</v>
      </c>
      <c r="L291" s="2" t="s">
        <v>227</v>
      </c>
    </row>
    <row r="292" spans="1:12" ht="15">
      <c r="A292" s="2" t="s">
        <v>80</v>
      </c>
      <c r="B292" s="2">
        <v>4</v>
      </c>
      <c r="C292" s="2" t="s">
        <v>32</v>
      </c>
      <c r="D292" s="3">
        <v>46274</v>
      </c>
      <c r="E292" s="2" t="s">
        <v>230</v>
      </c>
      <c r="F292" s="2" t="s">
        <v>225</v>
      </c>
      <c r="G292" s="4">
        <v>8.1999999999999993</v>
      </c>
      <c r="H292" s="4">
        <v>8.1999999999999993</v>
      </c>
      <c r="I292" s="4">
        <v>0</v>
      </c>
      <c r="J292" s="5">
        <v>2.7</v>
      </c>
      <c r="K292" s="2" t="s">
        <v>226</v>
      </c>
      <c r="L292" s="2" t="s">
        <v>227</v>
      </c>
    </row>
    <row r="293" spans="1:12" ht="15">
      <c r="A293" s="2" t="s">
        <v>80</v>
      </c>
      <c r="B293" s="2">
        <v>5</v>
      </c>
      <c r="C293" s="2" t="s">
        <v>32</v>
      </c>
      <c r="D293" s="3">
        <v>46274</v>
      </c>
      <c r="E293" s="2" t="s">
        <v>229</v>
      </c>
      <c r="F293" s="2" t="s">
        <v>225</v>
      </c>
      <c r="G293" s="4">
        <v>7.3</v>
      </c>
      <c r="H293" s="4">
        <v>7.3</v>
      </c>
      <c r="I293" s="4">
        <v>0</v>
      </c>
      <c r="J293" s="5">
        <v>2.7</v>
      </c>
      <c r="K293" s="2" t="s">
        <v>226</v>
      </c>
      <c r="L293" s="2" t="s">
        <v>227</v>
      </c>
    </row>
    <row r="294" spans="1:12" ht="15">
      <c r="A294" s="2" t="s">
        <v>80</v>
      </c>
      <c r="B294" s="2">
        <v>6</v>
      </c>
      <c r="C294" s="2" t="s">
        <v>32</v>
      </c>
      <c r="D294" s="3">
        <v>46274</v>
      </c>
      <c r="E294" s="2" t="s">
        <v>248</v>
      </c>
      <c r="F294" s="2" t="s">
        <v>225</v>
      </c>
      <c r="G294" s="4">
        <v>13.7</v>
      </c>
      <c r="H294" s="4">
        <v>13.7</v>
      </c>
      <c r="I294" s="4">
        <v>0</v>
      </c>
      <c r="J294" s="5">
        <v>5.45</v>
      </c>
      <c r="K294" s="2" t="s">
        <v>226</v>
      </c>
      <c r="L294" s="2" t="s">
        <v>227</v>
      </c>
    </row>
    <row r="295" spans="1:12" ht="15">
      <c r="A295" s="2" t="s">
        <v>80</v>
      </c>
      <c r="B295" s="2">
        <v>7</v>
      </c>
      <c r="C295" s="2" t="s">
        <v>32</v>
      </c>
      <c r="D295" s="3">
        <v>46274</v>
      </c>
      <c r="E295" s="2" t="s">
        <v>231</v>
      </c>
      <c r="F295" s="2" t="s">
        <v>225</v>
      </c>
      <c r="G295" s="4">
        <v>12</v>
      </c>
      <c r="H295" s="4">
        <v>12</v>
      </c>
      <c r="I295" s="4">
        <v>0</v>
      </c>
      <c r="J295" s="5">
        <v>10.4</v>
      </c>
      <c r="K295" s="2" t="s">
        <v>226</v>
      </c>
      <c r="L295" s="2" t="s">
        <v>227</v>
      </c>
    </row>
    <row r="296" spans="1:12" ht="15">
      <c r="A296" s="2" t="s">
        <v>80</v>
      </c>
      <c r="B296" s="2">
        <v>8</v>
      </c>
      <c r="C296" s="2" t="s">
        <v>32</v>
      </c>
      <c r="D296" s="3">
        <v>46274</v>
      </c>
      <c r="E296" s="2" t="s">
        <v>232</v>
      </c>
      <c r="F296" s="2" t="s">
        <v>225</v>
      </c>
      <c r="G296" s="4">
        <v>1</v>
      </c>
      <c r="H296" s="4">
        <v>1</v>
      </c>
      <c r="I296" s="4">
        <v>0</v>
      </c>
      <c r="J296" s="5">
        <v>7.2</v>
      </c>
      <c r="K296" s="2" t="s">
        <v>226</v>
      </c>
      <c r="L296" s="2" t="s">
        <v>227</v>
      </c>
    </row>
    <row r="297" spans="1:12" ht="15">
      <c r="A297" s="2" t="s">
        <v>81</v>
      </c>
      <c r="B297" s="2">
        <v>1</v>
      </c>
      <c r="C297" s="2" t="s">
        <v>33</v>
      </c>
      <c r="D297" s="3">
        <v>46274</v>
      </c>
      <c r="E297" s="2" t="s">
        <v>237</v>
      </c>
      <c r="F297" s="2" t="s">
        <v>225</v>
      </c>
      <c r="G297" s="4">
        <v>9.1999999999999993</v>
      </c>
      <c r="H297" s="4">
        <v>9.1999999999999993</v>
      </c>
      <c r="I297" s="4">
        <v>0</v>
      </c>
      <c r="J297" s="5">
        <v>4.3</v>
      </c>
      <c r="K297" s="2" t="s">
        <v>226</v>
      </c>
      <c r="L297" s="2" t="s">
        <v>227</v>
      </c>
    </row>
    <row r="298" spans="1:12" ht="15">
      <c r="A298" s="2" t="s">
        <v>81</v>
      </c>
      <c r="B298" s="2">
        <v>2</v>
      </c>
      <c r="C298" s="2" t="s">
        <v>33</v>
      </c>
      <c r="D298" s="3">
        <v>46274</v>
      </c>
      <c r="E298" s="2" t="s">
        <v>240</v>
      </c>
      <c r="F298" s="2" t="s">
        <v>225</v>
      </c>
      <c r="G298" s="4">
        <v>8.6</v>
      </c>
      <c r="H298" s="4">
        <v>8.6</v>
      </c>
      <c r="I298" s="4">
        <v>0</v>
      </c>
      <c r="J298" s="5">
        <v>6</v>
      </c>
      <c r="K298" s="2" t="s">
        <v>226</v>
      </c>
      <c r="L298" s="2" t="s">
        <v>227</v>
      </c>
    </row>
    <row r="299" spans="1:12" ht="15">
      <c r="A299" s="2" t="s">
        <v>81</v>
      </c>
      <c r="B299" s="2">
        <v>3</v>
      </c>
      <c r="C299" s="2" t="s">
        <v>33</v>
      </c>
      <c r="D299" s="3">
        <v>46274</v>
      </c>
      <c r="E299" s="2" t="s">
        <v>241</v>
      </c>
      <c r="F299" s="2" t="s">
        <v>225</v>
      </c>
      <c r="G299" s="4">
        <v>9.1999999999999993</v>
      </c>
      <c r="H299" s="4">
        <v>9.1999999999999993</v>
      </c>
      <c r="I299" s="4">
        <v>0</v>
      </c>
      <c r="J299" s="5">
        <v>2.9</v>
      </c>
      <c r="K299" s="2" t="s">
        <v>226</v>
      </c>
      <c r="L299" s="2" t="s">
        <v>227</v>
      </c>
    </row>
    <row r="300" spans="1:12" ht="15">
      <c r="A300" s="2" t="s">
        <v>81</v>
      </c>
      <c r="B300" s="2">
        <v>4</v>
      </c>
      <c r="C300" s="2" t="s">
        <v>33</v>
      </c>
      <c r="D300" s="3">
        <v>46274</v>
      </c>
      <c r="E300" s="2" t="s">
        <v>228</v>
      </c>
      <c r="F300" s="2" t="s">
        <v>225</v>
      </c>
      <c r="G300" s="4">
        <v>6.7</v>
      </c>
      <c r="H300" s="4">
        <v>6.7</v>
      </c>
      <c r="I300" s="4">
        <v>0</v>
      </c>
      <c r="J300" s="5">
        <v>2.7</v>
      </c>
      <c r="K300" s="2" t="s">
        <v>226</v>
      </c>
      <c r="L300" s="2" t="s">
        <v>227</v>
      </c>
    </row>
    <row r="301" spans="1:12" ht="15">
      <c r="A301" s="2" t="s">
        <v>81</v>
      </c>
      <c r="B301" s="2">
        <v>5</v>
      </c>
      <c r="C301" s="2" t="s">
        <v>33</v>
      </c>
      <c r="D301" s="3">
        <v>46274</v>
      </c>
      <c r="E301" s="2" t="s">
        <v>247</v>
      </c>
      <c r="F301" s="2" t="s">
        <v>225</v>
      </c>
      <c r="G301" s="4">
        <v>5.5</v>
      </c>
      <c r="H301" s="4">
        <v>5.5</v>
      </c>
      <c r="I301" s="4">
        <v>0</v>
      </c>
      <c r="J301" s="5">
        <v>5</v>
      </c>
      <c r="K301" s="2" t="s">
        <v>226</v>
      </c>
      <c r="L301" s="2" t="s">
        <v>227</v>
      </c>
    </row>
    <row r="302" spans="1:12" ht="15">
      <c r="A302" s="2" t="s">
        <v>81</v>
      </c>
      <c r="B302" s="2">
        <v>6</v>
      </c>
      <c r="C302" s="2" t="s">
        <v>33</v>
      </c>
      <c r="D302" s="3">
        <v>46274</v>
      </c>
      <c r="E302" s="2" t="s">
        <v>230</v>
      </c>
      <c r="F302" s="2" t="s">
        <v>225</v>
      </c>
      <c r="G302" s="4">
        <v>7.9</v>
      </c>
      <c r="H302" s="4">
        <v>7.9</v>
      </c>
      <c r="I302" s="4">
        <v>0</v>
      </c>
      <c r="J302" s="5">
        <v>2.7</v>
      </c>
      <c r="K302" s="2" t="s">
        <v>226</v>
      </c>
      <c r="L302" s="2" t="s">
        <v>227</v>
      </c>
    </row>
    <row r="303" spans="1:12" ht="15">
      <c r="A303" s="2" t="s">
        <v>81</v>
      </c>
      <c r="B303" s="2">
        <v>7</v>
      </c>
      <c r="C303" s="2" t="s">
        <v>33</v>
      </c>
      <c r="D303" s="3">
        <v>46274</v>
      </c>
      <c r="E303" s="2" t="s">
        <v>231</v>
      </c>
      <c r="F303" s="2" t="s">
        <v>225</v>
      </c>
      <c r="G303" s="4">
        <v>9</v>
      </c>
      <c r="H303" s="4">
        <v>9</v>
      </c>
      <c r="I303" s="4">
        <v>0</v>
      </c>
      <c r="J303" s="5">
        <v>10.4</v>
      </c>
      <c r="K303" s="2" t="s">
        <v>226</v>
      </c>
      <c r="L303" s="2" t="s">
        <v>227</v>
      </c>
    </row>
    <row r="304" spans="1:12" ht="15">
      <c r="A304" s="2" t="s">
        <v>82</v>
      </c>
      <c r="B304" s="2">
        <v>1</v>
      </c>
      <c r="C304" s="2" t="s">
        <v>28</v>
      </c>
      <c r="D304" s="3">
        <v>46275</v>
      </c>
      <c r="E304" s="2" t="s">
        <v>224</v>
      </c>
      <c r="F304" s="2" t="s">
        <v>225</v>
      </c>
      <c r="G304" s="4">
        <v>2.5</v>
      </c>
      <c r="H304" s="4">
        <v>2.5</v>
      </c>
      <c r="I304" s="4">
        <v>0.5</v>
      </c>
      <c r="J304" s="5">
        <v>5</v>
      </c>
      <c r="K304" s="2" t="s">
        <v>249</v>
      </c>
      <c r="L304" s="2" t="s">
        <v>227</v>
      </c>
    </row>
    <row r="305" spans="1:12" ht="15">
      <c r="A305" s="2" t="s">
        <v>82</v>
      </c>
      <c r="B305" s="2">
        <v>2</v>
      </c>
      <c r="C305" s="2" t="s">
        <v>28</v>
      </c>
      <c r="D305" s="3">
        <v>46275</v>
      </c>
      <c r="E305" s="2" t="s">
        <v>228</v>
      </c>
      <c r="F305" s="2" t="s">
        <v>225</v>
      </c>
      <c r="G305" s="4">
        <v>3.2</v>
      </c>
      <c r="H305" s="4">
        <v>3.2</v>
      </c>
      <c r="I305" s="4">
        <v>0</v>
      </c>
      <c r="J305" s="5">
        <v>2.7</v>
      </c>
      <c r="K305" s="2" t="s">
        <v>226</v>
      </c>
      <c r="L305" s="2" t="s">
        <v>227</v>
      </c>
    </row>
    <row r="306" spans="1:12" ht="15">
      <c r="A306" s="2" t="s">
        <v>82</v>
      </c>
      <c r="B306" s="2">
        <v>3</v>
      </c>
      <c r="C306" s="2" t="s">
        <v>28</v>
      </c>
      <c r="D306" s="3">
        <v>46275</v>
      </c>
      <c r="E306" s="2" t="s">
        <v>250</v>
      </c>
      <c r="F306" s="2" t="s">
        <v>225</v>
      </c>
      <c r="G306" s="4">
        <v>3.2</v>
      </c>
      <c r="H306" s="4">
        <v>3.2</v>
      </c>
      <c r="I306" s="4">
        <v>0</v>
      </c>
      <c r="J306" s="5">
        <v>5</v>
      </c>
      <c r="K306" s="2" t="s">
        <v>226</v>
      </c>
      <c r="L306" s="2" t="s">
        <v>227</v>
      </c>
    </row>
    <row r="307" spans="1:12" ht="15">
      <c r="A307" s="2" t="s">
        <v>82</v>
      </c>
      <c r="B307" s="2">
        <v>4</v>
      </c>
      <c r="C307" s="2" t="s">
        <v>28</v>
      </c>
      <c r="D307" s="3">
        <v>46275</v>
      </c>
      <c r="E307" s="2" t="s">
        <v>239</v>
      </c>
      <c r="F307" s="2" t="s">
        <v>225</v>
      </c>
      <c r="G307" s="4">
        <v>2.2999999999999998</v>
      </c>
      <c r="H307" s="4">
        <v>2.2999999999999998</v>
      </c>
      <c r="I307" s="4">
        <v>0</v>
      </c>
      <c r="J307" s="5">
        <v>4.8</v>
      </c>
      <c r="K307" s="2" t="s">
        <v>226</v>
      </c>
      <c r="L307" s="2" t="s">
        <v>227</v>
      </c>
    </row>
    <row r="308" spans="1:12" ht="15">
      <c r="A308" s="2" t="s">
        <v>82</v>
      </c>
      <c r="B308" s="2">
        <v>5</v>
      </c>
      <c r="C308" s="2" t="s">
        <v>28</v>
      </c>
      <c r="D308" s="3">
        <v>46275</v>
      </c>
      <c r="E308" s="2" t="s">
        <v>231</v>
      </c>
      <c r="F308" s="2" t="s">
        <v>225</v>
      </c>
      <c r="G308" s="4">
        <v>3</v>
      </c>
      <c r="H308" s="4">
        <v>3</v>
      </c>
      <c r="I308" s="4">
        <v>0</v>
      </c>
      <c r="J308" s="5">
        <v>10.4</v>
      </c>
      <c r="K308" s="2" t="s">
        <v>226</v>
      </c>
      <c r="L308" s="2" t="s">
        <v>227</v>
      </c>
    </row>
    <row r="309" spans="1:12" ht="15">
      <c r="A309" s="2" t="s">
        <v>83</v>
      </c>
      <c r="B309" s="2">
        <v>1</v>
      </c>
      <c r="C309" s="2" t="s">
        <v>29</v>
      </c>
      <c r="D309" s="3">
        <v>46275</v>
      </c>
      <c r="E309" s="2" t="s">
        <v>237</v>
      </c>
      <c r="F309" s="2" t="s">
        <v>225</v>
      </c>
      <c r="G309" s="4">
        <v>3.3</v>
      </c>
      <c r="H309" s="4">
        <v>3.3</v>
      </c>
      <c r="I309" s="4">
        <v>0</v>
      </c>
      <c r="J309" s="5">
        <v>4.3</v>
      </c>
      <c r="K309" s="2" t="s">
        <v>226</v>
      </c>
      <c r="L309" s="2" t="s">
        <v>227</v>
      </c>
    </row>
    <row r="310" spans="1:12" ht="15">
      <c r="A310" s="2" t="s">
        <v>83</v>
      </c>
      <c r="B310" s="2">
        <v>2</v>
      </c>
      <c r="C310" s="2" t="s">
        <v>29</v>
      </c>
      <c r="D310" s="3">
        <v>46275</v>
      </c>
      <c r="E310" s="2" t="s">
        <v>230</v>
      </c>
      <c r="F310" s="2" t="s">
        <v>225</v>
      </c>
      <c r="G310" s="4">
        <v>5.4</v>
      </c>
      <c r="H310" s="4">
        <v>5.4</v>
      </c>
      <c r="I310" s="4">
        <v>0</v>
      </c>
      <c r="J310" s="5">
        <v>2.7</v>
      </c>
      <c r="K310" s="2" t="s">
        <v>226</v>
      </c>
      <c r="L310" s="2" t="s">
        <v>227</v>
      </c>
    </row>
    <row r="311" spans="1:12" ht="15">
      <c r="A311" s="2" t="s">
        <v>83</v>
      </c>
      <c r="B311" s="2">
        <v>3</v>
      </c>
      <c r="C311" s="2" t="s">
        <v>29</v>
      </c>
      <c r="D311" s="3">
        <v>46275</v>
      </c>
      <c r="E311" s="2" t="s">
        <v>239</v>
      </c>
      <c r="F311" s="2" t="s">
        <v>225</v>
      </c>
      <c r="G311" s="4">
        <v>5</v>
      </c>
      <c r="H311" s="4">
        <v>5</v>
      </c>
      <c r="I311" s="4">
        <v>0</v>
      </c>
      <c r="J311" s="5">
        <v>4.8</v>
      </c>
      <c r="K311" s="2" t="s">
        <v>226</v>
      </c>
      <c r="L311" s="2" t="s">
        <v>227</v>
      </c>
    </row>
    <row r="312" spans="1:12" ht="15">
      <c r="A312" s="2" t="s">
        <v>83</v>
      </c>
      <c r="B312" s="2">
        <v>4</v>
      </c>
      <c r="C312" s="2" t="s">
        <v>29</v>
      </c>
      <c r="D312" s="3">
        <v>46275</v>
      </c>
      <c r="E312" s="2" t="s">
        <v>241</v>
      </c>
      <c r="F312" s="2" t="s">
        <v>225</v>
      </c>
      <c r="G312" s="4">
        <v>5</v>
      </c>
      <c r="H312" s="4">
        <v>5</v>
      </c>
      <c r="I312" s="4">
        <v>0</v>
      </c>
      <c r="J312" s="5">
        <v>2.9</v>
      </c>
      <c r="K312" s="2" t="s">
        <v>226</v>
      </c>
      <c r="L312" s="2" t="s">
        <v>227</v>
      </c>
    </row>
    <row r="313" spans="1:12" ht="15">
      <c r="A313" s="2" t="s">
        <v>83</v>
      </c>
      <c r="B313" s="2">
        <v>5</v>
      </c>
      <c r="C313" s="2" t="s">
        <v>29</v>
      </c>
      <c r="D313" s="3">
        <v>46275</v>
      </c>
      <c r="E313" s="2" t="s">
        <v>229</v>
      </c>
      <c r="F313" s="2" t="s">
        <v>225</v>
      </c>
      <c r="G313" s="4">
        <v>6.7</v>
      </c>
      <c r="H313" s="4">
        <v>6.7</v>
      </c>
      <c r="I313" s="4">
        <v>0</v>
      </c>
      <c r="J313" s="5">
        <v>2.7</v>
      </c>
      <c r="K313" s="2" t="s">
        <v>226</v>
      </c>
      <c r="L313" s="2" t="s">
        <v>227</v>
      </c>
    </row>
    <row r="314" spans="1:12" ht="15">
      <c r="A314" s="2" t="s">
        <v>83</v>
      </c>
      <c r="B314" s="2">
        <v>6</v>
      </c>
      <c r="C314" s="2" t="s">
        <v>29</v>
      </c>
      <c r="D314" s="3">
        <v>46275</v>
      </c>
      <c r="E314" s="2" t="s">
        <v>231</v>
      </c>
      <c r="F314" s="2" t="s">
        <v>225</v>
      </c>
      <c r="G314" s="4">
        <v>4</v>
      </c>
      <c r="H314" s="4">
        <v>4</v>
      </c>
      <c r="I314" s="4">
        <v>0</v>
      </c>
      <c r="J314" s="5">
        <v>10.4</v>
      </c>
      <c r="K314" s="2" t="s">
        <v>226</v>
      </c>
      <c r="L314" s="2" t="s">
        <v>227</v>
      </c>
    </row>
    <row r="315" spans="1:12" ht="15">
      <c r="A315" s="2" t="s">
        <v>84</v>
      </c>
      <c r="B315" s="2">
        <v>1</v>
      </c>
      <c r="C315" s="2" t="s">
        <v>30</v>
      </c>
      <c r="D315" s="3">
        <v>46275</v>
      </c>
      <c r="E315" s="2" t="s">
        <v>224</v>
      </c>
      <c r="F315" s="2" t="s">
        <v>225</v>
      </c>
      <c r="G315" s="4">
        <v>7</v>
      </c>
      <c r="H315" s="4">
        <v>7</v>
      </c>
      <c r="I315" s="4">
        <v>0.2</v>
      </c>
      <c r="J315" s="5">
        <v>5</v>
      </c>
      <c r="K315" s="2" t="s">
        <v>249</v>
      </c>
      <c r="L315" s="2" t="s">
        <v>227</v>
      </c>
    </row>
    <row r="316" spans="1:12" ht="15">
      <c r="A316" s="2" t="s">
        <v>84</v>
      </c>
      <c r="B316" s="2">
        <v>2</v>
      </c>
      <c r="C316" s="2" t="s">
        <v>30</v>
      </c>
      <c r="D316" s="3">
        <v>46275</v>
      </c>
      <c r="E316" s="2" t="s">
        <v>248</v>
      </c>
      <c r="F316" s="2" t="s">
        <v>225</v>
      </c>
      <c r="G316" s="4">
        <v>6.4</v>
      </c>
      <c r="H316" s="4">
        <v>6.4</v>
      </c>
      <c r="I316" s="4">
        <v>0</v>
      </c>
      <c r="J316" s="5">
        <v>5.45</v>
      </c>
      <c r="K316" s="2" t="s">
        <v>226</v>
      </c>
      <c r="L316" s="2" t="s">
        <v>227</v>
      </c>
    </row>
    <row r="317" spans="1:12" ht="15">
      <c r="A317" s="2" t="s">
        <v>84</v>
      </c>
      <c r="B317" s="2">
        <v>3</v>
      </c>
      <c r="C317" s="2" t="s">
        <v>30</v>
      </c>
      <c r="D317" s="3">
        <v>46275</v>
      </c>
      <c r="E317" s="2" t="s">
        <v>230</v>
      </c>
      <c r="F317" s="2" t="s">
        <v>225</v>
      </c>
      <c r="G317" s="4">
        <v>5.7</v>
      </c>
      <c r="H317" s="4">
        <v>5.7</v>
      </c>
      <c r="I317" s="4">
        <v>0</v>
      </c>
      <c r="J317" s="5">
        <v>2.7</v>
      </c>
      <c r="K317" s="2" t="s">
        <v>226</v>
      </c>
      <c r="L317" s="2" t="s">
        <v>227</v>
      </c>
    </row>
    <row r="318" spans="1:12" ht="15">
      <c r="A318" s="2" t="s">
        <v>84</v>
      </c>
      <c r="B318" s="2">
        <v>4</v>
      </c>
      <c r="C318" s="2" t="s">
        <v>30</v>
      </c>
      <c r="D318" s="3">
        <v>46275</v>
      </c>
      <c r="E318" s="2" t="s">
        <v>240</v>
      </c>
      <c r="F318" s="2" t="s">
        <v>225</v>
      </c>
      <c r="G318" s="4">
        <v>5.7</v>
      </c>
      <c r="H318" s="4">
        <v>5.7</v>
      </c>
      <c r="I318" s="4">
        <v>0</v>
      </c>
      <c r="J318" s="5">
        <v>6</v>
      </c>
      <c r="K318" s="2" t="s">
        <v>226</v>
      </c>
      <c r="L318" s="2" t="s">
        <v>227</v>
      </c>
    </row>
    <row r="319" spans="1:12" ht="15">
      <c r="A319" s="2" t="s">
        <v>84</v>
      </c>
      <c r="B319" s="2">
        <v>5</v>
      </c>
      <c r="C319" s="2" t="s">
        <v>30</v>
      </c>
      <c r="D319" s="3">
        <v>46275</v>
      </c>
      <c r="E319" s="2" t="s">
        <v>238</v>
      </c>
      <c r="F319" s="2" t="s">
        <v>225</v>
      </c>
      <c r="G319" s="4">
        <v>8.3000000000000007</v>
      </c>
      <c r="H319" s="4">
        <v>8.3000000000000007</v>
      </c>
      <c r="I319" s="4">
        <v>0</v>
      </c>
      <c r="J319" s="5">
        <v>3.3</v>
      </c>
      <c r="K319" s="2" t="s">
        <v>226</v>
      </c>
      <c r="L319" s="2" t="s">
        <v>227</v>
      </c>
    </row>
    <row r="320" spans="1:12" ht="15">
      <c r="A320" s="2" t="s">
        <v>84</v>
      </c>
      <c r="B320" s="2">
        <v>6</v>
      </c>
      <c r="C320" s="2" t="s">
        <v>30</v>
      </c>
      <c r="D320" s="3">
        <v>46275</v>
      </c>
      <c r="E320" s="2" t="s">
        <v>247</v>
      </c>
      <c r="F320" s="2" t="s">
        <v>225</v>
      </c>
      <c r="G320" s="4">
        <v>7.6</v>
      </c>
      <c r="H320" s="4">
        <v>7.6</v>
      </c>
      <c r="I320" s="4">
        <v>0</v>
      </c>
      <c r="J320" s="5">
        <v>5</v>
      </c>
      <c r="K320" s="2" t="s">
        <v>226</v>
      </c>
      <c r="L320" s="2" t="s">
        <v>227</v>
      </c>
    </row>
    <row r="321" spans="1:12" ht="15">
      <c r="A321" s="2" t="s">
        <v>84</v>
      </c>
      <c r="B321" s="2">
        <v>7</v>
      </c>
      <c r="C321" s="2" t="s">
        <v>30</v>
      </c>
      <c r="D321" s="3">
        <v>46275</v>
      </c>
      <c r="E321" s="2" t="s">
        <v>231</v>
      </c>
      <c r="F321" s="2" t="s">
        <v>225</v>
      </c>
      <c r="G321" s="4">
        <v>6</v>
      </c>
      <c r="H321" s="4">
        <v>6</v>
      </c>
      <c r="I321" s="4">
        <v>0.1</v>
      </c>
      <c r="J321" s="5">
        <v>10.4</v>
      </c>
      <c r="K321" s="2" t="s">
        <v>251</v>
      </c>
      <c r="L321" s="2" t="s">
        <v>227</v>
      </c>
    </row>
    <row r="322" spans="1:12" ht="15">
      <c r="A322" s="2" t="s">
        <v>85</v>
      </c>
      <c r="B322" s="2">
        <v>1</v>
      </c>
      <c r="C322" s="2" t="s">
        <v>31</v>
      </c>
      <c r="D322" s="3">
        <v>46275</v>
      </c>
      <c r="E322" s="2" t="s">
        <v>224</v>
      </c>
      <c r="F322" s="2" t="s">
        <v>225</v>
      </c>
      <c r="G322" s="4">
        <v>4.5</v>
      </c>
      <c r="H322" s="4">
        <v>4.5</v>
      </c>
      <c r="I322" s="4">
        <v>0</v>
      </c>
      <c r="J322" s="5">
        <v>5</v>
      </c>
      <c r="K322" s="2" t="s">
        <v>226</v>
      </c>
      <c r="L322" s="2" t="s">
        <v>227</v>
      </c>
    </row>
    <row r="323" spans="1:12" ht="15">
      <c r="A323" s="2" t="s">
        <v>85</v>
      </c>
      <c r="B323" s="2">
        <v>2</v>
      </c>
      <c r="C323" s="2" t="s">
        <v>31</v>
      </c>
      <c r="D323" s="3">
        <v>46275</v>
      </c>
      <c r="E323" s="2" t="s">
        <v>243</v>
      </c>
      <c r="F323" s="2" t="s">
        <v>225</v>
      </c>
      <c r="G323" s="4">
        <v>6.2</v>
      </c>
      <c r="H323" s="4">
        <v>6.2</v>
      </c>
      <c r="I323" s="4">
        <v>0</v>
      </c>
      <c r="J323" s="5">
        <v>4.4000000000000004</v>
      </c>
      <c r="K323" s="2" t="s">
        <v>226</v>
      </c>
      <c r="L323" s="2" t="s">
        <v>227</v>
      </c>
    </row>
    <row r="324" spans="1:12" ht="15">
      <c r="A324" s="2" t="s">
        <v>85</v>
      </c>
      <c r="B324" s="2">
        <v>3</v>
      </c>
      <c r="C324" s="2" t="s">
        <v>31</v>
      </c>
      <c r="D324" s="3">
        <v>46275</v>
      </c>
      <c r="E324" s="2" t="s">
        <v>239</v>
      </c>
      <c r="F324" s="2" t="s">
        <v>225</v>
      </c>
      <c r="G324" s="4">
        <v>6.8</v>
      </c>
      <c r="H324" s="4">
        <v>6.8</v>
      </c>
      <c r="I324" s="4">
        <v>0</v>
      </c>
      <c r="J324" s="5">
        <v>4.8</v>
      </c>
      <c r="K324" s="2" t="s">
        <v>226</v>
      </c>
      <c r="L324" s="2" t="s">
        <v>227</v>
      </c>
    </row>
    <row r="325" spans="1:12" ht="15">
      <c r="A325" s="2" t="s">
        <v>85</v>
      </c>
      <c r="B325" s="2">
        <v>4</v>
      </c>
      <c r="C325" s="2" t="s">
        <v>31</v>
      </c>
      <c r="D325" s="3">
        <v>46275</v>
      </c>
      <c r="E325" s="2" t="s">
        <v>228</v>
      </c>
      <c r="F325" s="2" t="s">
        <v>225</v>
      </c>
      <c r="G325" s="4">
        <v>5.6</v>
      </c>
      <c r="H325" s="4">
        <v>5.6</v>
      </c>
      <c r="I325" s="4">
        <v>0</v>
      </c>
      <c r="J325" s="5">
        <v>2.7</v>
      </c>
      <c r="K325" s="2" t="s">
        <v>226</v>
      </c>
      <c r="L325" s="2" t="s">
        <v>227</v>
      </c>
    </row>
    <row r="326" spans="1:12" ht="15">
      <c r="A326" s="2" t="s">
        <v>85</v>
      </c>
      <c r="B326" s="2">
        <v>5</v>
      </c>
      <c r="C326" s="2" t="s">
        <v>31</v>
      </c>
      <c r="D326" s="3">
        <v>46275</v>
      </c>
      <c r="E326" s="2" t="s">
        <v>247</v>
      </c>
      <c r="F326" s="2" t="s">
        <v>225</v>
      </c>
      <c r="G326" s="4">
        <v>6.2</v>
      </c>
      <c r="H326" s="4">
        <v>6.2</v>
      </c>
      <c r="I326" s="4">
        <v>0</v>
      </c>
      <c r="J326" s="5">
        <v>5</v>
      </c>
      <c r="K326" s="2" t="s">
        <v>226</v>
      </c>
      <c r="L326" s="2" t="s">
        <v>227</v>
      </c>
    </row>
    <row r="327" spans="1:12" ht="15">
      <c r="A327" s="2" t="s">
        <v>85</v>
      </c>
      <c r="B327" s="2">
        <v>6</v>
      </c>
      <c r="C327" s="2" t="s">
        <v>31</v>
      </c>
      <c r="D327" s="3">
        <v>46275</v>
      </c>
      <c r="E327" s="2" t="s">
        <v>229</v>
      </c>
      <c r="F327" s="2" t="s">
        <v>225</v>
      </c>
      <c r="G327" s="4">
        <v>9</v>
      </c>
      <c r="H327" s="4">
        <v>9</v>
      </c>
      <c r="I327" s="4">
        <v>0</v>
      </c>
      <c r="J327" s="5">
        <v>2.7</v>
      </c>
      <c r="K327" s="2" t="s">
        <v>226</v>
      </c>
      <c r="L327" s="2" t="s">
        <v>227</v>
      </c>
    </row>
    <row r="328" spans="1:12" ht="15">
      <c r="A328" s="2" t="s">
        <v>85</v>
      </c>
      <c r="B328" s="2">
        <v>7</v>
      </c>
      <c r="C328" s="2" t="s">
        <v>31</v>
      </c>
      <c r="D328" s="3">
        <v>46275</v>
      </c>
      <c r="E328" s="2" t="s">
        <v>231</v>
      </c>
      <c r="F328" s="2" t="s">
        <v>225</v>
      </c>
      <c r="G328" s="4">
        <v>5</v>
      </c>
      <c r="H328" s="4">
        <v>5</v>
      </c>
      <c r="I328" s="4">
        <v>0.1</v>
      </c>
      <c r="J328" s="5">
        <v>10.4</v>
      </c>
      <c r="K328" s="2" t="s">
        <v>251</v>
      </c>
      <c r="L328" s="2" t="s">
        <v>227</v>
      </c>
    </row>
    <row r="329" spans="1:12" ht="15">
      <c r="A329" s="2" t="s">
        <v>86</v>
      </c>
      <c r="B329" s="2">
        <v>1</v>
      </c>
      <c r="C329" s="2" t="s">
        <v>32</v>
      </c>
      <c r="D329" s="3">
        <v>46275</v>
      </c>
      <c r="E329" s="2" t="s">
        <v>237</v>
      </c>
      <c r="F329" s="2" t="s">
        <v>225</v>
      </c>
      <c r="G329" s="4">
        <v>10.1</v>
      </c>
      <c r="H329" s="4">
        <v>10.1</v>
      </c>
      <c r="I329" s="4">
        <v>0</v>
      </c>
      <c r="J329" s="5">
        <v>4.3</v>
      </c>
      <c r="K329" s="2" t="s">
        <v>226</v>
      </c>
      <c r="L329" s="2" t="s">
        <v>227</v>
      </c>
    </row>
    <row r="330" spans="1:12" ht="15">
      <c r="A330" s="2" t="s">
        <v>86</v>
      </c>
      <c r="B330" s="2">
        <v>2</v>
      </c>
      <c r="C330" s="2" t="s">
        <v>32</v>
      </c>
      <c r="D330" s="3">
        <v>46275</v>
      </c>
      <c r="E330" s="2" t="s">
        <v>229</v>
      </c>
      <c r="F330" s="2" t="s">
        <v>225</v>
      </c>
      <c r="G330" s="4">
        <v>10.9</v>
      </c>
      <c r="H330" s="4">
        <v>10.9</v>
      </c>
      <c r="I330" s="4">
        <v>0</v>
      </c>
      <c r="J330" s="5">
        <v>2.7</v>
      </c>
      <c r="K330" s="2" t="s">
        <v>226</v>
      </c>
      <c r="L330" s="2" t="s">
        <v>227</v>
      </c>
    </row>
    <row r="331" spans="1:12" ht="15">
      <c r="A331" s="2" t="s">
        <v>86</v>
      </c>
      <c r="B331" s="2">
        <v>3</v>
      </c>
      <c r="C331" s="2" t="s">
        <v>32</v>
      </c>
      <c r="D331" s="3">
        <v>46275</v>
      </c>
      <c r="E331" s="2" t="s">
        <v>239</v>
      </c>
      <c r="F331" s="2" t="s">
        <v>225</v>
      </c>
      <c r="G331" s="4">
        <v>5.9</v>
      </c>
      <c r="H331" s="4">
        <v>5.9</v>
      </c>
      <c r="I331" s="4">
        <v>0</v>
      </c>
      <c r="J331" s="5">
        <v>4.8</v>
      </c>
      <c r="K331" s="2" t="s">
        <v>226</v>
      </c>
      <c r="L331" s="2" t="s">
        <v>227</v>
      </c>
    </row>
    <row r="332" spans="1:12" ht="15">
      <c r="A332" s="2" t="s">
        <v>86</v>
      </c>
      <c r="B332" s="2">
        <v>4</v>
      </c>
      <c r="C332" s="2" t="s">
        <v>32</v>
      </c>
      <c r="D332" s="3">
        <v>46275</v>
      </c>
      <c r="E332" s="2" t="s">
        <v>228</v>
      </c>
      <c r="F332" s="2" t="s">
        <v>225</v>
      </c>
      <c r="G332" s="4">
        <v>9.3000000000000007</v>
      </c>
      <c r="H332" s="4">
        <v>9.3000000000000007</v>
      </c>
      <c r="I332" s="4">
        <v>0</v>
      </c>
      <c r="J332" s="5">
        <v>2.7</v>
      </c>
      <c r="K332" s="2" t="s">
        <v>226</v>
      </c>
      <c r="L332" s="2" t="s">
        <v>227</v>
      </c>
    </row>
    <row r="333" spans="1:12" ht="15">
      <c r="A333" s="2" t="s">
        <v>86</v>
      </c>
      <c r="B333" s="2">
        <v>5</v>
      </c>
      <c r="C333" s="2" t="s">
        <v>32</v>
      </c>
      <c r="D333" s="3">
        <v>46275</v>
      </c>
      <c r="E333" s="2" t="s">
        <v>247</v>
      </c>
      <c r="F333" s="2" t="s">
        <v>225</v>
      </c>
      <c r="G333" s="4">
        <v>6.7</v>
      </c>
      <c r="H333" s="4">
        <v>6.7</v>
      </c>
      <c r="I333" s="4">
        <v>0</v>
      </c>
      <c r="J333" s="5">
        <v>5</v>
      </c>
      <c r="K333" s="2" t="s">
        <v>226</v>
      </c>
      <c r="L333" s="2" t="s">
        <v>227</v>
      </c>
    </row>
    <row r="334" spans="1:12" ht="15">
      <c r="A334" s="2" t="s">
        <v>86</v>
      </c>
      <c r="B334" s="2">
        <v>6</v>
      </c>
      <c r="C334" s="2" t="s">
        <v>32</v>
      </c>
      <c r="D334" s="3">
        <v>46275</v>
      </c>
      <c r="E334" s="2" t="s">
        <v>241</v>
      </c>
      <c r="F334" s="2" t="s">
        <v>225</v>
      </c>
      <c r="G334" s="4">
        <v>13.5</v>
      </c>
      <c r="H334" s="4">
        <v>13.5</v>
      </c>
      <c r="I334" s="4">
        <v>0</v>
      </c>
      <c r="J334" s="5">
        <v>2.9</v>
      </c>
      <c r="K334" s="2" t="s">
        <v>226</v>
      </c>
      <c r="L334" s="2" t="s">
        <v>227</v>
      </c>
    </row>
    <row r="335" spans="1:12" ht="15">
      <c r="A335" s="2" t="s">
        <v>87</v>
      </c>
      <c r="B335" s="2">
        <v>1</v>
      </c>
      <c r="C335" s="2" t="s">
        <v>33</v>
      </c>
      <c r="D335" s="3">
        <v>46275</v>
      </c>
      <c r="E335" s="2" t="s">
        <v>245</v>
      </c>
      <c r="F335" s="2" t="s">
        <v>225</v>
      </c>
      <c r="G335" s="4">
        <v>6.9</v>
      </c>
      <c r="H335" s="4">
        <v>6.9</v>
      </c>
      <c r="I335" s="4">
        <v>0</v>
      </c>
      <c r="J335" s="5">
        <v>5</v>
      </c>
      <c r="K335" s="2" t="s">
        <v>226</v>
      </c>
      <c r="L335" s="2" t="s">
        <v>227</v>
      </c>
    </row>
    <row r="336" spans="1:12" ht="15">
      <c r="A336" s="2" t="s">
        <v>87</v>
      </c>
      <c r="B336" s="2">
        <v>2</v>
      </c>
      <c r="C336" s="2" t="s">
        <v>33</v>
      </c>
      <c r="D336" s="3">
        <v>46275</v>
      </c>
      <c r="E336" s="2" t="s">
        <v>228</v>
      </c>
      <c r="F336" s="2" t="s">
        <v>225</v>
      </c>
      <c r="G336" s="4">
        <v>6.9</v>
      </c>
      <c r="H336" s="4">
        <v>6.9</v>
      </c>
      <c r="I336" s="4">
        <v>0</v>
      </c>
      <c r="J336" s="5">
        <v>2.7</v>
      </c>
      <c r="K336" s="2" t="s">
        <v>226</v>
      </c>
      <c r="L336" s="2" t="s">
        <v>227</v>
      </c>
    </row>
    <row r="337" spans="1:12" ht="15">
      <c r="A337" s="2" t="s">
        <v>87</v>
      </c>
      <c r="B337" s="2">
        <v>3</v>
      </c>
      <c r="C337" s="2" t="s">
        <v>33</v>
      </c>
      <c r="D337" s="3">
        <v>46275</v>
      </c>
      <c r="E337" s="2" t="s">
        <v>250</v>
      </c>
      <c r="F337" s="2" t="s">
        <v>225</v>
      </c>
      <c r="G337" s="4">
        <v>7.7</v>
      </c>
      <c r="H337" s="4">
        <v>7.7</v>
      </c>
      <c r="I337" s="4">
        <v>0</v>
      </c>
      <c r="J337" s="5">
        <v>5</v>
      </c>
      <c r="K337" s="2" t="s">
        <v>226</v>
      </c>
      <c r="L337" s="2" t="s">
        <v>227</v>
      </c>
    </row>
    <row r="338" spans="1:12" ht="15">
      <c r="A338" s="2" t="s">
        <v>87</v>
      </c>
      <c r="B338" s="2">
        <v>4</v>
      </c>
      <c r="C338" s="2" t="s">
        <v>33</v>
      </c>
      <c r="D338" s="3">
        <v>46275</v>
      </c>
      <c r="E338" s="2" t="s">
        <v>238</v>
      </c>
      <c r="F338" s="2" t="s">
        <v>225</v>
      </c>
      <c r="G338" s="4">
        <v>6</v>
      </c>
      <c r="H338" s="4">
        <v>5.8</v>
      </c>
      <c r="I338" s="4">
        <v>0</v>
      </c>
      <c r="J338" s="5">
        <v>3.3</v>
      </c>
      <c r="K338" s="2" t="s">
        <v>246</v>
      </c>
      <c r="L338" s="2" t="s">
        <v>227</v>
      </c>
    </row>
    <row r="339" spans="1:12" ht="15">
      <c r="A339" s="2" t="s">
        <v>87</v>
      </c>
      <c r="B339" s="2">
        <v>5</v>
      </c>
      <c r="C339" s="2" t="s">
        <v>33</v>
      </c>
      <c r="D339" s="3">
        <v>46275</v>
      </c>
      <c r="E339" s="2" t="s">
        <v>240</v>
      </c>
      <c r="F339" s="2" t="s">
        <v>225</v>
      </c>
      <c r="G339" s="4">
        <v>11.2</v>
      </c>
      <c r="H339" s="4">
        <v>10.7</v>
      </c>
      <c r="I339" s="4">
        <v>0</v>
      </c>
      <c r="J339" s="5">
        <v>6</v>
      </c>
      <c r="K339" s="2" t="s">
        <v>246</v>
      </c>
      <c r="L339" s="2" t="s">
        <v>227</v>
      </c>
    </row>
    <row r="340" spans="1:12" ht="15">
      <c r="A340" s="2" t="s">
        <v>87</v>
      </c>
      <c r="B340" s="2">
        <v>6</v>
      </c>
      <c r="C340" s="2" t="s">
        <v>33</v>
      </c>
      <c r="D340" s="3">
        <v>46275</v>
      </c>
      <c r="E340" s="2" t="s">
        <v>243</v>
      </c>
      <c r="F340" s="2" t="s">
        <v>225</v>
      </c>
      <c r="G340" s="4">
        <v>6</v>
      </c>
      <c r="H340" s="4">
        <v>6</v>
      </c>
      <c r="I340" s="4">
        <v>0</v>
      </c>
      <c r="J340" s="5">
        <v>4.4000000000000004</v>
      </c>
      <c r="K340" s="2" t="s">
        <v>226</v>
      </c>
      <c r="L340" s="2" t="s">
        <v>227</v>
      </c>
    </row>
    <row r="341" spans="1:12" ht="15">
      <c r="A341" s="2" t="s">
        <v>87</v>
      </c>
      <c r="B341" s="2">
        <v>7</v>
      </c>
      <c r="C341" s="2" t="s">
        <v>33</v>
      </c>
      <c r="D341" s="3">
        <v>46275</v>
      </c>
      <c r="E341" s="2" t="s">
        <v>232</v>
      </c>
      <c r="F341" s="2" t="s">
        <v>225</v>
      </c>
      <c r="G341" s="4">
        <v>1</v>
      </c>
      <c r="H341" s="4">
        <v>1</v>
      </c>
      <c r="I341" s="4">
        <v>0</v>
      </c>
      <c r="J341" s="5">
        <v>7.2</v>
      </c>
      <c r="K341" s="2" t="s">
        <v>226</v>
      </c>
      <c r="L341" s="2" t="s">
        <v>227</v>
      </c>
    </row>
    <row r="342" spans="1:12" ht="15">
      <c r="A342" s="2" t="s">
        <v>88</v>
      </c>
      <c r="B342" s="2">
        <v>1</v>
      </c>
      <c r="C342" s="2" t="s">
        <v>28</v>
      </c>
      <c r="D342" s="3">
        <v>46276</v>
      </c>
      <c r="E342" s="2" t="s">
        <v>224</v>
      </c>
      <c r="F342" s="2" t="s">
        <v>225</v>
      </c>
      <c r="G342" s="4">
        <v>2.1</v>
      </c>
      <c r="H342" s="4">
        <v>2.1</v>
      </c>
      <c r="I342" s="4">
        <v>0.2</v>
      </c>
      <c r="J342" s="5">
        <v>5</v>
      </c>
      <c r="K342" s="2" t="s">
        <v>249</v>
      </c>
      <c r="L342" s="2" t="s">
        <v>227</v>
      </c>
    </row>
    <row r="343" spans="1:12" ht="15">
      <c r="A343" s="2" t="s">
        <v>88</v>
      </c>
      <c r="B343" s="2">
        <v>2</v>
      </c>
      <c r="C343" s="2" t="s">
        <v>28</v>
      </c>
      <c r="D343" s="3">
        <v>46276</v>
      </c>
      <c r="E343" s="2" t="s">
        <v>248</v>
      </c>
      <c r="F343" s="2" t="s">
        <v>225</v>
      </c>
      <c r="G343" s="4">
        <v>2.9</v>
      </c>
      <c r="H343" s="4">
        <v>2.6</v>
      </c>
      <c r="I343" s="4">
        <v>0</v>
      </c>
      <c r="J343" s="5">
        <v>5.45</v>
      </c>
      <c r="K343" s="2" t="s">
        <v>246</v>
      </c>
      <c r="L343" s="2" t="s">
        <v>227</v>
      </c>
    </row>
    <row r="344" spans="1:12" ht="15">
      <c r="A344" s="2" t="s">
        <v>88</v>
      </c>
      <c r="B344" s="2">
        <v>3</v>
      </c>
      <c r="C344" s="2" t="s">
        <v>28</v>
      </c>
      <c r="D344" s="3">
        <v>46276</v>
      </c>
      <c r="E344" s="2" t="s">
        <v>228</v>
      </c>
      <c r="F344" s="2" t="s">
        <v>225</v>
      </c>
      <c r="G344" s="4">
        <v>2.4</v>
      </c>
      <c r="H344" s="4">
        <v>2.4</v>
      </c>
      <c r="I344" s="4">
        <v>0</v>
      </c>
      <c r="J344" s="5">
        <v>2.7</v>
      </c>
      <c r="K344" s="2" t="s">
        <v>226</v>
      </c>
      <c r="L344" s="2" t="s">
        <v>227</v>
      </c>
    </row>
    <row r="345" spans="1:12" ht="15">
      <c r="A345" s="2" t="s">
        <v>88</v>
      </c>
      <c r="B345" s="2">
        <v>4</v>
      </c>
      <c r="C345" s="2" t="s">
        <v>28</v>
      </c>
      <c r="D345" s="3">
        <v>46276</v>
      </c>
      <c r="E345" s="2" t="s">
        <v>241</v>
      </c>
      <c r="F345" s="2" t="s">
        <v>225</v>
      </c>
      <c r="G345" s="4">
        <v>3.2</v>
      </c>
      <c r="H345" s="4">
        <v>3.2</v>
      </c>
      <c r="I345" s="4">
        <v>0</v>
      </c>
      <c r="J345" s="5">
        <v>2.9</v>
      </c>
      <c r="K345" s="2" t="s">
        <v>226</v>
      </c>
      <c r="L345" s="2" t="s">
        <v>227</v>
      </c>
    </row>
    <row r="346" spans="1:12" ht="15">
      <c r="A346" s="2" t="s">
        <v>88</v>
      </c>
      <c r="B346" s="2">
        <v>5</v>
      </c>
      <c r="C346" s="2" t="s">
        <v>28</v>
      </c>
      <c r="D346" s="3">
        <v>46276</v>
      </c>
      <c r="E346" s="2" t="s">
        <v>232</v>
      </c>
      <c r="F346" s="2" t="s">
        <v>225</v>
      </c>
      <c r="G346" s="4">
        <v>0.5</v>
      </c>
      <c r="H346" s="4">
        <v>0.5</v>
      </c>
      <c r="I346" s="4">
        <v>0</v>
      </c>
      <c r="J346" s="5">
        <v>7.2</v>
      </c>
      <c r="K346" s="2" t="s">
        <v>226</v>
      </c>
      <c r="L346" s="2" t="s">
        <v>227</v>
      </c>
    </row>
    <row r="347" spans="1:12" ht="15">
      <c r="A347" s="2" t="s">
        <v>89</v>
      </c>
      <c r="B347" s="2">
        <v>1</v>
      </c>
      <c r="C347" s="2" t="s">
        <v>29</v>
      </c>
      <c r="D347" s="3">
        <v>46276</v>
      </c>
      <c r="E347" s="2" t="s">
        <v>224</v>
      </c>
      <c r="F347" s="2" t="s">
        <v>225</v>
      </c>
      <c r="G347" s="4">
        <v>8.6</v>
      </c>
      <c r="H347" s="4">
        <v>8.6</v>
      </c>
      <c r="I347" s="4">
        <v>0</v>
      </c>
      <c r="J347" s="5">
        <v>5</v>
      </c>
      <c r="K347" s="2" t="s">
        <v>226</v>
      </c>
      <c r="L347" s="2" t="s">
        <v>227</v>
      </c>
    </row>
    <row r="348" spans="1:12" ht="15">
      <c r="A348" s="2" t="s">
        <v>89</v>
      </c>
      <c r="B348" s="2">
        <v>2</v>
      </c>
      <c r="C348" s="2" t="s">
        <v>29</v>
      </c>
      <c r="D348" s="3">
        <v>46276</v>
      </c>
      <c r="E348" s="2" t="s">
        <v>241</v>
      </c>
      <c r="F348" s="2" t="s">
        <v>225</v>
      </c>
      <c r="G348" s="4">
        <v>4.3</v>
      </c>
      <c r="H348" s="4">
        <v>4.3</v>
      </c>
      <c r="I348" s="4">
        <v>0</v>
      </c>
      <c r="J348" s="5">
        <v>2.9</v>
      </c>
      <c r="K348" s="2" t="s">
        <v>226</v>
      </c>
      <c r="L348" s="2" t="s">
        <v>227</v>
      </c>
    </row>
    <row r="349" spans="1:12" ht="15">
      <c r="A349" s="2" t="s">
        <v>89</v>
      </c>
      <c r="B349" s="2">
        <v>3</v>
      </c>
      <c r="C349" s="2" t="s">
        <v>29</v>
      </c>
      <c r="D349" s="3">
        <v>46276</v>
      </c>
      <c r="E349" s="2" t="s">
        <v>247</v>
      </c>
      <c r="F349" s="2" t="s">
        <v>225</v>
      </c>
      <c r="G349" s="4">
        <v>9.9</v>
      </c>
      <c r="H349" s="4">
        <v>9.9</v>
      </c>
      <c r="I349" s="4">
        <v>0</v>
      </c>
      <c r="J349" s="5">
        <v>5</v>
      </c>
      <c r="K349" s="2" t="s">
        <v>226</v>
      </c>
      <c r="L349" s="2" t="s">
        <v>227</v>
      </c>
    </row>
    <row r="350" spans="1:12" ht="15">
      <c r="A350" s="2" t="s">
        <v>89</v>
      </c>
      <c r="B350" s="2">
        <v>4</v>
      </c>
      <c r="C350" s="2" t="s">
        <v>29</v>
      </c>
      <c r="D350" s="3">
        <v>46276</v>
      </c>
      <c r="E350" s="2" t="s">
        <v>229</v>
      </c>
      <c r="F350" s="2" t="s">
        <v>225</v>
      </c>
      <c r="G350" s="4">
        <v>9.3000000000000007</v>
      </c>
      <c r="H350" s="4">
        <v>9.3000000000000007</v>
      </c>
      <c r="I350" s="4">
        <v>0</v>
      </c>
      <c r="J350" s="5">
        <v>2.7</v>
      </c>
      <c r="K350" s="2" t="s">
        <v>226</v>
      </c>
      <c r="L350" s="2" t="s">
        <v>227</v>
      </c>
    </row>
    <row r="351" spans="1:12" ht="15">
      <c r="A351" s="2" t="s">
        <v>89</v>
      </c>
      <c r="B351" s="2">
        <v>5</v>
      </c>
      <c r="C351" s="2" t="s">
        <v>29</v>
      </c>
      <c r="D351" s="3">
        <v>46276</v>
      </c>
      <c r="E351" s="2" t="s">
        <v>250</v>
      </c>
      <c r="F351" s="2" t="s">
        <v>225</v>
      </c>
      <c r="G351" s="4">
        <v>4.3</v>
      </c>
      <c r="H351" s="4">
        <v>4.3</v>
      </c>
      <c r="I351" s="4">
        <v>0</v>
      </c>
      <c r="J351" s="5">
        <v>5</v>
      </c>
      <c r="K351" s="2" t="s">
        <v>226</v>
      </c>
      <c r="L351" s="2" t="s">
        <v>227</v>
      </c>
    </row>
    <row r="352" spans="1:12" ht="15">
      <c r="A352" s="2" t="s">
        <v>89</v>
      </c>
      <c r="B352" s="2">
        <v>6</v>
      </c>
      <c r="C352" s="2" t="s">
        <v>29</v>
      </c>
      <c r="D352" s="3">
        <v>46276</v>
      </c>
      <c r="E352" s="2" t="s">
        <v>232</v>
      </c>
      <c r="F352" s="2" t="s">
        <v>225</v>
      </c>
      <c r="G352" s="4">
        <v>1</v>
      </c>
      <c r="H352" s="4">
        <v>1</v>
      </c>
      <c r="I352" s="4">
        <v>0</v>
      </c>
      <c r="J352" s="5">
        <v>7.2</v>
      </c>
      <c r="K352" s="2" t="s">
        <v>226</v>
      </c>
      <c r="L352" s="2" t="s">
        <v>227</v>
      </c>
    </row>
    <row r="353" spans="1:12" ht="15">
      <c r="A353" s="2" t="s">
        <v>90</v>
      </c>
      <c r="B353" s="2">
        <v>1</v>
      </c>
      <c r="C353" s="2" t="s">
        <v>30</v>
      </c>
      <c r="D353" s="3">
        <v>46276</v>
      </c>
      <c r="E353" s="2" t="s">
        <v>245</v>
      </c>
      <c r="F353" s="2" t="s">
        <v>225</v>
      </c>
      <c r="G353" s="4">
        <v>9</v>
      </c>
      <c r="H353" s="4">
        <v>9</v>
      </c>
      <c r="I353" s="4">
        <v>0</v>
      </c>
      <c r="J353" s="5">
        <v>5</v>
      </c>
      <c r="K353" s="2" t="s">
        <v>226</v>
      </c>
      <c r="L353" s="2" t="s">
        <v>227</v>
      </c>
    </row>
    <row r="354" spans="1:12" ht="15">
      <c r="A354" s="2" t="s">
        <v>90</v>
      </c>
      <c r="B354" s="2">
        <v>2</v>
      </c>
      <c r="C354" s="2" t="s">
        <v>30</v>
      </c>
      <c r="D354" s="3">
        <v>46276</v>
      </c>
      <c r="E354" s="2" t="s">
        <v>238</v>
      </c>
      <c r="F354" s="2" t="s">
        <v>225</v>
      </c>
      <c r="G354" s="4">
        <v>7.3</v>
      </c>
      <c r="H354" s="4">
        <v>7.3</v>
      </c>
      <c r="I354" s="4">
        <v>0</v>
      </c>
      <c r="J354" s="5">
        <v>3.3</v>
      </c>
      <c r="K354" s="2" t="s">
        <v>226</v>
      </c>
      <c r="L354" s="2" t="s">
        <v>227</v>
      </c>
    </row>
    <row r="355" spans="1:12" ht="15">
      <c r="A355" s="2" t="s">
        <v>90</v>
      </c>
      <c r="B355" s="2">
        <v>3</v>
      </c>
      <c r="C355" s="2" t="s">
        <v>30</v>
      </c>
      <c r="D355" s="3">
        <v>46276</v>
      </c>
      <c r="E355" s="2" t="s">
        <v>250</v>
      </c>
      <c r="F355" s="2" t="s">
        <v>225</v>
      </c>
      <c r="G355" s="4">
        <v>3.9</v>
      </c>
      <c r="H355" s="4">
        <v>3.9</v>
      </c>
      <c r="I355" s="4">
        <v>0</v>
      </c>
      <c r="J355" s="5">
        <v>5</v>
      </c>
      <c r="K355" s="2" t="s">
        <v>226</v>
      </c>
      <c r="L355" s="2" t="s">
        <v>227</v>
      </c>
    </row>
    <row r="356" spans="1:12" ht="15">
      <c r="A356" s="2" t="s">
        <v>90</v>
      </c>
      <c r="B356" s="2">
        <v>4</v>
      </c>
      <c r="C356" s="2" t="s">
        <v>30</v>
      </c>
      <c r="D356" s="3">
        <v>46276</v>
      </c>
      <c r="E356" s="2" t="s">
        <v>228</v>
      </c>
      <c r="F356" s="2" t="s">
        <v>225</v>
      </c>
      <c r="G356" s="4">
        <v>6.2</v>
      </c>
      <c r="H356" s="4">
        <v>6.2</v>
      </c>
      <c r="I356" s="4">
        <v>0</v>
      </c>
      <c r="J356" s="5">
        <v>2.7</v>
      </c>
      <c r="K356" s="2" t="s">
        <v>226</v>
      </c>
      <c r="L356" s="2" t="s">
        <v>227</v>
      </c>
    </row>
    <row r="357" spans="1:12" ht="15">
      <c r="A357" s="2" t="s">
        <v>90</v>
      </c>
      <c r="B357" s="2">
        <v>5</v>
      </c>
      <c r="C357" s="2" t="s">
        <v>30</v>
      </c>
      <c r="D357" s="3">
        <v>46276</v>
      </c>
      <c r="E357" s="2" t="s">
        <v>241</v>
      </c>
      <c r="F357" s="2" t="s">
        <v>225</v>
      </c>
      <c r="G357" s="4">
        <v>5.0999999999999996</v>
      </c>
      <c r="H357" s="4">
        <v>5.0999999999999996</v>
      </c>
      <c r="I357" s="4">
        <v>0</v>
      </c>
      <c r="J357" s="5">
        <v>2.9</v>
      </c>
      <c r="K357" s="2" t="s">
        <v>226</v>
      </c>
      <c r="L357" s="2" t="s">
        <v>227</v>
      </c>
    </row>
    <row r="358" spans="1:12" ht="15">
      <c r="A358" s="2" t="s">
        <v>90</v>
      </c>
      <c r="B358" s="2">
        <v>6</v>
      </c>
      <c r="C358" s="2" t="s">
        <v>30</v>
      </c>
      <c r="D358" s="3">
        <v>46276</v>
      </c>
      <c r="E358" s="2" t="s">
        <v>247</v>
      </c>
      <c r="F358" s="2" t="s">
        <v>225</v>
      </c>
      <c r="G358" s="4">
        <v>7.9</v>
      </c>
      <c r="H358" s="4">
        <v>7.9</v>
      </c>
      <c r="I358" s="4">
        <v>0</v>
      </c>
      <c r="J358" s="5">
        <v>5</v>
      </c>
      <c r="K358" s="2" t="s">
        <v>226</v>
      </c>
      <c r="L358" s="2" t="s">
        <v>227</v>
      </c>
    </row>
    <row r="359" spans="1:12" ht="15">
      <c r="A359" s="2" t="s">
        <v>90</v>
      </c>
      <c r="B359" s="2">
        <v>7</v>
      </c>
      <c r="C359" s="2" t="s">
        <v>30</v>
      </c>
      <c r="D359" s="3">
        <v>46276</v>
      </c>
      <c r="E359" s="2" t="s">
        <v>232</v>
      </c>
      <c r="F359" s="2" t="s">
        <v>225</v>
      </c>
      <c r="G359" s="4">
        <v>1</v>
      </c>
      <c r="H359" s="4">
        <v>1</v>
      </c>
      <c r="I359" s="4">
        <v>0</v>
      </c>
      <c r="J359" s="5">
        <v>7.2</v>
      </c>
      <c r="K359" s="2" t="s">
        <v>226</v>
      </c>
      <c r="L359" s="2" t="s">
        <v>227</v>
      </c>
    </row>
    <row r="360" spans="1:12" ht="15">
      <c r="A360" s="2" t="s">
        <v>91</v>
      </c>
      <c r="B360" s="2">
        <v>1</v>
      </c>
      <c r="C360" s="2" t="s">
        <v>32</v>
      </c>
      <c r="D360" s="3">
        <v>46276</v>
      </c>
      <c r="E360" s="2" t="s">
        <v>245</v>
      </c>
      <c r="F360" s="2" t="s">
        <v>225</v>
      </c>
      <c r="G360" s="4">
        <v>15</v>
      </c>
      <c r="H360" s="4">
        <v>15</v>
      </c>
      <c r="I360" s="4">
        <v>0</v>
      </c>
      <c r="J360" s="5">
        <v>5</v>
      </c>
      <c r="K360" s="2" t="s">
        <v>226</v>
      </c>
      <c r="L360" s="2" t="s">
        <v>227</v>
      </c>
    </row>
    <row r="361" spans="1:12" ht="15">
      <c r="A361" s="2" t="s">
        <v>91</v>
      </c>
      <c r="B361" s="2">
        <v>2</v>
      </c>
      <c r="C361" s="2" t="s">
        <v>32</v>
      </c>
      <c r="D361" s="3">
        <v>46276</v>
      </c>
      <c r="E361" s="2" t="s">
        <v>240</v>
      </c>
      <c r="F361" s="2" t="s">
        <v>225</v>
      </c>
      <c r="G361" s="4">
        <v>16</v>
      </c>
      <c r="H361" s="4">
        <v>16</v>
      </c>
      <c r="I361" s="4">
        <v>0</v>
      </c>
      <c r="J361" s="5">
        <v>6</v>
      </c>
      <c r="K361" s="2" t="s">
        <v>226</v>
      </c>
      <c r="L361" s="2" t="s">
        <v>227</v>
      </c>
    </row>
    <row r="362" spans="1:12" ht="15">
      <c r="A362" s="2" t="s">
        <v>91</v>
      </c>
      <c r="B362" s="2">
        <v>3</v>
      </c>
      <c r="C362" s="2" t="s">
        <v>32</v>
      </c>
      <c r="D362" s="3">
        <v>46276</v>
      </c>
      <c r="E362" s="2" t="s">
        <v>239</v>
      </c>
      <c r="F362" s="2" t="s">
        <v>225</v>
      </c>
      <c r="G362" s="4">
        <v>7.5</v>
      </c>
      <c r="H362" s="4">
        <v>7.5</v>
      </c>
      <c r="I362" s="4">
        <v>0</v>
      </c>
      <c r="J362" s="5">
        <v>4.8</v>
      </c>
      <c r="K362" s="2" t="s">
        <v>226</v>
      </c>
      <c r="L362" s="2" t="s">
        <v>227</v>
      </c>
    </row>
    <row r="363" spans="1:12" ht="15">
      <c r="A363" s="2" t="s">
        <v>91</v>
      </c>
      <c r="B363" s="2">
        <v>4</v>
      </c>
      <c r="C363" s="2" t="s">
        <v>32</v>
      </c>
      <c r="D363" s="3">
        <v>46276</v>
      </c>
      <c r="E363" s="2" t="s">
        <v>238</v>
      </c>
      <c r="F363" s="2" t="s">
        <v>225</v>
      </c>
      <c r="G363" s="4">
        <v>8.5</v>
      </c>
      <c r="H363" s="4">
        <v>8.5</v>
      </c>
      <c r="I363" s="4">
        <v>0</v>
      </c>
      <c r="J363" s="5">
        <v>3.3</v>
      </c>
      <c r="K363" s="2" t="s">
        <v>226</v>
      </c>
      <c r="L363" s="2" t="s">
        <v>227</v>
      </c>
    </row>
    <row r="364" spans="1:12" ht="15">
      <c r="A364" s="2" t="s">
        <v>91</v>
      </c>
      <c r="B364" s="2">
        <v>5</v>
      </c>
      <c r="C364" s="2" t="s">
        <v>32</v>
      </c>
      <c r="D364" s="3">
        <v>46276</v>
      </c>
      <c r="E364" s="2" t="s">
        <v>241</v>
      </c>
      <c r="F364" s="2" t="s">
        <v>225</v>
      </c>
      <c r="G364" s="4">
        <v>12.8</v>
      </c>
      <c r="H364" s="4">
        <v>12.8</v>
      </c>
      <c r="I364" s="4">
        <v>0</v>
      </c>
      <c r="J364" s="5">
        <v>2.9</v>
      </c>
      <c r="K364" s="2" t="s">
        <v>226</v>
      </c>
      <c r="L364" s="2" t="s">
        <v>227</v>
      </c>
    </row>
    <row r="365" spans="1:12" ht="15">
      <c r="A365" s="2" t="s">
        <v>91</v>
      </c>
      <c r="B365" s="2">
        <v>6</v>
      </c>
      <c r="C365" s="2" t="s">
        <v>32</v>
      </c>
      <c r="D365" s="3">
        <v>46276</v>
      </c>
      <c r="E365" s="2" t="s">
        <v>248</v>
      </c>
      <c r="F365" s="2" t="s">
        <v>225</v>
      </c>
      <c r="G365" s="4">
        <v>9.6</v>
      </c>
      <c r="H365" s="4">
        <v>9.6</v>
      </c>
      <c r="I365" s="4">
        <v>0</v>
      </c>
      <c r="J365" s="5">
        <v>5.45</v>
      </c>
      <c r="K365" s="2" t="s">
        <v>226</v>
      </c>
      <c r="L365" s="2" t="s">
        <v>227</v>
      </c>
    </row>
    <row r="366" spans="1:12" ht="15">
      <c r="A366" s="2" t="s">
        <v>91</v>
      </c>
      <c r="B366" s="2">
        <v>7</v>
      </c>
      <c r="C366" s="2" t="s">
        <v>32</v>
      </c>
      <c r="D366" s="3">
        <v>46276</v>
      </c>
      <c r="E366" s="2" t="s">
        <v>231</v>
      </c>
      <c r="F366" s="2" t="s">
        <v>225</v>
      </c>
      <c r="G366" s="4">
        <v>12</v>
      </c>
      <c r="H366" s="4">
        <v>12</v>
      </c>
      <c r="I366" s="4">
        <v>0</v>
      </c>
      <c r="J366" s="5">
        <v>10.4</v>
      </c>
      <c r="K366" s="2" t="s">
        <v>226</v>
      </c>
      <c r="L366" s="2" t="s">
        <v>227</v>
      </c>
    </row>
    <row r="367" spans="1:12" ht="15">
      <c r="A367" s="2" t="s">
        <v>92</v>
      </c>
      <c r="B367" s="2">
        <v>1</v>
      </c>
      <c r="C367" s="2" t="s">
        <v>33</v>
      </c>
      <c r="D367" s="3">
        <v>46276</v>
      </c>
      <c r="E367" s="2" t="s">
        <v>224</v>
      </c>
      <c r="F367" s="2" t="s">
        <v>225</v>
      </c>
      <c r="G367" s="4">
        <v>12.3</v>
      </c>
      <c r="H367" s="4">
        <v>12.3</v>
      </c>
      <c r="I367" s="4">
        <v>0.3</v>
      </c>
      <c r="J367" s="5">
        <v>5</v>
      </c>
      <c r="K367" s="2" t="s">
        <v>249</v>
      </c>
      <c r="L367" s="2" t="s">
        <v>227</v>
      </c>
    </row>
    <row r="368" spans="1:12" ht="15">
      <c r="A368" s="2" t="s">
        <v>92</v>
      </c>
      <c r="B368" s="2">
        <v>2</v>
      </c>
      <c r="C368" s="2" t="s">
        <v>33</v>
      </c>
      <c r="D368" s="3">
        <v>46276</v>
      </c>
      <c r="E368" s="2" t="s">
        <v>230</v>
      </c>
      <c r="F368" s="2" t="s">
        <v>225</v>
      </c>
      <c r="G368" s="4">
        <v>5.4</v>
      </c>
      <c r="H368" s="4">
        <v>5.4</v>
      </c>
      <c r="I368" s="4">
        <v>0</v>
      </c>
      <c r="J368" s="5">
        <v>2.7</v>
      </c>
      <c r="K368" s="2" t="s">
        <v>226</v>
      </c>
      <c r="L368" s="2" t="s">
        <v>227</v>
      </c>
    </row>
    <row r="369" spans="1:12" ht="15">
      <c r="A369" s="2" t="s">
        <v>92</v>
      </c>
      <c r="B369" s="2">
        <v>3</v>
      </c>
      <c r="C369" s="2" t="s">
        <v>33</v>
      </c>
      <c r="D369" s="3">
        <v>46276</v>
      </c>
      <c r="E369" s="2" t="s">
        <v>240</v>
      </c>
      <c r="F369" s="2" t="s">
        <v>225</v>
      </c>
      <c r="G369" s="4">
        <v>8.5</v>
      </c>
      <c r="H369" s="4">
        <v>8.5</v>
      </c>
      <c r="I369" s="4">
        <v>0</v>
      </c>
      <c r="J369" s="5">
        <v>6</v>
      </c>
      <c r="K369" s="2" t="s">
        <v>226</v>
      </c>
      <c r="L369" s="2" t="s">
        <v>227</v>
      </c>
    </row>
    <row r="370" spans="1:12" ht="15">
      <c r="A370" s="2" t="s">
        <v>92</v>
      </c>
      <c r="B370" s="2">
        <v>4</v>
      </c>
      <c r="C370" s="2" t="s">
        <v>33</v>
      </c>
      <c r="D370" s="3">
        <v>46276</v>
      </c>
      <c r="E370" s="2" t="s">
        <v>229</v>
      </c>
      <c r="F370" s="2" t="s">
        <v>225</v>
      </c>
      <c r="G370" s="4">
        <v>9.1999999999999993</v>
      </c>
      <c r="H370" s="4">
        <v>9.1999999999999993</v>
      </c>
      <c r="I370" s="4">
        <v>0</v>
      </c>
      <c r="J370" s="5">
        <v>2.7</v>
      </c>
      <c r="K370" s="2" t="s">
        <v>226</v>
      </c>
      <c r="L370" s="2" t="s">
        <v>227</v>
      </c>
    </row>
    <row r="371" spans="1:12" ht="15">
      <c r="A371" s="2" t="s">
        <v>92</v>
      </c>
      <c r="B371" s="2">
        <v>5</v>
      </c>
      <c r="C371" s="2" t="s">
        <v>33</v>
      </c>
      <c r="D371" s="3">
        <v>46276</v>
      </c>
      <c r="E371" s="2" t="s">
        <v>250</v>
      </c>
      <c r="F371" s="2" t="s">
        <v>225</v>
      </c>
      <c r="G371" s="4">
        <v>5.4</v>
      </c>
      <c r="H371" s="4">
        <v>5.4</v>
      </c>
      <c r="I371" s="4">
        <v>0</v>
      </c>
      <c r="J371" s="5">
        <v>5</v>
      </c>
      <c r="K371" s="2" t="s">
        <v>226</v>
      </c>
      <c r="L371" s="2" t="s">
        <v>227</v>
      </c>
    </row>
    <row r="372" spans="1:12" ht="15">
      <c r="A372" s="2" t="s">
        <v>92</v>
      </c>
      <c r="B372" s="2">
        <v>6</v>
      </c>
      <c r="C372" s="2" t="s">
        <v>33</v>
      </c>
      <c r="D372" s="3">
        <v>46276</v>
      </c>
      <c r="E372" s="2" t="s">
        <v>248</v>
      </c>
      <c r="F372" s="2" t="s">
        <v>225</v>
      </c>
      <c r="G372" s="4">
        <v>7.7</v>
      </c>
      <c r="H372" s="4">
        <v>7.7</v>
      </c>
      <c r="I372" s="4">
        <v>0</v>
      </c>
      <c r="J372" s="5">
        <v>5.45</v>
      </c>
      <c r="K372" s="2" t="s">
        <v>226</v>
      </c>
      <c r="L372" s="2" t="s">
        <v>227</v>
      </c>
    </row>
    <row r="373" spans="1:12" ht="15">
      <c r="A373" s="2" t="s">
        <v>92</v>
      </c>
      <c r="B373" s="2">
        <v>7</v>
      </c>
      <c r="C373" s="2" t="s">
        <v>33</v>
      </c>
      <c r="D373" s="3">
        <v>46276</v>
      </c>
      <c r="E373" s="2" t="s">
        <v>231</v>
      </c>
      <c r="F373" s="2" t="s">
        <v>225</v>
      </c>
      <c r="G373" s="4">
        <v>9</v>
      </c>
      <c r="H373" s="4">
        <v>9</v>
      </c>
      <c r="I373" s="4">
        <v>0</v>
      </c>
      <c r="J373" s="5">
        <v>10.4</v>
      </c>
      <c r="K373" s="2" t="s">
        <v>226</v>
      </c>
      <c r="L373" s="2" t="s">
        <v>227</v>
      </c>
    </row>
    <row r="374" spans="1:12" ht="15">
      <c r="A374" s="2" t="s">
        <v>92</v>
      </c>
      <c r="B374" s="2">
        <v>8</v>
      </c>
      <c r="C374" s="2" t="s">
        <v>33</v>
      </c>
      <c r="D374" s="3">
        <v>46276</v>
      </c>
      <c r="E374" s="2" t="s">
        <v>242</v>
      </c>
      <c r="F374" s="2" t="s">
        <v>236</v>
      </c>
      <c r="G374" s="4">
        <v>4</v>
      </c>
      <c r="H374" s="4">
        <v>4</v>
      </c>
      <c r="I374" s="4">
        <v>0</v>
      </c>
      <c r="J374" s="5">
        <v>116</v>
      </c>
      <c r="K374" s="2" t="s">
        <v>226</v>
      </c>
      <c r="L374" s="2" t="s">
        <v>227</v>
      </c>
    </row>
    <row r="375" spans="1:12" ht="15">
      <c r="A375" s="2" t="s">
        <v>92</v>
      </c>
      <c r="B375" s="2">
        <v>9</v>
      </c>
      <c r="C375" s="2" t="s">
        <v>33</v>
      </c>
      <c r="D375" s="3">
        <v>46276</v>
      </c>
      <c r="E375" s="2" t="s">
        <v>244</v>
      </c>
      <c r="F375" s="2" t="s">
        <v>234</v>
      </c>
      <c r="G375" s="4">
        <v>2</v>
      </c>
      <c r="H375" s="4">
        <v>2</v>
      </c>
      <c r="I375" s="4">
        <v>0</v>
      </c>
      <c r="J375" s="5">
        <v>59</v>
      </c>
      <c r="K375" s="2" t="s">
        <v>226</v>
      </c>
      <c r="L375" s="2" t="s">
        <v>227</v>
      </c>
    </row>
    <row r="376" spans="1:12" ht="15">
      <c r="A376" s="2" t="s">
        <v>93</v>
      </c>
      <c r="B376" s="2">
        <v>1</v>
      </c>
      <c r="C376" s="2" t="s">
        <v>28</v>
      </c>
      <c r="D376" s="3">
        <v>46277</v>
      </c>
      <c r="E376" s="2" t="s">
        <v>237</v>
      </c>
      <c r="F376" s="2" t="s">
        <v>225</v>
      </c>
      <c r="G376" s="4">
        <v>3.2</v>
      </c>
      <c r="H376" s="4">
        <v>3.2</v>
      </c>
      <c r="I376" s="4">
        <v>0</v>
      </c>
      <c r="J376" s="5">
        <v>4.3</v>
      </c>
      <c r="K376" s="2" t="s">
        <v>226</v>
      </c>
      <c r="L376" s="2" t="s">
        <v>227</v>
      </c>
    </row>
    <row r="377" spans="1:12" ht="15">
      <c r="A377" s="2" t="s">
        <v>93</v>
      </c>
      <c r="B377" s="2">
        <v>2</v>
      </c>
      <c r="C377" s="2" t="s">
        <v>28</v>
      </c>
      <c r="D377" s="3">
        <v>46277</v>
      </c>
      <c r="E377" s="2" t="s">
        <v>240</v>
      </c>
      <c r="F377" s="2" t="s">
        <v>225</v>
      </c>
      <c r="G377" s="4">
        <v>3.6</v>
      </c>
      <c r="H377" s="4">
        <v>3.6</v>
      </c>
      <c r="I377" s="4">
        <v>0</v>
      </c>
      <c r="J377" s="5">
        <v>6</v>
      </c>
      <c r="K377" s="2" t="s">
        <v>226</v>
      </c>
      <c r="L377" s="2" t="s">
        <v>227</v>
      </c>
    </row>
    <row r="378" spans="1:12" ht="15">
      <c r="A378" s="2" t="s">
        <v>93</v>
      </c>
      <c r="B378" s="2">
        <v>3</v>
      </c>
      <c r="C378" s="2" t="s">
        <v>28</v>
      </c>
      <c r="D378" s="3">
        <v>46277</v>
      </c>
      <c r="E378" s="2" t="s">
        <v>250</v>
      </c>
      <c r="F378" s="2" t="s">
        <v>225</v>
      </c>
      <c r="G378" s="4">
        <v>3</v>
      </c>
      <c r="H378" s="4">
        <v>3</v>
      </c>
      <c r="I378" s="4">
        <v>0</v>
      </c>
      <c r="J378" s="5">
        <v>5</v>
      </c>
      <c r="K378" s="2" t="s">
        <v>226</v>
      </c>
      <c r="L378" s="2" t="s">
        <v>227</v>
      </c>
    </row>
    <row r="379" spans="1:12" ht="15">
      <c r="A379" s="2" t="s">
        <v>93</v>
      </c>
      <c r="B379" s="2">
        <v>4</v>
      </c>
      <c r="C379" s="2" t="s">
        <v>28</v>
      </c>
      <c r="D379" s="3">
        <v>46277</v>
      </c>
      <c r="E379" s="2" t="s">
        <v>243</v>
      </c>
      <c r="F379" s="2" t="s">
        <v>225</v>
      </c>
      <c r="G379" s="4">
        <v>3.2</v>
      </c>
      <c r="H379" s="4">
        <v>3.2</v>
      </c>
      <c r="I379" s="4">
        <v>0</v>
      </c>
      <c r="J379" s="5">
        <v>4.4000000000000004</v>
      </c>
      <c r="K379" s="2" t="s">
        <v>226</v>
      </c>
      <c r="L379" s="2" t="s">
        <v>227</v>
      </c>
    </row>
    <row r="380" spans="1:12" ht="15">
      <c r="A380" s="2" t="s">
        <v>93</v>
      </c>
      <c r="B380" s="2">
        <v>5</v>
      </c>
      <c r="C380" s="2" t="s">
        <v>28</v>
      </c>
      <c r="D380" s="3">
        <v>46277</v>
      </c>
      <c r="E380" s="2" t="s">
        <v>231</v>
      </c>
      <c r="F380" s="2" t="s">
        <v>225</v>
      </c>
      <c r="G380" s="4">
        <v>3</v>
      </c>
      <c r="H380" s="4">
        <v>3</v>
      </c>
      <c r="I380" s="4">
        <v>0</v>
      </c>
      <c r="J380" s="5">
        <v>10.4</v>
      </c>
      <c r="K380" s="2" t="s">
        <v>226</v>
      </c>
      <c r="L380" s="2" t="s">
        <v>227</v>
      </c>
    </row>
    <row r="381" spans="1:12" ht="15">
      <c r="A381" s="2" t="s">
        <v>93</v>
      </c>
      <c r="B381" s="2">
        <v>6</v>
      </c>
      <c r="C381" s="2" t="s">
        <v>28</v>
      </c>
      <c r="D381" s="3">
        <v>46277</v>
      </c>
      <c r="E381" s="2" t="s">
        <v>233</v>
      </c>
      <c r="F381" s="2" t="s">
        <v>234</v>
      </c>
      <c r="G381" s="4">
        <v>1</v>
      </c>
      <c r="H381" s="4">
        <v>1</v>
      </c>
      <c r="I381" s="4">
        <v>0</v>
      </c>
      <c r="J381" s="5">
        <v>66</v>
      </c>
      <c r="K381" s="2" t="s">
        <v>226</v>
      </c>
      <c r="L381" s="2" t="s">
        <v>227</v>
      </c>
    </row>
    <row r="382" spans="1:12" ht="15">
      <c r="A382" s="2" t="s">
        <v>93</v>
      </c>
      <c r="B382" s="2">
        <v>7</v>
      </c>
      <c r="C382" s="2" t="s">
        <v>28</v>
      </c>
      <c r="D382" s="3">
        <v>46277</v>
      </c>
      <c r="E382" s="2" t="s">
        <v>235</v>
      </c>
      <c r="F382" s="2" t="s">
        <v>236</v>
      </c>
      <c r="G382" s="4">
        <v>1</v>
      </c>
      <c r="H382" s="4">
        <v>1</v>
      </c>
      <c r="I382" s="4">
        <v>0</v>
      </c>
      <c r="J382" s="5">
        <v>108</v>
      </c>
      <c r="K382" s="2" t="s">
        <v>226</v>
      </c>
      <c r="L382" s="2" t="s">
        <v>227</v>
      </c>
    </row>
    <row r="383" spans="1:12" ht="15">
      <c r="A383" s="2" t="s">
        <v>94</v>
      </c>
      <c r="B383" s="2">
        <v>1</v>
      </c>
      <c r="C383" s="2" t="s">
        <v>29</v>
      </c>
      <c r="D383" s="3">
        <v>46277</v>
      </c>
      <c r="E383" s="2" t="s">
        <v>245</v>
      </c>
      <c r="F383" s="2" t="s">
        <v>225</v>
      </c>
      <c r="G383" s="4">
        <v>5.0999999999999996</v>
      </c>
      <c r="H383" s="4">
        <v>5.0999999999999996</v>
      </c>
      <c r="I383" s="4">
        <v>0</v>
      </c>
      <c r="J383" s="5">
        <v>5</v>
      </c>
      <c r="K383" s="2" t="s">
        <v>226</v>
      </c>
      <c r="L383" s="2" t="s">
        <v>227</v>
      </c>
    </row>
    <row r="384" spans="1:12" ht="15">
      <c r="A384" s="2" t="s">
        <v>94</v>
      </c>
      <c r="B384" s="2">
        <v>2</v>
      </c>
      <c r="C384" s="2" t="s">
        <v>29</v>
      </c>
      <c r="D384" s="3">
        <v>46277</v>
      </c>
      <c r="E384" s="2" t="s">
        <v>241</v>
      </c>
      <c r="F384" s="2" t="s">
        <v>225</v>
      </c>
      <c r="G384" s="4">
        <v>4.5999999999999996</v>
      </c>
      <c r="H384" s="4">
        <v>4.5999999999999996</v>
      </c>
      <c r="I384" s="4">
        <v>0</v>
      </c>
      <c r="J384" s="5">
        <v>2.9</v>
      </c>
      <c r="K384" s="2" t="s">
        <v>226</v>
      </c>
      <c r="L384" s="2" t="s">
        <v>227</v>
      </c>
    </row>
    <row r="385" spans="1:12" ht="15">
      <c r="A385" s="2" t="s">
        <v>94</v>
      </c>
      <c r="B385" s="2">
        <v>3</v>
      </c>
      <c r="C385" s="2" t="s">
        <v>29</v>
      </c>
      <c r="D385" s="3">
        <v>46277</v>
      </c>
      <c r="E385" s="2" t="s">
        <v>228</v>
      </c>
      <c r="F385" s="2" t="s">
        <v>225</v>
      </c>
      <c r="G385" s="4">
        <v>4.5999999999999996</v>
      </c>
      <c r="H385" s="4">
        <v>4.5999999999999996</v>
      </c>
      <c r="I385" s="4">
        <v>0</v>
      </c>
      <c r="J385" s="5">
        <v>2.7</v>
      </c>
      <c r="K385" s="2" t="s">
        <v>226</v>
      </c>
      <c r="L385" s="2" t="s">
        <v>227</v>
      </c>
    </row>
    <row r="386" spans="1:12" ht="15">
      <c r="A386" s="2" t="s">
        <v>94</v>
      </c>
      <c r="B386" s="2">
        <v>4</v>
      </c>
      <c r="C386" s="2" t="s">
        <v>29</v>
      </c>
      <c r="D386" s="3">
        <v>46277</v>
      </c>
      <c r="E386" s="2" t="s">
        <v>247</v>
      </c>
      <c r="F386" s="2" t="s">
        <v>225</v>
      </c>
      <c r="G386" s="4">
        <v>8.6</v>
      </c>
      <c r="H386" s="4">
        <v>8.6</v>
      </c>
      <c r="I386" s="4">
        <v>0</v>
      </c>
      <c r="J386" s="5">
        <v>5</v>
      </c>
      <c r="K386" s="2" t="s">
        <v>226</v>
      </c>
      <c r="L386" s="2" t="s">
        <v>227</v>
      </c>
    </row>
    <row r="387" spans="1:12" ht="15">
      <c r="A387" s="2" t="s">
        <v>94</v>
      </c>
      <c r="B387" s="2">
        <v>5</v>
      </c>
      <c r="C387" s="2" t="s">
        <v>29</v>
      </c>
      <c r="D387" s="3">
        <v>46277</v>
      </c>
      <c r="E387" s="2" t="s">
        <v>229</v>
      </c>
      <c r="F387" s="2" t="s">
        <v>225</v>
      </c>
      <c r="G387" s="4">
        <v>8</v>
      </c>
      <c r="H387" s="4">
        <v>8</v>
      </c>
      <c r="I387" s="4">
        <v>0</v>
      </c>
      <c r="J387" s="5">
        <v>2.7</v>
      </c>
      <c r="K387" s="2" t="s">
        <v>226</v>
      </c>
      <c r="L387" s="2" t="s">
        <v>227</v>
      </c>
    </row>
    <row r="388" spans="1:12" ht="15">
      <c r="A388" s="2" t="s">
        <v>94</v>
      </c>
      <c r="B388" s="2">
        <v>6</v>
      </c>
      <c r="C388" s="2" t="s">
        <v>29</v>
      </c>
      <c r="D388" s="3">
        <v>46277</v>
      </c>
      <c r="E388" s="2" t="s">
        <v>231</v>
      </c>
      <c r="F388" s="2" t="s">
        <v>225</v>
      </c>
      <c r="G388" s="4">
        <v>4</v>
      </c>
      <c r="H388" s="4">
        <v>4</v>
      </c>
      <c r="I388" s="4">
        <v>0</v>
      </c>
      <c r="J388" s="5">
        <v>10.4</v>
      </c>
      <c r="K388" s="2" t="s">
        <v>226</v>
      </c>
      <c r="L388" s="2" t="s">
        <v>227</v>
      </c>
    </row>
    <row r="389" spans="1:12" ht="15">
      <c r="A389" s="2" t="s">
        <v>94</v>
      </c>
      <c r="B389" s="2">
        <v>7</v>
      </c>
      <c r="C389" s="2" t="s">
        <v>29</v>
      </c>
      <c r="D389" s="3">
        <v>46277</v>
      </c>
      <c r="E389" s="2" t="s">
        <v>242</v>
      </c>
      <c r="F389" s="2" t="s">
        <v>236</v>
      </c>
      <c r="G389" s="4">
        <v>3</v>
      </c>
      <c r="H389" s="4">
        <v>3</v>
      </c>
      <c r="I389" s="4">
        <v>0</v>
      </c>
      <c r="J389" s="5">
        <v>116</v>
      </c>
      <c r="K389" s="2" t="s">
        <v>226</v>
      </c>
      <c r="L389" s="2" t="s">
        <v>227</v>
      </c>
    </row>
    <row r="390" spans="1:12" ht="15">
      <c r="A390" s="2" t="s">
        <v>94</v>
      </c>
      <c r="B390" s="2">
        <v>8</v>
      </c>
      <c r="C390" s="2" t="s">
        <v>29</v>
      </c>
      <c r="D390" s="3">
        <v>46277</v>
      </c>
      <c r="E390" s="2" t="s">
        <v>233</v>
      </c>
      <c r="F390" s="2" t="s">
        <v>234</v>
      </c>
      <c r="G390" s="4">
        <v>1</v>
      </c>
      <c r="H390" s="4">
        <v>1</v>
      </c>
      <c r="I390" s="4">
        <v>0</v>
      </c>
      <c r="J390" s="5">
        <v>66</v>
      </c>
      <c r="K390" s="2" t="s">
        <v>226</v>
      </c>
      <c r="L390" s="2" t="s">
        <v>227</v>
      </c>
    </row>
    <row r="391" spans="1:12" ht="15">
      <c r="A391" s="2" t="s">
        <v>95</v>
      </c>
      <c r="B391" s="2">
        <v>1</v>
      </c>
      <c r="C391" s="2" t="s">
        <v>30</v>
      </c>
      <c r="D391" s="3">
        <v>46277</v>
      </c>
      <c r="E391" s="2" t="s">
        <v>224</v>
      </c>
      <c r="F391" s="2" t="s">
        <v>225</v>
      </c>
      <c r="G391" s="4">
        <v>4.9000000000000004</v>
      </c>
      <c r="H391" s="4">
        <v>4.9000000000000004</v>
      </c>
      <c r="I391" s="4">
        <v>0</v>
      </c>
      <c r="J391" s="5">
        <v>5</v>
      </c>
      <c r="K391" s="2" t="s">
        <v>226</v>
      </c>
      <c r="L391" s="2" t="s">
        <v>227</v>
      </c>
    </row>
    <row r="392" spans="1:12" ht="15">
      <c r="A392" s="2" t="s">
        <v>95</v>
      </c>
      <c r="B392" s="2">
        <v>2</v>
      </c>
      <c r="C392" s="2" t="s">
        <v>30</v>
      </c>
      <c r="D392" s="3">
        <v>46277</v>
      </c>
      <c r="E392" s="2" t="s">
        <v>240</v>
      </c>
      <c r="F392" s="2" t="s">
        <v>225</v>
      </c>
      <c r="G392" s="4">
        <v>6.3</v>
      </c>
      <c r="H392" s="4">
        <v>6.3</v>
      </c>
      <c r="I392" s="4">
        <v>0</v>
      </c>
      <c r="J392" s="5">
        <v>6</v>
      </c>
      <c r="K392" s="2" t="s">
        <v>226</v>
      </c>
      <c r="L392" s="2" t="s">
        <v>227</v>
      </c>
    </row>
    <row r="393" spans="1:12" ht="15">
      <c r="A393" s="2" t="s">
        <v>95</v>
      </c>
      <c r="B393" s="2">
        <v>3</v>
      </c>
      <c r="C393" s="2" t="s">
        <v>30</v>
      </c>
      <c r="D393" s="3">
        <v>46277</v>
      </c>
      <c r="E393" s="2" t="s">
        <v>250</v>
      </c>
      <c r="F393" s="2" t="s">
        <v>225</v>
      </c>
      <c r="G393" s="4">
        <v>7.3</v>
      </c>
      <c r="H393" s="4">
        <v>7.3</v>
      </c>
      <c r="I393" s="4">
        <v>0</v>
      </c>
      <c r="J393" s="5">
        <v>5</v>
      </c>
      <c r="K393" s="2" t="s">
        <v>226</v>
      </c>
      <c r="L393" s="2" t="s">
        <v>227</v>
      </c>
    </row>
    <row r="394" spans="1:12" ht="15">
      <c r="A394" s="2" t="s">
        <v>95</v>
      </c>
      <c r="B394" s="2">
        <v>4</v>
      </c>
      <c r="C394" s="2" t="s">
        <v>30</v>
      </c>
      <c r="D394" s="3">
        <v>46277</v>
      </c>
      <c r="E394" s="2" t="s">
        <v>241</v>
      </c>
      <c r="F394" s="2" t="s">
        <v>225</v>
      </c>
      <c r="G394" s="4">
        <v>4.4000000000000004</v>
      </c>
      <c r="H394" s="4">
        <v>4.4000000000000004</v>
      </c>
      <c r="I394" s="4">
        <v>0</v>
      </c>
      <c r="J394" s="5">
        <v>2.9</v>
      </c>
      <c r="K394" s="2" t="s">
        <v>226</v>
      </c>
      <c r="L394" s="2" t="s">
        <v>227</v>
      </c>
    </row>
    <row r="395" spans="1:12" ht="15">
      <c r="A395" s="2" t="s">
        <v>95</v>
      </c>
      <c r="B395" s="2">
        <v>5</v>
      </c>
      <c r="C395" s="2" t="s">
        <v>30</v>
      </c>
      <c r="D395" s="3">
        <v>46277</v>
      </c>
      <c r="E395" s="2" t="s">
        <v>228</v>
      </c>
      <c r="F395" s="2" t="s">
        <v>225</v>
      </c>
      <c r="G395" s="4">
        <v>6.8</v>
      </c>
      <c r="H395" s="4">
        <v>6.8</v>
      </c>
      <c r="I395" s="4">
        <v>0</v>
      </c>
      <c r="J395" s="5">
        <v>2.7</v>
      </c>
      <c r="K395" s="2" t="s">
        <v>226</v>
      </c>
      <c r="L395" s="2" t="s">
        <v>227</v>
      </c>
    </row>
    <row r="396" spans="1:12" ht="15">
      <c r="A396" s="2" t="s">
        <v>95</v>
      </c>
      <c r="B396" s="2">
        <v>6</v>
      </c>
      <c r="C396" s="2" t="s">
        <v>30</v>
      </c>
      <c r="D396" s="3">
        <v>46277</v>
      </c>
      <c r="E396" s="2" t="s">
        <v>229</v>
      </c>
      <c r="F396" s="2" t="s">
        <v>225</v>
      </c>
      <c r="G396" s="4">
        <v>7.8</v>
      </c>
      <c r="H396" s="4">
        <v>7.8</v>
      </c>
      <c r="I396" s="4">
        <v>0</v>
      </c>
      <c r="J396" s="5">
        <v>2.7</v>
      </c>
      <c r="K396" s="2" t="s">
        <v>226</v>
      </c>
      <c r="L396" s="2" t="s">
        <v>227</v>
      </c>
    </row>
    <row r="397" spans="1:12" ht="15">
      <c r="A397" s="2" t="s">
        <v>95</v>
      </c>
      <c r="B397" s="2">
        <v>7</v>
      </c>
      <c r="C397" s="2" t="s">
        <v>30</v>
      </c>
      <c r="D397" s="3">
        <v>46277</v>
      </c>
      <c r="E397" s="2" t="s">
        <v>231</v>
      </c>
      <c r="F397" s="2" t="s">
        <v>225</v>
      </c>
      <c r="G397" s="4">
        <v>6</v>
      </c>
      <c r="H397" s="4">
        <v>6</v>
      </c>
      <c r="I397" s="4">
        <v>0</v>
      </c>
      <c r="J397" s="5">
        <v>10.4</v>
      </c>
      <c r="K397" s="2" t="s">
        <v>226</v>
      </c>
      <c r="L397" s="2" t="s">
        <v>227</v>
      </c>
    </row>
    <row r="398" spans="1:12" ht="15">
      <c r="A398" s="2" t="s">
        <v>95</v>
      </c>
      <c r="B398" s="2">
        <v>8</v>
      </c>
      <c r="C398" s="2" t="s">
        <v>30</v>
      </c>
      <c r="D398" s="3">
        <v>46277</v>
      </c>
      <c r="E398" s="2" t="s">
        <v>242</v>
      </c>
      <c r="F398" s="2" t="s">
        <v>236</v>
      </c>
      <c r="G398" s="4">
        <v>5</v>
      </c>
      <c r="H398" s="4">
        <v>5</v>
      </c>
      <c r="I398" s="4">
        <v>0</v>
      </c>
      <c r="J398" s="5">
        <v>116</v>
      </c>
      <c r="K398" s="2" t="s">
        <v>226</v>
      </c>
      <c r="L398" s="2" t="s">
        <v>227</v>
      </c>
    </row>
    <row r="399" spans="1:12" ht="15">
      <c r="A399" s="2" t="s">
        <v>95</v>
      </c>
      <c r="B399" s="2">
        <v>9</v>
      </c>
      <c r="C399" s="2" t="s">
        <v>30</v>
      </c>
      <c r="D399" s="3">
        <v>46277</v>
      </c>
      <c r="E399" s="2" t="s">
        <v>244</v>
      </c>
      <c r="F399" s="2" t="s">
        <v>234</v>
      </c>
      <c r="G399" s="4">
        <v>2</v>
      </c>
      <c r="H399" s="4">
        <v>2</v>
      </c>
      <c r="I399" s="4">
        <v>0</v>
      </c>
      <c r="J399" s="5">
        <v>59</v>
      </c>
      <c r="K399" s="2" t="s">
        <v>226</v>
      </c>
      <c r="L399" s="2" t="s">
        <v>227</v>
      </c>
    </row>
    <row r="400" spans="1:12" ht="15">
      <c r="A400" s="2" t="s">
        <v>96</v>
      </c>
      <c r="B400" s="2">
        <v>1</v>
      </c>
      <c r="C400" s="2" t="s">
        <v>31</v>
      </c>
      <c r="D400" s="3">
        <v>46277</v>
      </c>
      <c r="E400" s="2" t="s">
        <v>237</v>
      </c>
      <c r="F400" s="2" t="s">
        <v>225</v>
      </c>
      <c r="G400" s="4">
        <v>7.2</v>
      </c>
      <c r="H400" s="4">
        <v>7.2</v>
      </c>
      <c r="I400" s="4">
        <v>0.3</v>
      </c>
      <c r="J400" s="5">
        <v>4.3</v>
      </c>
      <c r="K400" s="2" t="s">
        <v>249</v>
      </c>
      <c r="L400" s="2" t="s">
        <v>227</v>
      </c>
    </row>
    <row r="401" spans="1:12" ht="15">
      <c r="A401" s="2" t="s">
        <v>96</v>
      </c>
      <c r="B401" s="2">
        <v>2</v>
      </c>
      <c r="C401" s="2" t="s">
        <v>31</v>
      </c>
      <c r="D401" s="3">
        <v>46277</v>
      </c>
      <c r="E401" s="2" t="s">
        <v>228</v>
      </c>
      <c r="F401" s="2" t="s">
        <v>225</v>
      </c>
      <c r="G401" s="4">
        <v>7.2</v>
      </c>
      <c r="H401" s="4">
        <v>6.9</v>
      </c>
      <c r="I401" s="4">
        <v>0</v>
      </c>
      <c r="J401" s="5">
        <v>2.7</v>
      </c>
      <c r="K401" s="2" t="s">
        <v>246</v>
      </c>
      <c r="L401" s="2" t="s">
        <v>227</v>
      </c>
    </row>
    <row r="402" spans="1:12" ht="15">
      <c r="A402" s="2" t="s">
        <v>96</v>
      </c>
      <c r="B402" s="2">
        <v>3</v>
      </c>
      <c r="C402" s="2" t="s">
        <v>31</v>
      </c>
      <c r="D402" s="3">
        <v>46277</v>
      </c>
      <c r="E402" s="2" t="s">
        <v>248</v>
      </c>
      <c r="F402" s="2" t="s">
        <v>225</v>
      </c>
      <c r="G402" s="4">
        <v>10.4</v>
      </c>
      <c r="H402" s="4">
        <v>10.4</v>
      </c>
      <c r="I402" s="4">
        <v>0</v>
      </c>
      <c r="J402" s="5">
        <v>5.45</v>
      </c>
      <c r="K402" s="2" t="s">
        <v>226</v>
      </c>
      <c r="L402" s="2" t="s">
        <v>227</v>
      </c>
    </row>
    <row r="403" spans="1:12" ht="15">
      <c r="A403" s="2" t="s">
        <v>96</v>
      </c>
      <c r="B403" s="2">
        <v>4</v>
      </c>
      <c r="C403" s="2" t="s">
        <v>31</v>
      </c>
      <c r="D403" s="3">
        <v>46277</v>
      </c>
      <c r="E403" s="2" t="s">
        <v>243</v>
      </c>
      <c r="F403" s="2" t="s">
        <v>225</v>
      </c>
      <c r="G403" s="4">
        <v>6.5</v>
      </c>
      <c r="H403" s="4">
        <v>6.3</v>
      </c>
      <c r="I403" s="4">
        <v>0</v>
      </c>
      <c r="J403" s="5">
        <v>4.4000000000000004</v>
      </c>
      <c r="K403" s="2" t="s">
        <v>246</v>
      </c>
      <c r="L403" s="2" t="s">
        <v>227</v>
      </c>
    </row>
    <row r="404" spans="1:12" ht="15">
      <c r="A404" s="2" t="s">
        <v>96</v>
      </c>
      <c r="B404" s="2">
        <v>5</v>
      </c>
      <c r="C404" s="2" t="s">
        <v>31</v>
      </c>
      <c r="D404" s="3">
        <v>46277</v>
      </c>
      <c r="E404" s="2" t="s">
        <v>239</v>
      </c>
      <c r="F404" s="2" t="s">
        <v>225</v>
      </c>
      <c r="G404" s="4">
        <v>9.1</v>
      </c>
      <c r="H404" s="4">
        <v>9.1</v>
      </c>
      <c r="I404" s="4">
        <v>0</v>
      </c>
      <c r="J404" s="5">
        <v>4.8</v>
      </c>
      <c r="K404" s="2" t="s">
        <v>226</v>
      </c>
      <c r="L404" s="2" t="s">
        <v>227</v>
      </c>
    </row>
    <row r="405" spans="1:12" ht="15">
      <c r="A405" s="2" t="s">
        <v>96</v>
      </c>
      <c r="B405" s="2">
        <v>6</v>
      </c>
      <c r="C405" s="2" t="s">
        <v>31</v>
      </c>
      <c r="D405" s="3">
        <v>46277</v>
      </c>
      <c r="E405" s="2" t="s">
        <v>230</v>
      </c>
      <c r="F405" s="2" t="s">
        <v>225</v>
      </c>
      <c r="G405" s="4">
        <v>5.2</v>
      </c>
      <c r="H405" s="4">
        <v>5.2</v>
      </c>
      <c r="I405" s="4">
        <v>0</v>
      </c>
      <c r="J405" s="5">
        <v>2.7</v>
      </c>
      <c r="K405" s="2" t="s">
        <v>226</v>
      </c>
      <c r="L405" s="2" t="s">
        <v>227</v>
      </c>
    </row>
    <row r="406" spans="1:12" ht="15">
      <c r="A406" s="2" t="s">
        <v>96</v>
      </c>
      <c r="B406" s="2">
        <v>7</v>
      </c>
      <c r="C406" s="2" t="s">
        <v>31</v>
      </c>
      <c r="D406" s="3">
        <v>46277</v>
      </c>
      <c r="E406" s="2" t="s">
        <v>242</v>
      </c>
      <c r="F406" s="2" t="s">
        <v>236</v>
      </c>
      <c r="G406" s="4">
        <v>3</v>
      </c>
      <c r="H406" s="4">
        <v>3</v>
      </c>
      <c r="I406" s="4">
        <v>0</v>
      </c>
      <c r="J406" s="5">
        <v>116</v>
      </c>
      <c r="K406" s="2" t="s">
        <v>226</v>
      </c>
      <c r="L406" s="2" t="s">
        <v>227</v>
      </c>
    </row>
    <row r="407" spans="1:12" ht="15">
      <c r="A407" s="2" t="s">
        <v>96</v>
      </c>
      <c r="B407" s="2">
        <v>8</v>
      </c>
      <c r="C407" s="2" t="s">
        <v>31</v>
      </c>
      <c r="D407" s="3">
        <v>46277</v>
      </c>
      <c r="E407" s="2" t="s">
        <v>233</v>
      </c>
      <c r="F407" s="2" t="s">
        <v>234</v>
      </c>
      <c r="G407" s="4">
        <v>1</v>
      </c>
      <c r="H407" s="4">
        <v>1</v>
      </c>
      <c r="I407" s="4">
        <v>0</v>
      </c>
      <c r="J407" s="5">
        <v>66</v>
      </c>
      <c r="K407" s="2" t="s">
        <v>226</v>
      </c>
      <c r="L407" s="2" t="s">
        <v>227</v>
      </c>
    </row>
    <row r="408" spans="1:12" ht="15">
      <c r="A408" s="2" t="s">
        <v>97</v>
      </c>
      <c r="B408" s="2">
        <v>1</v>
      </c>
      <c r="C408" s="2" t="s">
        <v>33</v>
      </c>
      <c r="D408" s="3">
        <v>46277</v>
      </c>
      <c r="E408" s="2" t="s">
        <v>237</v>
      </c>
      <c r="F408" s="2" t="s">
        <v>225</v>
      </c>
      <c r="G408" s="4">
        <v>5.4</v>
      </c>
      <c r="H408" s="4">
        <v>5.4</v>
      </c>
      <c r="I408" s="4">
        <v>0</v>
      </c>
      <c r="J408" s="5">
        <v>4.3</v>
      </c>
      <c r="K408" s="2" t="s">
        <v>226</v>
      </c>
      <c r="L408" s="2" t="s">
        <v>227</v>
      </c>
    </row>
    <row r="409" spans="1:12" ht="15">
      <c r="A409" s="2" t="s">
        <v>97</v>
      </c>
      <c r="B409" s="2">
        <v>2</v>
      </c>
      <c r="C409" s="2" t="s">
        <v>33</v>
      </c>
      <c r="D409" s="3">
        <v>46277</v>
      </c>
      <c r="E409" s="2" t="s">
        <v>228</v>
      </c>
      <c r="F409" s="2" t="s">
        <v>225</v>
      </c>
      <c r="G409" s="4">
        <v>8.8000000000000007</v>
      </c>
      <c r="H409" s="4">
        <v>8.8000000000000007</v>
      </c>
      <c r="I409" s="4">
        <v>0</v>
      </c>
      <c r="J409" s="5">
        <v>2.7</v>
      </c>
      <c r="K409" s="2" t="s">
        <v>226</v>
      </c>
      <c r="L409" s="2" t="s">
        <v>227</v>
      </c>
    </row>
    <row r="410" spans="1:12" ht="15">
      <c r="A410" s="2" t="s">
        <v>97</v>
      </c>
      <c r="B410" s="2">
        <v>3</v>
      </c>
      <c r="C410" s="2" t="s">
        <v>33</v>
      </c>
      <c r="D410" s="3">
        <v>46277</v>
      </c>
      <c r="E410" s="2" t="s">
        <v>240</v>
      </c>
      <c r="F410" s="2" t="s">
        <v>225</v>
      </c>
      <c r="G410" s="4">
        <v>8.8000000000000007</v>
      </c>
      <c r="H410" s="4">
        <v>8.8000000000000007</v>
      </c>
      <c r="I410" s="4">
        <v>0</v>
      </c>
      <c r="J410" s="5">
        <v>6</v>
      </c>
      <c r="K410" s="2" t="s">
        <v>226</v>
      </c>
      <c r="L410" s="2" t="s">
        <v>227</v>
      </c>
    </row>
    <row r="411" spans="1:12" ht="15">
      <c r="A411" s="2" t="s">
        <v>97</v>
      </c>
      <c r="B411" s="2">
        <v>4</v>
      </c>
      <c r="C411" s="2" t="s">
        <v>33</v>
      </c>
      <c r="D411" s="3">
        <v>46277</v>
      </c>
      <c r="E411" s="2" t="s">
        <v>239</v>
      </c>
      <c r="F411" s="2" t="s">
        <v>225</v>
      </c>
      <c r="G411" s="4">
        <v>8.8000000000000007</v>
      </c>
      <c r="H411" s="4">
        <v>8.8000000000000007</v>
      </c>
      <c r="I411" s="4">
        <v>0</v>
      </c>
      <c r="J411" s="5">
        <v>4.8</v>
      </c>
      <c r="K411" s="2" t="s">
        <v>226</v>
      </c>
      <c r="L411" s="2" t="s">
        <v>227</v>
      </c>
    </row>
    <row r="412" spans="1:12" ht="15">
      <c r="A412" s="2" t="s">
        <v>97</v>
      </c>
      <c r="B412" s="2">
        <v>5</v>
      </c>
      <c r="C412" s="2" t="s">
        <v>33</v>
      </c>
      <c r="D412" s="3">
        <v>46277</v>
      </c>
      <c r="E412" s="2" t="s">
        <v>250</v>
      </c>
      <c r="F412" s="2" t="s">
        <v>225</v>
      </c>
      <c r="G412" s="4">
        <v>4.7</v>
      </c>
      <c r="H412" s="4">
        <v>4.7</v>
      </c>
      <c r="I412" s="4">
        <v>0</v>
      </c>
      <c r="J412" s="5">
        <v>5</v>
      </c>
      <c r="K412" s="2" t="s">
        <v>226</v>
      </c>
      <c r="L412" s="2" t="s">
        <v>227</v>
      </c>
    </row>
    <row r="413" spans="1:12" ht="15">
      <c r="A413" s="2" t="s">
        <v>97</v>
      </c>
      <c r="B413" s="2">
        <v>6</v>
      </c>
      <c r="C413" s="2" t="s">
        <v>33</v>
      </c>
      <c r="D413" s="3">
        <v>46277</v>
      </c>
      <c r="E413" s="2" t="s">
        <v>243</v>
      </c>
      <c r="F413" s="2" t="s">
        <v>225</v>
      </c>
      <c r="G413" s="4">
        <v>6.8</v>
      </c>
      <c r="H413" s="4">
        <v>6.8</v>
      </c>
      <c r="I413" s="4">
        <v>0</v>
      </c>
      <c r="J413" s="5">
        <v>4.4000000000000004</v>
      </c>
      <c r="K413" s="2" t="s">
        <v>226</v>
      </c>
      <c r="L413" s="2" t="s">
        <v>227</v>
      </c>
    </row>
    <row r="414" spans="1:12" ht="15">
      <c r="A414" s="2" t="s">
        <v>98</v>
      </c>
      <c r="B414" s="2">
        <v>1</v>
      </c>
      <c r="C414" s="2" t="s">
        <v>29</v>
      </c>
      <c r="D414" s="3">
        <v>46278</v>
      </c>
      <c r="E414" s="2" t="s">
        <v>245</v>
      </c>
      <c r="F414" s="2" t="s">
        <v>225</v>
      </c>
      <c r="G414" s="4">
        <v>8</v>
      </c>
      <c r="H414" s="4">
        <v>8</v>
      </c>
      <c r="I414" s="4">
        <v>0</v>
      </c>
      <c r="J414" s="5">
        <v>5</v>
      </c>
      <c r="K414" s="2" t="s">
        <v>226</v>
      </c>
      <c r="L414" s="2" t="s">
        <v>227</v>
      </c>
    </row>
    <row r="415" spans="1:12" ht="15">
      <c r="A415" s="2" t="s">
        <v>98</v>
      </c>
      <c r="B415" s="2">
        <v>2</v>
      </c>
      <c r="C415" s="2" t="s">
        <v>29</v>
      </c>
      <c r="D415" s="3">
        <v>46278</v>
      </c>
      <c r="E415" s="2" t="s">
        <v>239</v>
      </c>
      <c r="F415" s="2" t="s">
        <v>225</v>
      </c>
      <c r="G415" s="4">
        <v>8.6</v>
      </c>
      <c r="H415" s="4">
        <v>8.6</v>
      </c>
      <c r="I415" s="4">
        <v>0</v>
      </c>
      <c r="J415" s="5">
        <v>4.8</v>
      </c>
      <c r="K415" s="2" t="s">
        <v>226</v>
      </c>
      <c r="L415" s="2" t="s">
        <v>227</v>
      </c>
    </row>
    <row r="416" spans="1:12" ht="15">
      <c r="A416" s="2" t="s">
        <v>98</v>
      </c>
      <c r="B416" s="2">
        <v>3</v>
      </c>
      <c r="C416" s="2" t="s">
        <v>29</v>
      </c>
      <c r="D416" s="3">
        <v>46278</v>
      </c>
      <c r="E416" s="2" t="s">
        <v>241</v>
      </c>
      <c r="F416" s="2" t="s">
        <v>225</v>
      </c>
      <c r="G416" s="4">
        <v>7.5</v>
      </c>
      <c r="H416" s="4">
        <v>7.5</v>
      </c>
      <c r="I416" s="4">
        <v>0</v>
      </c>
      <c r="J416" s="5">
        <v>2.9</v>
      </c>
      <c r="K416" s="2" t="s">
        <v>226</v>
      </c>
      <c r="L416" s="2" t="s">
        <v>227</v>
      </c>
    </row>
    <row r="417" spans="1:12" ht="15">
      <c r="A417" s="2" t="s">
        <v>98</v>
      </c>
      <c r="B417" s="2">
        <v>4</v>
      </c>
      <c r="C417" s="2" t="s">
        <v>29</v>
      </c>
      <c r="D417" s="3">
        <v>46278</v>
      </c>
      <c r="E417" s="2" t="s">
        <v>243</v>
      </c>
      <c r="F417" s="2" t="s">
        <v>225</v>
      </c>
      <c r="G417" s="4">
        <v>6.9</v>
      </c>
      <c r="H417" s="4">
        <v>6.4</v>
      </c>
      <c r="I417" s="4">
        <v>0</v>
      </c>
      <c r="J417" s="5">
        <v>4.4000000000000004</v>
      </c>
      <c r="K417" s="2" t="s">
        <v>246</v>
      </c>
      <c r="L417" s="2" t="s">
        <v>227</v>
      </c>
    </row>
    <row r="418" spans="1:12" ht="15">
      <c r="A418" s="2" t="s">
        <v>98</v>
      </c>
      <c r="B418" s="2">
        <v>5</v>
      </c>
      <c r="C418" s="2" t="s">
        <v>29</v>
      </c>
      <c r="D418" s="3">
        <v>46278</v>
      </c>
      <c r="E418" s="2" t="s">
        <v>248</v>
      </c>
      <c r="F418" s="2" t="s">
        <v>225</v>
      </c>
      <c r="G418" s="4">
        <v>5.7</v>
      </c>
      <c r="H418" s="4">
        <v>5.4</v>
      </c>
      <c r="I418" s="4">
        <v>0</v>
      </c>
      <c r="J418" s="5">
        <v>5.45</v>
      </c>
      <c r="K418" s="2" t="s">
        <v>246</v>
      </c>
      <c r="L418" s="2" t="s">
        <v>227</v>
      </c>
    </row>
    <row r="419" spans="1:12" ht="15">
      <c r="A419" s="2" t="s">
        <v>99</v>
      </c>
      <c r="B419" s="2">
        <v>1</v>
      </c>
      <c r="C419" s="2" t="s">
        <v>33</v>
      </c>
      <c r="D419" s="3">
        <v>46278</v>
      </c>
      <c r="E419" s="2" t="s">
        <v>224</v>
      </c>
      <c r="F419" s="2" t="s">
        <v>225</v>
      </c>
      <c r="G419" s="4">
        <v>9.3000000000000007</v>
      </c>
      <c r="H419" s="4">
        <v>9.3000000000000007</v>
      </c>
      <c r="I419" s="4">
        <v>0</v>
      </c>
      <c r="J419" s="5">
        <v>5</v>
      </c>
      <c r="K419" s="2" t="s">
        <v>226</v>
      </c>
      <c r="L419" s="2" t="s">
        <v>227</v>
      </c>
    </row>
    <row r="420" spans="1:12" ht="15">
      <c r="A420" s="2" t="s">
        <v>99</v>
      </c>
      <c r="B420" s="2">
        <v>2</v>
      </c>
      <c r="C420" s="2" t="s">
        <v>33</v>
      </c>
      <c r="D420" s="3">
        <v>46278</v>
      </c>
      <c r="E420" s="2" t="s">
        <v>239</v>
      </c>
      <c r="F420" s="2" t="s">
        <v>225</v>
      </c>
      <c r="G420" s="4">
        <v>5.6</v>
      </c>
      <c r="H420" s="4">
        <v>5.6</v>
      </c>
      <c r="I420" s="4">
        <v>0</v>
      </c>
      <c r="J420" s="5">
        <v>4.8</v>
      </c>
      <c r="K420" s="2" t="s">
        <v>226</v>
      </c>
      <c r="L420" s="2" t="s">
        <v>227</v>
      </c>
    </row>
    <row r="421" spans="1:12" ht="15">
      <c r="A421" s="2" t="s">
        <v>99</v>
      </c>
      <c r="B421" s="2">
        <v>3</v>
      </c>
      <c r="C421" s="2" t="s">
        <v>33</v>
      </c>
      <c r="D421" s="3">
        <v>46278</v>
      </c>
      <c r="E421" s="2" t="s">
        <v>250</v>
      </c>
      <c r="F421" s="2" t="s">
        <v>225</v>
      </c>
      <c r="G421" s="4">
        <v>7.4</v>
      </c>
      <c r="H421" s="4">
        <v>7.4</v>
      </c>
      <c r="I421" s="4">
        <v>0</v>
      </c>
      <c r="J421" s="5">
        <v>5</v>
      </c>
      <c r="K421" s="2" t="s">
        <v>226</v>
      </c>
      <c r="L421" s="2" t="s">
        <v>227</v>
      </c>
    </row>
    <row r="422" spans="1:12" ht="15">
      <c r="A422" s="2" t="s">
        <v>99</v>
      </c>
      <c r="B422" s="2">
        <v>4</v>
      </c>
      <c r="C422" s="2" t="s">
        <v>33</v>
      </c>
      <c r="D422" s="3">
        <v>46278</v>
      </c>
      <c r="E422" s="2" t="s">
        <v>229</v>
      </c>
      <c r="F422" s="2" t="s">
        <v>225</v>
      </c>
      <c r="G422" s="4">
        <v>9.9</v>
      </c>
      <c r="H422" s="4">
        <v>9.9</v>
      </c>
      <c r="I422" s="4">
        <v>0</v>
      </c>
      <c r="J422" s="5">
        <v>2.7</v>
      </c>
      <c r="K422" s="2" t="s">
        <v>226</v>
      </c>
      <c r="L422" s="2" t="s">
        <v>227</v>
      </c>
    </row>
    <row r="423" spans="1:12" ht="15">
      <c r="A423" s="2" t="s">
        <v>99</v>
      </c>
      <c r="B423" s="2">
        <v>5</v>
      </c>
      <c r="C423" s="2" t="s">
        <v>33</v>
      </c>
      <c r="D423" s="3">
        <v>46278</v>
      </c>
      <c r="E423" s="2" t="s">
        <v>243</v>
      </c>
      <c r="F423" s="2" t="s">
        <v>225</v>
      </c>
      <c r="G423" s="4">
        <v>7.4</v>
      </c>
      <c r="H423" s="4">
        <v>7.1</v>
      </c>
      <c r="I423" s="4">
        <v>0</v>
      </c>
      <c r="J423" s="5">
        <v>4.4000000000000004</v>
      </c>
      <c r="K423" s="2" t="s">
        <v>246</v>
      </c>
      <c r="L423" s="2" t="s">
        <v>227</v>
      </c>
    </row>
    <row r="424" spans="1:12" ht="15">
      <c r="A424" s="2" t="s">
        <v>99</v>
      </c>
      <c r="B424" s="2">
        <v>6</v>
      </c>
      <c r="C424" s="2" t="s">
        <v>33</v>
      </c>
      <c r="D424" s="3">
        <v>46278</v>
      </c>
      <c r="E424" s="2" t="s">
        <v>248</v>
      </c>
      <c r="F424" s="2" t="s">
        <v>225</v>
      </c>
      <c r="G424" s="4">
        <v>6.8</v>
      </c>
      <c r="H424" s="4">
        <v>6.8</v>
      </c>
      <c r="I424" s="4">
        <v>0</v>
      </c>
      <c r="J424" s="5">
        <v>5.45</v>
      </c>
      <c r="K424" s="2" t="s">
        <v>226</v>
      </c>
      <c r="L424" s="2" t="s">
        <v>227</v>
      </c>
    </row>
    <row r="425" spans="1:12" ht="15">
      <c r="A425" s="2" t="s">
        <v>99</v>
      </c>
      <c r="B425" s="2">
        <v>7</v>
      </c>
      <c r="C425" s="2" t="s">
        <v>33</v>
      </c>
      <c r="D425" s="3">
        <v>46278</v>
      </c>
      <c r="E425" s="2" t="s">
        <v>231</v>
      </c>
      <c r="F425" s="2" t="s">
        <v>225</v>
      </c>
      <c r="G425" s="4">
        <v>9</v>
      </c>
      <c r="H425" s="4">
        <v>9</v>
      </c>
      <c r="I425" s="4">
        <v>0</v>
      </c>
      <c r="J425" s="5">
        <v>10.4</v>
      </c>
      <c r="K425" s="2" t="s">
        <v>226</v>
      </c>
      <c r="L425" s="2" t="s">
        <v>227</v>
      </c>
    </row>
    <row r="426" spans="1:12" ht="15">
      <c r="A426" s="2" t="s">
        <v>99</v>
      </c>
      <c r="B426" s="2">
        <v>8</v>
      </c>
      <c r="C426" s="2" t="s">
        <v>33</v>
      </c>
      <c r="D426" s="3">
        <v>46278</v>
      </c>
      <c r="E426" s="2" t="s">
        <v>232</v>
      </c>
      <c r="F426" s="2" t="s">
        <v>225</v>
      </c>
      <c r="G426" s="4">
        <v>1</v>
      </c>
      <c r="H426" s="4">
        <v>1</v>
      </c>
      <c r="I426" s="4">
        <v>0</v>
      </c>
      <c r="J426" s="5">
        <v>7.2</v>
      </c>
      <c r="K426" s="2" t="s">
        <v>226</v>
      </c>
      <c r="L426" s="2" t="s">
        <v>227</v>
      </c>
    </row>
    <row r="427" spans="1:12" ht="15">
      <c r="A427" s="2" t="s">
        <v>100</v>
      </c>
      <c r="B427" s="2">
        <v>1</v>
      </c>
      <c r="C427" s="2" t="s">
        <v>28</v>
      </c>
      <c r="D427" s="3">
        <v>46279</v>
      </c>
      <c r="E427" s="2" t="s">
        <v>245</v>
      </c>
      <c r="F427" s="2" t="s">
        <v>225</v>
      </c>
      <c r="G427" s="4">
        <v>2</v>
      </c>
      <c r="H427" s="4">
        <v>2</v>
      </c>
      <c r="I427" s="4">
        <v>0</v>
      </c>
      <c r="J427" s="5">
        <v>5</v>
      </c>
      <c r="K427" s="2" t="s">
        <v>226</v>
      </c>
      <c r="L427" s="2" t="s">
        <v>227</v>
      </c>
    </row>
    <row r="428" spans="1:12" ht="15">
      <c r="A428" s="2" t="s">
        <v>100</v>
      </c>
      <c r="B428" s="2">
        <v>2</v>
      </c>
      <c r="C428" s="2" t="s">
        <v>28</v>
      </c>
      <c r="D428" s="3">
        <v>46279</v>
      </c>
      <c r="E428" s="2" t="s">
        <v>250</v>
      </c>
      <c r="F428" s="2" t="s">
        <v>225</v>
      </c>
      <c r="G428" s="4">
        <v>3.9</v>
      </c>
      <c r="H428" s="4">
        <v>3.9</v>
      </c>
      <c r="I428" s="4">
        <v>0</v>
      </c>
      <c r="J428" s="5">
        <v>5</v>
      </c>
      <c r="K428" s="2" t="s">
        <v>226</v>
      </c>
      <c r="L428" s="2" t="s">
        <v>227</v>
      </c>
    </row>
    <row r="429" spans="1:12" ht="15">
      <c r="A429" s="2" t="s">
        <v>100</v>
      </c>
      <c r="B429" s="2">
        <v>3</v>
      </c>
      <c r="C429" s="2" t="s">
        <v>28</v>
      </c>
      <c r="D429" s="3">
        <v>46279</v>
      </c>
      <c r="E429" s="2" t="s">
        <v>241</v>
      </c>
      <c r="F429" s="2" t="s">
        <v>225</v>
      </c>
      <c r="G429" s="4">
        <v>3.7</v>
      </c>
      <c r="H429" s="4">
        <v>3.2</v>
      </c>
      <c r="I429" s="4">
        <v>0</v>
      </c>
      <c r="J429" s="5">
        <v>2.9</v>
      </c>
      <c r="K429" s="2" t="s">
        <v>246</v>
      </c>
      <c r="L429" s="2" t="s">
        <v>227</v>
      </c>
    </row>
    <row r="430" spans="1:12" ht="15">
      <c r="A430" s="2" t="s">
        <v>100</v>
      </c>
      <c r="B430" s="2">
        <v>4</v>
      </c>
      <c r="C430" s="2" t="s">
        <v>28</v>
      </c>
      <c r="D430" s="3">
        <v>46279</v>
      </c>
      <c r="E430" s="2" t="s">
        <v>230</v>
      </c>
      <c r="F430" s="2" t="s">
        <v>225</v>
      </c>
      <c r="G430" s="4">
        <v>3.7</v>
      </c>
      <c r="H430" s="4">
        <v>3.7</v>
      </c>
      <c r="I430" s="4">
        <v>0</v>
      </c>
      <c r="J430" s="5">
        <v>2.7</v>
      </c>
      <c r="K430" s="2" t="s">
        <v>226</v>
      </c>
      <c r="L430" s="2" t="s">
        <v>227</v>
      </c>
    </row>
    <row r="431" spans="1:12" ht="15">
      <c r="A431" s="2" t="s">
        <v>101</v>
      </c>
      <c r="B431" s="2">
        <v>1</v>
      </c>
      <c r="C431" s="2" t="s">
        <v>30</v>
      </c>
      <c r="D431" s="3">
        <v>46279</v>
      </c>
      <c r="E431" s="2" t="s">
        <v>224</v>
      </c>
      <c r="F431" s="2" t="s">
        <v>225</v>
      </c>
      <c r="G431" s="4">
        <v>6.5</v>
      </c>
      <c r="H431" s="4">
        <v>6.5</v>
      </c>
      <c r="I431" s="4">
        <v>0.2</v>
      </c>
      <c r="J431" s="5">
        <v>5</v>
      </c>
      <c r="K431" s="2" t="s">
        <v>249</v>
      </c>
      <c r="L431" s="2" t="s">
        <v>227</v>
      </c>
    </row>
    <row r="432" spans="1:12" ht="15">
      <c r="A432" s="2" t="s">
        <v>101</v>
      </c>
      <c r="B432" s="2">
        <v>2</v>
      </c>
      <c r="C432" s="2" t="s">
        <v>30</v>
      </c>
      <c r="D432" s="3">
        <v>46279</v>
      </c>
      <c r="E432" s="2" t="s">
        <v>230</v>
      </c>
      <c r="F432" s="2" t="s">
        <v>225</v>
      </c>
      <c r="G432" s="4">
        <v>8</v>
      </c>
      <c r="H432" s="4">
        <v>8</v>
      </c>
      <c r="I432" s="4">
        <v>0</v>
      </c>
      <c r="J432" s="5">
        <v>2.7</v>
      </c>
      <c r="K432" s="2" t="s">
        <v>226</v>
      </c>
      <c r="L432" s="2" t="s">
        <v>227</v>
      </c>
    </row>
    <row r="433" spans="1:12" ht="15">
      <c r="A433" s="2" t="s">
        <v>101</v>
      </c>
      <c r="B433" s="2">
        <v>3</v>
      </c>
      <c r="C433" s="2" t="s">
        <v>30</v>
      </c>
      <c r="D433" s="3">
        <v>46279</v>
      </c>
      <c r="E433" s="2" t="s">
        <v>250</v>
      </c>
      <c r="F433" s="2" t="s">
        <v>225</v>
      </c>
      <c r="G433" s="4">
        <v>7</v>
      </c>
      <c r="H433" s="4">
        <v>7</v>
      </c>
      <c r="I433" s="4">
        <v>0</v>
      </c>
      <c r="J433" s="5">
        <v>5</v>
      </c>
      <c r="K433" s="2" t="s">
        <v>226</v>
      </c>
      <c r="L433" s="2" t="s">
        <v>227</v>
      </c>
    </row>
    <row r="434" spans="1:12" ht="15">
      <c r="A434" s="2" t="s">
        <v>101</v>
      </c>
      <c r="B434" s="2">
        <v>4</v>
      </c>
      <c r="C434" s="2" t="s">
        <v>30</v>
      </c>
      <c r="D434" s="3">
        <v>46279</v>
      </c>
      <c r="E434" s="2" t="s">
        <v>240</v>
      </c>
      <c r="F434" s="2" t="s">
        <v>225</v>
      </c>
      <c r="G434" s="4">
        <v>7.5</v>
      </c>
      <c r="H434" s="4">
        <v>7.5</v>
      </c>
      <c r="I434" s="4">
        <v>0</v>
      </c>
      <c r="J434" s="5">
        <v>6</v>
      </c>
      <c r="K434" s="2" t="s">
        <v>226</v>
      </c>
      <c r="L434" s="2" t="s">
        <v>227</v>
      </c>
    </row>
    <row r="435" spans="1:12" ht="15">
      <c r="A435" s="2" t="s">
        <v>101</v>
      </c>
      <c r="B435" s="2">
        <v>5</v>
      </c>
      <c r="C435" s="2" t="s">
        <v>30</v>
      </c>
      <c r="D435" s="3">
        <v>46279</v>
      </c>
      <c r="E435" s="2" t="s">
        <v>243</v>
      </c>
      <c r="F435" s="2" t="s">
        <v>225</v>
      </c>
      <c r="G435" s="4">
        <v>7.5</v>
      </c>
      <c r="H435" s="4">
        <v>7.5</v>
      </c>
      <c r="I435" s="4">
        <v>0</v>
      </c>
      <c r="J435" s="5">
        <v>4.4000000000000004</v>
      </c>
      <c r="K435" s="2" t="s">
        <v>226</v>
      </c>
      <c r="L435" s="2" t="s">
        <v>227</v>
      </c>
    </row>
    <row r="436" spans="1:12" ht="15">
      <c r="A436" s="2" t="s">
        <v>101</v>
      </c>
      <c r="B436" s="2">
        <v>6</v>
      </c>
      <c r="C436" s="2" t="s">
        <v>30</v>
      </c>
      <c r="D436" s="3">
        <v>46279</v>
      </c>
      <c r="E436" s="2" t="s">
        <v>228</v>
      </c>
      <c r="F436" s="2" t="s">
        <v>225</v>
      </c>
      <c r="G436" s="4">
        <v>6</v>
      </c>
      <c r="H436" s="4">
        <v>6</v>
      </c>
      <c r="I436" s="4">
        <v>0</v>
      </c>
      <c r="J436" s="5">
        <v>2.7</v>
      </c>
      <c r="K436" s="2" t="s">
        <v>226</v>
      </c>
      <c r="L436" s="2" t="s">
        <v>227</v>
      </c>
    </row>
    <row r="437" spans="1:12" ht="15">
      <c r="A437" s="2" t="s">
        <v>102</v>
      </c>
      <c r="B437" s="2">
        <v>1</v>
      </c>
      <c r="C437" s="2" t="s">
        <v>32</v>
      </c>
      <c r="D437" s="3">
        <v>46279</v>
      </c>
      <c r="E437" s="2" t="s">
        <v>245</v>
      </c>
      <c r="F437" s="2" t="s">
        <v>225</v>
      </c>
      <c r="G437" s="4">
        <v>9.6999999999999993</v>
      </c>
      <c r="H437" s="4">
        <v>9.6999999999999993</v>
      </c>
      <c r="I437" s="4">
        <v>0</v>
      </c>
      <c r="J437" s="5">
        <v>5</v>
      </c>
      <c r="K437" s="2" t="s">
        <v>226</v>
      </c>
      <c r="L437" s="2" t="s">
        <v>227</v>
      </c>
    </row>
    <row r="438" spans="1:12" ht="15">
      <c r="A438" s="2" t="s">
        <v>102</v>
      </c>
      <c r="B438" s="2">
        <v>2</v>
      </c>
      <c r="C438" s="2" t="s">
        <v>32</v>
      </c>
      <c r="D438" s="3">
        <v>46279</v>
      </c>
      <c r="E438" s="2" t="s">
        <v>230</v>
      </c>
      <c r="F438" s="2" t="s">
        <v>225</v>
      </c>
      <c r="G438" s="4">
        <v>12.1</v>
      </c>
      <c r="H438" s="4">
        <v>12.1</v>
      </c>
      <c r="I438" s="4">
        <v>0</v>
      </c>
      <c r="J438" s="5">
        <v>2.7</v>
      </c>
      <c r="K438" s="2" t="s">
        <v>226</v>
      </c>
      <c r="L438" s="2" t="s">
        <v>227</v>
      </c>
    </row>
    <row r="439" spans="1:12" ht="15">
      <c r="A439" s="2" t="s">
        <v>102</v>
      </c>
      <c r="B439" s="2">
        <v>3</v>
      </c>
      <c r="C439" s="2" t="s">
        <v>32</v>
      </c>
      <c r="D439" s="3">
        <v>46279</v>
      </c>
      <c r="E439" s="2" t="s">
        <v>238</v>
      </c>
      <c r="F439" s="2" t="s">
        <v>225</v>
      </c>
      <c r="G439" s="4">
        <v>7.3</v>
      </c>
      <c r="H439" s="4">
        <v>7.3</v>
      </c>
      <c r="I439" s="4">
        <v>0</v>
      </c>
      <c r="J439" s="5">
        <v>3.3</v>
      </c>
      <c r="K439" s="2" t="s">
        <v>226</v>
      </c>
      <c r="L439" s="2" t="s">
        <v>227</v>
      </c>
    </row>
    <row r="440" spans="1:12" ht="15">
      <c r="A440" s="2" t="s">
        <v>102</v>
      </c>
      <c r="B440" s="2">
        <v>4</v>
      </c>
      <c r="C440" s="2" t="s">
        <v>32</v>
      </c>
      <c r="D440" s="3">
        <v>46279</v>
      </c>
      <c r="E440" s="2" t="s">
        <v>243</v>
      </c>
      <c r="F440" s="2" t="s">
        <v>225</v>
      </c>
      <c r="G440" s="4">
        <v>7.3</v>
      </c>
      <c r="H440" s="4">
        <v>7.3</v>
      </c>
      <c r="I440" s="4">
        <v>0</v>
      </c>
      <c r="J440" s="5">
        <v>4.4000000000000004</v>
      </c>
      <c r="K440" s="2" t="s">
        <v>226</v>
      </c>
      <c r="L440" s="2" t="s">
        <v>227</v>
      </c>
    </row>
    <row r="441" spans="1:12" ht="15">
      <c r="A441" s="2" t="s">
        <v>102</v>
      </c>
      <c r="B441" s="2">
        <v>5</v>
      </c>
      <c r="C441" s="2" t="s">
        <v>32</v>
      </c>
      <c r="D441" s="3">
        <v>46279</v>
      </c>
      <c r="E441" s="2" t="s">
        <v>250</v>
      </c>
      <c r="F441" s="2" t="s">
        <v>225</v>
      </c>
      <c r="G441" s="4">
        <v>9.6999999999999993</v>
      </c>
      <c r="H441" s="4">
        <v>9.6999999999999993</v>
      </c>
      <c r="I441" s="4">
        <v>0</v>
      </c>
      <c r="J441" s="5">
        <v>5</v>
      </c>
      <c r="K441" s="2" t="s">
        <v>226</v>
      </c>
      <c r="L441" s="2" t="s">
        <v>227</v>
      </c>
    </row>
    <row r="442" spans="1:12" ht="15">
      <c r="A442" s="2" t="s">
        <v>102</v>
      </c>
      <c r="B442" s="2">
        <v>6</v>
      </c>
      <c r="C442" s="2" t="s">
        <v>32</v>
      </c>
      <c r="D442" s="3">
        <v>46279</v>
      </c>
      <c r="E442" s="2" t="s">
        <v>241</v>
      </c>
      <c r="F442" s="2" t="s">
        <v>225</v>
      </c>
      <c r="G442" s="4">
        <v>10.5</v>
      </c>
      <c r="H442" s="4">
        <v>10.5</v>
      </c>
      <c r="I442" s="4">
        <v>0</v>
      </c>
      <c r="J442" s="5">
        <v>2.9</v>
      </c>
      <c r="K442" s="2" t="s">
        <v>226</v>
      </c>
      <c r="L442" s="2" t="s">
        <v>227</v>
      </c>
    </row>
    <row r="443" spans="1:12" ht="15">
      <c r="A443" s="2" t="s">
        <v>102</v>
      </c>
      <c r="B443" s="2">
        <v>7</v>
      </c>
      <c r="C443" s="2" t="s">
        <v>32</v>
      </c>
      <c r="D443" s="3">
        <v>46279</v>
      </c>
      <c r="E443" s="2" t="s">
        <v>232</v>
      </c>
      <c r="F443" s="2" t="s">
        <v>225</v>
      </c>
      <c r="G443" s="4">
        <v>1</v>
      </c>
      <c r="H443" s="4">
        <v>1</v>
      </c>
      <c r="I443" s="4">
        <v>0</v>
      </c>
      <c r="J443" s="5">
        <v>7.2</v>
      </c>
      <c r="K443" s="2" t="s">
        <v>226</v>
      </c>
      <c r="L443" s="2" t="s">
        <v>227</v>
      </c>
    </row>
    <row r="444" spans="1:12" ht="15">
      <c r="A444" s="2" t="s">
        <v>103</v>
      </c>
      <c r="B444" s="2">
        <v>1</v>
      </c>
      <c r="C444" s="2" t="s">
        <v>33</v>
      </c>
      <c r="D444" s="3">
        <v>46279</v>
      </c>
      <c r="E444" s="2" t="s">
        <v>245</v>
      </c>
      <c r="F444" s="2" t="s">
        <v>225</v>
      </c>
      <c r="G444" s="4">
        <v>6.5</v>
      </c>
      <c r="H444" s="4">
        <v>6.5</v>
      </c>
      <c r="I444" s="4">
        <v>0</v>
      </c>
      <c r="J444" s="5">
        <v>5</v>
      </c>
      <c r="K444" s="2" t="s">
        <v>226</v>
      </c>
      <c r="L444" s="2" t="s">
        <v>227</v>
      </c>
    </row>
    <row r="445" spans="1:12" ht="15">
      <c r="A445" s="2" t="s">
        <v>103</v>
      </c>
      <c r="B445" s="2">
        <v>2</v>
      </c>
      <c r="C445" s="2" t="s">
        <v>33</v>
      </c>
      <c r="D445" s="3">
        <v>46279</v>
      </c>
      <c r="E445" s="2" t="s">
        <v>243</v>
      </c>
      <c r="F445" s="2" t="s">
        <v>225</v>
      </c>
      <c r="G445" s="4">
        <v>9.5</v>
      </c>
      <c r="H445" s="4">
        <v>9.5</v>
      </c>
      <c r="I445" s="4">
        <v>0</v>
      </c>
      <c r="J445" s="5">
        <v>4.4000000000000004</v>
      </c>
      <c r="K445" s="2" t="s">
        <v>226</v>
      </c>
      <c r="L445" s="2" t="s">
        <v>227</v>
      </c>
    </row>
    <row r="446" spans="1:12" ht="15">
      <c r="A446" s="2" t="s">
        <v>103</v>
      </c>
      <c r="B446" s="2">
        <v>3</v>
      </c>
      <c r="C446" s="2" t="s">
        <v>33</v>
      </c>
      <c r="D446" s="3">
        <v>46279</v>
      </c>
      <c r="E446" s="2" t="s">
        <v>250</v>
      </c>
      <c r="F446" s="2" t="s">
        <v>225</v>
      </c>
      <c r="G446" s="4">
        <v>7.7</v>
      </c>
      <c r="H446" s="4">
        <v>7.5</v>
      </c>
      <c r="I446" s="4">
        <v>0</v>
      </c>
      <c r="J446" s="5">
        <v>5</v>
      </c>
      <c r="K446" s="2" t="s">
        <v>246</v>
      </c>
      <c r="L446" s="2" t="s">
        <v>227</v>
      </c>
    </row>
    <row r="447" spans="1:12" ht="15">
      <c r="A447" s="2" t="s">
        <v>103</v>
      </c>
      <c r="B447" s="2">
        <v>4</v>
      </c>
      <c r="C447" s="2" t="s">
        <v>33</v>
      </c>
      <c r="D447" s="3">
        <v>46279</v>
      </c>
      <c r="E447" s="2" t="s">
        <v>230</v>
      </c>
      <c r="F447" s="2" t="s">
        <v>225</v>
      </c>
      <c r="G447" s="4">
        <v>8.3000000000000007</v>
      </c>
      <c r="H447" s="4">
        <v>8.3000000000000007</v>
      </c>
      <c r="I447" s="4">
        <v>0</v>
      </c>
      <c r="J447" s="5">
        <v>2.7</v>
      </c>
      <c r="K447" s="2" t="s">
        <v>226</v>
      </c>
      <c r="L447" s="2" t="s">
        <v>227</v>
      </c>
    </row>
    <row r="448" spans="1:12" ht="15">
      <c r="A448" s="2" t="s">
        <v>103</v>
      </c>
      <c r="B448" s="2">
        <v>5</v>
      </c>
      <c r="C448" s="2" t="s">
        <v>33</v>
      </c>
      <c r="D448" s="3">
        <v>46279</v>
      </c>
      <c r="E448" s="2" t="s">
        <v>240</v>
      </c>
      <c r="F448" s="2" t="s">
        <v>225</v>
      </c>
      <c r="G448" s="4">
        <v>5.3</v>
      </c>
      <c r="H448" s="4">
        <v>5.3</v>
      </c>
      <c r="I448" s="4">
        <v>0</v>
      </c>
      <c r="J448" s="5">
        <v>6</v>
      </c>
      <c r="K448" s="2" t="s">
        <v>226</v>
      </c>
      <c r="L448" s="2" t="s">
        <v>227</v>
      </c>
    </row>
    <row r="449" spans="1:12" ht="15">
      <c r="A449" s="2" t="s">
        <v>103</v>
      </c>
      <c r="B449" s="2">
        <v>6</v>
      </c>
      <c r="C449" s="2" t="s">
        <v>33</v>
      </c>
      <c r="D449" s="3">
        <v>46279</v>
      </c>
      <c r="E449" s="2" t="s">
        <v>238</v>
      </c>
      <c r="F449" s="2" t="s">
        <v>225</v>
      </c>
      <c r="G449" s="4">
        <v>7.7</v>
      </c>
      <c r="H449" s="4">
        <v>7.7</v>
      </c>
      <c r="I449" s="4">
        <v>0</v>
      </c>
      <c r="J449" s="5">
        <v>3.3</v>
      </c>
      <c r="K449" s="2" t="s">
        <v>226</v>
      </c>
      <c r="L449" s="2" t="s">
        <v>227</v>
      </c>
    </row>
    <row r="450" spans="1:12" ht="15">
      <c r="A450" s="2" t="s">
        <v>104</v>
      </c>
      <c r="B450" s="2">
        <v>1</v>
      </c>
      <c r="C450" s="2" t="s">
        <v>28</v>
      </c>
      <c r="D450" s="3">
        <v>46280</v>
      </c>
      <c r="E450" s="2" t="s">
        <v>245</v>
      </c>
      <c r="F450" s="2" t="s">
        <v>225</v>
      </c>
      <c r="G450" s="4">
        <v>3.2</v>
      </c>
      <c r="H450" s="4">
        <v>3.2</v>
      </c>
      <c r="I450" s="4">
        <v>0</v>
      </c>
      <c r="J450" s="5">
        <v>4.5</v>
      </c>
      <c r="K450" s="2" t="s">
        <v>226</v>
      </c>
      <c r="L450" s="2" t="s">
        <v>227</v>
      </c>
    </row>
    <row r="451" spans="1:12" ht="15">
      <c r="A451" s="2" t="s">
        <v>104</v>
      </c>
      <c r="B451" s="2">
        <v>2</v>
      </c>
      <c r="C451" s="2" t="s">
        <v>28</v>
      </c>
      <c r="D451" s="3">
        <v>46280</v>
      </c>
      <c r="E451" s="2" t="s">
        <v>238</v>
      </c>
      <c r="F451" s="2" t="s">
        <v>225</v>
      </c>
      <c r="G451" s="4">
        <v>2.1</v>
      </c>
      <c r="H451" s="4">
        <v>2.1</v>
      </c>
      <c r="I451" s="4">
        <v>0</v>
      </c>
      <c r="J451" s="5">
        <v>3.4</v>
      </c>
      <c r="K451" s="2" t="s">
        <v>226</v>
      </c>
      <c r="L451" s="2" t="s">
        <v>227</v>
      </c>
    </row>
    <row r="452" spans="1:12" ht="15">
      <c r="A452" s="2" t="s">
        <v>104</v>
      </c>
      <c r="B452" s="2">
        <v>3</v>
      </c>
      <c r="C452" s="2" t="s">
        <v>28</v>
      </c>
      <c r="D452" s="3">
        <v>46280</v>
      </c>
      <c r="E452" s="2" t="s">
        <v>228</v>
      </c>
      <c r="F452" s="2" t="s">
        <v>225</v>
      </c>
      <c r="G452" s="4">
        <v>2.6</v>
      </c>
      <c r="H452" s="4">
        <v>2.6</v>
      </c>
      <c r="I452" s="4">
        <v>0</v>
      </c>
      <c r="J452" s="5">
        <v>3.2</v>
      </c>
      <c r="K452" s="2" t="s">
        <v>226</v>
      </c>
      <c r="L452" s="2" t="s">
        <v>227</v>
      </c>
    </row>
    <row r="453" spans="1:12" ht="15">
      <c r="A453" s="2" t="s">
        <v>104</v>
      </c>
      <c r="B453" s="2">
        <v>4</v>
      </c>
      <c r="C453" s="2" t="s">
        <v>28</v>
      </c>
      <c r="D453" s="3">
        <v>46280</v>
      </c>
      <c r="E453" s="2" t="s">
        <v>239</v>
      </c>
      <c r="F453" s="2" t="s">
        <v>225</v>
      </c>
      <c r="G453" s="4">
        <v>2.6</v>
      </c>
      <c r="H453" s="4">
        <v>2.6</v>
      </c>
      <c r="I453" s="4">
        <v>0</v>
      </c>
      <c r="J453" s="5">
        <v>4.8</v>
      </c>
      <c r="K453" s="2" t="s">
        <v>226</v>
      </c>
      <c r="L453" s="2" t="s">
        <v>227</v>
      </c>
    </row>
    <row r="454" spans="1:12" ht="15">
      <c r="A454" s="2" t="s">
        <v>104</v>
      </c>
      <c r="B454" s="2">
        <v>5</v>
      </c>
      <c r="C454" s="2" t="s">
        <v>28</v>
      </c>
      <c r="D454" s="3">
        <v>46280</v>
      </c>
      <c r="E454" s="2" t="s">
        <v>231</v>
      </c>
      <c r="F454" s="2" t="s">
        <v>225</v>
      </c>
      <c r="G454" s="4">
        <v>3</v>
      </c>
      <c r="H454" s="4">
        <v>3</v>
      </c>
      <c r="I454" s="4">
        <v>0</v>
      </c>
      <c r="J454" s="5">
        <v>10.199999999999999</v>
      </c>
      <c r="K454" s="2" t="s">
        <v>226</v>
      </c>
      <c r="L454" s="2" t="s">
        <v>227</v>
      </c>
    </row>
    <row r="455" spans="1:12" ht="15">
      <c r="A455" s="2" t="s">
        <v>104</v>
      </c>
      <c r="B455" s="2">
        <v>6</v>
      </c>
      <c r="C455" s="2" t="s">
        <v>28</v>
      </c>
      <c r="D455" s="3">
        <v>46280</v>
      </c>
      <c r="E455" s="2" t="s">
        <v>232</v>
      </c>
      <c r="F455" s="2" t="s">
        <v>225</v>
      </c>
      <c r="G455" s="4">
        <v>0.5</v>
      </c>
      <c r="H455" s="4">
        <v>0.5</v>
      </c>
      <c r="I455" s="4">
        <v>0</v>
      </c>
      <c r="J455" s="5">
        <v>7.3</v>
      </c>
      <c r="K455" s="2" t="s">
        <v>226</v>
      </c>
      <c r="L455" s="2" t="s">
        <v>227</v>
      </c>
    </row>
    <row r="456" spans="1:12" ht="15">
      <c r="A456" s="2" t="s">
        <v>105</v>
      </c>
      <c r="B456" s="2">
        <v>1</v>
      </c>
      <c r="C456" s="2" t="s">
        <v>29</v>
      </c>
      <c r="D456" s="3">
        <v>46280</v>
      </c>
      <c r="E456" s="2" t="s">
        <v>224</v>
      </c>
      <c r="F456" s="2" t="s">
        <v>225</v>
      </c>
      <c r="G456" s="4">
        <v>5</v>
      </c>
      <c r="H456" s="4">
        <v>5</v>
      </c>
      <c r="I456" s="4">
        <v>0</v>
      </c>
      <c r="J456" s="5">
        <v>5.2</v>
      </c>
      <c r="K456" s="2" t="s">
        <v>226</v>
      </c>
      <c r="L456" s="2" t="s">
        <v>227</v>
      </c>
    </row>
    <row r="457" spans="1:12" ht="15">
      <c r="A457" s="2" t="s">
        <v>105</v>
      </c>
      <c r="B457" s="2">
        <v>2</v>
      </c>
      <c r="C457" s="2" t="s">
        <v>29</v>
      </c>
      <c r="D457" s="3">
        <v>46280</v>
      </c>
      <c r="E457" s="2" t="s">
        <v>247</v>
      </c>
      <c r="F457" s="2" t="s">
        <v>225</v>
      </c>
      <c r="G457" s="4">
        <v>7.2</v>
      </c>
      <c r="H457" s="4">
        <v>7.2</v>
      </c>
      <c r="I457" s="4">
        <v>0</v>
      </c>
      <c r="J457" s="5">
        <v>4.8</v>
      </c>
      <c r="K457" s="2" t="s">
        <v>226</v>
      </c>
      <c r="L457" s="2" t="s">
        <v>227</v>
      </c>
    </row>
    <row r="458" spans="1:12" ht="15">
      <c r="A458" s="2" t="s">
        <v>105</v>
      </c>
      <c r="B458" s="2">
        <v>3</v>
      </c>
      <c r="C458" s="2" t="s">
        <v>29</v>
      </c>
      <c r="D458" s="3">
        <v>46280</v>
      </c>
      <c r="E458" s="2" t="s">
        <v>240</v>
      </c>
      <c r="F458" s="2" t="s">
        <v>225</v>
      </c>
      <c r="G458" s="4">
        <v>3.9</v>
      </c>
      <c r="H458" s="4">
        <v>3.9</v>
      </c>
      <c r="I458" s="4">
        <v>0</v>
      </c>
      <c r="J458" s="5">
        <v>6</v>
      </c>
      <c r="K458" s="2" t="s">
        <v>226</v>
      </c>
      <c r="L458" s="2" t="s">
        <v>227</v>
      </c>
    </row>
    <row r="459" spans="1:12" ht="15">
      <c r="A459" s="2" t="s">
        <v>105</v>
      </c>
      <c r="B459" s="2">
        <v>4</v>
      </c>
      <c r="C459" s="2" t="s">
        <v>29</v>
      </c>
      <c r="D459" s="3">
        <v>46280</v>
      </c>
      <c r="E459" s="2" t="s">
        <v>248</v>
      </c>
      <c r="F459" s="2" t="s">
        <v>225</v>
      </c>
      <c r="G459" s="4">
        <v>8.9</v>
      </c>
      <c r="H459" s="4">
        <v>8.9</v>
      </c>
      <c r="I459" s="4">
        <v>0</v>
      </c>
      <c r="J459" s="5">
        <v>5.25</v>
      </c>
      <c r="K459" s="2" t="s">
        <v>226</v>
      </c>
      <c r="L459" s="2" t="s">
        <v>227</v>
      </c>
    </row>
    <row r="460" spans="1:12" ht="15">
      <c r="A460" s="2" t="s">
        <v>105</v>
      </c>
      <c r="B460" s="2">
        <v>5</v>
      </c>
      <c r="C460" s="2" t="s">
        <v>29</v>
      </c>
      <c r="D460" s="3">
        <v>46280</v>
      </c>
      <c r="E460" s="2" t="s">
        <v>241</v>
      </c>
      <c r="F460" s="2" t="s">
        <v>225</v>
      </c>
      <c r="G460" s="4">
        <v>5.5</v>
      </c>
      <c r="H460" s="4">
        <v>5.5</v>
      </c>
      <c r="I460" s="4">
        <v>0</v>
      </c>
      <c r="J460" s="5">
        <v>3.5</v>
      </c>
      <c r="K460" s="2" t="s">
        <v>226</v>
      </c>
      <c r="L460" s="2" t="s">
        <v>227</v>
      </c>
    </row>
    <row r="461" spans="1:12" ht="15">
      <c r="A461" s="2" t="s">
        <v>105</v>
      </c>
      <c r="B461" s="2">
        <v>6</v>
      </c>
      <c r="C461" s="2" t="s">
        <v>29</v>
      </c>
      <c r="D461" s="3">
        <v>46280</v>
      </c>
      <c r="E461" s="2" t="s">
        <v>231</v>
      </c>
      <c r="F461" s="2" t="s">
        <v>225</v>
      </c>
      <c r="G461" s="4">
        <v>4</v>
      </c>
      <c r="H461" s="4">
        <v>4</v>
      </c>
      <c r="I461" s="4">
        <v>0</v>
      </c>
      <c r="J461" s="5">
        <v>10.199999999999999</v>
      </c>
      <c r="K461" s="2" t="s">
        <v>226</v>
      </c>
      <c r="L461" s="2" t="s">
        <v>227</v>
      </c>
    </row>
    <row r="462" spans="1:12" ht="15">
      <c r="A462" s="2" t="s">
        <v>105</v>
      </c>
      <c r="B462" s="2">
        <v>7</v>
      </c>
      <c r="C462" s="2" t="s">
        <v>29</v>
      </c>
      <c r="D462" s="3">
        <v>46280</v>
      </c>
      <c r="E462" s="2" t="s">
        <v>232</v>
      </c>
      <c r="F462" s="2" t="s">
        <v>225</v>
      </c>
      <c r="G462" s="4">
        <v>1</v>
      </c>
      <c r="H462" s="4">
        <v>1</v>
      </c>
      <c r="I462" s="4">
        <v>0</v>
      </c>
      <c r="J462" s="5">
        <v>7.3</v>
      </c>
      <c r="K462" s="2" t="s">
        <v>226</v>
      </c>
      <c r="L462" s="2" t="s">
        <v>227</v>
      </c>
    </row>
    <row r="463" spans="1:12" ht="15">
      <c r="A463" s="2" t="s">
        <v>106</v>
      </c>
      <c r="B463" s="2">
        <v>1</v>
      </c>
      <c r="C463" s="2" t="s">
        <v>30</v>
      </c>
      <c r="D463" s="3">
        <v>46280</v>
      </c>
      <c r="E463" s="2" t="s">
        <v>224</v>
      </c>
      <c r="F463" s="2" t="s">
        <v>225</v>
      </c>
      <c r="G463" s="4">
        <v>4.9000000000000004</v>
      </c>
      <c r="H463" s="4">
        <v>4.9000000000000004</v>
      </c>
      <c r="I463" s="4">
        <v>0</v>
      </c>
      <c r="J463" s="5">
        <v>5.2</v>
      </c>
      <c r="K463" s="2" t="s">
        <v>226</v>
      </c>
      <c r="L463" s="2" t="s">
        <v>227</v>
      </c>
    </row>
    <row r="464" spans="1:12" ht="15">
      <c r="A464" s="2" t="s">
        <v>106</v>
      </c>
      <c r="B464" s="2">
        <v>2</v>
      </c>
      <c r="C464" s="2" t="s">
        <v>30</v>
      </c>
      <c r="D464" s="3">
        <v>46280</v>
      </c>
      <c r="E464" s="2" t="s">
        <v>238</v>
      </c>
      <c r="F464" s="2" t="s">
        <v>225</v>
      </c>
      <c r="G464" s="4">
        <v>6.7</v>
      </c>
      <c r="H464" s="4">
        <v>6.7</v>
      </c>
      <c r="I464" s="4">
        <v>0</v>
      </c>
      <c r="J464" s="5">
        <v>3.4</v>
      </c>
      <c r="K464" s="2" t="s">
        <v>226</v>
      </c>
      <c r="L464" s="2" t="s">
        <v>227</v>
      </c>
    </row>
    <row r="465" spans="1:12" ht="15">
      <c r="A465" s="2" t="s">
        <v>106</v>
      </c>
      <c r="B465" s="2">
        <v>3</v>
      </c>
      <c r="C465" s="2" t="s">
        <v>30</v>
      </c>
      <c r="D465" s="3">
        <v>46280</v>
      </c>
      <c r="E465" s="2" t="s">
        <v>240</v>
      </c>
      <c r="F465" s="2" t="s">
        <v>225</v>
      </c>
      <c r="G465" s="4">
        <v>7.3</v>
      </c>
      <c r="H465" s="4">
        <v>7.3</v>
      </c>
      <c r="I465" s="4">
        <v>0</v>
      </c>
      <c r="J465" s="5">
        <v>6</v>
      </c>
      <c r="K465" s="2" t="s">
        <v>226</v>
      </c>
      <c r="L465" s="2" t="s">
        <v>227</v>
      </c>
    </row>
    <row r="466" spans="1:12" ht="15">
      <c r="A466" s="2" t="s">
        <v>106</v>
      </c>
      <c r="B466" s="2">
        <v>4</v>
      </c>
      <c r="C466" s="2" t="s">
        <v>30</v>
      </c>
      <c r="D466" s="3">
        <v>46280</v>
      </c>
      <c r="E466" s="2" t="s">
        <v>243</v>
      </c>
      <c r="F466" s="2" t="s">
        <v>225</v>
      </c>
      <c r="G466" s="4">
        <v>7.3</v>
      </c>
      <c r="H466" s="4">
        <v>7.3</v>
      </c>
      <c r="I466" s="4">
        <v>0</v>
      </c>
      <c r="J466" s="5">
        <v>4.4000000000000004</v>
      </c>
      <c r="K466" s="2" t="s">
        <v>226</v>
      </c>
      <c r="L466" s="2" t="s">
        <v>227</v>
      </c>
    </row>
    <row r="467" spans="1:12" ht="15">
      <c r="A467" s="2" t="s">
        <v>106</v>
      </c>
      <c r="B467" s="2">
        <v>5</v>
      </c>
      <c r="C467" s="2" t="s">
        <v>30</v>
      </c>
      <c r="D467" s="3">
        <v>46280</v>
      </c>
      <c r="E467" s="2" t="s">
        <v>230</v>
      </c>
      <c r="F467" s="2" t="s">
        <v>225</v>
      </c>
      <c r="G467" s="4">
        <v>9.6999999999999993</v>
      </c>
      <c r="H467" s="4">
        <v>9.6999999999999993</v>
      </c>
      <c r="I467" s="4">
        <v>0</v>
      </c>
      <c r="J467" s="5">
        <v>2.6</v>
      </c>
      <c r="K467" s="2" t="s">
        <v>226</v>
      </c>
      <c r="L467" s="2" t="s">
        <v>227</v>
      </c>
    </row>
    <row r="468" spans="1:12" ht="15">
      <c r="A468" s="2" t="s">
        <v>106</v>
      </c>
      <c r="B468" s="2">
        <v>6</v>
      </c>
      <c r="C468" s="2" t="s">
        <v>30</v>
      </c>
      <c r="D468" s="3">
        <v>46280</v>
      </c>
      <c r="E468" s="2" t="s">
        <v>241</v>
      </c>
      <c r="F468" s="2" t="s">
        <v>225</v>
      </c>
      <c r="G468" s="4">
        <v>7.3</v>
      </c>
      <c r="H468" s="4">
        <v>7.3</v>
      </c>
      <c r="I468" s="4">
        <v>0</v>
      </c>
      <c r="J468" s="5">
        <v>3.5</v>
      </c>
      <c r="K468" s="2" t="s">
        <v>226</v>
      </c>
      <c r="L468" s="2" t="s">
        <v>227</v>
      </c>
    </row>
    <row r="469" spans="1:12" ht="15">
      <c r="A469" s="2" t="s">
        <v>106</v>
      </c>
      <c r="B469" s="2">
        <v>7</v>
      </c>
      <c r="C469" s="2" t="s">
        <v>30</v>
      </c>
      <c r="D469" s="3">
        <v>46280</v>
      </c>
      <c r="E469" s="2" t="s">
        <v>231</v>
      </c>
      <c r="F469" s="2" t="s">
        <v>225</v>
      </c>
      <c r="G469" s="4">
        <v>6</v>
      </c>
      <c r="H469" s="4">
        <v>6</v>
      </c>
      <c r="I469" s="4">
        <v>0</v>
      </c>
      <c r="J469" s="5">
        <v>10.199999999999999</v>
      </c>
      <c r="K469" s="2" t="s">
        <v>226</v>
      </c>
      <c r="L469" s="2" t="s">
        <v>227</v>
      </c>
    </row>
    <row r="470" spans="1:12" ht="15">
      <c r="A470" s="2" t="s">
        <v>106</v>
      </c>
      <c r="B470" s="2">
        <v>8</v>
      </c>
      <c r="C470" s="2" t="s">
        <v>30</v>
      </c>
      <c r="D470" s="3">
        <v>46280</v>
      </c>
      <c r="E470" s="2" t="s">
        <v>232</v>
      </c>
      <c r="F470" s="2" t="s">
        <v>225</v>
      </c>
      <c r="G470" s="4">
        <v>1</v>
      </c>
      <c r="H470" s="4">
        <v>1</v>
      </c>
      <c r="I470" s="4">
        <v>0</v>
      </c>
      <c r="J470" s="5">
        <v>7.3</v>
      </c>
      <c r="K470" s="2" t="s">
        <v>226</v>
      </c>
      <c r="L470" s="2" t="s">
        <v>227</v>
      </c>
    </row>
    <row r="471" spans="1:12" ht="15">
      <c r="A471" s="2" t="s">
        <v>107</v>
      </c>
      <c r="B471" s="2">
        <v>1</v>
      </c>
      <c r="C471" s="2" t="s">
        <v>31</v>
      </c>
      <c r="D471" s="3">
        <v>46280</v>
      </c>
      <c r="E471" s="2" t="s">
        <v>237</v>
      </c>
      <c r="F471" s="2" t="s">
        <v>225</v>
      </c>
      <c r="G471" s="4">
        <v>4.5</v>
      </c>
      <c r="H471" s="4">
        <v>4.5</v>
      </c>
      <c r="I471" s="4">
        <v>0</v>
      </c>
      <c r="J471" s="5">
        <v>4.3</v>
      </c>
      <c r="K471" s="2" t="s">
        <v>226</v>
      </c>
      <c r="L471" s="2" t="s">
        <v>227</v>
      </c>
    </row>
    <row r="472" spans="1:12" ht="15">
      <c r="A472" s="2" t="s">
        <v>107</v>
      </c>
      <c r="B472" s="2">
        <v>2</v>
      </c>
      <c r="C472" s="2" t="s">
        <v>31</v>
      </c>
      <c r="D472" s="3">
        <v>46280</v>
      </c>
      <c r="E472" s="2" t="s">
        <v>248</v>
      </c>
      <c r="F472" s="2" t="s">
        <v>225</v>
      </c>
      <c r="G472" s="4">
        <v>7.8</v>
      </c>
      <c r="H472" s="4">
        <v>7.8</v>
      </c>
      <c r="I472" s="4">
        <v>0</v>
      </c>
      <c r="J472" s="5">
        <v>5.25</v>
      </c>
      <c r="K472" s="2" t="s">
        <v>226</v>
      </c>
      <c r="L472" s="2" t="s">
        <v>227</v>
      </c>
    </row>
    <row r="473" spans="1:12" ht="15">
      <c r="A473" s="2" t="s">
        <v>107</v>
      </c>
      <c r="B473" s="2">
        <v>3</v>
      </c>
      <c r="C473" s="2" t="s">
        <v>31</v>
      </c>
      <c r="D473" s="3">
        <v>46280</v>
      </c>
      <c r="E473" s="2" t="s">
        <v>238</v>
      </c>
      <c r="F473" s="2" t="s">
        <v>225</v>
      </c>
      <c r="G473" s="4">
        <v>9</v>
      </c>
      <c r="H473" s="4">
        <v>9</v>
      </c>
      <c r="I473" s="4">
        <v>0</v>
      </c>
      <c r="J473" s="5">
        <v>3.4</v>
      </c>
      <c r="K473" s="2" t="s">
        <v>226</v>
      </c>
      <c r="L473" s="2" t="s">
        <v>227</v>
      </c>
    </row>
    <row r="474" spans="1:12" ht="15">
      <c r="A474" s="2" t="s">
        <v>107</v>
      </c>
      <c r="B474" s="2">
        <v>4</v>
      </c>
      <c r="C474" s="2" t="s">
        <v>31</v>
      </c>
      <c r="D474" s="3">
        <v>46280</v>
      </c>
      <c r="E474" s="2" t="s">
        <v>250</v>
      </c>
      <c r="F474" s="2" t="s">
        <v>225</v>
      </c>
      <c r="G474" s="4">
        <v>5.6</v>
      </c>
      <c r="H474" s="4">
        <v>5.6</v>
      </c>
      <c r="I474" s="4">
        <v>0</v>
      </c>
      <c r="J474" s="5">
        <v>5</v>
      </c>
      <c r="K474" s="2" t="s">
        <v>226</v>
      </c>
      <c r="L474" s="2" t="s">
        <v>227</v>
      </c>
    </row>
    <row r="475" spans="1:12" ht="15">
      <c r="A475" s="2" t="s">
        <v>107</v>
      </c>
      <c r="B475" s="2">
        <v>5</v>
      </c>
      <c r="C475" s="2" t="s">
        <v>31</v>
      </c>
      <c r="D475" s="3">
        <v>46280</v>
      </c>
      <c r="E475" s="2" t="s">
        <v>239</v>
      </c>
      <c r="F475" s="2" t="s">
        <v>225</v>
      </c>
      <c r="G475" s="4">
        <v>7.3</v>
      </c>
      <c r="H475" s="4">
        <v>7.3</v>
      </c>
      <c r="I475" s="4">
        <v>0</v>
      </c>
      <c r="J475" s="5">
        <v>4.8</v>
      </c>
      <c r="K475" s="2" t="s">
        <v>226</v>
      </c>
      <c r="L475" s="2" t="s">
        <v>227</v>
      </c>
    </row>
    <row r="476" spans="1:12" ht="15">
      <c r="A476" s="2" t="s">
        <v>107</v>
      </c>
      <c r="B476" s="2">
        <v>6</v>
      </c>
      <c r="C476" s="2" t="s">
        <v>31</v>
      </c>
      <c r="D476" s="3">
        <v>46280</v>
      </c>
      <c r="E476" s="2" t="s">
        <v>241</v>
      </c>
      <c r="F476" s="2" t="s">
        <v>225</v>
      </c>
      <c r="G476" s="4">
        <v>8.4</v>
      </c>
      <c r="H476" s="4">
        <v>8.4</v>
      </c>
      <c r="I476" s="4">
        <v>0</v>
      </c>
      <c r="J476" s="5">
        <v>3.5</v>
      </c>
      <c r="K476" s="2" t="s">
        <v>226</v>
      </c>
      <c r="L476" s="2" t="s">
        <v>227</v>
      </c>
    </row>
    <row r="477" spans="1:12" ht="15">
      <c r="A477" s="2" t="s">
        <v>107</v>
      </c>
      <c r="B477" s="2">
        <v>7</v>
      </c>
      <c r="C477" s="2" t="s">
        <v>31</v>
      </c>
      <c r="D477" s="3">
        <v>46280</v>
      </c>
      <c r="E477" s="2" t="s">
        <v>231</v>
      </c>
      <c r="F477" s="2" t="s">
        <v>225</v>
      </c>
      <c r="G477" s="4">
        <v>5</v>
      </c>
      <c r="H477" s="4">
        <v>5</v>
      </c>
      <c r="I477" s="4">
        <v>0</v>
      </c>
      <c r="J477" s="5">
        <v>10.199999999999999</v>
      </c>
      <c r="K477" s="2" t="s">
        <v>226</v>
      </c>
      <c r="L477" s="2" t="s">
        <v>227</v>
      </c>
    </row>
    <row r="478" spans="1:12" ht="15">
      <c r="A478" s="2" t="s">
        <v>107</v>
      </c>
      <c r="B478" s="2">
        <v>8</v>
      </c>
      <c r="C478" s="2" t="s">
        <v>31</v>
      </c>
      <c r="D478" s="3">
        <v>46280</v>
      </c>
      <c r="E478" s="2" t="s">
        <v>232</v>
      </c>
      <c r="F478" s="2" t="s">
        <v>225</v>
      </c>
      <c r="G478" s="4">
        <v>1</v>
      </c>
      <c r="H478" s="4">
        <v>1</v>
      </c>
      <c r="I478" s="4">
        <v>0</v>
      </c>
      <c r="J478" s="5">
        <v>7.3</v>
      </c>
      <c r="K478" s="2" t="s">
        <v>226</v>
      </c>
      <c r="L478" s="2" t="s">
        <v>227</v>
      </c>
    </row>
    <row r="479" spans="1:12" ht="15">
      <c r="A479" s="2" t="s">
        <v>108</v>
      </c>
      <c r="B479" s="2">
        <v>1</v>
      </c>
      <c r="C479" s="2" t="s">
        <v>32</v>
      </c>
      <c r="D479" s="3">
        <v>46280</v>
      </c>
      <c r="E479" s="2" t="s">
        <v>224</v>
      </c>
      <c r="F479" s="2" t="s">
        <v>225</v>
      </c>
      <c r="G479" s="4">
        <v>8.4</v>
      </c>
      <c r="H479" s="4">
        <v>8.4</v>
      </c>
      <c r="I479" s="4">
        <v>0</v>
      </c>
      <c r="J479" s="5">
        <v>5.2</v>
      </c>
      <c r="K479" s="2" t="s">
        <v>226</v>
      </c>
      <c r="L479" s="2" t="s">
        <v>227</v>
      </c>
    </row>
    <row r="480" spans="1:12" ht="15">
      <c r="A480" s="2" t="s">
        <v>108</v>
      </c>
      <c r="B480" s="2">
        <v>2</v>
      </c>
      <c r="C480" s="2" t="s">
        <v>32</v>
      </c>
      <c r="D480" s="3">
        <v>46280</v>
      </c>
      <c r="E480" s="2" t="s">
        <v>250</v>
      </c>
      <c r="F480" s="2" t="s">
        <v>225</v>
      </c>
      <c r="G480" s="4">
        <v>8.4</v>
      </c>
      <c r="H480" s="4">
        <v>8.4</v>
      </c>
      <c r="I480" s="4">
        <v>0</v>
      </c>
      <c r="J480" s="5">
        <v>5</v>
      </c>
      <c r="K480" s="2" t="s">
        <v>226</v>
      </c>
      <c r="L480" s="2" t="s">
        <v>227</v>
      </c>
    </row>
    <row r="481" spans="1:12" ht="15">
      <c r="A481" s="2" t="s">
        <v>108</v>
      </c>
      <c r="B481" s="2">
        <v>3</v>
      </c>
      <c r="C481" s="2" t="s">
        <v>32</v>
      </c>
      <c r="D481" s="3">
        <v>46280</v>
      </c>
      <c r="E481" s="2" t="s">
        <v>239</v>
      </c>
      <c r="F481" s="2" t="s">
        <v>225</v>
      </c>
      <c r="G481" s="4">
        <v>15.8</v>
      </c>
      <c r="H481" s="4">
        <v>15.8</v>
      </c>
      <c r="I481" s="4">
        <v>0</v>
      </c>
      <c r="J481" s="5">
        <v>4.8</v>
      </c>
      <c r="K481" s="2" t="s">
        <v>226</v>
      </c>
      <c r="L481" s="2" t="s">
        <v>227</v>
      </c>
    </row>
    <row r="482" spans="1:12" ht="15">
      <c r="A482" s="2" t="s">
        <v>108</v>
      </c>
      <c r="B482" s="2">
        <v>4</v>
      </c>
      <c r="C482" s="2" t="s">
        <v>32</v>
      </c>
      <c r="D482" s="3">
        <v>46280</v>
      </c>
      <c r="E482" s="2" t="s">
        <v>238</v>
      </c>
      <c r="F482" s="2" t="s">
        <v>225</v>
      </c>
      <c r="G482" s="4">
        <v>7.4</v>
      </c>
      <c r="H482" s="4">
        <v>7.4</v>
      </c>
      <c r="I482" s="4">
        <v>0</v>
      </c>
      <c r="J482" s="5">
        <v>3.4</v>
      </c>
      <c r="K482" s="2" t="s">
        <v>226</v>
      </c>
      <c r="L482" s="2" t="s">
        <v>227</v>
      </c>
    </row>
    <row r="483" spans="1:12" ht="15">
      <c r="A483" s="2" t="s">
        <v>108</v>
      </c>
      <c r="B483" s="2">
        <v>5</v>
      </c>
      <c r="C483" s="2" t="s">
        <v>32</v>
      </c>
      <c r="D483" s="3">
        <v>46280</v>
      </c>
      <c r="E483" s="2" t="s">
        <v>230</v>
      </c>
      <c r="F483" s="2" t="s">
        <v>225</v>
      </c>
      <c r="G483" s="4">
        <v>11.6</v>
      </c>
      <c r="H483" s="4">
        <v>11.6</v>
      </c>
      <c r="I483" s="4">
        <v>0</v>
      </c>
      <c r="J483" s="5">
        <v>2.6</v>
      </c>
      <c r="K483" s="2" t="s">
        <v>226</v>
      </c>
      <c r="L483" s="2" t="s">
        <v>227</v>
      </c>
    </row>
    <row r="484" spans="1:12" ht="15">
      <c r="A484" s="2" t="s">
        <v>108</v>
      </c>
      <c r="B484" s="2">
        <v>6</v>
      </c>
      <c r="C484" s="2" t="s">
        <v>32</v>
      </c>
      <c r="D484" s="3">
        <v>46280</v>
      </c>
      <c r="E484" s="2" t="s">
        <v>229</v>
      </c>
      <c r="F484" s="2" t="s">
        <v>225</v>
      </c>
      <c r="G484" s="4">
        <v>13.7</v>
      </c>
      <c r="H484" s="4">
        <v>13.7</v>
      </c>
      <c r="I484" s="4">
        <v>0</v>
      </c>
      <c r="J484" s="5">
        <v>2.7</v>
      </c>
      <c r="K484" s="2" t="s">
        <v>226</v>
      </c>
      <c r="L484" s="2" t="s">
        <v>227</v>
      </c>
    </row>
    <row r="485" spans="1:12" ht="15">
      <c r="A485" s="2" t="s">
        <v>108</v>
      </c>
      <c r="B485" s="2">
        <v>7</v>
      </c>
      <c r="C485" s="2" t="s">
        <v>32</v>
      </c>
      <c r="D485" s="3">
        <v>46280</v>
      </c>
      <c r="E485" s="2" t="s">
        <v>231</v>
      </c>
      <c r="F485" s="2" t="s">
        <v>225</v>
      </c>
      <c r="G485" s="4">
        <v>12</v>
      </c>
      <c r="H485" s="4">
        <v>12</v>
      </c>
      <c r="I485" s="4">
        <v>0</v>
      </c>
      <c r="J485" s="5">
        <v>10.199999999999999</v>
      </c>
      <c r="K485" s="2" t="s">
        <v>226</v>
      </c>
      <c r="L485" s="2" t="s">
        <v>227</v>
      </c>
    </row>
    <row r="486" spans="1:12" ht="15">
      <c r="A486" s="2" t="s">
        <v>108</v>
      </c>
      <c r="B486" s="2">
        <v>8</v>
      </c>
      <c r="C486" s="2" t="s">
        <v>32</v>
      </c>
      <c r="D486" s="3">
        <v>46280</v>
      </c>
      <c r="E486" s="2" t="s">
        <v>242</v>
      </c>
      <c r="F486" s="2" t="s">
        <v>236</v>
      </c>
      <c r="G486" s="4">
        <v>6</v>
      </c>
      <c r="H486" s="4">
        <v>6</v>
      </c>
      <c r="I486" s="4">
        <v>0</v>
      </c>
      <c r="J486" s="5">
        <v>119</v>
      </c>
      <c r="K486" s="2" t="s">
        <v>226</v>
      </c>
      <c r="L486" s="2" t="s">
        <v>227</v>
      </c>
    </row>
    <row r="487" spans="1:12" ht="15">
      <c r="A487" s="2" t="s">
        <v>108</v>
      </c>
      <c r="B487" s="2">
        <v>9</v>
      </c>
      <c r="C487" s="2" t="s">
        <v>32</v>
      </c>
      <c r="D487" s="3">
        <v>46280</v>
      </c>
      <c r="E487" s="2" t="s">
        <v>244</v>
      </c>
      <c r="F487" s="2" t="s">
        <v>234</v>
      </c>
      <c r="G487" s="4">
        <v>2</v>
      </c>
      <c r="H487" s="4">
        <v>2</v>
      </c>
      <c r="I487" s="4">
        <v>0</v>
      </c>
      <c r="J487" s="5">
        <v>55</v>
      </c>
      <c r="K487" s="2" t="s">
        <v>226</v>
      </c>
      <c r="L487" s="2" t="s">
        <v>227</v>
      </c>
    </row>
    <row r="488" spans="1:12" ht="15">
      <c r="A488" s="2" t="s">
        <v>109</v>
      </c>
      <c r="B488" s="2">
        <v>1</v>
      </c>
      <c r="C488" s="2" t="s">
        <v>33</v>
      </c>
      <c r="D488" s="3">
        <v>46280</v>
      </c>
      <c r="E488" s="2" t="s">
        <v>237</v>
      </c>
      <c r="F488" s="2" t="s">
        <v>225</v>
      </c>
      <c r="G488" s="4">
        <v>9.5</v>
      </c>
      <c r="H488" s="4">
        <v>9.5</v>
      </c>
      <c r="I488" s="4">
        <v>0</v>
      </c>
      <c r="J488" s="5">
        <v>4.3</v>
      </c>
      <c r="K488" s="2" t="s">
        <v>226</v>
      </c>
      <c r="L488" s="2" t="s">
        <v>227</v>
      </c>
    </row>
    <row r="489" spans="1:12" ht="15">
      <c r="A489" s="2" t="s">
        <v>109</v>
      </c>
      <c r="B489" s="2">
        <v>2</v>
      </c>
      <c r="C489" s="2" t="s">
        <v>33</v>
      </c>
      <c r="D489" s="3">
        <v>46280</v>
      </c>
      <c r="E489" s="2" t="s">
        <v>228</v>
      </c>
      <c r="F489" s="2" t="s">
        <v>225</v>
      </c>
      <c r="G489" s="4">
        <v>5.8</v>
      </c>
      <c r="H489" s="4">
        <v>5.8</v>
      </c>
      <c r="I489" s="4">
        <v>0</v>
      </c>
      <c r="J489" s="5">
        <v>3.2</v>
      </c>
      <c r="K489" s="2" t="s">
        <v>226</v>
      </c>
      <c r="L489" s="2" t="s">
        <v>227</v>
      </c>
    </row>
    <row r="490" spans="1:12" ht="15">
      <c r="A490" s="2" t="s">
        <v>109</v>
      </c>
      <c r="B490" s="2">
        <v>3</v>
      </c>
      <c r="C490" s="2" t="s">
        <v>33</v>
      </c>
      <c r="D490" s="3">
        <v>46280</v>
      </c>
      <c r="E490" s="2" t="s">
        <v>250</v>
      </c>
      <c r="F490" s="2" t="s">
        <v>225</v>
      </c>
      <c r="G490" s="4">
        <v>8.8000000000000007</v>
      </c>
      <c r="H490" s="4">
        <v>8.8000000000000007</v>
      </c>
      <c r="I490" s="4">
        <v>0</v>
      </c>
      <c r="J490" s="5">
        <v>5</v>
      </c>
      <c r="K490" s="2" t="s">
        <v>226</v>
      </c>
      <c r="L490" s="2" t="s">
        <v>227</v>
      </c>
    </row>
    <row r="491" spans="1:12" ht="15">
      <c r="A491" s="2" t="s">
        <v>109</v>
      </c>
      <c r="B491" s="2">
        <v>4</v>
      </c>
      <c r="C491" s="2" t="s">
        <v>33</v>
      </c>
      <c r="D491" s="3">
        <v>46280</v>
      </c>
      <c r="E491" s="2" t="s">
        <v>240</v>
      </c>
      <c r="F491" s="2" t="s">
        <v>225</v>
      </c>
      <c r="G491" s="4">
        <v>5.8</v>
      </c>
      <c r="H491" s="4">
        <v>5.8</v>
      </c>
      <c r="I491" s="4">
        <v>0</v>
      </c>
      <c r="J491" s="5">
        <v>6</v>
      </c>
      <c r="K491" s="2" t="s">
        <v>226</v>
      </c>
      <c r="L491" s="2" t="s">
        <v>227</v>
      </c>
    </row>
    <row r="492" spans="1:12" ht="15">
      <c r="A492" s="2" t="s">
        <v>109</v>
      </c>
      <c r="B492" s="2">
        <v>5</v>
      </c>
      <c r="C492" s="2" t="s">
        <v>33</v>
      </c>
      <c r="D492" s="3">
        <v>46280</v>
      </c>
      <c r="E492" s="2" t="s">
        <v>238</v>
      </c>
      <c r="F492" s="2" t="s">
        <v>225</v>
      </c>
      <c r="G492" s="4">
        <v>11.7</v>
      </c>
      <c r="H492" s="4">
        <v>11.7</v>
      </c>
      <c r="I492" s="4">
        <v>0</v>
      </c>
      <c r="J492" s="5">
        <v>3.4</v>
      </c>
      <c r="K492" s="2" t="s">
        <v>226</v>
      </c>
      <c r="L492" s="2" t="s">
        <v>227</v>
      </c>
    </row>
    <row r="493" spans="1:12" ht="15">
      <c r="A493" s="2" t="s">
        <v>109</v>
      </c>
      <c r="B493" s="2">
        <v>6</v>
      </c>
      <c r="C493" s="2" t="s">
        <v>33</v>
      </c>
      <c r="D493" s="3">
        <v>46280</v>
      </c>
      <c r="E493" s="2" t="s">
        <v>230</v>
      </c>
      <c r="F493" s="2" t="s">
        <v>225</v>
      </c>
      <c r="G493" s="4">
        <v>7.3</v>
      </c>
      <c r="H493" s="4">
        <v>7.3</v>
      </c>
      <c r="I493" s="4">
        <v>0</v>
      </c>
      <c r="J493" s="5">
        <v>2.6</v>
      </c>
      <c r="K493" s="2" t="s">
        <v>226</v>
      </c>
      <c r="L493" s="2" t="s">
        <v>227</v>
      </c>
    </row>
    <row r="494" spans="1:12" ht="15">
      <c r="A494" s="2" t="s">
        <v>109</v>
      </c>
      <c r="B494" s="2">
        <v>7</v>
      </c>
      <c r="C494" s="2" t="s">
        <v>33</v>
      </c>
      <c r="D494" s="3">
        <v>46280</v>
      </c>
      <c r="E494" s="2" t="s">
        <v>231</v>
      </c>
      <c r="F494" s="2" t="s">
        <v>225</v>
      </c>
      <c r="G494" s="4">
        <v>9</v>
      </c>
      <c r="H494" s="4">
        <v>9</v>
      </c>
      <c r="I494" s="4">
        <v>0</v>
      </c>
      <c r="J494" s="5">
        <v>10.199999999999999</v>
      </c>
      <c r="K494" s="2" t="s">
        <v>226</v>
      </c>
      <c r="L494" s="2" t="s">
        <v>227</v>
      </c>
    </row>
    <row r="495" spans="1:12" ht="15">
      <c r="A495" s="2" t="s">
        <v>110</v>
      </c>
      <c r="B495" s="2">
        <v>1</v>
      </c>
      <c r="C495" s="2" t="s">
        <v>28</v>
      </c>
      <c r="D495" s="3">
        <v>46281</v>
      </c>
      <c r="E495" s="2" t="s">
        <v>224</v>
      </c>
      <c r="F495" s="2" t="s">
        <v>225</v>
      </c>
      <c r="G495" s="4">
        <v>2.2999999999999998</v>
      </c>
      <c r="H495" s="4">
        <v>2.2999999999999998</v>
      </c>
      <c r="I495" s="4">
        <v>0</v>
      </c>
      <c r="J495" s="5">
        <v>5.2</v>
      </c>
      <c r="K495" s="2" t="s">
        <v>226</v>
      </c>
      <c r="L495" s="2" t="s">
        <v>227</v>
      </c>
    </row>
    <row r="496" spans="1:12" ht="15">
      <c r="A496" s="2" t="s">
        <v>110</v>
      </c>
      <c r="B496" s="2">
        <v>2</v>
      </c>
      <c r="C496" s="2" t="s">
        <v>28</v>
      </c>
      <c r="D496" s="3">
        <v>46281</v>
      </c>
      <c r="E496" s="2" t="s">
        <v>229</v>
      </c>
      <c r="F496" s="2" t="s">
        <v>225</v>
      </c>
      <c r="G496" s="4">
        <v>3.9</v>
      </c>
      <c r="H496" s="4">
        <v>3.9</v>
      </c>
      <c r="I496" s="4">
        <v>0</v>
      </c>
      <c r="J496" s="5">
        <v>2.7</v>
      </c>
      <c r="K496" s="2" t="s">
        <v>226</v>
      </c>
      <c r="L496" s="2" t="s">
        <v>227</v>
      </c>
    </row>
    <row r="497" spans="1:12" ht="15">
      <c r="A497" s="2" t="s">
        <v>110</v>
      </c>
      <c r="B497" s="2">
        <v>3</v>
      </c>
      <c r="C497" s="2" t="s">
        <v>28</v>
      </c>
      <c r="D497" s="3">
        <v>46281</v>
      </c>
      <c r="E497" s="2" t="s">
        <v>241</v>
      </c>
      <c r="F497" s="2" t="s">
        <v>225</v>
      </c>
      <c r="G497" s="4">
        <v>4.2</v>
      </c>
      <c r="H497" s="4">
        <v>4.2</v>
      </c>
      <c r="I497" s="4">
        <v>0</v>
      </c>
      <c r="J497" s="5">
        <v>3.5</v>
      </c>
      <c r="K497" s="2" t="s">
        <v>226</v>
      </c>
      <c r="L497" s="2" t="s">
        <v>227</v>
      </c>
    </row>
    <row r="498" spans="1:12" ht="15">
      <c r="A498" s="2" t="s">
        <v>110</v>
      </c>
      <c r="B498" s="2">
        <v>4</v>
      </c>
      <c r="C498" s="2" t="s">
        <v>28</v>
      </c>
      <c r="D498" s="3">
        <v>46281</v>
      </c>
      <c r="E498" s="2" t="s">
        <v>239</v>
      </c>
      <c r="F498" s="2" t="s">
        <v>225</v>
      </c>
      <c r="G498" s="4">
        <v>2.9</v>
      </c>
      <c r="H498" s="4">
        <v>2.9</v>
      </c>
      <c r="I498" s="4">
        <v>0</v>
      </c>
      <c r="J498" s="5">
        <v>4.8</v>
      </c>
      <c r="K498" s="2" t="s">
        <v>226</v>
      </c>
      <c r="L498" s="2" t="s">
        <v>227</v>
      </c>
    </row>
    <row r="499" spans="1:12" ht="15">
      <c r="A499" s="2" t="s">
        <v>111</v>
      </c>
      <c r="B499" s="2">
        <v>1</v>
      </c>
      <c r="C499" s="2" t="s">
        <v>29</v>
      </c>
      <c r="D499" s="3">
        <v>46281</v>
      </c>
      <c r="E499" s="2" t="s">
        <v>237</v>
      </c>
      <c r="F499" s="2" t="s">
        <v>225</v>
      </c>
      <c r="G499" s="4">
        <v>7.9</v>
      </c>
      <c r="H499" s="4">
        <v>7.9</v>
      </c>
      <c r="I499" s="4">
        <v>0</v>
      </c>
      <c r="J499" s="5">
        <v>4.3</v>
      </c>
      <c r="K499" s="2" t="s">
        <v>226</v>
      </c>
      <c r="L499" s="2" t="s">
        <v>227</v>
      </c>
    </row>
    <row r="500" spans="1:12" ht="15">
      <c r="A500" s="2" t="s">
        <v>111</v>
      </c>
      <c r="B500" s="2">
        <v>2</v>
      </c>
      <c r="C500" s="2" t="s">
        <v>29</v>
      </c>
      <c r="D500" s="3">
        <v>46281</v>
      </c>
      <c r="E500" s="2" t="s">
        <v>228</v>
      </c>
      <c r="F500" s="2" t="s">
        <v>225</v>
      </c>
      <c r="G500" s="4">
        <v>5.5</v>
      </c>
      <c r="H500" s="4">
        <v>5.5</v>
      </c>
      <c r="I500" s="4">
        <v>0</v>
      </c>
      <c r="J500" s="5">
        <v>3.2</v>
      </c>
      <c r="K500" s="2" t="s">
        <v>226</v>
      </c>
      <c r="L500" s="2" t="s">
        <v>227</v>
      </c>
    </row>
    <row r="501" spans="1:12" ht="15">
      <c r="A501" s="2" t="s">
        <v>111</v>
      </c>
      <c r="B501" s="2">
        <v>3</v>
      </c>
      <c r="C501" s="2" t="s">
        <v>29</v>
      </c>
      <c r="D501" s="3">
        <v>46281</v>
      </c>
      <c r="E501" s="2" t="s">
        <v>229</v>
      </c>
      <c r="F501" s="2" t="s">
        <v>225</v>
      </c>
      <c r="G501" s="4">
        <v>6.9</v>
      </c>
      <c r="H501" s="4">
        <v>6.9</v>
      </c>
      <c r="I501" s="4">
        <v>0</v>
      </c>
      <c r="J501" s="5">
        <v>2.7</v>
      </c>
      <c r="K501" s="2" t="s">
        <v>226</v>
      </c>
      <c r="L501" s="2" t="s">
        <v>227</v>
      </c>
    </row>
    <row r="502" spans="1:12" ht="15">
      <c r="A502" s="2" t="s">
        <v>111</v>
      </c>
      <c r="B502" s="2">
        <v>4</v>
      </c>
      <c r="C502" s="2" t="s">
        <v>29</v>
      </c>
      <c r="D502" s="3">
        <v>46281</v>
      </c>
      <c r="E502" s="2" t="s">
        <v>230</v>
      </c>
      <c r="F502" s="2" t="s">
        <v>225</v>
      </c>
      <c r="G502" s="4">
        <v>5.5</v>
      </c>
      <c r="H502" s="4">
        <v>5.5</v>
      </c>
      <c r="I502" s="4">
        <v>0</v>
      </c>
      <c r="J502" s="5">
        <v>2.6</v>
      </c>
      <c r="K502" s="2" t="s">
        <v>226</v>
      </c>
      <c r="L502" s="2" t="s">
        <v>227</v>
      </c>
    </row>
    <row r="503" spans="1:12" ht="15">
      <c r="A503" s="2" t="s">
        <v>111</v>
      </c>
      <c r="B503" s="2">
        <v>5</v>
      </c>
      <c r="C503" s="2" t="s">
        <v>29</v>
      </c>
      <c r="D503" s="3">
        <v>46281</v>
      </c>
      <c r="E503" s="2" t="s">
        <v>240</v>
      </c>
      <c r="F503" s="2" t="s">
        <v>225</v>
      </c>
      <c r="G503" s="4">
        <v>4.5</v>
      </c>
      <c r="H503" s="4">
        <v>4.5</v>
      </c>
      <c r="I503" s="4">
        <v>0</v>
      </c>
      <c r="J503" s="5">
        <v>6</v>
      </c>
      <c r="K503" s="2" t="s">
        <v>226</v>
      </c>
      <c r="L503" s="2" t="s">
        <v>227</v>
      </c>
    </row>
    <row r="504" spans="1:12" ht="15">
      <c r="A504" s="2" t="s">
        <v>112</v>
      </c>
      <c r="B504" s="2">
        <v>1</v>
      </c>
      <c r="C504" s="2" t="s">
        <v>30</v>
      </c>
      <c r="D504" s="3">
        <v>46281</v>
      </c>
      <c r="E504" s="2" t="s">
        <v>245</v>
      </c>
      <c r="F504" s="2" t="s">
        <v>225</v>
      </c>
      <c r="G504" s="4">
        <v>4.9000000000000004</v>
      </c>
      <c r="H504" s="4">
        <v>4.9000000000000004</v>
      </c>
      <c r="I504" s="4">
        <v>0</v>
      </c>
      <c r="J504" s="5">
        <v>4.5</v>
      </c>
      <c r="K504" s="2" t="s">
        <v>226</v>
      </c>
      <c r="L504" s="2" t="s">
        <v>227</v>
      </c>
    </row>
    <row r="505" spans="1:12" ht="15">
      <c r="A505" s="2" t="s">
        <v>112</v>
      </c>
      <c r="B505" s="2">
        <v>2</v>
      </c>
      <c r="C505" s="2" t="s">
        <v>30</v>
      </c>
      <c r="D505" s="3">
        <v>46281</v>
      </c>
      <c r="E505" s="2" t="s">
        <v>243</v>
      </c>
      <c r="F505" s="2" t="s">
        <v>225</v>
      </c>
      <c r="G505" s="4">
        <v>5.8</v>
      </c>
      <c r="H505" s="4">
        <v>5.8</v>
      </c>
      <c r="I505" s="4">
        <v>0</v>
      </c>
      <c r="J505" s="5">
        <v>4.4000000000000004</v>
      </c>
      <c r="K505" s="2" t="s">
        <v>226</v>
      </c>
      <c r="L505" s="2" t="s">
        <v>227</v>
      </c>
    </row>
    <row r="506" spans="1:12" ht="15">
      <c r="A506" s="2" t="s">
        <v>112</v>
      </c>
      <c r="B506" s="2">
        <v>3</v>
      </c>
      <c r="C506" s="2" t="s">
        <v>30</v>
      </c>
      <c r="D506" s="3">
        <v>46281</v>
      </c>
      <c r="E506" s="2" t="s">
        <v>238</v>
      </c>
      <c r="F506" s="2" t="s">
        <v>225</v>
      </c>
      <c r="G506" s="4">
        <v>7.3</v>
      </c>
      <c r="H506" s="4">
        <v>7.3</v>
      </c>
      <c r="I506" s="4">
        <v>0</v>
      </c>
      <c r="J506" s="5">
        <v>3.4</v>
      </c>
      <c r="K506" s="2" t="s">
        <v>226</v>
      </c>
      <c r="L506" s="2" t="s">
        <v>227</v>
      </c>
    </row>
    <row r="507" spans="1:12" ht="15">
      <c r="A507" s="2" t="s">
        <v>112</v>
      </c>
      <c r="B507" s="2">
        <v>4</v>
      </c>
      <c r="C507" s="2" t="s">
        <v>30</v>
      </c>
      <c r="D507" s="3">
        <v>46281</v>
      </c>
      <c r="E507" s="2" t="s">
        <v>247</v>
      </c>
      <c r="F507" s="2" t="s">
        <v>225</v>
      </c>
      <c r="G507" s="4">
        <v>6.8</v>
      </c>
      <c r="H507" s="4">
        <v>6.8</v>
      </c>
      <c r="I507" s="4">
        <v>0</v>
      </c>
      <c r="J507" s="5">
        <v>4.8</v>
      </c>
      <c r="K507" s="2" t="s">
        <v>226</v>
      </c>
      <c r="L507" s="2" t="s">
        <v>227</v>
      </c>
    </row>
    <row r="508" spans="1:12" ht="15">
      <c r="A508" s="2" t="s">
        <v>112</v>
      </c>
      <c r="B508" s="2">
        <v>5</v>
      </c>
      <c r="C508" s="2" t="s">
        <v>30</v>
      </c>
      <c r="D508" s="3">
        <v>46281</v>
      </c>
      <c r="E508" s="2" t="s">
        <v>239</v>
      </c>
      <c r="F508" s="2" t="s">
        <v>225</v>
      </c>
      <c r="G508" s="4">
        <v>6.3</v>
      </c>
      <c r="H508" s="4">
        <v>6.3</v>
      </c>
      <c r="I508" s="4">
        <v>0</v>
      </c>
      <c r="J508" s="5">
        <v>4.8</v>
      </c>
      <c r="K508" s="2" t="s">
        <v>226</v>
      </c>
      <c r="L508" s="2" t="s">
        <v>227</v>
      </c>
    </row>
    <row r="509" spans="1:12" ht="15">
      <c r="A509" s="2" t="s">
        <v>112</v>
      </c>
      <c r="B509" s="2">
        <v>6</v>
      </c>
      <c r="C509" s="2" t="s">
        <v>30</v>
      </c>
      <c r="D509" s="3">
        <v>46281</v>
      </c>
      <c r="E509" s="2" t="s">
        <v>230</v>
      </c>
      <c r="F509" s="2" t="s">
        <v>225</v>
      </c>
      <c r="G509" s="4">
        <v>6.3</v>
      </c>
      <c r="H509" s="4">
        <v>6.3</v>
      </c>
      <c r="I509" s="4">
        <v>0</v>
      </c>
      <c r="J509" s="5">
        <v>2.6</v>
      </c>
      <c r="K509" s="2" t="s">
        <v>226</v>
      </c>
      <c r="L509" s="2" t="s">
        <v>227</v>
      </c>
    </row>
    <row r="510" spans="1:12" ht="15">
      <c r="A510" s="2" t="s">
        <v>113</v>
      </c>
      <c r="B510" s="2">
        <v>1</v>
      </c>
      <c r="C510" s="2" t="s">
        <v>32</v>
      </c>
      <c r="D510" s="3">
        <v>46281</v>
      </c>
      <c r="E510" s="2" t="s">
        <v>237</v>
      </c>
      <c r="F510" s="2" t="s">
        <v>225</v>
      </c>
      <c r="G510" s="4">
        <v>9.1</v>
      </c>
      <c r="H510" s="4">
        <v>9.1</v>
      </c>
      <c r="I510" s="4">
        <v>0</v>
      </c>
      <c r="J510" s="5">
        <v>4.3</v>
      </c>
      <c r="K510" s="2" t="s">
        <v>226</v>
      </c>
      <c r="L510" s="2" t="s">
        <v>227</v>
      </c>
    </row>
    <row r="511" spans="1:12" ht="15">
      <c r="A511" s="2" t="s">
        <v>113</v>
      </c>
      <c r="B511" s="2">
        <v>2</v>
      </c>
      <c r="C511" s="2" t="s">
        <v>32</v>
      </c>
      <c r="D511" s="3">
        <v>46281</v>
      </c>
      <c r="E511" s="2" t="s">
        <v>243</v>
      </c>
      <c r="F511" s="2" t="s">
        <v>225</v>
      </c>
      <c r="G511" s="4">
        <v>9.1</v>
      </c>
      <c r="H511" s="4">
        <v>9.1</v>
      </c>
      <c r="I511" s="4">
        <v>0</v>
      </c>
      <c r="J511" s="5">
        <v>4.4000000000000004</v>
      </c>
      <c r="K511" s="2" t="s">
        <v>226</v>
      </c>
      <c r="L511" s="2" t="s">
        <v>227</v>
      </c>
    </row>
    <row r="512" spans="1:12" ht="15">
      <c r="A512" s="2" t="s">
        <v>113</v>
      </c>
      <c r="B512" s="2">
        <v>3</v>
      </c>
      <c r="C512" s="2" t="s">
        <v>32</v>
      </c>
      <c r="D512" s="3">
        <v>46281</v>
      </c>
      <c r="E512" s="2" t="s">
        <v>238</v>
      </c>
      <c r="F512" s="2" t="s">
        <v>225</v>
      </c>
      <c r="G512" s="4">
        <v>11.1</v>
      </c>
      <c r="H512" s="4">
        <v>11.1</v>
      </c>
      <c r="I512" s="4">
        <v>0</v>
      </c>
      <c r="J512" s="5">
        <v>3.4</v>
      </c>
      <c r="K512" s="2" t="s">
        <v>226</v>
      </c>
      <c r="L512" s="2" t="s">
        <v>227</v>
      </c>
    </row>
    <row r="513" spans="1:12" ht="15">
      <c r="A513" s="2" t="s">
        <v>113</v>
      </c>
      <c r="B513" s="2">
        <v>4</v>
      </c>
      <c r="C513" s="2" t="s">
        <v>32</v>
      </c>
      <c r="D513" s="3">
        <v>46281</v>
      </c>
      <c r="E513" s="2" t="s">
        <v>241</v>
      </c>
      <c r="F513" s="2" t="s">
        <v>225</v>
      </c>
      <c r="G513" s="4">
        <v>9.1</v>
      </c>
      <c r="H513" s="4">
        <v>9.1</v>
      </c>
      <c r="I513" s="4">
        <v>0</v>
      </c>
      <c r="J513" s="5">
        <v>3.5</v>
      </c>
      <c r="K513" s="2" t="s">
        <v>226</v>
      </c>
      <c r="L513" s="2" t="s">
        <v>227</v>
      </c>
    </row>
    <row r="514" spans="1:12" ht="15">
      <c r="A514" s="2" t="s">
        <v>113</v>
      </c>
      <c r="B514" s="2">
        <v>5</v>
      </c>
      <c r="C514" s="2" t="s">
        <v>32</v>
      </c>
      <c r="D514" s="3">
        <v>46281</v>
      </c>
      <c r="E514" s="2" t="s">
        <v>247</v>
      </c>
      <c r="F514" s="2" t="s">
        <v>225</v>
      </c>
      <c r="G514" s="4">
        <v>9.1</v>
      </c>
      <c r="H514" s="4">
        <v>9.1</v>
      </c>
      <c r="I514" s="4">
        <v>0</v>
      </c>
      <c r="J514" s="5">
        <v>4.8</v>
      </c>
      <c r="K514" s="2" t="s">
        <v>226</v>
      </c>
      <c r="L514" s="2" t="s">
        <v>227</v>
      </c>
    </row>
    <row r="515" spans="1:12" ht="15">
      <c r="A515" s="2" t="s">
        <v>113</v>
      </c>
      <c r="B515" s="2">
        <v>6</v>
      </c>
      <c r="C515" s="2" t="s">
        <v>32</v>
      </c>
      <c r="D515" s="3">
        <v>46281</v>
      </c>
      <c r="E515" s="2" t="s">
        <v>230</v>
      </c>
      <c r="F515" s="2" t="s">
        <v>225</v>
      </c>
      <c r="G515" s="4">
        <v>7.1</v>
      </c>
      <c r="H515" s="4">
        <v>7.1</v>
      </c>
      <c r="I515" s="4">
        <v>0</v>
      </c>
      <c r="J515" s="5">
        <v>2.6</v>
      </c>
      <c r="K515" s="2" t="s">
        <v>226</v>
      </c>
      <c r="L515" s="2" t="s">
        <v>227</v>
      </c>
    </row>
    <row r="516" spans="1:12" ht="15">
      <c r="A516" s="2" t="s">
        <v>114</v>
      </c>
      <c r="B516" s="2">
        <v>1</v>
      </c>
      <c r="C516" s="2" t="s">
        <v>33</v>
      </c>
      <c r="D516" s="3">
        <v>46281</v>
      </c>
      <c r="E516" s="2" t="s">
        <v>237</v>
      </c>
      <c r="F516" s="2" t="s">
        <v>225</v>
      </c>
      <c r="G516" s="4">
        <v>9.9</v>
      </c>
      <c r="H516" s="4">
        <v>9.9</v>
      </c>
      <c r="I516" s="4">
        <v>0</v>
      </c>
      <c r="J516" s="5">
        <v>4.3</v>
      </c>
      <c r="K516" s="2" t="s">
        <v>226</v>
      </c>
      <c r="L516" s="2" t="s">
        <v>227</v>
      </c>
    </row>
    <row r="517" spans="1:12" ht="15">
      <c r="A517" s="2" t="s">
        <v>114</v>
      </c>
      <c r="B517" s="2">
        <v>2</v>
      </c>
      <c r="C517" s="2" t="s">
        <v>33</v>
      </c>
      <c r="D517" s="3">
        <v>46281</v>
      </c>
      <c r="E517" s="2" t="s">
        <v>243</v>
      </c>
      <c r="F517" s="2" t="s">
        <v>225</v>
      </c>
      <c r="G517" s="4">
        <v>8.1</v>
      </c>
      <c r="H517" s="4">
        <v>8.1</v>
      </c>
      <c r="I517" s="4">
        <v>0</v>
      </c>
      <c r="J517" s="5">
        <v>4.4000000000000004</v>
      </c>
      <c r="K517" s="2" t="s">
        <v>226</v>
      </c>
      <c r="L517" s="2" t="s">
        <v>227</v>
      </c>
    </row>
    <row r="518" spans="1:12" ht="15">
      <c r="A518" s="2" t="s">
        <v>114</v>
      </c>
      <c r="B518" s="2">
        <v>3</v>
      </c>
      <c r="C518" s="2" t="s">
        <v>33</v>
      </c>
      <c r="D518" s="3">
        <v>46281</v>
      </c>
      <c r="E518" s="2" t="s">
        <v>247</v>
      </c>
      <c r="F518" s="2" t="s">
        <v>225</v>
      </c>
      <c r="G518" s="4">
        <v>9.9</v>
      </c>
      <c r="H518" s="4">
        <v>9.9</v>
      </c>
      <c r="I518" s="4">
        <v>0</v>
      </c>
      <c r="J518" s="5">
        <v>4.8</v>
      </c>
      <c r="K518" s="2" t="s">
        <v>226</v>
      </c>
      <c r="L518" s="2" t="s">
        <v>227</v>
      </c>
    </row>
    <row r="519" spans="1:12" ht="15">
      <c r="A519" s="2" t="s">
        <v>114</v>
      </c>
      <c r="B519" s="2">
        <v>4</v>
      </c>
      <c r="C519" s="2" t="s">
        <v>33</v>
      </c>
      <c r="D519" s="3">
        <v>46281</v>
      </c>
      <c r="E519" s="2" t="s">
        <v>228</v>
      </c>
      <c r="F519" s="2" t="s">
        <v>225</v>
      </c>
      <c r="G519" s="4">
        <v>8.6999999999999993</v>
      </c>
      <c r="H519" s="4">
        <v>8.6999999999999993</v>
      </c>
      <c r="I519" s="4">
        <v>0</v>
      </c>
      <c r="J519" s="5">
        <v>3.2</v>
      </c>
      <c r="K519" s="2" t="s">
        <v>226</v>
      </c>
      <c r="L519" s="2" t="s">
        <v>227</v>
      </c>
    </row>
    <row r="520" spans="1:12" ht="15">
      <c r="A520" s="2" t="s">
        <v>114</v>
      </c>
      <c r="B520" s="2">
        <v>5</v>
      </c>
      <c r="C520" s="2" t="s">
        <v>33</v>
      </c>
      <c r="D520" s="3">
        <v>46281</v>
      </c>
      <c r="E520" s="2" t="s">
        <v>230</v>
      </c>
      <c r="F520" s="2" t="s">
        <v>225</v>
      </c>
      <c r="G520" s="4">
        <v>9.9</v>
      </c>
      <c r="H520" s="4">
        <v>9.9</v>
      </c>
      <c r="I520" s="4">
        <v>0</v>
      </c>
      <c r="J520" s="5">
        <v>2.6</v>
      </c>
      <c r="K520" s="2" t="s">
        <v>226</v>
      </c>
      <c r="L520" s="2" t="s">
        <v>227</v>
      </c>
    </row>
    <row r="521" spans="1:12" ht="15">
      <c r="A521" s="2" t="s">
        <v>114</v>
      </c>
      <c r="B521" s="2">
        <v>6</v>
      </c>
      <c r="C521" s="2" t="s">
        <v>33</v>
      </c>
      <c r="D521" s="3">
        <v>46281</v>
      </c>
      <c r="E521" s="2" t="s">
        <v>238</v>
      </c>
      <c r="F521" s="2" t="s">
        <v>225</v>
      </c>
      <c r="G521" s="4">
        <v>6.2</v>
      </c>
      <c r="H521" s="4">
        <v>6.2</v>
      </c>
      <c r="I521" s="4">
        <v>0</v>
      </c>
      <c r="J521" s="5">
        <v>3.4</v>
      </c>
      <c r="K521" s="2" t="s">
        <v>226</v>
      </c>
      <c r="L521" s="2" t="s">
        <v>227</v>
      </c>
    </row>
    <row r="522" spans="1:12" ht="15">
      <c r="A522" s="2" t="s">
        <v>114</v>
      </c>
      <c r="B522" s="2">
        <v>7</v>
      </c>
      <c r="C522" s="2" t="s">
        <v>33</v>
      </c>
      <c r="D522" s="3">
        <v>46281</v>
      </c>
      <c r="E522" s="2" t="s">
        <v>232</v>
      </c>
      <c r="F522" s="2" t="s">
        <v>225</v>
      </c>
      <c r="G522" s="4">
        <v>1</v>
      </c>
      <c r="H522" s="4">
        <v>1</v>
      </c>
      <c r="I522" s="4">
        <v>0</v>
      </c>
      <c r="J522" s="5">
        <v>7.3</v>
      </c>
      <c r="K522" s="2" t="s">
        <v>226</v>
      </c>
      <c r="L522" s="2" t="s">
        <v>227</v>
      </c>
    </row>
    <row r="523" spans="1:12" ht="15">
      <c r="A523" s="2" t="s">
        <v>114</v>
      </c>
      <c r="B523" s="2">
        <v>8</v>
      </c>
      <c r="C523" s="2" t="s">
        <v>33</v>
      </c>
      <c r="D523" s="3">
        <v>46281</v>
      </c>
      <c r="E523" s="2" t="s">
        <v>242</v>
      </c>
      <c r="F523" s="2" t="s">
        <v>236</v>
      </c>
      <c r="G523" s="4">
        <v>4</v>
      </c>
      <c r="H523" s="4">
        <v>4</v>
      </c>
      <c r="I523" s="4">
        <v>0</v>
      </c>
      <c r="J523" s="5">
        <v>119</v>
      </c>
      <c r="K523" s="2" t="s">
        <v>226</v>
      </c>
      <c r="L523" s="2" t="s">
        <v>227</v>
      </c>
    </row>
    <row r="524" spans="1:12" ht="15">
      <c r="A524" s="2" t="s">
        <v>114</v>
      </c>
      <c r="B524" s="2">
        <v>9</v>
      </c>
      <c r="C524" s="2" t="s">
        <v>33</v>
      </c>
      <c r="D524" s="3">
        <v>46281</v>
      </c>
      <c r="E524" s="2" t="s">
        <v>244</v>
      </c>
      <c r="F524" s="2" t="s">
        <v>234</v>
      </c>
      <c r="G524" s="4">
        <v>2</v>
      </c>
      <c r="H524" s="4">
        <v>2</v>
      </c>
      <c r="I524" s="4">
        <v>0</v>
      </c>
      <c r="J524" s="5">
        <v>55</v>
      </c>
      <c r="K524" s="2" t="s">
        <v>226</v>
      </c>
      <c r="L524" s="2" t="s">
        <v>227</v>
      </c>
    </row>
    <row r="525" spans="1:12" ht="15">
      <c r="A525" s="2" t="s">
        <v>115</v>
      </c>
      <c r="B525" s="2">
        <v>1</v>
      </c>
      <c r="C525" s="2" t="s">
        <v>28</v>
      </c>
      <c r="D525" s="3">
        <v>46282</v>
      </c>
      <c r="E525" s="2" t="s">
        <v>237</v>
      </c>
      <c r="F525" s="2" t="s">
        <v>225</v>
      </c>
      <c r="G525" s="4">
        <v>2</v>
      </c>
      <c r="H525" s="4">
        <v>2</v>
      </c>
      <c r="I525" s="4">
        <v>0</v>
      </c>
      <c r="J525" s="5">
        <v>4.3</v>
      </c>
      <c r="K525" s="2" t="s">
        <v>226</v>
      </c>
      <c r="L525" s="2" t="s">
        <v>227</v>
      </c>
    </row>
    <row r="526" spans="1:12" ht="15">
      <c r="A526" s="2" t="s">
        <v>115</v>
      </c>
      <c r="B526" s="2">
        <v>2</v>
      </c>
      <c r="C526" s="2" t="s">
        <v>28</v>
      </c>
      <c r="D526" s="3">
        <v>46282</v>
      </c>
      <c r="E526" s="2" t="s">
        <v>228</v>
      </c>
      <c r="F526" s="2" t="s">
        <v>225</v>
      </c>
      <c r="G526" s="4">
        <v>4.5</v>
      </c>
      <c r="H526" s="4">
        <v>4.5</v>
      </c>
      <c r="I526" s="4">
        <v>0</v>
      </c>
      <c r="J526" s="5">
        <v>3.2</v>
      </c>
      <c r="K526" s="2" t="s">
        <v>226</v>
      </c>
      <c r="L526" s="2" t="s">
        <v>227</v>
      </c>
    </row>
    <row r="527" spans="1:12" ht="15">
      <c r="A527" s="2" t="s">
        <v>115</v>
      </c>
      <c r="B527" s="2">
        <v>3</v>
      </c>
      <c r="C527" s="2" t="s">
        <v>28</v>
      </c>
      <c r="D527" s="3">
        <v>46282</v>
      </c>
      <c r="E527" s="2" t="s">
        <v>239</v>
      </c>
      <c r="F527" s="2" t="s">
        <v>225</v>
      </c>
      <c r="G527" s="4">
        <v>3.9</v>
      </c>
      <c r="H527" s="4">
        <v>3.6</v>
      </c>
      <c r="I527" s="4">
        <v>0</v>
      </c>
      <c r="J527" s="5">
        <v>4.8</v>
      </c>
      <c r="K527" s="2" t="s">
        <v>246</v>
      </c>
      <c r="L527" s="2" t="s">
        <v>227</v>
      </c>
    </row>
    <row r="528" spans="1:12" ht="15">
      <c r="A528" s="2" t="s">
        <v>115</v>
      </c>
      <c r="B528" s="2">
        <v>4</v>
      </c>
      <c r="C528" s="2" t="s">
        <v>28</v>
      </c>
      <c r="D528" s="3">
        <v>46282</v>
      </c>
      <c r="E528" s="2" t="s">
        <v>250</v>
      </c>
      <c r="F528" s="2" t="s">
        <v>225</v>
      </c>
      <c r="G528" s="4">
        <v>2.8</v>
      </c>
      <c r="H528" s="4">
        <v>2.8</v>
      </c>
      <c r="I528" s="4">
        <v>0</v>
      </c>
      <c r="J528" s="5">
        <v>5</v>
      </c>
      <c r="K528" s="2" t="s">
        <v>226</v>
      </c>
      <c r="L528" s="2" t="s">
        <v>227</v>
      </c>
    </row>
    <row r="529" spans="1:12" ht="15">
      <c r="A529" s="2" t="s">
        <v>115</v>
      </c>
      <c r="B529" s="2">
        <v>5</v>
      </c>
      <c r="C529" s="2" t="s">
        <v>28</v>
      </c>
      <c r="D529" s="3">
        <v>46282</v>
      </c>
      <c r="E529" s="2" t="s">
        <v>231</v>
      </c>
      <c r="F529" s="2" t="s">
        <v>225</v>
      </c>
      <c r="G529" s="4">
        <v>3</v>
      </c>
      <c r="H529" s="4">
        <v>3</v>
      </c>
      <c r="I529" s="4">
        <v>0</v>
      </c>
      <c r="J529" s="5">
        <v>10.199999999999999</v>
      </c>
      <c r="K529" s="2" t="s">
        <v>226</v>
      </c>
      <c r="L529" s="2" t="s">
        <v>227</v>
      </c>
    </row>
    <row r="530" spans="1:12" ht="15">
      <c r="A530" s="2" t="s">
        <v>116</v>
      </c>
      <c r="B530" s="2">
        <v>1</v>
      </c>
      <c r="C530" s="2" t="s">
        <v>29</v>
      </c>
      <c r="D530" s="3">
        <v>46282</v>
      </c>
      <c r="E530" s="2" t="s">
        <v>224</v>
      </c>
      <c r="F530" s="2" t="s">
        <v>225</v>
      </c>
      <c r="G530" s="4">
        <v>4.5</v>
      </c>
      <c r="H530" s="4">
        <v>4.2</v>
      </c>
      <c r="I530" s="4">
        <v>0</v>
      </c>
      <c r="J530" s="5">
        <v>5.2</v>
      </c>
      <c r="K530" s="2" t="s">
        <v>246</v>
      </c>
      <c r="L530" s="2" t="s">
        <v>227</v>
      </c>
    </row>
    <row r="531" spans="1:12" ht="15">
      <c r="A531" s="2" t="s">
        <v>116</v>
      </c>
      <c r="B531" s="2">
        <v>2</v>
      </c>
      <c r="C531" s="2" t="s">
        <v>29</v>
      </c>
      <c r="D531" s="3">
        <v>46282</v>
      </c>
      <c r="E531" s="2" t="s">
        <v>241</v>
      </c>
      <c r="F531" s="2" t="s">
        <v>225</v>
      </c>
      <c r="G531" s="4">
        <v>6</v>
      </c>
      <c r="H531" s="4">
        <v>6</v>
      </c>
      <c r="I531" s="4">
        <v>0</v>
      </c>
      <c r="J531" s="5">
        <v>3.5</v>
      </c>
      <c r="K531" s="2" t="s">
        <v>226</v>
      </c>
      <c r="L531" s="2" t="s">
        <v>227</v>
      </c>
    </row>
    <row r="532" spans="1:12" ht="15">
      <c r="A532" s="2" t="s">
        <v>116</v>
      </c>
      <c r="B532" s="2">
        <v>3</v>
      </c>
      <c r="C532" s="2" t="s">
        <v>29</v>
      </c>
      <c r="D532" s="3">
        <v>46282</v>
      </c>
      <c r="E532" s="2" t="s">
        <v>230</v>
      </c>
      <c r="F532" s="2" t="s">
        <v>225</v>
      </c>
      <c r="G532" s="4">
        <v>5.5</v>
      </c>
      <c r="H532" s="4">
        <v>5.5</v>
      </c>
      <c r="I532" s="4">
        <v>0</v>
      </c>
      <c r="J532" s="5">
        <v>2.6</v>
      </c>
      <c r="K532" s="2" t="s">
        <v>226</v>
      </c>
      <c r="L532" s="2" t="s">
        <v>227</v>
      </c>
    </row>
    <row r="533" spans="1:12" ht="15">
      <c r="A533" s="2" t="s">
        <v>116</v>
      </c>
      <c r="B533" s="2">
        <v>4</v>
      </c>
      <c r="C533" s="2" t="s">
        <v>29</v>
      </c>
      <c r="D533" s="3">
        <v>46282</v>
      </c>
      <c r="E533" s="2" t="s">
        <v>247</v>
      </c>
      <c r="F533" s="2" t="s">
        <v>225</v>
      </c>
      <c r="G533" s="4">
        <v>7</v>
      </c>
      <c r="H533" s="4">
        <v>7</v>
      </c>
      <c r="I533" s="4">
        <v>0</v>
      </c>
      <c r="J533" s="5">
        <v>4.8</v>
      </c>
      <c r="K533" s="2" t="s">
        <v>226</v>
      </c>
      <c r="L533" s="2" t="s">
        <v>227</v>
      </c>
    </row>
    <row r="534" spans="1:12" ht="15">
      <c r="A534" s="2" t="s">
        <v>116</v>
      </c>
      <c r="B534" s="2">
        <v>5</v>
      </c>
      <c r="C534" s="2" t="s">
        <v>29</v>
      </c>
      <c r="D534" s="3">
        <v>46282</v>
      </c>
      <c r="E534" s="2" t="s">
        <v>243</v>
      </c>
      <c r="F534" s="2" t="s">
        <v>225</v>
      </c>
      <c r="G534" s="4">
        <v>6</v>
      </c>
      <c r="H534" s="4">
        <v>6</v>
      </c>
      <c r="I534" s="4">
        <v>0</v>
      </c>
      <c r="J534" s="5">
        <v>4.4000000000000004</v>
      </c>
      <c r="K534" s="2" t="s">
        <v>226</v>
      </c>
      <c r="L534" s="2" t="s">
        <v>227</v>
      </c>
    </row>
    <row r="535" spans="1:12" ht="15">
      <c r="A535" s="2" t="s">
        <v>116</v>
      </c>
      <c r="B535" s="2">
        <v>6</v>
      </c>
      <c r="C535" s="2" t="s">
        <v>29</v>
      </c>
      <c r="D535" s="3">
        <v>46282</v>
      </c>
      <c r="E535" s="2" t="s">
        <v>231</v>
      </c>
      <c r="F535" s="2" t="s">
        <v>225</v>
      </c>
      <c r="G535" s="4">
        <v>4</v>
      </c>
      <c r="H535" s="4">
        <v>4</v>
      </c>
      <c r="I535" s="4">
        <v>0</v>
      </c>
      <c r="J535" s="5">
        <v>10.199999999999999</v>
      </c>
      <c r="K535" s="2" t="s">
        <v>226</v>
      </c>
      <c r="L535" s="2" t="s">
        <v>227</v>
      </c>
    </row>
    <row r="536" spans="1:12" ht="15">
      <c r="A536" s="2" t="s">
        <v>117</v>
      </c>
      <c r="B536" s="2">
        <v>1</v>
      </c>
      <c r="C536" s="2" t="s">
        <v>30</v>
      </c>
      <c r="D536" s="3">
        <v>46282</v>
      </c>
      <c r="E536" s="2" t="s">
        <v>224</v>
      </c>
      <c r="F536" s="2" t="s">
        <v>225</v>
      </c>
      <c r="G536" s="4">
        <v>4.7</v>
      </c>
      <c r="H536" s="4">
        <v>4.7</v>
      </c>
      <c r="I536" s="4">
        <v>0.2</v>
      </c>
      <c r="J536" s="5">
        <v>5.2</v>
      </c>
      <c r="K536" s="2" t="s">
        <v>249</v>
      </c>
      <c r="L536" s="2" t="s">
        <v>227</v>
      </c>
    </row>
    <row r="537" spans="1:12" ht="15">
      <c r="A537" s="2" t="s">
        <v>117</v>
      </c>
      <c r="B537" s="2">
        <v>2</v>
      </c>
      <c r="C537" s="2" t="s">
        <v>30</v>
      </c>
      <c r="D537" s="3">
        <v>46282</v>
      </c>
      <c r="E537" s="2" t="s">
        <v>238</v>
      </c>
      <c r="F537" s="2" t="s">
        <v>225</v>
      </c>
      <c r="G537" s="4">
        <v>10.1</v>
      </c>
      <c r="H537" s="4">
        <v>9.6</v>
      </c>
      <c r="I537" s="4">
        <v>0</v>
      </c>
      <c r="J537" s="5">
        <v>3.4</v>
      </c>
      <c r="K537" s="2" t="s">
        <v>246</v>
      </c>
      <c r="L537" s="2" t="s">
        <v>227</v>
      </c>
    </row>
    <row r="538" spans="1:12" ht="15">
      <c r="A538" s="2" t="s">
        <v>117</v>
      </c>
      <c r="B538" s="2">
        <v>3</v>
      </c>
      <c r="C538" s="2" t="s">
        <v>30</v>
      </c>
      <c r="D538" s="3">
        <v>46282</v>
      </c>
      <c r="E538" s="2" t="s">
        <v>228</v>
      </c>
      <c r="F538" s="2" t="s">
        <v>225</v>
      </c>
      <c r="G538" s="4">
        <v>10.1</v>
      </c>
      <c r="H538" s="4">
        <v>10.1</v>
      </c>
      <c r="I538" s="4">
        <v>0</v>
      </c>
      <c r="J538" s="5">
        <v>3.2</v>
      </c>
      <c r="K538" s="2" t="s">
        <v>226</v>
      </c>
      <c r="L538" s="2" t="s">
        <v>227</v>
      </c>
    </row>
    <row r="539" spans="1:12" ht="15">
      <c r="A539" s="2" t="s">
        <v>117</v>
      </c>
      <c r="B539" s="2">
        <v>4</v>
      </c>
      <c r="C539" s="2" t="s">
        <v>30</v>
      </c>
      <c r="D539" s="3">
        <v>46282</v>
      </c>
      <c r="E539" s="2" t="s">
        <v>248</v>
      </c>
      <c r="F539" s="2" t="s">
        <v>225</v>
      </c>
      <c r="G539" s="4">
        <v>6</v>
      </c>
      <c r="H539" s="4">
        <v>6</v>
      </c>
      <c r="I539" s="4">
        <v>0</v>
      </c>
      <c r="J539" s="5">
        <v>5.25</v>
      </c>
      <c r="K539" s="2" t="s">
        <v>226</v>
      </c>
      <c r="L539" s="2" t="s">
        <v>227</v>
      </c>
    </row>
    <row r="540" spans="1:12" ht="15">
      <c r="A540" s="2" t="s">
        <v>117</v>
      </c>
      <c r="B540" s="2">
        <v>5</v>
      </c>
      <c r="C540" s="2" t="s">
        <v>30</v>
      </c>
      <c r="D540" s="3">
        <v>46282</v>
      </c>
      <c r="E540" s="2" t="s">
        <v>247</v>
      </c>
      <c r="F540" s="2" t="s">
        <v>225</v>
      </c>
      <c r="G540" s="4">
        <v>4.7</v>
      </c>
      <c r="H540" s="4">
        <v>4.7</v>
      </c>
      <c r="I540" s="4">
        <v>0</v>
      </c>
      <c r="J540" s="5">
        <v>4.8</v>
      </c>
      <c r="K540" s="2" t="s">
        <v>226</v>
      </c>
      <c r="L540" s="2" t="s">
        <v>227</v>
      </c>
    </row>
    <row r="541" spans="1:12" ht="15">
      <c r="A541" s="2" t="s">
        <v>117</v>
      </c>
      <c r="B541" s="2">
        <v>6</v>
      </c>
      <c r="C541" s="2" t="s">
        <v>30</v>
      </c>
      <c r="D541" s="3">
        <v>46282</v>
      </c>
      <c r="E541" s="2" t="s">
        <v>240</v>
      </c>
      <c r="F541" s="2" t="s">
        <v>225</v>
      </c>
      <c r="G541" s="4">
        <v>8.1</v>
      </c>
      <c r="H541" s="4">
        <v>8.1</v>
      </c>
      <c r="I541" s="4">
        <v>0</v>
      </c>
      <c r="J541" s="5">
        <v>6</v>
      </c>
      <c r="K541" s="2" t="s">
        <v>226</v>
      </c>
      <c r="L541" s="2" t="s">
        <v>227</v>
      </c>
    </row>
    <row r="542" spans="1:12" ht="15">
      <c r="A542" s="2" t="s">
        <v>117</v>
      </c>
      <c r="B542" s="2">
        <v>7</v>
      </c>
      <c r="C542" s="2" t="s">
        <v>30</v>
      </c>
      <c r="D542" s="3">
        <v>46282</v>
      </c>
      <c r="E542" s="2" t="s">
        <v>231</v>
      </c>
      <c r="F542" s="2" t="s">
        <v>225</v>
      </c>
      <c r="G542" s="4">
        <v>6</v>
      </c>
      <c r="H542" s="4">
        <v>6</v>
      </c>
      <c r="I542" s="4">
        <v>0</v>
      </c>
      <c r="J542" s="5">
        <v>10.199999999999999</v>
      </c>
      <c r="K542" s="2" t="s">
        <v>226</v>
      </c>
      <c r="L542" s="2" t="s">
        <v>227</v>
      </c>
    </row>
    <row r="543" spans="1:12" ht="15">
      <c r="A543" s="2" t="s">
        <v>118</v>
      </c>
      <c r="B543" s="2">
        <v>1</v>
      </c>
      <c r="C543" s="2" t="s">
        <v>31</v>
      </c>
      <c r="D543" s="3">
        <v>46282</v>
      </c>
      <c r="E543" s="2" t="s">
        <v>224</v>
      </c>
      <c r="F543" s="2" t="s">
        <v>225</v>
      </c>
      <c r="G543" s="4">
        <v>8.6</v>
      </c>
      <c r="H543" s="4">
        <v>8.6</v>
      </c>
      <c r="I543" s="4">
        <v>0</v>
      </c>
      <c r="J543" s="5">
        <v>5.2</v>
      </c>
      <c r="K543" s="2" t="s">
        <v>226</v>
      </c>
      <c r="L543" s="2" t="s">
        <v>227</v>
      </c>
    </row>
    <row r="544" spans="1:12" ht="15">
      <c r="A544" s="2" t="s">
        <v>118</v>
      </c>
      <c r="B544" s="2">
        <v>2</v>
      </c>
      <c r="C544" s="2" t="s">
        <v>31</v>
      </c>
      <c r="D544" s="3">
        <v>46282</v>
      </c>
      <c r="E544" s="2" t="s">
        <v>243</v>
      </c>
      <c r="F544" s="2" t="s">
        <v>225</v>
      </c>
      <c r="G544" s="4">
        <v>7</v>
      </c>
      <c r="H544" s="4">
        <v>7</v>
      </c>
      <c r="I544" s="4">
        <v>0</v>
      </c>
      <c r="J544" s="5">
        <v>4.4000000000000004</v>
      </c>
      <c r="K544" s="2" t="s">
        <v>226</v>
      </c>
      <c r="L544" s="2" t="s">
        <v>227</v>
      </c>
    </row>
    <row r="545" spans="1:12" ht="15">
      <c r="A545" s="2" t="s">
        <v>118</v>
      </c>
      <c r="B545" s="2">
        <v>3</v>
      </c>
      <c r="C545" s="2" t="s">
        <v>31</v>
      </c>
      <c r="D545" s="3">
        <v>46282</v>
      </c>
      <c r="E545" s="2" t="s">
        <v>238</v>
      </c>
      <c r="F545" s="2" t="s">
        <v>225</v>
      </c>
      <c r="G545" s="4">
        <v>3.8</v>
      </c>
      <c r="H545" s="4">
        <v>3.8</v>
      </c>
      <c r="I545" s="4">
        <v>0</v>
      </c>
      <c r="J545" s="5">
        <v>3.4</v>
      </c>
      <c r="K545" s="2" t="s">
        <v>226</v>
      </c>
      <c r="L545" s="2" t="s">
        <v>227</v>
      </c>
    </row>
    <row r="546" spans="1:12" ht="15">
      <c r="A546" s="2" t="s">
        <v>118</v>
      </c>
      <c r="B546" s="2">
        <v>4</v>
      </c>
      <c r="C546" s="2" t="s">
        <v>31</v>
      </c>
      <c r="D546" s="3">
        <v>46282</v>
      </c>
      <c r="E546" s="2" t="s">
        <v>250</v>
      </c>
      <c r="F546" s="2" t="s">
        <v>225</v>
      </c>
      <c r="G546" s="4">
        <v>7</v>
      </c>
      <c r="H546" s="4">
        <v>7</v>
      </c>
      <c r="I546" s="4">
        <v>0</v>
      </c>
      <c r="J546" s="5">
        <v>5</v>
      </c>
      <c r="K546" s="2" t="s">
        <v>226</v>
      </c>
      <c r="L546" s="2" t="s">
        <v>227</v>
      </c>
    </row>
    <row r="547" spans="1:12" ht="15">
      <c r="A547" s="2" t="s">
        <v>118</v>
      </c>
      <c r="B547" s="2">
        <v>5</v>
      </c>
      <c r="C547" s="2" t="s">
        <v>31</v>
      </c>
      <c r="D547" s="3">
        <v>46282</v>
      </c>
      <c r="E547" s="2" t="s">
        <v>229</v>
      </c>
      <c r="F547" s="2" t="s">
        <v>225</v>
      </c>
      <c r="G547" s="4">
        <v>7.5</v>
      </c>
      <c r="H547" s="4">
        <v>7.5</v>
      </c>
      <c r="I547" s="4">
        <v>0</v>
      </c>
      <c r="J547" s="5">
        <v>2.7</v>
      </c>
      <c r="K547" s="2" t="s">
        <v>226</v>
      </c>
      <c r="L547" s="2" t="s">
        <v>227</v>
      </c>
    </row>
    <row r="548" spans="1:12" ht="15">
      <c r="A548" s="2" t="s">
        <v>118</v>
      </c>
      <c r="B548" s="2">
        <v>6</v>
      </c>
      <c r="C548" s="2" t="s">
        <v>31</v>
      </c>
      <c r="D548" s="3">
        <v>46282</v>
      </c>
      <c r="E548" s="2" t="s">
        <v>247</v>
      </c>
      <c r="F548" s="2" t="s">
        <v>225</v>
      </c>
      <c r="G548" s="4">
        <v>6.4</v>
      </c>
      <c r="H548" s="4">
        <v>6.4</v>
      </c>
      <c r="I548" s="4">
        <v>0</v>
      </c>
      <c r="J548" s="5">
        <v>4.8</v>
      </c>
      <c r="K548" s="2" t="s">
        <v>226</v>
      </c>
      <c r="L548" s="2" t="s">
        <v>227</v>
      </c>
    </row>
    <row r="549" spans="1:12" ht="15">
      <c r="A549" s="2" t="s">
        <v>119</v>
      </c>
      <c r="B549" s="2">
        <v>1</v>
      </c>
      <c r="C549" s="2" t="s">
        <v>32</v>
      </c>
      <c r="D549" s="3">
        <v>46282</v>
      </c>
      <c r="E549" s="2" t="s">
        <v>237</v>
      </c>
      <c r="F549" s="2" t="s">
        <v>225</v>
      </c>
      <c r="G549" s="4">
        <v>11.4</v>
      </c>
      <c r="H549" s="4">
        <v>11.4</v>
      </c>
      <c r="I549" s="4">
        <v>0.2</v>
      </c>
      <c r="J549" s="5">
        <v>4.3</v>
      </c>
      <c r="K549" s="2" t="s">
        <v>249</v>
      </c>
      <c r="L549" s="2" t="s">
        <v>227</v>
      </c>
    </row>
    <row r="550" spans="1:12" ht="15">
      <c r="A550" s="2" t="s">
        <v>119</v>
      </c>
      <c r="B550" s="2">
        <v>2</v>
      </c>
      <c r="C550" s="2" t="s">
        <v>32</v>
      </c>
      <c r="D550" s="3">
        <v>46282</v>
      </c>
      <c r="E550" s="2" t="s">
        <v>239</v>
      </c>
      <c r="F550" s="2" t="s">
        <v>225</v>
      </c>
      <c r="G550" s="4">
        <v>8.3000000000000007</v>
      </c>
      <c r="H550" s="4">
        <v>8.3000000000000007</v>
      </c>
      <c r="I550" s="4">
        <v>0</v>
      </c>
      <c r="J550" s="5">
        <v>4.8</v>
      </c>
      <c r="K550" s="2" t="s">
        <v>226</v>
      </c>
      <c r="L550" s="2" t="s">
        <v>227</v>
      </c>
    </row>
    <row r="551" spans="1:12" ht="15">
      <c r="A551" s="2" t="s">
        <v>119</v>
      </c>
      <c r="B551" s="2">
        <v>3</v>
      </c>
      <c r="C551" s="2" t="s">
        <v>32</v>
      </c>
      <c r="D551" s="3">
        <v>46282</v>
      </c>
      <c r="E551" s="2" t="s">
        <v>243</v>
      </c>
      <c r="F551" s="2" t="s">
        <v>225</v>
      </c>
      <c r="G551" s="4">
        <v>11.4</v>
      </c>
      <c r="H551" s="4">
        <v>11.4</v>
      </c>
      <c r="I551" s="4">
        <v>0</v>
      </c>
      <c r="J551" s="5">
        <v>4.4000000000000004</v>
      </c>
      <c r="K551" s="2" t="s">
        <v>226</v>
      </c>
      <c r="L551" s="2" t="s">
        <v>227</v>
      </c>
    </row>
    <row r="552" spans="1:12" ht="15">
      <c r="A552" s="2" t="s">
        <v>119</v>
      </c>
      <c r="B552" s="2">
        <v>4</v>
      </c>
      <c r="C552" s="2" t="s">
        <v>32</v>
      </c>
      <c r="D552" s="3">
        <v>46282</v>
      </c>
      <c r="E552" s="2" t="s">
        <v>250</v>
      </c>
      <c r="F552" s="2" t="s">
        <v>225</v>
      </c>
      <c r="G552" s="4">
        <v>16.5</v>
      </c>
      <c r="H552" s="4">
        <v>16.5</v>
      </c>
      <c r="I552" s="4">
        <v>0</v>
      </c>
      <c r="J552" s="5">
        <v>5</v>
      </c>
      <c r="K552" s="2" t="s">
        <v>226</v>
      </c>
      <c r="L552" s="2" t="s">
        <v>227</v>
      </c>
    </row>
    <row r="553" spans="1:12" ht="15">
      <c r="A553" s="2" t="s">
        <v>119</v>
      </c>
      <c r="B553" s="2">
        <v>5</v>
      </c>
      <c r="C553" s="2" t="s">
        <v>32</v>
      </c>
      <c r="D553" s="3">
        <v>46282</v>
      </c>
      <c r="E553" s="2" t="s">
        <v>238</v>
      </c>
      <c r="F553" s="2" t="s">
        <v>225</v>
      </c>
      <c r="G553" s="4">
        <v>9.3000000000000007</v>
      </c>
      <c r="H553" s="4">
        <v>9.3000000000000007</v>
      </c>
      <c r="I553" s="4">
        <v>0</v>
      </c>
      <c r="J553" s="5">
        <v>3.4</v>
      </c>
      <c r="K553" s="2" t="s">
        <v>226</v>
      </c>
      <c r="L553" s="2" t="s">
        <v>227</v>
      </c>
    </row>
    <row r="554" spans="1:12" ht="15">
      <c r="A554" s="2" t="s">
        <v>119</v>
      </c>
      <c r="B554" s="2">
        <v>6</v>
      </c>
      <c r="C554" s="2" t="s">
        <v>32</v>
      </c>
      <c r="D554" s="3">
        <v>46282</v>
      </c>
      <c r="E554" s="2" t="s">
        <v>240</v>
      </c>
      <c r="F554" s="2" t="s">
        <v>225</v>
      </c>
      <c r="G554" s="4">
        <v>11.4</v>
      </c>
      <c r="H554" s="4">
        <v>11.4</v>
      </c>
      <c r="I554" s="4">
        <v>0</v>
      </c>
      <c r="J554" s="5">
        <v>6</v>
      </c>
      <c r="K554" s="2" t="s">
        <v>226</v>
      </c>
      <c r="L554" s="2" t="s">
        <v>227</v>
      </c>
    </row>
    <row r="555" spans="1:12" ht="15">
      <c r="A555" s="2" t="s">
        <v>119</v>
      </c>
      <c r="B555" s="2">
        <v>7</v>
      </c>
      <c r="C555" s="2" t="s">
        <v>32</v>
      </c>
      <c r="D555" s="3">
        <v>46282</v>
      </c>
      <c r="E555" s="2" t="s">
        <v>231</v>
      </c>
      <c r="F555" s="2" t="s">
        <v>225</v>
      </c>
      <c r="G555" s="4">
        <v>12</v>
      </c>
      <c r="H555" s="4">
        <v>12</v>
      </c>
      <c r="I555" s="4">
        <v>0</v>
      </c>
      <c r="J555" s="5">
        <v>10.199999999999999</v>
      </c>
      <c r="K555" s="2" t="s">
        <v>226</v>
      </c>
      <c r="L555" s="2" t="s">
        <v>227</v>
      </c>
    </row>
    <row r="556" spans="1:12" ht="15">
      <c r="A556" s="2" t="s">
        <v>119</v>
      </c>
      <c r="B556" s="2">
        <v>8</v>
      </c>
      <c r="C556" s="2" t="s">
        <v>32</v>
      </c>
      <c r="D556" s="3">
        <v>46282</v>
      </c>
      <c r="E556" s="2" t="s">
        <v>232</v>
      </c>
      <c r="F556" s="2" t="s">
        <v>225</v>
      </c>
      <c r="G556" s="4">
        <v>1</v>
      </c>
      <c r="H556" s="4">
        <v>1</v>
      </c>
      <c r="I556" s="4">
        <v>0</v>
      </c>
      <c r="J556" s="5">
        <v>7.3</v>
      </c>
      <c r="K556" s="2" t="s">
        <v>226</v>
      </c>
      <c r="L556" s="2" t="s">
        <v>227</v>
      </c>
    </row>
    <row r="557" spans="1:12" ht="15">
      <c r="A557" s="2" t="s">
        <v>120</v>
      </c>
      <c r="B557" s="2">
        <v>1</v>
      </c>
      <c r="C557" s="2" t="s">
        <v>33</v>
      </c>
      <c r="D557" s="3">
        <v>46282</v>
      </c>
      <c r="E557" s="2" t="s">
        <v>224</v>
      </c>
      <c r="F557" s="2" t="s">
        <v>225</v>
      </c>
      <c r="G557" s="4">
        <v>8.8000000000000007</v>
      </c>
      <c r="H557" s="4">
        <v>8.8000000000000007</v>
      </c>
      <c r="I557" s="4">
        <v>0</v>
      </c>
      <c r="J557" s="5">
        <v>5.2</v>
      </c>
      <c r="K557" s="2" t="s">
        <v>226</v>
      </c>
      <c r="L557" s="2" t="s">
        <v>227</v>
      </c>
    </row>
    <row r="558" spans="1:12" ht="15">
      <c r="A558" s="2" t="s">
        <v>120</v>
      </c>
      <c r="B558" s="2">
        <v>2</v>
      </c>
      <c r="C558" s="2" t="s">
        <v>33</v>
      </c>
      <c r="D558" s="3">
        <v>46282</v>
      </c>
      <c r="E558" s="2" t="s">
        <v>250</v>
      </c>
      <c r="F558" s="2" t="s">
        <v>225</v>
      </c>
      <c r="G558" s="4">
        <v>6.5</v>
      </c>
      <c r="H558" s="4">
        <v>6.5</v>
      </c>
      <c r="I558" s="4">
        <v>0</v>
      </c>
      <c r="J558" s="5">
        <v>5</v>
      </c>
      <c r="K558" s="2" t="s">
        <v>226</v>
      </c>
      <c r="L558" s="2" t="s">
        <v>227</v>
      </c>
    </row>
    <row r="559" spans="1:12" ht="15">
      <c r="A559" s="2" t="s">
        <v>120</v>
      </c>
      <c r="B559" s="2">
        <v>3</v>
      </c>
      <c r="C559" s="2" t="s">
        <v>33</v>
      </c>
      <c r="D559" s="3">
        <v>46282</v>
      </c>
      <c r="E559" s="2" t="s">
        <v>228</v>
      </c>
      <c r="F559" s="2" t="s">
        <v>225</v>
      </c>
      <c r="G559" s="4">
        <v>4.7</v>
      </c>
      <c r="H559" s="4">
        <v>4.7</v>
      </c>
      <c r="I559" s="4">
        <v>0</v>
      </c>
      <c r="J559" s="5">
        <v>3.2</v>
      </c>
      <c r="K559" s="2" t="s">
        <v>226</v>
      </c>
      <c r="L559" s="2" t="s">
        <v>227</v>
      </c>
    </row>
    <row r="560" spans="1:12" ht="15">
      <c r="A560" s="2" t="s">
        <v>120</v>
      </c>
      <c r="B560" s="2">
        <v>4</v>
      </c>
      <c r="C560" s="2" t="s">
        <v>33</v>
      </c>
      <c r="D560" s="3">
        <v>46282</v>
      </c>
      <c r="E560" s="2" t="s">
        <v>230</v>
      </c>
      <c r="F560" s="2" t="s">
        <v>225</v>
      </c>
      <c r="G560" s="4">
        <v>8.8000000000000007</v>
      </c>
      <c r="H560" s="4">
        <v>8.8000000000000007</v>
      </c>
      <c r="I560" s="4">
        <v>0</v>
      </c>
      <c r="J560" s="5">
        <v>2.6</v>
      </c>
      <c r="K560" s="2" t="s">
        <v>226</v>
      </c>
      <c r="L560" s="2" t="s">
        <v>227</v>
      </c>
    </row>
    <row r="561" spans="1:12" ht="15">
      <c r="A561" s="2" t="s">
        <v>120</v>
      </c>
      <c r="B561" s="2">
        <v>5</v>
      </c>
      <c r="C561" s="2" t="s">
        <v>33</v>
      </c>
      <c r="D561" s="3">
        <v>46282</v>
      </c>
      <c r="E561" s="2" t="s">
        <v>239</v>
      </c>
      <c r="F561" s="2" t="s">
        <v>225</v>
      </c>
      <c r="G561" s="4">
        <v>9.4</v>
      </c>
      <c r="H561" s="4">
        <v>9.1999999999999993</v>
      </c>
      <c r="I561" s="4">
        <v>0</v>
      </c>
      <c r="J561" s="5">
        <v>4.8</v>
      </c>
      <c r="K561" s="2" t="s">
        <v>246</v>
      </c>
      <c r="L561" s="2" t="s">
        <v>227</v>
      </c>
    </row>
    <row r="562" spans="1:12" ht="15">
      <c r="A562" s="2" t="s">
        <v>120</v>
      </c>
      <c r="B562" s="2">
        <v>6</v>
      </c>
      <c r="C562" s="2" t="s">
        <v>33</v>
      </c>
      <c r="D562" s="3">
        <v>46282</v>
      </c>
      <c r="E562" s="2" t="s">
        <v>241</v>
      </c>
      <c r="F562" s="2" t="s">
        <v>225</v>
      </c>
      <c r="G562" s="4">
        <v>5.9</v>
      </c>
      <c r="H562" s="4">
        <v>5.4</v>
      </c>
      <c r="I562" s="4">
        <v>0</v>
      </c>
      <c r="J562" s="5">
        <v>3.5</v>
      </c>
      <c r="K562" s="2" t="s">
        <v>246</v>
      </c>
      <c r="L562" s="2" t="s">
        <v>227</v>
      </c>
    </row>
    <row r="563" spans="1:12" ht="15">
      <c r="A563" s="2" t="s">
        <v>120</v>
      </c>
      <c r="B563" s="2">
        <v>7</v>
      </c>
      <c r="C563" s="2" t="s">
        <v>33</v>
      </c>
      <c r="D563" s="3">
        <v>46282</v>
      </c>
      <c r="E563" s="2" t="s">
        <v>231</v>
      </c>
      <c r="F563" s="2" t="s">
        <v>225</v>
      </c>
      <c r="G563" s="4">
        <v>9</v>
      </c>
      <c r="H563" s="4">
        <v>9</v>
      </c>
      <c r="I563" s="4">
        <v>0</v>
      </c>
      <c r="J563" s="5">
        <v>10.199999999999999</v>
      </c>
      <c r="K563" s="2" t="s">
        <v>226</v>
      </c>
      <c r="L563" s="2" t="s">
        <v>227</v>
      </c>
    </row>
    <row r="564" spans="1:12" ht="15">
      <c r="A564" s="2" t="s">
        <v>121</v>
      </c>
      <c r="B564" s="2">
        <v>1</v>
      </c>
      <c r="C564" s="2" t="s">
        <v>28</v>
      </c>
      <c r="D564" s="3">
        <v>46283</v>
      </c>
      <c r="E564" s="2" t="s">
        <v>237</v>
      </c>
      <c r="F564" s="2" t="s">
        <v>225</v>
      </c>
      <c r="G564" s="4">
        <v>3.6</v>
      </c>
      <c r="H564" s="4">
        <v>3.6</v>
      </c>
      <c r="I564" s="4">
        <v>0.3</v>
      </c>
      <c r="J564" s="5">
        <v>4.3</v>
      </c>
      <c r="K564" s="2" t="s">
        <v>249</v>
      </c>
      <c r="L564" s="2" t="s">
        <v>227</v>
      </c>
    </row>
    <row r="565" spans="1:12" ht="15">
      <c r="A565" s="2" t="s">
        <v>121</v>
      </c>
      <c r="B565" s="2">
        <v>2</v>
      </c>
      <c r="C565" s="2" t="s">
        <v>28</v>
      </c>
      <c r="D565" s="3">
        <v>46283</v>
      </c>
      <c r="E565" s="2" t="s">
        <v>238</v>
      </c>
      <c r="F565" s="2" t="s">
        <v>225</v>
      </c>
      <c r="G565" s="4">
        <v>2.2999999999999998</v>
      </c>
      <c r="H565" s="4">
        <v>2.2999999999999998</v>
      </c>
      <c r="I565" s="4">
        <v>0</v>
      </c>
      <c r="J565" s="5">
        <v>3.4</v>
      </c>
      <c r="K565" s="2" t="s">
        <v>226</v>
      </c>
      <c r="L565" s="2" t="s">
        <v>227</v>
      </c>
    </row>
    <row r="566" spans="1:12" ht="15">
      <c r="A566" s="2" t="s">
        <v>121</v>
      </c>
      <c r="B566" s="2">
        <v>3</v>
      </c>
      <c r="C566" s="2" t="s">
        <v>28</v>
      </c>
      <c r="D566" s="3">
        <v>46283</v>
      </c>
      <c r="E566" s="2" t="s">
        <v>228</v>
      </c>
      <c r="F566" s="2" t="s">
        <v>225</v>
      </c>
      <c r="G566" s="4">
        <v>2.2999999999999998</v>
      </c>
      <c r="H566" s="4">
        <v>2.2999999999999998</v>
      </c>
      <c r="I566" s="4">
        <v>0</v>
      </c>
      <c r="J566" s="5">
        <v>3.2</v>
      </c>
      <c r="K566" s="2" t="s">
        <v>226</v>
      </c>
      <c r="L566" s="2" t="s">
        <v>227</v>
      </c>
    </row>
    <row r="567" spans="1:12" ht="15">
      <c r="A567" s="2" t="s">
        <v>121</v>
      </c>
      <c r="B567" s="2">
        <v>4</v>
      </c>
      <c r="C567" s="2" t="s">
        <v>28</v>
      </c>
      <c r="D567" s="3">
        <v>46283</v>
      </c>
      <c r="E567" s="2" t="s">
        <v>230</v>
      </c>
      <c r="F567" s="2" t="s">
        <v>225</v>
      </c>
      <c r="G567" s="4">
        <v>4.5999999999999996</v>
      </c>
      <c r="H567" s="4">
        <v>4.5999999999999996</v>
      </c>
      <c r="I567" s="4">
        <v>0</v>
      </c>
      <c r="J567" s="5">
        <v>2.6</v>
      </c>
      <c r="K567" s="2" t="s">
        <v>226</v>
      </c>
      <c r="L567" s="2" t="s">
        <v>227</v>
      </c>
    </row>
    <row r="568" spans="1:12" ht="15">
      <c r="A568" s="2" t="s">
        <v>121</v>
      </c>
      <c r="B568" s="2">
        <v>5</v>
      </c>
      <c r="C568" s="2" t="s">
        <v>28</v>
      </c>
      <c r="D568" s="3">
        <v>46283</v>
      </c>
      <c r="E568" s="2" t="s">
        <v>232</v>
      </c>
      <c r="F568" s="2" t="s">
        <v>225</v>
      </c>
      <c r="G568" s="4">
        <v>0.5</v>
      </c>
      <c r="H568" s="4">
        <v>0.5</v>
      </c>
      <c r="I568" s="4">
        <v>0</v>
      </c>
      <c r="J568" s="5">
        <v>7.3</v>
      </c>
      <c r="K568" s="2" t="s">
        <v>226</v>
      </c>
      <c r="L568" s="2" t="s">
        <v>227</v>
      </c>
    </row>
    <row r="569" spans="1:12" ht="15">
      <c r="A569" s="2" t="s">
        <v>121</v>
      </c>
      <c r="B569" s="2">
        <v>6</v>
      </c>
      <c r="C569" s="2" t="s">
        <v>28</v>
      </c>
      <c r="D569" s="3">
        <v>46283</v>
      </c>
      <c r="E569" s="2" t="s">
        <v>233</v>
      </c>
      <c r="F569" s="2" t="s">
        <v>234</v>
      </c>
      <c r="G569" s="4">
        <v>1</v>
      </c>
      <c r="H569" s="4">
        <v>1</v>
      </c>
      <c r="I569" s="4">
        <v>0</v>
      </c>
      <c r="J569" s="5">
        <v>71</v>
      </c>
      <c r="K569" s="2" t="s">
        <v>226</v>
      </c>
      <c r="L569" s="2" t="s">
        <v>227</v>
      </c>
    </row>
    <row r="570" spans="1:12" ht="15">
      <c r="A570" s="2" t="s">
        <v>121</v>
      </c>
      <c r="B570" s="2">
        <v>7</v>
      </c>
      <c r="C570" s="2" t="s">
        <v>28</v>
      </c>
      <c r="D570" s="3">
        <v>46283</v>
      </c>
      <c r="E570" s="2" t="s">
        <v>235</v>
      </c>
      <c r="F570" s="2" t="s">
        <v>236</v>
      </c>
      <c r="G570" s="4">
        <v>1</v>
      </c>
      <c r="H570" s="4">
        <v>1</v>
      </c>
      <c r="I570" s="4">
        <v>0</v>
      </c>
      <c r="J570" s="5">
        <v>113</v>
      </c>
      <c r="K570" s="2" t="s">
        <v>226</v>
      </c>
      <c r="L570" s="2" t="s">
        <v>227</v>
      </c>
    </row>
    <row r="571" spans="1:12" ht="15">
      <c r="A571" s="2" t="s">
        <v>122</v>
      </c>
      <c r="B571" s="2">
        <v>1</v>
      </c>
      <c r="C571" s="2" t="s">
        <v>29</v>
      </c>
      <c r="D571" s="3">
        <v>46283</v>
      </c>
      <c r="E571" s="2" t="s">
        <v>245</v>
      </c>
      <c r="F571" s="2" t="s">
        <v>225</v>
      </c>
      <c r="G571" s="4">
        <v>6.8</v>
      </c>
      <c r="H571" s="4">
        <v>6.8</v>
      </c>
      <c r="I571" s="4">
        <v>0</v>
      </c>
      <c r="J571" s="5">
        <v>4.5</v>
      </c>
      <c r="K571" s="2" t="s">
        <v>226</v>
      </c>
      <c r="L571" s="2" t="s">
        <v>227</v>
      </c>
    </row>
    <row r="572" spans="1:12" ht="15">
      <c r="A572" s="2" t="s">
        <v>122</v>
      </c>
      <c r="B572" s="2">
        <v>2</v>
      </c>
      <c r="C572" s="2" t="s">
        <v>29</v>
      </c>
      <c r="D572" s="3">
        <v>46283</v>
      </c>
      <c r="E572" s="2" t="s">
        <v>229</v>
      </c>
      <c r="F572" s="2" t="s">
        <v>225</v>
      </c>
      <c r="G572" s="4">
        <v>5.3</v>
      </c>
      <c r="H572" s="4">
        <v>5.3</v>
      </c>
      <c r="I572" s="4">
        <v>0</v>
      </c>
      <c r="J572" s="5">
        <v>2.7</v>
      </c>
      <c r="K572" s="2" t="s">
        <v>226</v>
      </c>
      <c r="L572" s="2" t="s">
        <v>227</v>
      </c>
    </row>
    <row r="573" spans="1:12" ht="15">
      <c r="A573" s="2" t="s">
        <v>122</v>
      </c>
      <c r="B573" s="2">
        <v>3</v>
      </c>
      <c r="C573" s="2" t="s">
        <v>29</v>
      </c>
      <c r="D573" s="3">
        <v>46283</v>
      </c>
      <c r="E573" s="2" t="s">
        <v>240</v>
      </c>
      <c r="F573" s="2" t="s">
        <v>225</v>
      </c>
      <c r="G573" s="4">
        <v>7.6</v>
      </c>
      <c r="H573" s="4">
        <v>7.6</v>
      </c>
      <c r="I573" s="4">
        <v>0</v>
      </c>
      <c r="J573" s="5">
        <v>6</v>
      </c>
      <c r="K573" s="2" t="s">
        <v>226</v>
      </c>
      <c r="L573" s="2" t="s">
        <v>227</v>
      </c>
    </row>
    <row r="574" spans="1:12" ht="15">
      <c r="A574" s="2" t="s">
        <v>122</v>
      </c>
      <c r="B574" s="2">
        <v>4</v>
      </c>
      <c r="C574" s="2" t="s">
        <v>29</v>
      </c>
      <c r="D574" s="3">
        <v>46283</v>
      </c>
      <c r="E574" s="2" t="s">
        <v>250</v>
      </c>
      <c r="F574" s="2" t="s">
        <v>225</v>
      </c>
      <c r="G574" s="4">
        <v>8.4</v>
      </c>
      <c r="H574" s="4">
        <v>8.4</v>
      </c>
      <c r="I574" s="4">
        <v>0</v>
      </c>
      <c r="J574" s="5">
        <v>5</v>
      </c>
      <c r="K574" s="2" t="s">
        <v>226</v>
      </c>
      <c r="L574" s="2" t="s">
        <v>227</v>
      </c>
    </row>
    <row r="575" spans="1:12" ht="15">
      <c r="A575" s="2" t="s">
        <v>122</v>
      </c>
      <c r="B575" s="2">
        <v>5</v>
      </c>
      <c r="C575" s="2" t="s">
        <v>29</v>
      </c>
      <c r="D575" s="3">
        <v>46283</v>
      </c>
      <c r="E575" s="2" t="s">
        <v>247</v>
      </c>
      <c r="F575" s="2" t="s">
        <v>225</v>
      </c>
      <c r="G575" s="4">
        <v>6.8</v>
      </c>
      <c r="H575" s="4">
        <v>6.3</v>
      </c>
      <c r="I575" s="4">
        <v>0</v>
      </c>
      <c r="J575" s="5">
        <v>4.8</v>
      </c>
      <c r="K575" s="2" t="s">
        <v>246</v>
      </c>
      <c r="L575" s="2" t="s">
        <v>227</v>
      </c>
    </row>
    <row r="576" spans="1:12" ht="15">
      <c r="A576" s="2" t="s">
        <v>122</v>
      </c>
      <c r="B576" s="2">
        <v>6</v>
      </c>
      <c r="C576" s="2" t="s">
        <v>29</v>
      </c>
      <c r="D576" s="3">
        <v>46283</v>
      </c>
      <c r="E576" s="2" t="s">
        <v>232</v>
      </c>
      <c r="F576" s="2" t="s">
        <v>225</v>
      </c>
      <c r="G576" s="4">
        <v>1</v>
      </c>
      <c r="H576" s="4">
        <v>1</v>
      </c>
      <c r="I576" s="4">
        <v>0</v>
      </c>
      <c r="J576" s="5">
        <v>7.3</v>
      </c>
      <c r="K576" s="2" t="s">
        <v>226</v>
      </c>
      <c r="L576" s="2" t="s">
        <v>227</v>
      </c>
    </row>
    <row r="577" spans="1:12" ht="15">
      <c r="A577" s="2" t="s">
        <v>122</v>
      </c>
      <c r="B577" s="2">
        <v>7</v>
      </c>
      <c r="C577" s="2" t="s">
        <v>29</v>
      </c>
      <c r="D577" s="3">
        <v>46283</v>
      </c>
      <c r="E577" s="2" t="s">
        <v>242</v>
      </c>
      <c r="F577" s="2" t="s">
        <v>236</v>
      </c>
      <c r="G577" s="4">
        <v>3</v>
      </c>
      <c r="H577" s="4">
        <v>3</v>
      </c>
      <c r="I577" s="4">
        <v>0</v>
      </c>
      <c r="J577" s="5">
        <v>119</v>
      </c>
      <c r="K577" s="2" t="s">
        <v>226</v>
      </c>
      <c r="L577" s="2" t="s">
        <v>227</v>
      </c>
    </row>
    <row r="578" spans="1:12" ht="15">
      <c r="A578" s="2" t="s">
        <v>122</v>
      </c>
      <c r="B578" s="2">
        <v>8</v>
      </c>
      <c r="C578" s="2" t="s">
        <v>29</v>
      </c>
      <c r="D578" s="3">
        <v>46283</v>
      </c>
      <c r="E578" s="2" t="s">
        <v>233</v>
      </c>
      <c r="F578" s="2" t="s">
        <v>234</v>
      </c>
      <c r="G578" s="4">
        <v>1</v>
      </c>
      <c r="H578" s="4">
        <v>1</v>
      </c>
      <c r="I578" s="4">
        <v>0</v>
      </c>
      <c r="J578" s="5">
        <v>71</v>
      </c>
      <c r="K578" s="2" t="s">
        <v>226</v>
      </c>
      <c r="L578" s="2" t="s">
        <v>227</v>
      </c>
    </row>
    <row r="579" spans="1:12" ht="15">
      <c r="A579" s="2" t="s">
        <v>123</v>
      </c>
      <c r="B579" s="2">
        <v>1</v>
      </c>
      <c r="C579" s="2" t="s">
        <v>30</v>
      </c>
      <c r="D579" s="3">
        <v>46283</v>
      </c>
      <c r="E579" s="2" t="s">
        <v>224</v>
      </c>
      <c r="F579" s="2" t="s">
        <v>225</v>
      </c>
      <c r="G579" s="4">
        <v>5.5</v>
      </c>
      <c r="H579" s="4">
        <v>5.5</v>
      </c>
      <c r="I579" s="4">
        <v>0.3</v>
      </c>
      <c r="J579" s="5">
        <v>5.2</v>
      </c>
      <c r="K579" s="2" t="s">
        <v>249</v>
      </c>
      <c r="L579" s="2" t="s">
        <v>227</v>
      </c>
    </row>
    <row r="580" spans="1:12" ht="15">
      <c r="A580" s="2" t="s">
        <v>123</v>
      </c>
      <c r="B580" s="2">
        <v>2</v>
      </c>
      <c r="C580" s="2" t="s">
        <v>30</v>
      </c>
      <c r="D580" s="3">
        <v>46283</v>
      </c>
      <c r="E580" s="2" t="s">
        <v>229</v>
      </c>
      <c r="F580" s="2" t="s">
        <v>225</v>
      </c>
      <c r="G580" s="4">
        <v>6.3</v>
      </c>
      <c r="H580" s="4">
        <v>6.3</v>
      </c>
      <c r="I580" s="4">
        <v>0</v>
      </c>
      <c r="J580" s="5">
        <v>2.7</v>
      </c>
      <c r="K580" s="2" t="s">
        <v>226</v>
      </c>
      <c r="L580" s="2" t="s">
        <v>227</v>
      </c>
    </row>
    <row r="581" spans="1:12" ht="15">
      <c r="A581" s="2" t="s">
        <v>123</v>
      </c>
      <c r="B581" s="2">
        <v>3</v>
      </c>
      <c r="C581" s="2" t="s">
        <v>30</v>
      </c>
      <c r="D581" s="3">
        <v>46283</v>
      </c>
      <c r="E581" s="2" t="s">
        <v>241</v>
      </c>
      <c r="F581" s="2" t="s">
        <v>225</v>
      </c>
      <c r="G581" s="4">
        <v>9.4</v>
      </c>
      <c r="H581" s="4">
        <v>9.4</v>
      </c>
      <c r="I581" s="4">
        <v>0</v>
      </c>
      <c r="J581" s="5">
        <v>3.5</v>
      </c>
      <c r="K581" s="2" t="s">
        <v>226</v>
      </c>
      <c r="L581" s="2" t="s">
        <v>227</v>
      </c>
    </row>
    <row r="582" spans="1:12" ht="15">
      <c r="A582" s="2" t="s">
        <v>123</v>
      </c>
      <c r="B582" s="2">
        <v>4</v>
      </c>
      <c r="C582" s="2" t="s">
        <v>30</v>
      </c>
      <c r="D582" s="3">
        <v>46283</v>
      </c>
      <c r="E582" s="2" t="s">
        <v>230</v>
      </c>
      <c r="F582" s="2" t="s">
        <v>225</v>
      </c>
      <c r="G582" s="4">
        <v>7.8</v>
      </c>
      <c r="H582" s="4">
        <v>7.8</v>
      </c>
      <c r="I582" s="4">
        <v>0</v>
      </c>
      <c r="J582" s="5">
        <v>2.6</v>
      </c>
      <c r="K582" s="2" t="s">
        <v>226</v>
      </c>
      <c r="L582" s="2" t="s">
        <v>227</v>
      </c>
    </row>
    <row r="583" spans="1:12" ht="15">
      <c r="A583" s="2" t="s">
        <v>123</v>
      </c>
      <c r="B583" s="2">
        <v>5</v>
      </c>
      <c r="C583" s="2" t="s">
        <v>30</v>
      </c>
      <c r="D583" s="3">
        <v>46283</v>
      </c>
      <c r="E583" s="2" t="s">
        <v>248</v>
      </c>
      <c r="F583" s="2" t="s">
        <v>225</v>
      </c>
      <c r="G583" s="4">
        <v>12.5</v>
      </c>
      <c r="H583" s="4">
        <v>12.5</v>
      </c>
      <c r="I583" s="4">
        <v>0</v>
      </c>
      <c r="J583" s="5">
        <v>5.25</v>
      </c>
      <c r="K583" s="2" t="s">
        <v>226</v>
      </c>
      <c r="L583" s="2" t="s">
        <v>227</v>
      </c>
    </row>
    <row r="584" spans="1:12" ht="15">
      <c r="A584" s="2" t="s">
        <v>123</v>
      </c>
      <c r="B584" s="2">
        <v>6</v>
      </c>
      <c r="C584" s="2" t="s">
        <v>30</v>
      </c>
      <c r="D584" s="3">
        <v>46283</v>
      </c>
      <c r="E584" s="2" t="s">
        <v>243</v>
      </c>
      <c r="F584" s="2" t="s">
        <v>225</v>
      </c>
      <c r="G584" s="4">
        <v>5.5</v>
      </c>
      <c r="H584" s="4">
        <v>5.5</v>
      </c>
      <c r="I584" s="4">
        <v>0</v>
      </c>
      <c r="J584" s="5">
        <v>4.4000000000000004</v>
      </c>
      <c r="K584" s="2" t="s">
        <v>226</v>
      </c>
      <c r="L584" s="2" t="s">
        <v>227</v>
      </c>
    </row>
    <row r="585" spans="1:12" ht="15">
      <c r="A585" s="2" t="s">
        <v>123</v>
      </c>
      <c r="B585" s="2">
        <v>7</v>
      </c>
      <c r="C585" s="2" t="s">
        <v>30</v>
      </c>
      <c r="D585" s="3">
        <v>46283</v>
      </c>
      <c r="E585" s="2" t="s">
        <v>232</v>
      </c>
      <c r="F585" s="2" t="s">
        <v>225</v>
      </c>
      <c r="G585" s="4">
        <v>1</v>
      </c>
      <c r="H585" s="4">
        <v>1</v>
      </c>
      <c r="I585" s="4">
        <v>0</v>
      </c>
      <c r="J585" s="5">
        <v>7.3</v>
      </c>
      <c r="K585" s="2" t="s">
        <v>226</v>
      </c>
      <c r="L585" s="2" t="s">
        <v>227</v>
      </c>
    </row>
    <row r="586" spans="1:12" ht="15">
      <c r="A586" s="2" t="s">
        <v>123</v>
      </c>
      <c r="B586" s="2">
        <v>8</v>
      </c>
      <c r="C586" s="2" t="s">
        <v>30</v>
      </c>
      <c r="D586" s="3">
        <v>46283</v>
      </c>
      <c r="E586" s="2" t="s">
        <v>242</v>
      </c>
      <c r="F586" s="2" t="s">
        <v>236</v>
      </c>
      <c r="G586" s="4">
        <v>5</v>
      </c>
      <c r="H586" s="4">
        <v>5</v>
      </c>
      <c r="I586" s="4">
        <v>0</v>
      </c>
      <c r="J586" s="5">
        <v>119</v>
      </c>
      <c r="K586" s="2" t="s">
        <v>226</v>
      </c>
      <c r="L586" s="2" t="s">
        <v>227</v>
      </c>
    </row>
    <row r="587" spans="1:12" ht="15">
      <c r="A587" s="2" t="s">
        <v>123</v>
      </c>
      <c r="B587" s="2">
        <v>9</v>
      </c>
      <c r="C587" s="2" t="s">
        <v>30</v>
      </c>
      <c r="D587" s="3">
        <v>46283</v>
      </c>
      <c r="E587" s="2" t="s">
        <v>244</v>
      </c>
      <c r="F587" s="2" t="s">
        <v>234</v>
      </c>
      <c r="G587" s="4">
        <v>2</v>
      </c>
      <c r="H587" s="4">
        <v>2</v>
      </c>
      <c r="I587" s="4">
        <v>0</v>
      </c>
      <c r="J587" s="5">
        <v>55</v>
      </c>
      <c r="K587" s="2" t="s">
        <v>226</v>
      </c>
      <c r="L587" s="2" t="s">
        <v>227</v>
      </c>
    </row>
    <row r="588" spans="1:12" ht="15">
      <c r="A588" s="2" t="s">
        <v>124</v>
      </c>
      <c r="B588" s="2">
        <v>1</v>
      </c>
      <c r="C588" s="2" t="s">
        <v>32</v>
      </c>
      <c r="D588" s="3">
        <v>46283</v>
      </c>
      <c r="E588" s="2" t="s">
        <v>224</v>
      </c>
      <c r="F588" s="2" t="s">
        <v>225</v>
      </c>
      <c r="G588" s="4">
        <v>10.4</v>
      </c>
      <c r="H588" s="4">
        <v>10.4</v>
      </c>
      <c r="I588" s="4">
        <v>0</v>
      </c>
      <c r="J588" s="5">
        <v>5.2</v>
      </c>
      <c r="K588" s="2" t="s">
        <v>226</v>
      </c>
      <c r="L588" s="2" t="s">
        <v>227</v>
      </c>
    </row>
    <row r="589" spans="1:12" ht="15">
      <c r="A589" s="2" t="s">
        <v>124</v>
      </c>
      <c r="B589" s="2">
        <v>2</v>
      </c>
      <c r="C589" s="2" t="s">
        <v>32</v>
      </c>
      <c r="D589" s="3">
        <v>46283</v>
      </c>
      <c r="E589" s="2" t="s">
        <v>239</v>
      </c>
      <c r="F589" s="2" t="s">
        <v>225</v>
      </c>
      <c r="G589" s="4">
        <v>10.4</v>
      </c>
      <c r="H589" s="4">
        <v>10.4</v>
      </c>
      <c r="I589" s="4">
        <v>0</v>
      </c>
      <c r="J589" s="5">
        <v>4.8</v>
      </c>
      <c r="K589" s="2" t="s">
        <v>226</v>
      </c>
      <c r="L589" s="2" t="s">
        <v>227</v>
      </c>
    </row>
    <row r="590" spans="1:12" ht="15">
      <c r="A590" s="2" t="s">
        <v>124</v>
      </c>
      <c r="B590" s="2">
        <v>3</v>
      </c>
      <c r="C590" s="2" t="s">
        <v>32</v>
      </c>
      <c r="D590" s="3">
        <v>46283</v>
      </c>
      <c r="E590" s="2" t="s">
        <v>240</v>
      </c>
      <c r="F590" s="2" t="s">
        <v>225</v>
      </c>
      <c r="G590" s="4">
        <v>11.9</v>
      </c>
      <c r="H590" s="4">
        <v>11.9</v>
      </c>
      <c r="I590" s="4">
        <v>0</v>
      </c>
      <c r="J590" s="5">
        <v>6</v>
      </c>
      <c r="K590" s="2" t="s">
        <v>226</v>
      </c>
      <c r="L590" s="2" t="s">
        <v>227</v>
      </c>
    </row>
    <row r="591" spans="1:12" ht="15">
      <c r="A591" s="2" t="s">
        <v>124</v>
      </c>
      <c r="B591" s="2">
        <v>4</v>
      </c>
      <c r="C591" s="2" t="s">
        <v>32</v>
      </c>
      <c r="D591" s="3">
        <v>46283</v>
      </c>
      <c r="E591" s="2" t="s">
        <v>228</v>
      </c>
      <c r="F591" s="2" t="s">
        <v>225</v>
      </c>
      <c r="G591" s="4">
        <v>11.1</v>
      </c>
      <c r="H591" s="4">
        <v>11.1</v>
      </c>
      <c r="I591" s="4">
        <v>0</v>
      </c>
      <c r="J591" s="5">
        <v>3.2</v>
      </c>
      <c r="K591" s="2" t="s">
        <v>226</v>
      </c>
      <c r="L591" s="2" t="s">
        <v>227</v>
      </c>
    </row>
    <row r="592" spans="1:12" ht="15">
      <c r="A592" s="2" t="s">
        <v>124</v>
      </c>
      <c r="B592" s="2">
        <v>5</v>
      </c>
      <c r="C592" s="2" t="s">
        <v>32</v>
      </c>
      <c r="D592" s="3">
        <v>46283</v>
      </c>
      <c r="E592" s="2" t="s">
        <v>229</v>
      </c>
      <c r="F592" s="2" t="s">
        <v>225</v>
      </c>
      <c r="G592" s="4">
        <v>8.1</v>
      </c>
      <c r="H592" s="4">
        <v>8.1</v>
      </c>
      <c r="I592" s="4">
        <v>0</v>
      </c>
      <c r="J592" s="5">
        <v>2.7</v>
      </c>
      <c r="K592" s="2" t="s">
        <v>226</v>
      </c>
      <c r="L592" s="2" t="s">
        <v>227</v>
      </c>
    </row>
    <row r="593" spans="1:12" ht="15">
      <c r="A593" s="2" t="s">
        <v>124</v>
      </c>
      <c r="B593" s="2">
        <v>6</v>
      </c>
      <c r="C593" s="2" t="s">
        <v>32</v>
      </c>
      <c r="D593" s="3">
        <v>46283</v>
      </c>
      <c r="E593" s="2" t="s">
        <v>243</v>
      </c>
      <c r="F593" s="2" t="s">
        <v>225</v>
      </c>
      <c r="G593" s="4">
        <v>5.2</v>
      </c>
      <c r="H593" s="4">
        <v>4.9000000000000004</v>
      </c>
      <c r="I593" s="4">
        <v>0</v>
      </c>
      <c r="J593" s="5">
        <v>4.4000000000000004</v>
      </c>
      <c r="K593" s="2" t="s">
        <v>246</v>
      </c>
      <c r="L593" s="2" t="s">
        <v>227</v>
      </c>
    </row>
    <row r="594" spans="1:12" ht="15">
      <c r="A594" s="2" t="s">
        <v>125</v>
      </c>
      <c r="B594" s="2">
        <v>1</v>
      </c>
      <c r="C594" s="2" t="s">
        <v>33</v>
      </c>
      <c r="D594" s="3">
        <v>46283</v>
      </c>
      <c r="E594" s="2" t="s">
        <v>224</v>
      </c>
      <c r="F594" s="2" t="s">
        <v>225</v>
      </c>
      <c r="G594" s="4">
        <v>9.9</v>
      </c>
      <c r="H594" s="4">
        <v>9.9</v>
      </c>
      <c r="I594" s="4">
        <v>0</v>
      </c>
      <c r="J594" s="5">
        <v>5.2</v>
      </c>
      <c r="K594" s="2" t="s">
        <v>226</v>
      </c>
      <c r="L594" s="2" t="s">
        <v>227</v>
      </c>
    </row>
    <row r="595" spans="1:12" ht="15">
      <c r="A595" s="2" t="s">
        <v>125</v>
      </c>
      <c r="B595" s="2">
        <v>2</v>
      </c>
      <c r="C595" s="2" t="s">
        <v>33</v>
      </c>
      <c r="D595" s="3">
        <v>46283</v>
      </c>
      <c r="E595" s="2" t="s">
        <v>238</v>
      </c>
      <c r="F595" s="2" t="s">
        <v>225</v>
      </c>
      <c r="G595" s="4">
        <v>7.4</v>
      </c>
      <c r="H595" s="4">
        <v>7.4</v>
      </c>
      <c r="I595" s="4">
        <v>0</v>
      </c>
      <c r="J595" s="5">
        <v>3.4</v>
      </c>
      <c r="K595" s="2" t="s">
        <v>226</v>
      </c>
      <c r="L595" s="2" t="s">
        <v>227</v>
      </c>
    </row>
    <row r="596" spans="1:12" ht="15">
      <c r="A596" s="2" t="s">
        <v>125</v>
      </c>
      <c r="B596" s="2">
        <v>3</v>
      </c>
      <c r="C596" s="2" t="s">
        <v>33</v>
      </c>
      <c r="D596" s="3">
        <v>46283</v>
      </c>
      <c r="E596" s="2" t="s">
        <v>239</v>
      </c>
      <c r="F596" s="2" t="s">
        <v>225</v>
      </c>
      <c r="G596" s="4">
        <v>8.6999999999999993</v>
      </c>
      <c r="H596" s="4">
        <v>8.6999999999999993</v>
      </c>
      <c r="I596" s="4">
        <v>0</v>
      </c>
      <c r="J596" s="5">
        <v>4.8</v>
      </c>
      <c r="K596" s="2" t="s">
        <v>226</v>
      </c>
      <c r="L596" s="2" t="s">
        <v>227</v>
      </c>
    </row>
    <row r="597" spans="1:12" ht="15">
      <c r="A597" s="2" t="s">
        <v>125</v>
      </c>
      <c r="B597" s="2">
        <v>4</v>
      </c>
      <c r="C597" s="2" t="s">
        <v>33</v>
      </c>
      <c r="D597" s="3">
        <v>46283</v>
      </c>
      <c r="E597" s="2" t="s">
        <v>247</v>
      </c>
      <c r="F597" s="2" t="s">
        <v>225</v>
      </c>
      <c r="G597" s="4">
        <v>8.1</v>
      </c>
      <c r="H597" s="4">
        <v>8.1</v>
      </c>
      <c r="I597" s="4">
        <v>0</v>
      </c>
      <c r="J597" s="5">
        <v>4.8</v>
      </c>
      <c r="K597" s="2" t="s">
        <v>226</v>
      </c>
      <c r="L597" s="2" t="s">
        <v>227</v>
      </c>
    </row>
    <row r="598" spans="1:12" ht="15">
      <c r="A598" s="2" t="s">
        <v>125</v>
      </c>
      <c r="B598" s="2">
        <v>5</v>
      </c>
      <c r="C598" s="2" t="s">
        <v>33</v>
      </c>
      <c r="D598" s="3">
        <v>46283</v>
      </c>
      <c r="E598" s="2" t="s">
        <v>241</v>
      </c>
      <c r="F598" s="2" t="s">
        <v>225</v>
      </c>
      <c r="G598" s="4">
        <v>7.4</v>
      </c>
      <c r="H598" s="4">
        <v>7.4</v>
      </c>
      <c r="I598" s="4">
        <v>0</v>
      </c>
      <c r="J598" s="5">
        <v>3.5</v>
      </c>
      <c r="K598" s="2" t="s">
        <v>226</v>
      </c>
      <c r="L598" s="2" t="s">
        <v>227</v>
      </c>
    </row>
    <row r="599" spans="1:12" ht="15">
      <c r="A599" s="2" t="s">
        <v>125</v>
      </c>
      <c r="B599" s="2">
        <v>6</v>
      </c>
      <c r="C599" s="2" t="s">
        <v>33</v>
      </c>
      <c r="D599" s="3">
        <v>46283</v>
      </c>
      <c r="E599" s="2" t="s">
        <v>228</v>
      </c>
      <c r="F599" s="2" t="s">
        <v>225</v>
      </c>
      <c r="G599" s="4">
        <v>7.4</v>
      </c>
      <c r="H599" s="4">
        <v>7.4</v>
      </c>
      <c r="I599" s="4">
        <v>0</v>
      </c>
      <c r="J599" s="5">
        <v>3.2</v>
      </c>
      <c r="K599" s="2" t="s">
        <v>226</v>
      </c>
      <c r="L599" s="2" t="s">
        <v>227</v>
      </c>
    </row>
    <row r="600" spans="1:12" ht="15">
      <c r="A600" s="2" t="s">
        <v>126</v>
      </c>
      <c r="B600" s="2">
        <v>1</v>
      </c>
      <c r="C600" s="2" t="s">
        <v>28</v>
      </c>
      <c r="D600" s="3">
        <v>46284</v>
      </c>
      <c r="E600" s="2" t="s">
        <v>224</v>
      </c>
      <c r="F600" s="2" t="s">
        <v>225</v>
      </c>
      <c r="G600" s="4">
        <v>3.1</v>
      </c>
      <c r="H600" s="4">
        <v>3.1</v>
      </c>
      <c r="I600" s="4">
        <v>0</v>
      </c>
      <c r="J600" s="5">
        <v>5.2</v>
      </c>
      <c r="K600" s="2" t="s">
        <v>226</v>
      </c>
      <c r="L600" s="2" t="s">
        <v>227</v>
      </c>
    </row>
    <row r="601" spans="1:12" ht="15">
      <c r="A601" s="2" t="s">
        <v>126</v>
      </c>
      <c r="B601" s="2">
        <v>2</v>
      </c>
      <c r="C601" s="2" t="s">
        <v>28</v>
      </c>
      <c r="D601" s="3">
        <v>46284</v>
      </c>
      <c r="E601" s="2" t="s">
        <v>247</v>
      </c>
      <c r="F601" s="2" t="s">
        <v>225</v>
      </c>
      <c r="G601" s="4">
        <v>3.3</v>
      </c>
      <c r="H601" s="4">
        <v>3.3</v>
      </c>
      <c r="I601" s="4">
        <v>0</v>
      </c>
      <c r="J601" s="5">
        <v>4.8</v>
      </c>
      <c r="K601" s="2" t="s">
        <v>226</v>
      </c>
      <c r="L601" s="2" t="s">
        <v>227</v>
      </c>
    </row>
    <row r="602" spans="1:12" ht="15">
      <c r="A602" s="2" t="s">
        <v>126</v>
      </c>
      <c r="B602" s="2">
        <v>3</v>
      </c>
      <c r="C602" s="2" t="s">
        <v>28</v>
      </c>
      <c r="D602" s="3">
        <v>46284</v>
      </c>
      <c r="E602" s="2" t="s">
        <v>248</v>
      </c>
      <c r="F602" s="2" t="s">
        <v>225</v>
      </c>
      <c r="G602" s="4">
        <v>2.6</v>
      </c>
      <c r="H602" s="4">
        <v>2.6</v>
      </c>
      <c r="I602" s="4">
        <v>0</v>
      </c>
      <c r="J602" s="5">
        <v>5.25</v>
      </c>
      <c r="K602" s="2" t="s">
        <v>226</v>
      </c>
      <c r="L602" s="2" t="s">
        <v>227</v>
      </c>
    </row>
    <row r="603" spans="1:12" ht="15">
      <c r="A603" s="2" t="s">
        <v>126</v>
      </c>
      <c r="B603" s="2">
        <v>4</v>
      </c>
      <c r="C603" s="2" t="s">
        <v>28</v>
      </c>
      <c r="D603" s="3">
        <v>46284</v>
      </c>
      <c r="E603" s="2" t="s">
        <v>250</v>
      </c>
      <c r="F603" s="2" t="s">
        <v>225</v>
      </c>
      <c r="G603" s="4">
        <v>2.4</v>
      </c>
      <c r="H603" s="4">
        <v>2.4</v>
      </c>
      <c r="I603" s="4">
        <v>0</v>
      </c>
      <c r="J603" s="5">
        <v>5</v>
      </c>
      <c r="K603" s="2" t="s">
        <v>226</v>
      </c>
      <c r="L603" s="2" t="s">
        <v>227</v>
      </c>
    </row>
    <row r="604" spans="1:12" ht="15">
      <c r="A604" s="2" t="s">
        <v>126</v>
      </c>
      <c r="B604" s="2">
        <v>5</v>
      </c>
      <c r="C604" s="2" t="s">
        <v>28</v>
      </c>
      <c r="D604" s="3">
        <v>46284</v>
      </c>
      <c r="E604" s="2" t="s">
        <v>231</v>
      </c>
      <c r="F604" s="2" t="s">
        <v>225</v>
      </c>
      <c r="G604" s="4">
        <v>3</v>
      </c>
      <c r="H604" s="4">
        <v>3</v>
      </c>
      <c r="I604" s="4">
        <v>0</v>
      </c>
      <c r="J604" s="5">
        <v>10.199999999999999</v>
      </c>
      <c r="K604" s="2" t="s">
        <v>226</v>
      </c>
      <c r="L604" s="2" t="s">
        <v>227</v>
      </c>
    </row>
    <row r="605" spans="1:12" ht="15">
      <c r="A605" s="2" t="s">
        <v>127</v>
      </c>
      <c r="B605" s="2">
        <v>1</v>
      </c>
      <c r="C605" s="2" t="s">
        <v>29</v>
      </c>
      <c r="D605" s="3">
        <v>46284</v>
      </c>
      <c r="E605" s="2" t="s">
        <v>245</v>
      </c>
      <c r="F605" s="2" t="s">
        <v>225</v>
      </c>
      <c r="G605" s="4">
        <v>6.2</v>
      </c>
      <c r="H605" s="4">
        <v>6.2</v>
      </c>
      <c r="I605" s="4">
        <v>0</v>
      </c>
      <c r="J605" s="5">
        <v>4.5</v>
      </c>
      <c r="K605" s="2" t="s">
        <v>226</v>
      </c>
      <c r="L605" s="2" t="s">
        <v>227</v>
      </c>
    </row>
    <row r="606" spans="1:12" ht="15">
      <c r="A606" s="2" t="s">
        <v>127</v>
      </c>
      <c r="B606" s="2">
        <v>2</v>
      </c>
      <c r="C606" s="2" t="s">
        <v>29</v>
      </c>
      <c r="D606" s="3">
        <v>46284</v>
      </c>
      <c r="E606" s="2" t="s">
        <v>243</v>
      </c>
      <c r="F606" s="2" t="s">
        <v>225</v>
      </c>
      <c r="G606" s="4">
        <v>7.1</v>
      </c>
      <c r="H606" s="4">
        <v>7.1</v>
      </c>
      <c r="I606" s="4">
        <v>0</v>
      </c>
      <c r="J606" s="5">
        <v>4.4000000000000004</v>
      </c>
      <c r="K606" s="2" t="s">
        <v>226</v>
      </c>
      <c r="L606" s="2" t="s">
        <v>227</v>
      </c>
    </row>
    <row r="607" spans="1:12" ht="15">
      <c r="A607" s="2" t="s">
        <v>127</v>
      </c>
      <c r="B607" s="2">
        <v>3</v>
      </c>
      <c r="C607" s="2" t="s">
        <v>29</v>
      </c>
      <c r="D607" s="3">
        <v>46284</v>
      </c>
      <c r="E607" s="2" t="s">
        <v>248</v>
      </c>
      <c r="F607" s="2" t="s">
        <v>225</v>
      </c>
      <c r="G607" s="4">
        <v>12.4</v>
      </c>
      <c r="H607" s="4">
        <v>12.4</v>
      </c>
      <c r="I607" s="4">
        <v>0</v>
      </c>
      <c r="J607" s="5">
        <v>5.25</v>
      </c>
      <c r="K607" s="2" t="s">
        <v>226</v>
      </c>
      <c r="L607" s="2" t="s">
        <v>227</v>
      </c>
    </row>
    <row r="608" spans="1:12" ht="15">
      <c r="A608" s="2" t="s">
        <v>127</v>
      </c>
      <c r="B608" s="2">
        <v>4</v>
      </c>
      <c r="C608" s="2" t="s">
        <v>29</v>
      </c>
      <c r="D608" s="3">
        <v>46284</v>
      </c>
      <c r="E608" s="2" t="s">
        <v>229</v>
      </c>
      <c r="F608" s="2" t="s">
        <v>225</v>
      </c>
      <c r="G608" s="4">
        <v>7.1</v>
      </c>
      <c r="H608" s="4">
        <v>7.1</v>
      </c>
      <c r="I608" s="4">
        <v>0</v>
      </c>
      <c r="J608" s="5">
        <v>2.7</v>
      </c>
      <c r="K608" s="2" t="s">
        <v>226</v>
      </c>
      <c r="L608" s="2" t="s">
        <v>227</v>
      </c>
    </row>
    <row r="609" spans="1:12" ht="15">
      <c r="A609" s="2" t="s">
        <v>127</v>
      </c>
      <c r="B609" s="2">
        <v>5</v>
      </c>
      <c r="C609" s="2" t="s">
        <v>29</v>
      </c>
      <c r="D609" s="3">
        <v>46284</v>
      </c>
      <c r="E609" s="2" t="s">
        <v>239</v>
      </c>
      <c r="F609" s="2" t="s">
        <v>225</v>
      </c>
      <c r="G609" s="4">
        <v>6.2</v>
      </c>
      <c r="H609" s="4">
        <v>6.2</v>
      </c>
      <c r="I609" s="4">
        <v>0</v>
      </c>
      <c r="J609" s="5">
        <v>4.8</v>
      </c>
      <c r="K609" s="2" t="s">
        <v>226</v>
      </c>
      <c r="L609" s="2" t="s">
        <v>227</v>
      </c>
    </row>
    <row r="610" spans="1:12" ht="15">
      <c r="A610" s="2" t="s">
        <v>127</v>
      </c>
      <c r="B610" s="2">
        <v>6</v>
      </c>
      <c r="C610" s="2" t="s">
        <v>29</v>
      </c>
      <c r="D610" s="3">
        <v>46284</v>
      </c>
      <c r="E610" s="2" t="s">
        <v>231</v>
      </c>
      <c r="F610" s="2" t="s">
        <v>225</v>
      </c>
      <c r="G610" s="4">
        <v>4</v>
      </c>
      <c r="H610" s="4">
        <v>4</v>
      </c>
      <c r="I610" s="4">
        <v>0</v>
      </c>
      <c r="J610" s="5">
        <v>10.199999999999999</v>
      </c>
      <c r="K610" s="2" t="s">
        <v>226</v>
      </c>
      <c r="L610" s="2" t="s">
        <v>227</v>
      </c>
    </row>
    <row r="611" spans="1:12" ht="15">
      <c r="A611" s="2" t="s">
        <v>128</v>
      </c>
      <c r="B611" s="2">
        <v>1</v>
      </c>
      <c r="C611" s="2" t="s">
        <v>30</v>
      </c>
      <c r="D611" s="3">
        <v>46284</v>
      </c>
      <c r="E611" s="2" t="s">
        <v>224</v>
      </c>
      <c r="F611" s="2" t="s">
        <v>225</v>
      </c>
      <c r="G611" s="4">
        <v>6.3</v>
      </c>
      <c r="H611" s="4">
        <v>6.3</v>
      </c>
      <c r="I611" s="4">
        <v>0</v>
      </c>
      <c r="J611" s="5">
        <v>5.2</v>
      </c>
      <c r="K611" s="2" t="s">
        <v>226</v>
      </c>
      <c r="L611" s="2" t="s">
        <v>227</v>
      </c>
    </row>
    <row r="612" spans="1:12" ht="15">
      <c r="A612" s="2" t="s">
        <v>128</v>
      </c>
      <c r="B612" s="2">
        <v>2</v>
      </c>
      <c r="C612" s="2" t="s">
        <v>30</v>
      </c>
      <c r="D612" s="3">
        <v>46284</v>
      </c>
      <c r="E612" s="2" t="s">
        <v>228</v>
      </c>
      <c r="F612" s="2" t="s">
        <v>225</v>
      </c>
      <c r="G612" s="4">
        <v>5.0999999999999996</v>
      </c>
      <c r="H612" s="4">
        <v>5.0999999999999996</v>
      </c>
      <c r="I612" s="4">
        <v>0</v>
      </c>
      <c r="J612" s="5">
        <v>3.2</v>
      </c>
      <c r="K612" s="2" t="s">
        <v>226</v>
      </c>
      <c r="L612" s="2" t="s">
        <v>227</v>
      </c>
    </row>
    <row r="613" spans="1:12" ht="15">
      <c r="A613" s="2" t="s">
        <v>128</v>
      </c>
      <c r="B613" s="2">
        <v>3</v>
      </c>
      <c r="C613" s="2" t="s">
        <v>30</v>
      </c>
      <c r="D613" s="3">
        <v>46284</v>
      </c>
      <c r="E613" s="2" t="s">
        <v>230</v>
      </c>
      <c r="F613" s="2" t="s">
        <v>225</v>
      </c>
      <c r="G613" s="4">
        <v>8.6</v>
      </c>
      <c r="H613" s="4">
        <v>8.6</v>
      </c>
      <c r="I613" s="4">
        <v>0</v>
      </c>
      <c r="J613" s="5">
        <v>2.6</v>
      </c>
      <c r="K613" s="2" t="s">
        <v>226</v>
      </c>
      <c r="L613" s="2" t="s">
        <v>227</v>
      </c>
    </row>
    <row r="614" spans="1:12" ht="15">
      <c r="A614" s="2" t="s">
        <v>128</v>
      </c>
      <c r="B614" s="2">
        <v>4</v>
      </c>
      <c r="C614" s="2" t="s">
        <v>30</v>
      </c>
      <c r="D614" s="3">
        <v>46284</v>
      </c>
      <c r="E614" s="2" t="s">
        <v>238</v>
      </c>
      <c r="F614" s="2" t="s">
        <v>225</v>
      </c>
      <c r="G614" s="4">
        <v>4.5999999999999996</v>
      </c>
      <c r="H614" s="4">
        <v>4.5999999999999996</v>
      </c>
      <c r="I614" s="4">
        <v>0</v>
      </c>
      <c r="J614" s="5">
        <v>3.4</v>
      </c>
      <c r="K614" s="2" t="s">
        <v>226</v>
      </c>
      <c r="L614" s="2" t="s">
        <v>227</v>
      </c>
    </row>
    <row r="615" spans="1:12" ht="15">
      <c r="A615" s="2" t="s">
        <v>128</v>
      </c>
      <c r="B615" s="2">
        <v>5</v>
      </c>
      <c r="C615" s="2" t="s">
        <v>30</v>
      </c>
      <c r="D615" s="3">
        <v>46284</v>
      </c>
      <c r="E615" s="2" t="s">
        <v>250</v>
      </c>
      <c r="F615" s="2" t="s">
        <v>225</v>
      </c>
      <c r="G615" s="4">
        <v>9.1</v>
      </c>
      <c r="H615" s="4">
        <v>9.1</v>
      </c>
      <c r="I615" s="4">
        <v>0</v>
      </c>
      <c r="J615" s="5">
        <v>5</v>
      </c>
      <c r="K615" s="2" t="s">
        <v>226</v>
      </c>
      <c r="L615" s="2" t="s">
        <v>227</v>
      </c>
    </row>
    <row r="616" spans="1:12" ht="15">
      <c r="A616" s="2" t="s">
        <v>128</v>
      </c>
      <c r="B616" s="2">
        <v>6</v>
      </c>
      <c r="C616" s="2" t="s">
        <v>30</v>
      </c>
      <c r="D616" s="3">
        <v>46284</v>
      </c>
      <c r="E616" s="2" t="s">
        <v>243</v>
      </c>
      <c r="F616" s="2" t="s">
        <v>225</v>
      </c>
      <c r="G616" s="4">
        <v>9.1</v>
      </c>
      <c r="H616" s="4">
        <v>9.1</v>
      </c>
      <c r="I616" s="4">
        <v>0</v>
      </c>
      <c r="J616" s="5">
        <v>4.4000000000000004</v>
      </c>
      <c r="K616" s="2" t="s">
        <v>226</v>
      </c>
      <c r="L616" s="2" t="s">
        <v>227</v>
      </c>
    </row>
    <row r="617" spans="1:12" ht="15">
      <c r="A617" s="2" t="s">
        <v>128</v>
      </c>
      <c r="B617" s="2">
        <v>7</v>
      </c>
      <c r="C617" s="2" t="s">
        <v>30</v>
      </c>
      <c r="D617" s="3">
        <v>46284</v>
      </c>
      <c r="E617" s="2" t="s">
        <v>231</v>
      </c>
      <c r="F617" s="2" t="s">
        <v>225</v>
      </c>
      <c r="G617" s="4">
        <v>6</v>
      </c>
      <c r="H617" s="4">
        <v>6</v>
      </c>
      <c r="I617" s="4">
        <v>0</v>
      </c>
      <c r="J617" s="5">
        <v>10.199999999999999</v>
      </c>
      <c r="K617" s="2" t="s">
        <v>226</v>
      </c>
      <c r="L617" s="2" t="s">
        <v>227</v>
      </c>
    </row>
    <row r="618" spans="1:12" ht="15">
      <c r="A618" s="2" t="s">
        <v>129</v>
      </c>
      <c r="B618" s="2">
        <v>1</v>
      </c>
      <c r="C618" s="2" t="s">
        <v>31</v>
      </c>
      <c r="D618" s="3">
        <v>46284</v>
      </c>
      <c r="E618" s="2" t="s">
        <v>245</v>
      </c>
      <c r="F618" s="2" t="s">
        <v>225</v>
      </c>
      <c r="G618" s="4">
        <v>6.7</v>
      </c>
      <c r="H618" s="4">
        <v>6.7</v>
      </c>
      <c r="I618" s="4">
        <v>0</v>
      </c>
      <c r="J618" s="5">
        <v>4.5</v>
      </c>
      <c r="K618" s="2" t="s">
        <v>226</v>
      </c>
      <c r="L618" s="2" t="s">
        <v>227</v>
      </c>
    </row>
    <row r="619" spans="1:12" ht="15">
      <c r="A619" s="2" t="s">
        <v>129</v>
      </c>
      <c r="B619" s="2">
        <v>2</v>
      </c>
      <c r="C619" s="2" t="s">
        <v>31</v>
      </c>
      <c r="D619" s="3">
        <v>46284</v>
      </c>
      <c r="E619" s="2" t="s">
        <v>248</v>
      </c>
      <c r="F619" s="2" t="s">
        <v>225</v>
      </c>
      <c r="G619" s="4">
        <v>8.1999999999999993</v>
      </c>
      <c r="H619" s="4">
        <v>8.1999999999999993</v>
      </c>
      <c r="I619" s="4">
        <v>0</v>
      </c>
      <c r="J619" s="5">
        <v>5.25</v>
      </c>
      <c r="K619" s="2" t="s">
        <v>226</v>
      </c>
      <c r="L619" s="2" t="s">
        <v>227</v>
      </c>
    </row>
    <row r="620" spans="1:12" ht="15">
      <c r="A620" s="2" t="s">
        <v>129</v>
      </c>
      <c r="B620" s="2">
        <v>3</v>
      </c>
      <c r="C620" s="2" t="s">
        <v>31</v>
      </c>
      <c r="D620" s="3">
        <v>46284</v>
      </c>
      <c r="E620" s="2" t="s">
        <v>230</v>
      </c>
      <c r="F620" s="2" t="s">
        <v>225</v>
      </c>
      <c r="G620" s="4">
        <v>11.1</v>
      </c>
      <c r="H620" s="4">
        <v>11.1</v>
      </c>
      <c r="I620" s="4">
        <v>0</v>
      </c>
      <c r="J620" s="5">
        <v>2.6</v>
      </c>
      <c r="K620" s="2" t="s">
        <v>226</v>
      </c>
      <c r="L620" s="2" t="s">
        <v>227</v>
      </c>
    </row>
    <row r="621" spans="1:12" ht="15">
      <c r="A621" s="2" t="s">
        <v>129</v>
      </c>
      <c r="B621" s="2">
        <v>4</v>
      </c>
      <c r="C621" s="2" t="s">
        <v>31</v>
      </c>
      <c r="D621" s="3">
        <v>46284</v>
      </c>
      <c r="E621" s="2" t="s">
        <v>229</v>
      </c>
      <c r="F621" s="2" t="s">
        <v>225</v>
      </c>
      <c r="G621" s="4">
        <v>8.1999999999999993</v>
      </c>
      <c r="H621" s="4">
        <v>8.1999999999999993</v>
      </c>
      <c r="I621" s="4">
        <v>0</v>
      </c>
      <c r="J621" s="5">
        <v>2.7</v>
      </c>
      <c r="K621" s="2" t="s">
        <v>226</v>
      </c>
      <c r="L621" s="2" t="s">
        <v>227</v>
      </c>
    </row>
    <row r="622" spans="1:12" ht="15">
      <c r="A622" s="2" t="s">
        <v>129</v>
      </c>
      <c r="B622" s="2">
        <v>5</v>
      </c>
      <c r="C622" s="2" t="s">
        <v>31</v>
      </c>
      <c r="D622" s="3">
        <v>46284</v>
      </c>
      <c r="E622" s="2" t="s">
        <v>247</v>
      </c>
      <c r="F622" s="2" t="s">
        <v>225</v>
      </c>
      <c r="G622" s="4">
        <v>6.7</v>
      </c>
      <c r="H622" s="4">
        <v>6.7</v>
      </c>
      <c r="I622" s="4">
        <v>0</v>
      </c>
      <c r="J622" s="5">
        <v>4.8</v>
      </c>
      <c r="K622" s="2" t="s">
        <v>226</v>
      </c>
      <c r="L622" s="2" t="s">
        <v>227</v>
      </c>
    </row>
    <row r="623" spans="1:12" ht="15">
      <c r="A623" s="2" t="s">
        <v>129</v>
      </c>
      <c r="B623" s="2">
        <v>6</v>
      </c>
      <c r="C623" s="2" t="s">
        <v>31</v>
      </c>
      <c r="D623" s="3">
        <v>46284</v>
      </c>
      <c r="E623" s="2" t="s">
        <v>241</v>
      </c>
      <c r="F623" s="2" t="s">
        <v>225</v>
      </c>
      <c r="G623" s="4">
        <v>5.2</v>
      </c>
      <c r="H623" s="4">
        <v>5.2</v>
      </c>
      <c r="I623" s="4">
        <v>0</v>
      </c>
      <c r="J623" s="5">
        <v>3.5</v>
      </c>
      <c r="K623" s="2" t="s">
        <v>226</v>
      </c>
      <c r="L623" s="2" t="s">
        <v>227</v>
      </c>
    </row>
    <row r="624" spans="1:12" ht="15">
      <c r="A624" s="2" t="s">
        <v>129</v>
      </c>
      <c r="B624" s="2">
        <v>7</v>
      </c>
      <c r="C624" s="2" t="s">
        <v>31</v>
      </c>
      <c r="D624" s="3">
        <v>46284</v>
      </c>
      <c r="E624" s="2" t="s">
        <v>231</v>
      </c>
      <c r="F624" s="2" t="s">
        <v>225</v>
      </c>
      <c r="G624" s="4">
        <v>5</v>
      </c>
      <c r="H624" s="4">
        <v>5</v>
      </c>
      <c r="I624" s="4">
        <v>0</v>
      </c>
      <c r="J624" s="5">
        <v>10.199999999999999</v>
      </c>
      <c r="K624" s="2" t="s">
        <v>226</v>
      </c>
      <c r="L624" s="2" t="s">
        <v>227</v>
      </c>
    </row>
    <row r="625" spans="1:12" ht="15">
      <c r="A625" s="2" t="s">
        <v>130</v>
      </c>
      <c r="B625" s="2">
        <v>1</v>
      </c>
      <c r="C625" s="2" t="s">
        <v>33</v>
      </c>
      <c r="D625" s="3">
        <v>46284</v>
      </c>
      <c r="E625" s="2" t="s">
        <v>224</v>
      </c>
      <c r="F625" s="2" t="s">
        <v>225</v>
      </c>
      <c r="G625" s="4">
        <v>9.9</v>
      </c>
      <c r="H625" s="4">
        <v>9.9</v>
      </c>
      <c r="I625" s="4">
        <v>0</v>
      </c>
      <c r="J625" s="5">
        <v>5.2</v>
      </c>
      <c r="K625" s="2" t="s">
        <v>226</v>
      </c>
      <c r="L625" s="2" t="s">
        <v>227</v>
      </c>
    </row>
    <row r="626" spans="1:12" ht="15">
      <c r="A626" s="2" t="s">
        <v>130</v>
      </c>
      <c r="B626" s="2">
        <v>2</v>
      </c>
      <c r="C626" s="2" t="s">
        <v>33</v>
      </c>
      <c r="D626" s="3">
        <v>46284</v>
      </c>
      <c r="E626" s="2" t="s">
        <v>239</v>
      </c>
      <c r="F626" s="2" t="s">
        <v>225</v>
      </c>
      <c r="G626" s="4">
        <v>8.1</v>
      </c>
      <c r="H626" s="4">
        <v>7.6</v>
      </c>
      <c r="I626" s="4">
        <v>0</v>
      </c>
      <c r="J626" s="5">
        <v>4.8</v>
      </c>
      <c r="K626" s="2" t="s">
        <v>246</v>
      </c>
      <c r="L626" s="2" t="s">
        <v>227</v>
      </c>
    </row>
    <row r="627" spans="1:12" ht="15">
      <c r="A627" s="2" t="s">
        <v>130</v>
      </c>
      <c r="B627" s="2">
        <v>3</v>
      </c>
      <c r="C627" s="2" t="s">
        <v>33</v>
      </c>
      <c r="D627" s="3">
        <v>46284</v>
      </c>
      <c r="E627" s="2" t="s">
        <v>243</v>
      </c>
      <c r="F627" s="2" t="s">
        <v>225</v>
      </c>
      <c r="G627" s="4">
        <v>11.7</v>
      </c>
      <c r="H627" s="4">
        <v>11.7</v>
      </c>
      <c r="I627" s="4">
        <v>0</v>
      </c>
      <c r="J627" s="5">
        <v>4.4000000000000004</v>
      </c>
      <c r="K627" s="2" t="s">
        <v>226</v>
      </c>
      <c r="L627" s="2" t="s">
        <v>227</v>
      </c>
    </row>
    <row r="628" spans="1:12" ht="15">
      <c r="A628" s="2" t="s">
        <v>130</v>
      </c>
      <c r="B628" s="2">
        <v>4</v>
      </c>
      <c r="C628" s="2" t="s">
        <v>33</v>
      </c>
      <c r="D628" s="3">
        <v>46284</v>
      </c>
      <c r="E628" s="2" t="s">
        <v>229</v>
      </c>
      <c r="F628" s="2" t="s">
        <v>225</v>
      </c>
      <c r="G628" s="4">
        <v>6.3</v>
      </c>
      <c r="H628" s="4">
        <v>6.3</v>
      </c>
      <c r="I628" s="4">
        <v>0</v>
      </c>
      <c r="J628" s="5">
        <v>2.7</v>
      </c>
      <c r="K628" s="2" t="s">
        <v>226</v>
      </c>
      <c r="L628" s="2" t="s">
        <v>227</v>
      </c>
    </row>
    <row r="629" spans="1:12" ht="15">
      <c r="A629" s="2" t="s">
        <v>130</v>
      </c>
      <c r="B629" s="2">
        <v>5</v>
      </c>
      <c r="C629" s="2" t="s">
        <v>33</v>
      </c>
      <c r="D629" s="3">
        <v>46284</v>
      </c>
      <c r="E629" s="2" t="s">
        <v>241</v>
      </c>
      <c r="F629" s="2" t="s">
        <v>225</v>
      </c>
      <c r="G629" s="4">
        <v>6.3</v>
      </c>
      <c r="H629" s="4">
        <v>6.3</v>
      </c>
      <c r="I629" s="4">
        <v>0</v>
      </c>
      <c r="J629" s="5">
        <v>3.5</v>
      </c>
      <c r="K629" s="2" t="s">
        <v>226</v>
      </c>
      <c r="L629" s="2" t="s">
        <v>227</v>
      </c>
    </row>
    <row r="630" spans="1:12" ht="15">
      <c r="A630" s="2" t="s">
        <v>130</v>
      </c>
      <c r="B630" s="2">
        <v>6</v>
      </c>
      <c r="C630" s="2" t="s">
        <v>33</v>
      </c>
      <c r="D630" s="3">
        <v>46284</v>
      </c>
      <c r="E630" s="2" t="s">
        <v>228</v>
      </c>
      <c r="F630" s="2" t="s">
        <v>225</v>
      </c>
      <c r="G630" s="4">
        <v>9.9</v>
      </c>
      <c r="H630" s="4">
        <v>9.9</v>
      </c>
      <c r="I630" s="4">
        <v>0</v>
      </c>
      <c r="J630" s="5">
        <v>3.2</v>
      </c>
      <c r="K630" s="2" t="s">
        <v>226</v>
      </c>
      <c r="L630" s="2" t="s">
        <v>227</v>
      </c>
    </row>
    <row r="631" spans="1:12" ht="15">
      <c r="A631" s="2" t="s">
        <v>130</v>
      </c>
      <c r="B631" s="2">
        <v>7</v>
      </c>
      <c r="C631" s="2" t="s">
        <v>33</v>
      </c>
      <c r="D631" s="3">
        <v>46284</v>
      </c>
      <c r="E631" s="2" t="s">
        <v>231</v>
      </c>
      <c r="F631" s="2" t="s">
        <v>225</v>
      </c>
      <c r="G631" s="4">
        <v>9</v>
      </c>
      <c r="H631" s="4">
        <v>9</v>
      </c>
      <c r="I631" s="4">
        <v>0</v>
      </c>
      <c r="J631" s="5">
        <v>10.199999999999999</v>
      </c>
      <c r="K631" s="2" t="s">
        <v>226</v>
      </c>
      <c r="L631" s="2" t="s">
        <v>227</v>
      </c>
    </row>
    <row r="632" spans="1:12" ht="15">
      <c r="A632" s="2" t="s">
        <v>130</v>
      </c>
      <c r="B632" s="2">
        <v>8</v>
      </c>
      <c r="C632" s="2" t="s">
        <v>33</v>
      </c>
      <c r="D632" s="3">
        <v>46284</v>
      </c>
      <c r="E632" s="2" t="s">
        <v>232</v>
      </c>
      <c r="F632" s="2" t="s">
        <v>225</v>
      </c>
      <c r="G632" s="4">
        <v>1</v>
      </c>
      <c r="H632" s="4">
        <v>0.5</v>
      </c>
      <c r="I632" s="4">
        <v>0</v>
      </c>
      <c r="J632" s="5">
        <v>7.3</v>
      </c>
      <c r="K632" s="2" t="s">
        <v>246</v>
      </c>
      <c r="L632" s="2" t="s">
        <v>227</v>
      </c>
    </row>
    <row r="633" spans="1:12" ht="15">
      <c r="A633" s="2" t="s">
        <v>131</v>
      </c>
      <c r="B633" s="2">
        <v>1</v>
      </c>
      <c r="C633" s="2" t="s">
        <v>29</v>
      </c>
      <c r="D633" s="3">
        <v>46285</v>
      </c>
      <c r="E633" s="2" t="s">
        <v>224</v>
      </c>
      <c r="F633" s="2" t="s">
        <v>225</v>
      </c>
      <c r="G633" s="4">
        <v>7.7</v>
      </c>
      <c r="H633" s="4">
        <v>7.7</v>
      </c>
      <c r="I633" s="4">
        <v>0</v>
      </c>
      <c r="J633" s="5">
        <v>5.2</v>
      </c>
      <c r="K633" s="2" t="s">
        <v>226</v>
      </c>
      <c r="L633" s="2" t="s">
        <v>227</v>
      </c>
    </row>
    <row r="634" spans="1:12" ht="15">
      <c r="A634" s="2" t="s">
        <v>131</v>
      </c>
      <c r="B634" s="2">
        <v>2</v>
      </c>
      <c r="C634" s="2" t="s">
        <v>29</v>
      </c>
      <c r="D634" s="3">
        <v>46285</v>
      </c>
      <c r="E634" s="2" t="s">
        <v>250</v>
      </c>
      <c r="F634" s="2" t="s">
        <v>225</v>
      </c>
      <c r="G634" s="4">
        <v>7.7</v>
      </c>
      <c r="H634" s="4">
        <v>7.7</v>
      </c>
      <c r="I634" s="4">
        <v>0</v>
      </c>
      <c r="J634" s="5">
        <v>5</v>
      </c>
      <c r="K634" s="2" t="s">
        <v>226</v>
      </c>
      <c r="L634" s="2" t="s">
        <v>227</v>
      </c>
    </row>
    <row r="635" spans="1:12" ht="15">
      <c r="A635" s="2" t="s">
        <v>131</v>
      </c>
      <c r="B635" s="2">
        <v>3</v>
      </c>
      <c r="C635" s="2" t="s">
        <v>29</v>
      </c>
      <c r="D635" s="3">
        <v>46285</v>
      </c>
      <c r="E635" s="2" t="s">
        <v>228</v>
      </c>
      <c r="F635" s="2" t="s">
        <v>225</v>
      </c>
      <c r="G635" s="4">
        <v>8.3000000000000007</v>
      </c>
      <c r="H635" s="4">
        <v>8</v>
      </c>
      <c r="I635" s="4">
        <v>0</v>
      </c>
      <c r="J635" s="5">
        <v>3.2</v>
      </c>
      <c r="K635" s="2" t="s">
        <v>246</v>
      </c>
      <c r="L635" s="2" t="s">
        <v>227</v>
      </c>
    </row>
    <row r="636" spans="1:12" ht="15">
      <c r="A636" s="2" t="s">
        <v>131</v>
      </c>
      <c r="B636" s="2">
        <v>4</v>
      </c>
      <c r="C636" s="2" t="s">
        <v>29</v>
      </c>
      <c r="D636" s="3">
        <v>46285</v>
      </c>
      <c r="E636" s="2" t="s">
        <v>230</v>
      </c>
      <c r="F636" s="2" t="s">
        <v>225</v>
      </c>
      <c r="G636" s="4">
        <v>8.3000000000000007</v>
      </c>
      <c r="H636" s="4">
        <v>8.3000000000000007</v>
      </c>
      <c r="I636" s="4">
        <v>0</v>
      </c>
      <c r="J636" s="5">
        <v>2.6</v>
      </c>
      <c r="K636" s="2" t="s">
        <v>226</v>
      </c>
      <c r="L636" s="2" t="s">
        <v>227</v>
      </c>
    </row>
    <row r="637" spans="1:12" ht="15">
      <c r="A637" s="2" t="s">
        <v>131</v>
      </c>
      <c r="B637" s="2">
        <v>5</v>
      </c>
      <c r="C637" s="2" t="s">
        <v>29</v>
      </c>
      <c r="D637" s="3">
        <v>46285</v>
      </c>
      <c r="E637" s="2" t="s">
        <v>241</v>
      </c>
      <c r="F637" s="2" t="s">
        <v>225</v>
      </c>
      <c r="G637" s="4">
        <v>6.1</v>
      </c>
      <c r="H637" s="4">
        <v>6.1</v>
      </c>
      <c r="I637" s="4">
        <v>0</v>
      </c>
      <c r="J637" s="5">
        <v>3.5</v>
      </c>
      <c r="K637" s="2" t="s">
        <v>226</v>
      </c>
      <c r="L637" s="2" t="s">
        <v>227</v>
      </c>
    </row>
    <row r="638" spans="1:12" ht="15">
      <c r="A638" s="2" t="s">
        <v>132</v>
      </c>
      <c r="B638" s="2">
        <v>1</v>
      </c>
      <c r="C638" s="2" t="s">
        <v>32</v>
      </c>
      <c r="D638" s="3">
        <v>46285</v>
      </c>
      <c r="E638" s="2" t="s">
        <v>237</v>
      </c>
      <c r="F638" s="2" t="s">
        <v>225</v>
      </c>
      <c r="G638" s="4">
        <v>14.7</v>
      </c>
      <c r="H638" s="4">
        <v>14.7</v>
      </c>
      <c r="I638" s="4">
        <v>0</v>
      </c>
      <c r="J638" s="5">
        <v>4.3</v>
      </c>
      <c r="K638" s="2" t="s">
        <v>226</v>
      </c>
      <c r="L638" s="2" t="s">
        <v>227</v>
      </c>
    </row>
    <row r="639" spans="1:12" ht="15">
      <c r="A639" s="2" t="s">
        <v>132</v>
      </c>
      <c r="B639" s="2">
        <v>2</v>
      </c>
      <c r="C639" s="2" t="s">
        <v>32</v>
      </c>
      <c r="D639" s="3">
        <v>46285</v>
      </c>
      <c r="E639" s="2" t="s">
        <v>243</v>
      </c>
      <c r="F639" s="2" t="s">
        <v>225</v>
      </c>
      <c r="G639" s="4">
        <v>13.8</v>
      </c>
      <c r="H639" s="4">
        <v>13.8</v>
      </c>
      <c r="I639" s="4">
        <v>0</v>
      </c>
      <c r="J639" s="5">
        <v>4.4000000000000004</v>
      </c>
      <c r="K639" s="2" t="s">
        <v>226</v>
      </c>
      <c r="L639" s="2" t="s">
        <v>227</v>
      </c>
    </row>
    <row r="640" spans="1:12" ht="15">
      <c r="A640" s="2" t="s">
        <v>132</v>
      </c>
      <c r="B640" s="2">
        <v>3</v>
      </c>
      <c r="C640" s="2" t="s">
        <v>32</v>
      </c>
      <c r="D640" s="3">
        <v>46285</v>
      </c>
      <c r="E640" s="2" t="s">
        <v>240</v>
      </c>
      <c r="F640" s="2" t="s">
        <v>225</v>
      </c>
      <c r="G640" s="4">
        <v>6.9</v>
      </c>
      <c r="H640" s="4">
        <v>6.9</v>
      </c>
      <c r="I640" s="4">
        <v>0</v>
      </c>
      <c r="J640" s="5">
        <v>6</v>
      </c>
      <c r="K640" s="2" t="s">
        <v>226</v>
      </c>
      <c r="L640" s="2" t="s">
        <v>227</v>
      </c>
    </row>
    <row r="641" spans="1:12" ht="15">
      <c r="A641" s="2" t="s">
        <v>132</v>
      </c>
      <c r="B641" s="2">
        <v>4</v>
      </c>
      <c r="C641" s="2" t="s">
        <v>32</v>
      </c>
      <c r="D641" s="3">
        <v>46285</v>
      </c>
      <c r="E641" s="2" t="s">
        <v>248</v>
      </c>
      <c r="F641" s="2" t="s">
        <v>225</v>
      </c>
      <c r="G641" s="4">
        <v>15.7</v>
      </c>
      <c r="H641" s="4">
        <v>15.7</v>
      </c>
      <c r="I641" s="4">
        <v>0</v>
      </c>
      <c r="J641" s="5">
        <v>5.25</v>
      </c>
      <c r="K641" s="2" t="s">
        <v>226</v>
      </c>
      <c r="L641" s="2" t="s">
        <v>227</v>
      </c>
    </row>
    <row r="642" spans="1:12" ht="15">
      <c r="A642" s="2" t="s">
        <v>132</v>
      </c>
      <c r="B642" s="2">
        <v>5</v>
      </c>
      <c r="C642" s="2" t="s">
        <v>32</v>
      </c>
      <c r="D642" s="3">
        <v>46285</v>
      </c>
      <c r="E642" s="2" t="s">
        <v>247</v>
      </c>
      <c r="F642" s="2" t="s">
        <v>225</v>
      </c>
      <c r="G642" s="4">
        <v>10.8</v>
      </c>
      <c r="H642" s="4">
        <v>10.8</v>
      </c>
      <c r="I642" s="4">
        <v>0</v>
      </c>
      <c r="J642" s="5">
        <v>4.8</v>
      </c>
      <c r="K642" s="2" t="s">
        <v>226</v>
      </c>
      <c r="L642" s="2" t="s">
        <v>227</v>
      </c>
    </row>
    <row r="643" spans="1:12" ht="15">
      <c r="A643" s="2" t="s">
        <v>132</v>
      </c>
      <c r="B643" s="2">
        <v>6</v>
      </c>
      <c r="C643" s="2" t="s">
        <v>32</v>
      </c>
      <c r="D643" s="3">
        <v>46285</v>
      </c>
      <c r="E643" s="2" t="s">
        <v>250</v>
      </c>
      <c r="F643" s="2" t="s">
        <v>225</v>
      </c>
      <c r="G643" s="4">
        <v>6.9</v>
      </c>
      <c r="H643" s="4">
        <v>6.9</v>
      </c>
      <c r="I643" s="4">
        <v>0</v>
      </c>
      <c r="J643" s="5">
        <v>5</v>
      </c>
      <c r="K643" s="2" t="s">
        <v>226</v>
      </c>
      <c r="L643" s="2" t="s">
        <v>227</v>
      </c>
    </row>
    <row r="644" spans="1:12" ht="15">
      <c r="A644" s="2" t="s">
        <v>132</v>
      </c>
      <c r="B644" s="2">
        <v>7</v>
      </c>
      <c r="C644" s="2" t="s">
        <v>32</v>
      </c>
      <c r="D644" s="3">
        <v>46285</v>
      </c>
      <c r="E644" s="2" t="s">
        <v>231</v>
      </c>
      <c r="F644" s="2" t="s">
        <v>225</v>
      </c>
      <c r="G644" s="4">
        <v>12</v>
      </c>
      <c r="H644" s="4">
        <v>12</v>
      </c>
      <c r="I644" s="4">
        <v>0</v>
      </c>
      <c r="J644" s="5">
        <v>10.199999999999999</v>
      </c>
      <c r="K644" s="2" t="s">
        <v>226</v>
      </c>
      <c r="L644" s="2" t="s">
        <v>227</v>
      </c>
    </row>
    <row r="645" spans="1:12" ht="15">
      <c r="A645" s="2" t="s">
        <v>133</v>
      </c>
      <c r="B645" s="2">
        <v>1</v>
      </c>
      <c r="C645" s="2" t="s">
        <v>33</v>
      </c>
      <c r="D645" s="3">
        <v>46285</v>
      </c>
      <c r="E645" s="2" t="s">
        <v>224</v>
      </c>
      <c r="F645" s="2" t="s">
        <v>225</v>
      </c>
      <c r="G645" s="4">
        <v>10.9</v>
      </c>
      <c r="H645" s="4">
        <v>10.9</v>
      </c>
      <c r="I645" s="4">
        <v>0.2</v>
      </c>
      <c r="J645" s="5">
        <v>5.2</v>
      </c>
      <c r="K645" s="2" t="s">
        <v>249</v>
      </c>
      <c r="L645" s="2" t="s">
        <v>227</v>
      </c>
    </row>
    <row r="646" spans="1:12" ht="15">
      <c r="A646" s="2" t="s">
        <v>133</v>
      </c>
      <c r="B646" s="2">
        <v>2</v>
      </c>
      <c r="C646" s="2" t="s">
        <v>33</v>
      </c>
      <c r="D646" s="3">
        <v>46285</v>
      </c>
      <c r="E646" s="2" t="s">
        <v>228</v>
      </c>
      <c r="F646" s="2" t="s">
        <v>225</v>
      </c>
      <c r="G646" s="4">
        <v>9.5</v>
      </c>
      <c r="H646" s="4">
        <v>9.5</v>
      </c>
      <c r="I646" s="4">
        <v>0</v>
      </c>
      <c r="J646" s="5">
        <v>3.2</v>
      </c>
      <c r="K646" s="2" t="s">
        <v>226</v>
      </c>
      <c r="L646" s="2" t="s">
        <v>227</v>
      </c>
    </row>
    <row r="647" spans="1:12" ht="15">
      <c r="A647" s="2" t="s">
        <v>133</v>
      </c>
      <c r="B647" s="2">
        <v>3</v>
      </c>
      <c r="C647" s="2" t="s">
        <v>33</v>
      </c>
      <c r="D647" s="3">
        <v>46285</v>
      </c>
      <c r="E647" s="2" t="s">
        <v>238</v>
      </c>
      <c r="F647" s="2" t="s">
        <v>225</v>
      </c>
      <c r="G647" s="4">
        <v>8.1999999999999993</v>
      </c>
      <c r="H647" s="4">
        <v>8.1999999999999993</v>
      </c>
      <c r="I647" s="4">
        <v>0</v>
      </c>
      <c r="J647" s="5">
        <v>3.4</v>
      </c>
      <c r="K647" s="2" t="s">
        <v>226</v>
      </c>
      <c r="L647" s="2" t="s">
        <v>227</v>
      </c>
    </row>
    <row r="648" spans="1:12" ht="15">
      <c r="A648" s="2" t="s">
        <v>133</v>
      </c>
      <c r="B648" s="2">
        <v>4</v>
      </c>
      <c r="C648" s="2" t="s">
        <v>33</v>
      </c>
      <c r="D648" s="3">
        <v>46285</v>
      </c>
      <c r="E648" s="2" t="s">
        <v>247</v>
      </c>
      <c r="F648" s="2" t="s">
        <v>225</v>
      </c>
      <c r="G648" s="4">
        <v>8.1999999999999993</v>
      </c>
      <c r="H648" s="4">
        <v>8.1999999999999993</v>
      </c>
      <c r="I648" s="4">
        <v>0</v>
      </c>
      <c r="J648" s="5">
        <v>4.8</v>
      </c>
      <c r="K648" s="2" t="s">
        <v>226</v>
      </c>
      <c r="L648" s="2" t="s">
        <v>227</v>
      </c>
    </row>
    <row r="649" spans="1:12" ht="15">
      <c r="A649" s="2" t="s">
        <v>133</v>
      </c>
      <c r="B649" s="2">
        <v>5</v>
      </c>
      <c r="C649" s="2" t="s">
        <v>33</v>
      </c>
      <c r="D649" s="3">
        <v>46285</v>
      </c>
      <c r="E649" s="2" t="s">
        <v>239</v>
      </c>
      <c r="F649" s="2" t="s">
        <v>225</v>
      </c>
      <c r="G649" s="4">
        <v>8.1999999999999993</v>
      </c>
      <c r="H649" s="4">
        <v>8.1999999999999993</v>
      </c>
      <c r="I649" s="4">
        <v>0</v>
      </c>
      <c r="J649" s="5">
        <v>4.8</v>
      </c>
      <c r="K649" s="2" t="s">
        <v>226</v>
      </c>
      <c r="L649" s="2" t="s">
        <v>227</v>
      </c>
    </row>
    <row r="650" spans="1:12" ht="15">
      <c r="A650" s="2" t="s">
        <v>133</v>
      </c>
      <c r="B650" s="2">
        <v>6</v>
      </c>
      <c r="C650" s="2" t="s">
        <v>33</v>
      </c>
      <c r="D650" s="3">
        <v>46285</v>
      </c>
      <c r="E650" s="2" t="s">
        <v>243</v>
      </c>
      <c r="F650" s="2" t="s">
        <v>225</v>
      </c>
      <c r="G650" s="4">
        <v>7.5</v>
      </c>
      <c r="H650" s="4">
        <v>7.5</v>
      </c>
      <c r="I650" s="4">
        <v>0</v>
      </c>
      <c r="J650" s="5">
        <v>4.4000000000000004</v>
      </c>
      <c r="K650" s="2" t="s">
        <v>226</v>
      </c>
      <c r="L650" s="2" t="s">
        <v>227</v>
      </c>
    </row>
    <row r="651" spans="1:12" ht="15">
      <c r="A651" s="2" t="s">
        <v>134</v>
      </c>
      <c r="B651" s="2">
        <v>1</v>
      </c>
      <c r="C651" s="2" t="s">
        <v>28</v>
      </c>
      <c r="D651" s="3">
        <v>46286</v>
      </c>
      <c r="E651" s="2" t="s">
        <v>245</v>
      </c>
      <c r="F651" s="2" t="s">
        <v>225</v>
      </c>
      <c r="G651" s="4">
        <v>2.2000000000000002</v>
      </c>
      <c r="H651" s="4">
        <v>1.7</v>
      </c>
      <c r="I651" s="4">
        <v>0.2</v>
      </c>
      <c r="J651" s="5">
        <v>4.5</v>
      </c>
      <c r="K651" s="2" t="s">
        <v>252</v>
      </c>
      <c r="L651" s="2" t="s">
        <v>227</v>
      </c>
    </row>
    <row r="652" spans="1:12" ht="15">
      <c r="A652" s="2" t="s">
        <v>134</v>
      </c>
      <c r="B652" s="2">
        <v>2</v>
      </c>
      <c r="C652" s="2" t="s">
        <v>28</v>
      </c>
      <c r="D652" s="3">
        <v>46286</v>
      </c>
      <c r="E652" s="2" t="s">
        <v>230</v>
      </c>
      <c r="F652" s="2" t="s">
        <v>225</v>
      </c>
      <c r="G652" s="4">
        <v>3.2</v>
      </c>
      <c r="H652" s="4">
        <v>3.2</v>
      </c>
      <c r="I652" s="4">
        <v>0</v>
      </c>
      <c r="J652" s="5">
        <v>2.6</v>
      </c>
      <c r="K652" s="2" t="s">
        <v>226</v>
      </c>
      <c r="L652" s="2" t="s">
        <v>227</v>
      </c>
    </row>
    <row r="653" spans="1:12" ht="15">
      <c r="A653" s="2" t="s">
        <v>134</v>
      </c>
      <c r="B653" s="2">
        <v>3</v>
      </c>
      <c r="C653" s="2" t="s">
        <v>28</v>
      </c>
      <c r="D653" s="3">
        <v>46286</v>
      </c>
      <c r="E653" s="2" t="s">
        <v>243</v>
      </c>
      <c r="F653" s="2" t="s">
        <v>225</v>
      </c>
      <c r="G653" s="4">
        <v>3.5</v>
      </c>
      <c r="H653" s="4">
        <v>3.5</v>
      </c>
      <c r="I653" s="4">
        <v>0</v>
      </c>
      <c r="J653" s="5">
        <v>4.4000000000000004</v>
      </c>
      <c r="K653" s="2" t="s">
        <v>226</v>
      </c>
      <c r="L653" s="2" t="s">
        <v>227</v>
      </c>
    </row>
    <row r="654" spans="1:12" ht="15">
      <c r="A654" s="2" t="s">
        <v>134</v>
      </c>
      <c r="B654" s="2">
        <v>4</v>
      </c>
      <c r="C654" s="2" t="s">
        <v>28</v>
      </c>
      <c r="D654" s="3">
        <v>46286</v>
      </c>
      <c r="E654" s="2" t="s">
        <v>247</v>
      </c>
      <c r="F654" s="2" t="s">
        <v>225</v>
      </c>
      <c r="G654" s="4">
        <v>2.9</v>
      </c>
      <c r="H654" s="4">
        <v>2.9</v>
      </c>
      <c r="I654" s="4">
        <v>0</v>
      </c>
      <c r="J654" s="5">
        <v>4.8</v>
      </c>
      <c r="K654" s="2" t="s">
        <v>226</v>
      </c>
      <c r="L654" s="2" t="s">
        <v>227</v>
      </c>
    </row>
    <row r="655" spans="1:12" ht="15">
      <c r="A655" s="2" t="s">
        <v>135</v>
      </c>
      <c r="B655" s="2">
        <v>1</v>
      </c>
      <c r="C655" s="2" t="s">
        <v>30</v>
      </c>
      <c r="D655" s="3">
        <v>46286</v>
      </c>
      <c r="E655" s="2" t="s">
        <v>237</v>
      </c>
      <c r="F655" s="2" t="s">
        <v>225</v>
      </c>
      <c r="G655" s="4">
        <v>6.5</v>
      </c>
      <c r="H655" s="4">
        <v>6.5</v>
      </c>
      <c r="I655" s="4">
        <v>0</v>
      </c>
      <c r="J655" s="5">
        <v>4.3</v>
      </c>
      <c r="K655" s="2" t="s">
        <v>226</v>
      </c>
      <c r="L655" s="2" t="s">
        <v>227</v>
      </c>
    </row>
    <row r="656" spans="1:12" ht="15">
      <c r="A656" s="2" t="s">
        <v>135</v>
      </c>
      <c r="B656" s="2">
        <v>2</v>
      </c>
      <c r="C656" s="2" t="s">
        <v>30</v>
      </c>
      <c r="D656" s="3">
        <v>46286</v>
      </c>
      <c r="E656" s="2" t="s">
        <v>241</v>
      </c>
      <c r="F656" s="2" t="s">
        <v>225</v>
      </c>
      <c r="G656" s="4">
        <v>4.5999999999999996</v>
      </c>
      <c r="H656" s="4">
        <v>4.5999999999999996</v>
      </c>
      <c r="I656" s="4">
        <v>0</v>
      </c>
      <c r="J656" s="5">
        <v>3.5</v>
      </c>
      <c r="K656" s="2" t="s">
        <v>226</v>
      </c>
      <c r="L656" s="2" t="s">
        <v>227</v>
      </c>
    </row>
    <row r="657" spans="1:12" ht="15">
      <c r="A657" s="2" t="s">
        <v>135</v>
      </c>
      <c r="B657" s="2">
        <v>3</v>
      </c>
      <c r="C657" s="2" t="s">
        <v>30</v>
      </c>
      <c r="D657" s="3">
        <v>46286</v>
      </c>
      <c r="E657" s="2" t="s">
        <v>229</v>
      </c>
      <c r="F657" s="2" t="s">
        <v>225</v>
      </c>
      <c r="G657" s="4">
        <v>4.5999999999999996</v>
      </c>
      <c r="H657" s="4">
        <v>4.0999999999999996</v>
      </c>
      <c r="I657" s="4">
        <v>0</v>
      </c>
      <c r="J657" s="5">
        <v>2.7</v>
      </c>
      <c r="K657" s="2" t="s">
        <v>246</v>
      </c>
      <c r="L657" s="2" t="s">
        <v>227</v>
      </c>
    </row>
    <row r="658" spans="1:12" ht="15">
      <c r="A658" s="2" t="s">
        <v>135</v>
      </c>
      <c r="B658" s="2">
        <v>4</v>
      </c>
      <c r="C658" s="2" t="s">
        <v>30</v>
      </c>
      <c r="D658" s="3">
        <v>46286</v>
      </c>
      <c r="E658" s="2" t="s">
        <v>238</v>
      </c>
      <c r="F658" s="2" t="s">
        <v>225</v>
      </c>
      <c r="G658" s="4">
        <v>8.5</v>
      </c>
      <c r="H658" s="4">
        <v>8.3000000000000007</v>
      </c>
      <c r="I658" s="4">
        <v>0</v>
      </c>
      <c r="J658" s="5">
        <v>3.4</v>
      </c>
      <c r="K658" s="2" t="s">
        <v>246</v>
      </c>
      <c r="L658" s="2" t="s">
        <v>227</v>
      </c>
    </row>
    <row r="659" spans="1:12" ht="15">
      <c r="A659" s="2" t="s">
        <v>135</v>
      </c>
      <c r="B659" s="2">
        <v>5</v>
      </c>
      <c r="C659" s="2" t="s">
        <v>30</v>
      </c>
      <c r="D659" s="3">
        <v>46286</v>
      </c>
      <c r="E659" s="2" t="s">
        <v>230</v>
      </c>
      <c r="F659" s="2" t="s">
        <v>225</v>
      </c>
      <c r="G659" s="4">
        <v>5.2</v>
      </c>
      <c r="H659" s="4">
        <v>5.2</v>
      </c>
      <c r="I659" s="4">
        <v>0</v>
      </c>
      <c r="J659" s="5">
        <v>2.6</v>
      </c>
      <c r="K659" s="2" t="s">
        <v>226</v>
      </c>
      <c r="L659" s="2" t="s">
        <v>227</v>
      </c>
    </row>
    <row r="660" spans="1:12" ht="15">
      <c r="A660" s="2" t="s">
        <v>135</v>
      </c>
      <c r="B660" s="2">
        <v>6</v>
      </c>
      <c r="C660" s="2" t="s">
        <v>30</v>
      </c>
      <c r="D660" s="3">
        <v>46286</v>
      </c>
      <c r="E660" s="2" t="s">
        <v>243</v>
      </c>
      <c r="F660" s="2" t="s">
        <v>225</v>
      </c>
      <c r="G660" s="4">
        <v>8.5</v>
      </c>
      <c r="H660" s="4">
        <v>8.5</v>
      </c>
      <c r="I660" s="4">
        <v>0</v>
      </c>
      <c r="J660" s="5">
        <v>4.4000000000000004</v>
      </c>
      <c r="K660" s="2" t="s">
        <v>226</v>
      </c>
      <c r="L660" s="2" t="s">
        <v>227</v>
      </c>
    </row>
    <row r="661" spans="1:12" ht="15">
      <c r="A661" s="2" t="s">
        <v>136</v>
      </c>
      <c r="B661" s="2">
        <v>1</v>
      </c>
      <c r="C661" s="2" t="s">
        <v>32</v>
      </c>
      <c r="D661" s="3">
        <v>46286</v>
      </c>
      <c r="E661" s="2" t="s">
        <v>245</v>
      </c>
      <c r="F661" s="2" t="s">
        <v>225</v>
      </c>
      <c r="G661" s="4">
        <v>15.2</v>
      </c>
      <c r="H661" s="4">
        <v>15.2</v>
      </c>
      <c r="I661" s="4">
        <v>0</v>
      </c>
      <c r="J661" s="5">
        <v>4.5</v>
      </c>
      <c r="K661" s="2" t="s">
        <v>226</v>
      </c>
      <c r="L661" s="2" t="s">
        <v>227</v>
      </c>
    </row>
    <row r="662" spans="1:12" ht="15">
      <c r="A662" s="2" t="s">
        <v>136</v>
      </c>
      <c r="B662" s="2">
        <v>2</v>
      </c>
      <c r="C662" s="2" t="s">
        <v>32</v>
      </c>
      <c r="D662" s="3">
        <v>46286</v>
      </c>
      <c r="E662" s="2" t="s">
        <v>230</v>
      </c>
      <c r="F662" s="2" t="s">
        <v>225</v>
      </c>
      <c r="G662" s="4">
        <v>15.2</v>
      </c>
      <c r="H662" s="4">
        <v>15.2</v>
      </c>
      <c r="I662" s="4">
        <v>0</v>
      </c>
      <c r="J662" s="5">
        <v>2.6</v>
      </c>
      <c r="K662" s="2" t="s">
        <v>226</v>
      </c>
      <c r="L662" s="2" t="s">
        <v>227</v>
      </c>
    </row>
    <row r="663" spans="1:12" ht="15">
      <c r="A663" s="2" t="s">
        <v>136</v>
      </c>
      <c r="B663" s="2">
        <v>3</v>
      </c>
      <c r="C663" s="2" t="s">
        <v>32</v>
      </c>
      <c r="D663" s="3">
        <v>46286</v>
      </c>
      <c r="E663" s="2" t="s">
        <v>250</v>
      </c>
      <c r="F663" s="2" t="s">
        <v>225</v>
      </c>
      <c r="G663" s="4">
        <v>12.3</v>
      </c>
      <c r="H663" s="4">
        <v>12.3</v>
      </c>
      <c r="I663" s="4">
        <v>0</v>
      </c>
      <c r="J663" s="5">
        <v>5</v>
      </c>
      <c r="K663" s="2" t="s">
        <v>226</v>
      </c>
      <c r="L663" s="2" t="s">
        <v>227</v>
      </c>
    </row>
    <row r="664" spans="1:12" ht="15">
      <c r="A664" s="2" t="s">
        <v>136</v>
      </c>
      <c r="B664" s="2">
        <v>4</v>
      </c>
      <c r="C664" s="2" t="s">
        <v>32</v>
      </c>
      <c r="D664" s="3">
        <v>46286</v>
      </c>
      <c r="E664" s="2" t="s">
        <v>228</v>
      </c>
      <c r="F664" s="2" t="s">
        <v>225</v>
      </c>
      <c r="G664" s="4">
        <v>6.6</v>
      </c>
      <c r="H664" s="4">
        <v>6.6</v>
      </c>
      <c r="I664" s="4">
        <v>0</v>
      </c>
      <c r="J664" s="5">
        <v>3.2</v>
      </c>
      <c r="K664" s="2" t="s">
        <v>226</v>
      </c>
      <c r="L664" s="2" t="s">
        <v>227</v>
      </c>
    </row>
    <row r="665" spans="1:12" ht="15">
      <c r="A665" s="2" t="s">
        <v>136</v>
      </c>
      <c r="B665" s="2">
        <v>5</v>
      </c>
      <c r="C665" s="2" t="s">
        <v>32</v>
      </c>
      <c r="D665" s="3">
        <v>46286</v>
      </c>
      <c r="E665" s="2" t="s">
        <v>247</v>
      </c>
      <c r="F665" s="2" t="s">
        <v>225</v>
      </c>
      <c r="G665" s="4">
        <v>8.5</v>
      </c>
      <c r="H665" s="4">
        <v>8.5</v>
      </c>
      <c r="I665" s="4">
        <v>0</v>
      </c>
      <c r="J665" s="5">
        <v>4.8</v>
      </c>
      <c r="K665" s="2" t="s">
        <v>226</v>
      </c>
      <c r="L665" s="2" t="s">
        <v>227</v>
      </c>
    </row>
    <row r="666" spans="1:12" ht="15">
      <c r="A666" s="2" t="s">
        <v>136</v>
      </c>
      <c r="B666" s="2">
        <v>6</v>
      </c>
      <c r="C666" s="2" t="s">
        <v>32</v>
      </c>
      <c r="D666" s="3">
        <v>46286</v>
      </c>
      <c r="E666" s="2" t="s">
        <v>238</v>
      </c>
      <c r="F666" s="2" t="s">
        <v>225</v>
      </c>
      <c r="G666" s="4">
        <v>8.5</v>
      </c>
      <c r="H666" s="4">
        <v>8.5</v>
      </c>
      <c r="I666" s="4">
        <v>0</v>
      </c>
      <c r="J666" s="5">
        <v>3.4</v>
      </c>
      <c r="K666" s="2" t="s">
        <v>226</v>
      </c>
      <c r="L666" s="2" t="s">
        <v>227</v>
      </c>
    </row>
    <row r="667" spans="1:12" ht="15">
      <c r="A667" s="2" t="s">
        <v>136</v>
      </c>
      <c r="B667" s="2">
        <v>7</v>
      </c>
      <c r="C667" s="2" t="s">
        <v>32</v>
      </c>
      <c r="D667" s="3">
        <v>46286</v>
      </c>
      <c r="E667" s="2" t="s">
        <v>232</v>
      </c>
      <c r="F667" s="2" t="s">
        <v>225</v>
      </c>
      <c r="G667" s="4">
        <v>1</v>
      </c>
      <c r="H667" s="4">
        <v>1</v>
      </c>
      <c r="I667" s="4">
        <v>0</v>
      </c>
      <c r="J667" s="5">
        <v>7.3</v>
      </c>
      <c r="K667" s="2" t="s">
        <v>226</v>
      </c>
      <c r="L667" s="2" t="s">
        <v>227</v>
      </c>
    </row>
    <row r="668" spans="1:12" ht="15">
      <c r="A668" s="2" t="s">
        <v>136</v>
      </c>
      <c r="B668" s="2">
        <v>8</v>
      </c>
      <c r="C668" s="2" t="s">
        <v>32</v>
      </c>
      <c r="D668" s="3">
        <v>46286</v>
      </c>
      <c r="E668" s="2" t="s">
        <v>242</v>
      </c>
      <c r="F668" s="2" t="s">
        <v>236</v>
      </c>
      <c r="G668" s="4">
        <v>6</v>
      </c>
      <c r="H668" s="4">
        <v>6</v>
      </c>
      <c r="I668" s="4">
        <v>0</v>
      </c>
      <c r="J668" s="5">
        <v>119</v>
      </c>
      <c r="K668" s="2" t="s">
        <v>226</v>
      </c>
      <c r="L668" s="2" t="s">
        <v>227</v>
      </c>
    </row>
    <row r="669" spans="1:12" ht="15">
      <c r="A669" s="2" t="s">
        <v>136</v>
      </c>
      <c r="B669" s="2">
        <v>9</v>
      </c>
      <c r="C669" s="2" t="s">
        <v>32</v>
      </c>
      <c r="D669" s="3">
        <v>46286</v>
      </c>
      <c r="E669" s="2" t="s">
        <v>244</v>
      </c>
      <c r="F669" s="2" t="s">
        <v>234</v>
      </c>
      <c r="G669" s="4">
        <v>2</v>
      </c>
      <c r="H669" s="4">
        <v>2</v>
      </c>
      <c r="I669" s="4">
        <v>0</v>
      </c>
      <c r="J669" s="5">
        <v>55</v>
      </c>
      <c r="K669" s="2" t="s">
        <v>226</v>
      </c>
      <c r="L669" s="2" t="s">
        <v>227</v>
      </c>
    </row>
    <row r="670" spans="1:12" ht="15">
      <c r="A670" s="2" t="s">
        <v>137</v>
      </c>
      <c r="B670" s="2">
        <v>1</v>
      </c>
      <c r="C670" s="2" t="s">
        <v>33</v>
      </c>
      <c r="D670" s="3">
        <v>46286</v>
      </c>
      <c r="E670" s="2" t="s">
        <v>237</v>
      </c>
      <c r="F670" s="2" t="s">
        <v>225</v>
      </c>
      <c r="G670" s="4">
        <v>12.1</v>
      </c>
      <c r="H670" s="4">
        <v>12.1</v>
      </c>
      <c r="I670" s="4">
        <v>0</v>
      </c>
      <c r="J670" s="5">
        <v>4.3</v>
      </c>
      <c r="K670" s="2" t="s">
        <v>226</v>
      </c>
      <c r="L670" s="2" t="s">
        <v>227</v>
      </c>
    </row>
    <row r="671" spans="1:12" ht="15">
      <c r="A671" s="2" t="s">
        <v>137</v>
      </c>
      <c r="B671" s="2">
        <v>2</v>
      </c>
      <c r="C671" s="2" t="s">
        <v>33</v>
      </c>
      <c r="D671" s="3">
        <v>46286</v>
      </c>
      <c r="E671" s="2" t="s">
        <v>238</v>
      </c>
      <c r="F671" s="2" t="s">
        <v>225</v>
      </c>
      <c r="G671" s="4">
        <v>11.3</v>
      </c>
      <c r="H671" s="4">
        <v>11.3</v>
      </c>
      <c r="I671" s="4">
        <v>0</v>
      </c>
      <c r="J671" s="5">
        <v>3.4</v>
      </c>
      <c r="K671" s="2" t="s">
        <v>226</v>
      </c>
      <c r="L671" s="2" t="s">
        <v>227</v>
      </c>
    </row>
    <row r="672" spans="1:12" ht="15">
      <c r="A672" s="2" t="s">
        <v>137</v>
      </c>
      <c r="B672" s="2">
        <v>3</v>
      </c>
      <c r="C672" s="2" t="s">
        <v>33</v>
      </c>
      <c r="D672" s="3">
        <v>46286</v>
      </c>
      <c r="E672" s="2" t="s">
        <v>247</v>
      </c>
      <c r="F672" s="2" t="s">
        <v>225</v>
      </c>
      <c r="G672" s="4">
        <v>5.6</v>
      </c>
      <c r="H672" s="4">
        <v>5.6</v>
      </c>
      <c r="I672" s="4">
        <v>0</v>
      </c>
      <c r="J672" s="5">
        <v>4.8</v>
      </c>
      <c r="K672" s="2" t="s">
        <v>226</v>
      </c>
      <c r="L672" s="2" t="s">
        <v>227</v>
      </c>
    </row>
    <row r="673" spans="1:12" ht="15">
      <c r="A673" s="2" t="s">
        <v>137</v>
      </c>
      <c r="B673" s="2">
        <v>4</v>
      </c>
      <c r="C673" s="2" t="s">
        <v>33</v>
      </c>
      <c r="D673" s="3">
        <v>46286</v>
      </c>
      <c r="E673" s="2" t="s">
        <v>240</v>
      </c>
      <c r="F673" s="2" t="s">
        <v>225</v>
      </c>
      <c r="G673" s="4">
        <v>5.6</v>
      </c>
      <c r="H673" s="4">
        <v>5.6</v>
      </c>
      <c r="I673" s="4">
        <v>0</v>
      </c>
      <c r="J673" s="5">
        <v>6</v>
      </c>
      <c r="K673" s="2" t="s">
        <v>226</v>
      </c>
      <c r="L673" s="2" t="s">
        <v>227</v>
      </c>
    </row>
    <row r="674" spans="1:12" ht="15">
      <c r="A674" s="2" t="s">
        <v>137</v>
      </c>
      <c r="B674" s="2">
        <v>5</v>
      </c>
      <c r="C674" s="2" t="s">
        <v>33</v>
      </c>
      <c r="D674" s="3">
        <v>46286</v>
      </c>
      <c r="E674" s="2" t="s">
        <v>248</v>
      </c>
      <c r="F674" s="2" t="s">
        <v>225</v>
      </c>
      <c r="G674" s="4">
        <v>7.2</v>
      </c>
      <c r="H674" s="4">
        <v>7.2</v>
      </c>
      <c r="I674" s="4">
        <v>0</v>
      </c>
      <c r="J674" s="5">
        <v>5.25</v>
      </c>
      <c r="K674" s="2" t="s">
        <v>226</v>
      </c>
      <c r="L674" s="2" t="s">
        <v>227</v>
      </c>
    </row>
    <row r="675" spans="1:12" ht="15">
      <c r="A675" s="2" t="s">
        <v>137</v>
      </c>
      <c r="B675" s="2">
        <v>6</v>
      </c>
      <c r="C675" s="2" t="s">
        <v>33</v>
      </c>
      <c r="D675" s="3">
        <v>46286</v>
      </c>
      <c r="E675" s="2" t="s">
        <v>229</v>
      </c>
      <c r="F675" s="2" t="s">
        <v>225</v>
      </c>
      <c r="G675" s="4">
        <v>5.6</v>
      </c>
      <c r="H675" s="4">
        <v>5.6</v>
      </c>
      <c r="I675" s="4">
        <v>0</v>
      </c>
      <c r="J675" s="5">
        <v>2.7</v>
      </c>
      <c r="K675" s="2" t="s">
        <v>226</v>
      </c>
      <c r="L675" s="2" t="s">
        <v>227</v>
      </c>
    </row>
    <row r="676" spans="1:12" ht="15">
      <c r="A676" s="2" t="s">
        <v>137</v>
      </c>
      <c r="B676" s="2">
        <v>7</v>
      </c>
      <c r="C676" s="2" t="s">
        <v>33</v>
      </c>
      <c r="D676" s="3">
        <v>46286</v>
      </c>
      <c r="E676" s="2" t="s">
        <v>231</v>
      </c>
      <c r="F676" s="2" t="s">
        <v>225</v>
      </c>
      <c r="G676" s="4">
        <v>9</v>
      </c>
      <c r="H676" s="4">
        <v>9</v>
      </c>
      <c r="I676" s="4">
        <v>0.1</v>
      </c>
      <c r="J676" s="5">
        <v>10.199999999999999</v>
      </c>
      <c r="K676" s="2" t="s">
        <v>251</v>
      </c>
      <c r="L676" s="2" t="s">
        <v>227</v>
      </c>
    </row>
    <row r="677" spans="1:12" ht="15">
      <c r="A677" s="2" t="s">
        <v>137</v>
      </c>
      <c r="B677" s="2">
        <v>8</v>
      </c>
      <c r="C677" s="2" t="s">
        <v>33</v>
      </c>
      <c r="D677" s="3">
        <v>46286</v>
      </c>
      <c r="E677" s="2" t="s">
        <v>242</v>
      </c>
      <c r="F677" s="2" t="s">
        <v>236</v>
      </c>
      <c r="G677" s="4">
        <v>4</v>
      </c>
      <c r="H677" s="4">
        <v>4</v>
      </c>
      <c r="I677" s="4">
        <v>0</v>
      </c>
      <c r="J677" s="5">
        <v>119</v>
      </c>
      <c r="K677" s="2" t="s">
        <v>226</v>
      </c>
      <c r="L677" s="2" t="s">
        <v>227</v>
      </c>
    </row>
    <row r="678" spans="1:12" ht="15">
      <c r="A678" s="2" t="s">
        <v>137</v>
      </c>
      <c r="B678" s="2">
        <v>9</v>
      </c>
      <c r="C678" s="2" t="s">
        <v>33</v>
      </c>
      <c r="D678" s="3">
        <v>46286</v>
      </c>
      <c r="E678" s="2" t="s">
        <v>244</v>
      </c>
      <c r="F678" s="2" t="s">
        <v>234</v>
      </c>
      <c r="G678" s="4">
        <v>2</v>
      </c>
      <c r="H678" s="4">
        <v>2</v>
      </c>
      <c r="I678" s="4">
        <v>0</v>
      </c>
      <c r="J678" s="5">
        <v>55</v>
      </c>
      <c r="K678" s="2" t="s">
        <v>226</v>
      </c>
      <c r="L678" s="2" t="s">
        <v>227</v>
      </c>
    </row>
    <row r="679" spans="1:12" ht="15">
      <c r="A679" s="2" t="s">
        <v>138</v>
      </c>
      <c r="B679" s="2">
        <v>1</v>
      </c>
      <c r="C679" s="2" t="s">
        <v>28</v>
      </c>
      <c r="D679" s="3">
        <v>46287</v>
      </c>
      <c r="E679" s="2" t="s">
        <v>237</v>
      </c>
      <c r="F679" s="2" t="s">
        <v>225</v>
      </c>
      <c r="G679" s="4">
        <v>2.9</v>
      </c>
      <c r="H679" s="4">
        <v>2.9</v>
      </c>
      <c r="I679" s="4">
        <v>0</v>
      </c>
      <c r="J679" s="5">
        <v>4.8</v>
      </c>
      <c r="K679" s="2" t="s">
        <v>226</v>
      </c>
      <c r="L679" s="2" t="s">
        <v>227</v>
      </c>
    </row>
    <row r="680" spans="1:12" ht="15">
      <c r="A680" s="2" t="s">
        <v>138</v>
      </c>
      <c r="B680" s="2">
        <v>2</v>
      </c>
      <c r="C680" s="2" t="s">
        <v>28</v>
      </c>
      <c r="D680" s="3">
        <v>46287</v>
      </c>
      <c r="E680" s="2" t="s">
        <v>229</v>
      </c>
      <c r="F680" s="2" t="s">
        <v>225</v>
      </c>
      <c r="G680" s="4">
        <v>2.9</v>
      </c>
      <c r="H680" s="4">
        <v>2.9</v>
      </c>
      <c r="I680" s="4">
        <v>0</v>
      </c>
      <c r="J680" s="5">
        <v>2.5</v>
      </c>
      <c r="K680" s="2" t="s">
        <v>226</v>
      </c>
      <c r="L680" s="2" t="s">
        <v>227</v>
      </c>
    </row>
    <row r="681" spans="1:12" ht="15">
      <c r="A681" s="2" t="s">
        <v>138</v>
      </c>
      <c r="B681" s="2">
        <v>3</v>
      </c>
      <c r="C681" s="2" t="s">
        <v>28</v>
      </c>
      <c r="D681" s="3">
        <v>46287</v>
      </c>
      <c r="E681" s="2" t="s">
        <v>250</v>
      </c>
      <c r="F681" s="2" t="s">
        <v>225</v>
      </c>
      <c r="G681" s="4">
        <v>4.2</v>
      </c>
      <c r="H681" s="4">
        <v>4.2</v>
      </c>
      <c r="I681" s="4">
        <v>0</v>
      </c>
      <c r="J681" s="5">
        <v>4.9000000000000004</v>
      </c>
      <c r="K681" s="2" t="s">
        <v>226</v>
      </c>
      <c r="L681" s="2" t="s">
        <v>227</v>
      </c>
    </row>
    <row r="682" spans="1:12" ht="15">
      <c r="A682" s="2" t="s">
        <v>138</v>
      </c>
      <c r="B682" s="2">
        <v>4</v>
      </c>
      <c r="C682" s="2" t="s">
        <v>28</v>
      </c>
      <c r="D682" s="3">
        <v>46287</v>
      </c>
      <c r="E682" s="2" t="s">
        <v>228</v>
      </c>
      <c r="F682" s="2" t="s">
        <v>225</v>
      </c>
      <c r="G682" s="4">
        <v>3.2</v>
      </c>
      <c r="H682" s="4">
        <v>3.2</v>
      </c>
      <c r="I682" s="4">
        <v>0</v>
      </c>
      <c r="J682" s="5">
        <v>2.7</v>
      </c>
      <c r="K682" s="2" t="s">
        <v>226</v>
      </c>
      <c r="L682" s="2" t="s">
        <v>227</v>
      </c>
    </row>
    <row r="683" spans="1:12" ht="15">
      <c r="A683" s="2" t="s">
        <v>138</v>
      </c>
      <c r="B683" s="2">
        <v>5</v>
      </c>
      <c r="C683" s="2" t="s">
        <v>28</v>
      </c>
      <c r="D683" s="3">
        <v>46287</v>
      </c>
      <c r="E683" s="2" t="s">
        <v>231</v>
      </c>
      <c r="F683" s="2" t="s">
        <v>225</v>
      </c>
      <c r="G683" s="4">
        <v>3</v>
      </c>
      <c r="H683" s="4">
        <v>3</v>
      </c>
      <c r="I683" s="4">
        <v>0</v>
      </c>
      <c r="J683" s="5">
        <v>10.4</v>
      </c>
      <c r="K683" s="2" t="s">
        <v>226</v>
      </c>
      <c r="L683" s="2" t="s">
        <v>227</v>
      </c>
    </row>
    <row r="684" spans="1:12" ht="15">
      <c r="A684" s="2" t="s">
        <v>138</v>
      </c>
      <c r="B684" s="2">
        <v>6</v>
      </c>
      <c r="C684" s="2" t="s">
        <v>28</v>
      </c>
      <c r="D684" s="3">
        <v>46287</v>
      </c>
      <c r="E684" s="2" t="s">
        <v>232</v>
      </c>
      <c r="F684" s="2" t="s">
        <v>225</v>
      </c>
      <c r="G684" s="4">
        <v>0.5</v>
      </c>
      <c r="H684" s="4">
        <v>0.5</v>
      </c>
      <c r="I684" s="4">
        <v>0</v>
      </c>
      <c r="J684" s="5">
        <v>7.8</v>
      </c>
      <c r="K684" s="2" t="s">
        <v>226</v>
      </c>
      <c r="L684" s="2" t="s">
        <v>227</v>
      </c>
    </row>
    <row r="685" spans="1:12" ht="15">
      <c r="A685" s="2" t="s">
        <v>139</v>
      </c>
      <c r="B685" s="2">
        <v>1</v>
      </c>
      <c r="C685" s="2" t="s">
        <v>29</v>
      </c>
      <c r="D685" s="3">
        <v>46287</v>
      </c>
      <c r="E685" s="2" t="s">
        <v>237</v>
      </c>
      <c r="F685" s="2" t="s">
        <v>225</v>
      </c>
      <c r="G685" s="4">
        <v>4.5999999999999996</v>
      </c>
      <c r="H685" s="4">
        <v>4.5999999999999996</v>
      </c>
      <c r="I685" s="4">
        <v>0.3</v>
      </c>
      <c r="J685" s="5">
        <v>4.8</v>
      </c>
      <c r="K685" s="2" t="s">
        <v>249</v>
      </c>
      <c r="L685" s="2" t="s">
        <v>227</v>
      </c>
    </row>
    <row r="686" spans="1:12" ht="15">
      <c r="A686" s="2" t="s">
        <v>139</v>
      </c>
      <c r="B686" s="2">
        <v>2</v>
      </c>
      <c r="C686" s="2" t="s">
        <v>29</v>
      </c>
      <c r="D686" s="3">
        <v>46287</v>
      </c>
      <c r="E686" s="2" t="s">
        <v>243</v>
      </c>
      <c r="F686" s="2" t="s">
        <v>225</v>
      </c>
      <c r="G686" s="4">
        <v>7.2</v>
      </c>
      <c r="H686" s="4">
        <v>7.2</v>
      </c>
      <c r="I686" s="4">
        <v>0</v>
      </c>
      <c r="J686" s="5">
        <v>3.9</v>
      </c>
      <c r="K686" s="2" t="s">
        <v>226</v>
      </c>
      <c r="L686" s="2" t="s">
        <v>227</v>
      </c>
    </row>
    <row r="687" spans="1:12" ht="15">
      <c r="A687" s="2" t="s">
        <v>139</v>
      </c>
      <c r="B687" s="2">
        <v>3</v>
      </c>
      <c r="C687" s="2" t="s">
        <v>29</v>
      </c>
      <c r="D687" s="3">
        <v>46287</v>
      </c>
      <c r="E687" s="2" t="s">
        <v>250</v>
      </c>
      <c r="F687" s="2" t="s">
        <v>225</v>
      </c>
      <c r="G687" s="4">
        <v>8.1999999999999993</v>
      </c>
      <c r="H687" s="4">
        <v>8.1999999999999993</v>
      </c>
      <c r="I687" s="4">
        <v>0</v>
      </c>
      <c r="J687" s="5">
        <v>4.9000000000000004</v>
      </c>
      <c r="K687" s="2" t="s">
        <v>226</v>
      </c>
      <c r="L687" s="2" t="s">
        <v>227</v>
      </c>
    </row>
    <row r="688" spans="1:12" ht="15">
      <c r="A688" s="2" t="s">
        <v>139</v>
      </c>
      <c r="B688" s="2">
        <v>4</v>
      </c>
      <c r="C688" s="2" t="s">
        <v>29</v>
      </c>
      <c r="D688" s="3">
        <v>46287</v>
      </c>
      <c r="E688" s="2" t="s">
        <v>228</v>
      </c>
      <c r="F688" s="2" t="s">
        <v>225</v>
      </c>
      <c r="G688" s="4">
        <v>4.0999999999999996</v>
      </c>
      <c r="H688" s="4">
        <v>4.0999999999999996</v>
      </c>
      <c r="I688" s="4">
        <v>0</v>
      </c>
      <c r="J688" s="5">
        <v>2.7</v>
      </c>
      <c r="K688" s="2" t="s">
        <v>226</v>
      </c>
      <c r="L688" s="2" t="s">
        <v>227</v>
      </c>
    </row>
    <row r="689" spans="1:12" ht="15">
      <c r="A689" s="2" t="s">
        <v>139</v>
      </c>
      <c r="B689" s="2">
        <v>5</v>
      </c>
      <c r="C689" s="2" t="s">
        <v>29</v>
      </c>
      <c r="D689" s="3">
        <v>46287</v>
      </c>
      <c r="E689" s="2" t="s">
        <v>238</v>
      </c>
      <c r="F689" s="2" t="s">
        <v>225</v>
      </c>
      <c r="G689" s="4">
        <v>3.6</v>
      </c>
      <c r="H689" s="4">
        <v>3.6</v>
      </c>
      <c r="I689" s="4">
        <v>0</v>
      </c>
      <c r="J689" s="5">
        <v>3.5</v>
      </c>
      <c r="K689" s="2" t="s">
        <v>226</v>
      </c>
      <c r="L689" s="2" t="s">
        <v>227</v>
      </c>
    </row>
    <row r="690" spans="1:12" ht="15">
      <c r="A690" s="2" t="s">
        <v>139</v>
      </c>
      <c r="B690" s="2">
        <v>6</v>
      </c>
      <c r="C690" s="2" t="s">
        <v>29</v>
      </c>
      <c r="D690" s="3">
        <v>46287</v>
      </c>
      <c r="E690" s="2" t="s">
        <v>231</v>
      </c>
      <c r="F690" s="2" t="s">
        <v>225</v>
      </c>
      <c r="G690" s="4">
        <v>4</v>
      </c>
      <c r="H690" s="4">
        <v>4</v>
      </c>
      <c r="I690" s="4">
        <v>0</v>
      </c>
      <c r="J690" s="5">
        <v>10.4</v>
      </c>
      <c r="K690" s="2" t="s">
        <v>226</v>
      </c>
      <c r="L690" s="2" t="s">
        <v>227</v>
      </c>
    </row>
    <row r="691" spans="1:12" ht="15">
      <c r="A691" s="2" t="s">
        <v>139</v>
      </c>
      <c r="B691" s="2">
        <v>7</v>
      </c>
      <c r="C691" s="2" t="s">
        <v>29</v>
      </c>
      <c r="D691" s="3">
        <v>46287</v>
      </c>
      <c r="E691" s="2" t="s">
        <v>232</v>
      </c>
      <c r="F691" s="2" t="s">
        <v>225</v>
      </c>
      <c r="G691" s="4">
        <v>1</v>
      </c>
      <c r="H691" s="4">
        <v>1</v>
      </c>
      <c r="I691" s="4">
        <v>0</v>
      </c>
      <c r="J691" s="5">
        <v>7.8</v>
      </c>
      <c r="K691" s="2" t="s">
        <v>226</v>
      </c>
      <c r="L691" s="2" t="s">
        <v>227</v>
      </c>
    </row>
    <row r="692" spans="1:12" ht="15">
      <c r="A692" s="2" t="s">
        <v>140</v>
      </c>
      <c r="B692" s="2">
        <v>1</v>
      </c>
      <c r="C692" s="2" t="s">
        <v>30</v>
      </c>
      <c r="D692" s="3">
        <v>46287</v>
      </c>
      <c r="E692" s="2" t="s">
        <v>224</v>
      </c>
      <c r="F692" s="2" t="s">
        <v>225</v>
      </c>
      <c r="G692" s="4">
        <v>9.9</v>
      </c>
      <c r="H692" s="4">
        <v>9.9</v>
      </c>
      <c r="I692" s="4">
        <v>0</v>
      </c>
      <c r="J692" s="5">
        <v>5</v>
      </c>
      <c r="K692" s="2" t="s">
        <v>226</v>
      </c>
      <c r="L692" s="2" t="s">
        <v>227</v>
      </c>
    </row>
    <row r="693" spans="1:12" ht="15">
      <c r="A693" s="2" t="s">
        <v>140</v>
      </c>
      <c r="B693" s="2">
        <v>2</v>
      </c>
      <c r="C693" s="2" t="s">
        <v>30</v>
      </c>
      <c r="D693" s="3">
        <v>46287</v>
      </c>
      <c r="E693" s="2" t="s">
        <v>250</v>
      </c>
      <c r="F693" s="2" t="s">
        <v>225</v>
      </c>
      <c r="G693" s="4">
        <v>6</v>
      </c>
      <c r="H693" s="4">
        <v>6</v>
      </c>
      <c r="I693" s="4">
        <v>0</v>
      </c>
      <c r="J693" s="5">
        <v>4.9000000000000004</v>
      </c>
      <c r="K693" s="2" t="s">
        <v>226</v>
      </c>
      <c r="L693" s="2" t="s">
        <v>227</v>
      </c>
    </row>
    <row r="694" spans="1:12" ht="15">
      <c r="A694" s="2" t="s">
        <v>140</v>
      </c>
      <c r="B694" s="2">
        <v>3</v>
      </c>
      <c r="C694" s="2" t="s">
        <v>30</v>
      </c>
      <c r="D694" s="3">
        <v>46287</v>
      </c>
      <c r="E694" s="2" t="s">
        <v>247</v>
      </c>
      <c r="F694" s="2" t="s">
        <v>225</v>
      </c>
      <c r="G694" s="4">
        <v>8.6</v>
      </c>
      <c r="H694" s="4">
        <v>8.6</v>
      </c>
      <c r="I694" s="4">
        <v>0</v>
      </c>
      <c r="J694" s="5">
        <v>4.9000000000000004</v>
      </c>
      <c r="K694" s="2" t="s">
        <v>226</v>
      </c>
      <c r="L694" s="2" t="s">
        <v>227</v>
      </c>
    </row>
    <row r="695" spans="1:12" ht="15">
      <c r="A695" s="2" t="s">
        <v>140</v>
      </c>
      <c r="B695" s="2">
        <v>4</v>
      </c>
      <c r="C695" s="2" t="s">
        <v>30</v>
      </c>
      <c r="D695" s="3">
        <v>46287</v>
      </c>
      <c r="E695" s="2" t="s">
        <v>228</v>
      </c>
      <c r="F695" s="2" t="s">
        <v>225</v>
      </c>
      <c r="G695" s="4">
        <v>8.6</v>
      </c>
      <c r="H695" s="4">
        <v>8.6</v>
      </c>
      <c r="I695" s="4">
        <v>0</v>
      </c>
      <c r="J695" s="5">
        <v>2.7</v>
      </c>
      <c r="K695" s="2" t="s">
        <v>226</v>
      </c>
      <c r="L695" s="2" t="s">
        <v>227</v>
      </c>
    </row>
    <row r="696" spans="1:12" ht="15">
      <c r="A696" s="2" t="s">
        <v>140</v>
      </c>
      <c r="B696" s="2">
        <v>5</v>
      </c>
      <c r="C696" s="2" t="s">
        <v>30</v>
      </c>
      <c r="D696" s="3">
        <v>46287</v>
      </c>
      <c r="E696" s="2" t="s">
        <v>229</v>
      </c>
      <c r="F696" s="2" t="s">
        <v>225</v>
      </c>
      <c r="G696" s="4">
        <v>6.6</v>
      </c>
      <c r="H696" s="4">
        <v>6.3</v>
      </c>
      <c r="I696" s="4">
        <v>0</v>
      </c>
      <c r="J696" s="5">
        <v>2.5</v>
      </c>
      <c r="K696" s="2" t="s">
        <v>246</v>
      </c>
      <c r="L696" s="2" t="s">
        <v>227</v>
      </c>
    </row>
    <row r="697" spans="1:12" ht="15">
      <c r="A697" s="2" t="s">
        <v>140</v>
      </c>
      <c r="B697" s="2">
        <v>6</v>
      </c>
      <c r="C697" s="2" t="s">
        <v>30</v>
      </c>
      <c r="D697" s="3">
        <v>46287</v>
      </c>
      <c r="E697" s="2" t="s">
        <v>239</v>
      </c>
      <c r="F697" s="2" t="s">
        <v>225</v>
      </c>
      <c r="G697" s="4">
        <v>7.3</v>
      </c>
      <c r="H697" s="4">
        <v>7.3</v>
      </c>
      <c r="I697" s="4">
        <v>0</v>
      </c>
      <c r="J697" s="5">
        <v>4.5999999999999996</v>
      </c>
      <c r="K697" s="2" t="s">
        <v>226</v>
      </c>
      <c r="L697" s="2" t="s">
        <v>227</v>
      </c>
    </row>
    <row r="698" spans="1:12" ht="15">
      <c r="A698" s="2" t="s">
        <v>140</v>
      </c>
      <c r="B698" s="2">
        <v>7</v>
      </c>
      <c r="C698" s="2" t="s">
        <v>30</v>
      </c>
      <c r="D698" s="3">
        <v>46287</v>
      </c>
      <c r="E698" s="2" t="s">
        <v>231</v>
      </c>
      <c r="F698" s="2" t="s">
        <v>225</v>
      </c>
      <c r="G698" s="4">
        <v>6</v>
      </c>
      <c r="H698" s="4">
        <v>6</v>
      </c>
      <c r="I698" s="4">
        <v>0</v>
      </c>
      <c r="J698" s="5">
        <v>10.4</v>
      </c>
      <c r="K698" s="2" t="s">
        <v>226</v>
      </c>
      <c r="L698" s="2" t="s">
        <v>227</v>
      </c>
    </row>
    <row r="699" spans="1:12" ht="15">
      <c r="A699" s="2" t="s">
        <v>140</v>
      </c>
      <c r="B699" s="2">
        <v>8</v>
      </c>
      <c r="C699" s="2" t="s">
        <v>30</v>
      </c>
      <c r="D699" s="3">
        <v>46287</v>
      </c>
      <c r="E699" s="2" t="s">
        <v>232</v>
      </c>
      <c r="F699" s="2" t="s">
        <v>225</v>
      </c>
      <c r="G699" s="4">
        <v>1</v>
      </c>
      <c r="H699" s="4">
        <v>1</v>
      </c>
      <c r="I699" s="4">
        <v>0</v>
      </c>
      <c r="J699" s="5">
        <v>7.8</v>
      </c>
      <c r="K699" s="2" t="s">
        <v>226</v>
      </c>
      <c r="L699" s="2" t="s">
        <v>227</v>
      </c>
    </row>
    <row r="700" spans="1:12" ht="15">
      <c r="A700" s="2" t="s">
        <v>141</v>
      </c>
      <c r="B700" s="2">
        <v>1</v>
      </c>
      <c r="C700" s="2" t="s">
        <v>31</v>
      </c>
      <c r="D700" s="3">
        <v>46287</v>
      </c>
      <c r="E700" s="2" t="s">
        <v>224</v>
      </c>
      <c r="F700" s="2" t="s">
        <v>225</v>
      </c>
      <c r="G700" s="4">
        <v>9</v>
      </c>
      <c r="H700" s="4">
        <v>9</v>
      </c>
      <c r="I700" s="4">
        <v>0</v>
      </c>
      <c r="J700" s="5">
        <v>5</v>
      </c>
      <c r="K700" s="2" t="s">
        <v>226</v>
      </c>
      <c r="L700" s="2" t="s">
        <v>227</v>
      </c>
    </row>
    <row r="701" spans="1:12" ht="15">
      <c r="A701" s="2" t="s">
        <v>141</v>
      </c>
      <c r="B701" s="2">
        <v>2</v>
      </c>
      <c r="C701" s="2" t="s">
        <v>31</v>
      </c>
      <c r="D701" s="3">
        <v>46287</v>
      </c>
      <c r="E701" s="2" t="s">
        <v>250</v>
      </c>
      <c r="F701" s="2" t="s">
        <v>225</v>
      </c>
      <c r="G701" s="4">
        <v>7.3</v>
      </c>
      <c r="H701" s="4">
        <v>7.3</v>
      </c>
      <c r="I701" s="4">
        <v>0</v>
      </c>
      <c r="J701" s="5">
        <v>4.9000000000000004</v>
      </c>
      <c r="K701" s="2" t="s">
        <v>226</v>
      </c>
      <c r="L701" s="2" t="s">
        <v>227</v>
      </c>
    </row>
    <row r="702" spans="1:12" ht="15">
      <c r="A702" s="2" t="s">
        <v>141</v>
      </c>
      <c r="B702" s="2">
        <v>3</v>
      </c>
      <c r="C702" s="2" t="s">
        <v>31</v>
      </c>
      <c r="D702" s="3">
        <v>46287</v>
      </c>
      <c r="E702" s="2" t="s">
        <v>239</v>
      </c>
      <c r="F702" s="2" t="s">
        <v>225</v>
      </c>
      <c r="G702" s="4">
        <v>5.0999999999999996</v>
      </c>
      <c r="H702" s="4">
        <v>5.0999999999999996</v>
      </c>
      <c r="I702" s="4">
        <v>0</v>
      </c>
      <c r="J702" s="5">
        <v>4.5999999999999996</v>
      </c>
      <c r="K702" s="2" t="s">
        <v>226</v>
      </c>
      <c r="L702" s="2" t="s">
        <v>227</v>
      </c>
    </row>
    <row r="703" spans="1:12" ht="15">
      <c r="A703" s="2" t="s">
        <v>141</v>
      </c>
      <c r="B703" s="2">
        <v>4</v>
      </c>
      <c r="C703" s="2" t="s">
        <v>31</v>
      </c>
      <c r="D703" s="3">
        <v>46287</v>
      </c>
      <c r="E703" s="2" t="s">
        <v>230</v>
      </c>
      <c r="F703" s="2" t="s">
        <v>225</v>
      </c>
      <c r="G703" s="4">
        <v>6.2</v>
      </c>
      <c r="H703" s="4">
        <v>6.2</v>
      </c>
      <c r="I703" s="4">
        <v>0</v>
      </c>
      <c r="J703" s="5">
        <v>2.2999999999999998</v>
      </c>
      <c r="K703" s="2" t="s">
        <v>226</v>
      </c>
      <c r="L703" s="2" t="s">
        <v>227</v>
      </c>
    </row>
    <row r="704" spans="1:12" ht="15">
      <c r="A704" s="2" t="s">
        <v>141</v>
      </c>
      <c r="B704" s="2">
        <v>5</v>
      </c>
      <c r="C704" s="2" t="s">
        <v>31</v>
      </c>
      <c r="D704" s="3">
        <v>46287</v>
      </c>
      <c r="E704" s="2" t="s">
        <v>228</v>
      </c>
      <c r="F704" s="2" t="s">
        <v>225</v>
      </c>
      <c r="G704" s="4">
        <v>4</v>
      </c>
      <c r="H704" s="4">
        <v>4</v>
      </c>
      <c r="I704" s="4">
        <v>0</v>
      </c>
      <c r="J704" s="5">
        <v>2.7</v>
      </c>
      <c r="K704" s="2" t="s">
        <v>226</v>
      </c>
      <c r="L704" s="2" t="s">
        <v>227</v>
      </c>
    </row>
    <row r="705" spans="1:12" ht="15">
      <c r="A705" s="2" t="s">
        <v>141</v>
      </c>
      <c r="B705" s="2">
        <v>6</v>
      </c>
      <c r="C705" s="2" t="s">
        <v>31</v>
      </c>
      <c r="D705" s="3">
        <v>46287</v>
      </c>
      <c r="E705" s="2" t="s">
        <v>247</v>
      </c>
      <c r="F705" s="2" t="s">
        <v>225</v>
      </c>
      <c r="G705" s="4">
        <v>6.8</v>
      </c>
      <c r="H705" s="4">
        <v>6.8</v>
      </c>
      <c r="I705" s="4">
        <v>0</v>
      </c>
      <c r="J705" s="5">
        <v>4.9000000000000004</v>
      </c>
      <c r="K705" s="2" t="s">
        <v>226</v>
      </c>
      <c r="L705" s="2" t="s">
        <v>227</v>
      </c>
    </row>
    <row r="706" spans="1:12" ht="15">
      <c r="A706" s="2" t="s">
        <v>141</v>
      </c>
      <c r="B706" s="2">
        <v>7</v>
      </c>
      <c r="C706" s="2" t="s">
        <v>31</v>
      </c>
      <c r="D706" s="3">
        <v>46287</v>
      </c>
      <c r="E706" s="2" t="s">
        <v>232</v>
      </c>
      <c r="F706" s="2" t="s">
        <v>225</v>
      </c>
      <c r="G706" s="4">
        <v>1</v>
      </c>
      <c r="H706" s="4">
        <v>1</v>
      </c>
      <c r="I706" s="4">
        <v>0</v>
      </c>
      <c r="J706" s="5">
        <v>7.8</v>
      </c>
      <c r="K706" s="2" t="s">
        <v>226</v>
      </c>
      <c r="L706" s="2" t="s">
        <v>227</v>
      </c>
    </row>
    <row r="707" spans="1:12" ht="15">
      <c r="A707" s="2" t="s">
        <v>142</v>
      </c>
      <c r="B707" s="2">
        <v>1</v>
      </c>
      <c r="C707" s="2" t="s">
        <v>32</v>
      </c>
      <c r="D707" s="3">
        <v>46287</v>
      </c>
      <c r="E707" s="2" t="s">
        <v>224</v>
      </c>
      <c r="F707" s="2" t="s">
        <v>225</v>
      </c>
      <c r="G707" s="4">
        <v>12.1</v>
      </c>
      <c r="H707" s="4">
        <v>12.1</v>
      </c>
      <c r="I707" s="4">
        <v>0</v>
      </c>
      <c r="J707" s="5">
        <v>5</v>
      </c>
      <c r="K707" s="2" t="s">
        <v>226</v>
      </c>
      <c r="L707" s="2" t="s">
        <v>227</v>
      </c>
    </row>
    <row r="708" spans="1:12" ht="15">
      <c r="A708" s="2" t="s">
        <v>142</v>
      </c>
      <c r="B708" s="2">
        <v>2</v>
      </c>
      <c r="C708" s="2" t="s">
        <v>32</v>
      </c>
      <c r="D708" s="3">
        <v>46287</v>
      </c>
      <c r="E708" s="2" t="s">
        <v>241</v>
      </c>
      <c r="F708" s="2" t="s">
        <v>225</v>
      </c>
      <c r="G708" s="4">
        <v>10.6</v>
      </c>
      <c r="H708" s="4">
        <v>10.6</v>
      </c>
      <c r="I708" s="4">
        <v>0</v>
      </c>
      <c r="J708" s="5">
        <v>2.9</v>
      </c>
      <c r="K708" s="2" t="s">
        <v>226</v>
      </c>
      <c r="L708" s="2" t="s">
        <v>227</v>
      </c>
    </row>
    <row r="709" spans="1:12" ht="15">
      <c r="A709" s="2" t="s">
        <v>142</v>
      </c>
      <c r="B709" s="2">
        <v>3</v>
      </c>
      <c r="C709" s="2" t="s">
        <v>32</v>
      </c>
      <c r="D709" s="3">
        <v>46287</v>
      </c>
      <c r="E709" s="2" t="s">
        <v>250</v>
      </c>
      <c r="F709" s="2" t="s">
        <v>225</v>
      </c>
      <c r="G709" s="4">
        <v>11.3</v>
      </c>
      <c r="H709" s="4">
        <v>11.3</v>
      </c>
      <c r="I709" s="4">
        <v>0</v>
      </c>
      <c r="J709" s="5">
        <v>4.9000000000000004</v>
      </c>
      <c r="K709" s="2" t="s">
        <v>226</v>
      </c>
      <c r="L709" s="2" t="s">
        <v>227</v>
      </c>
    </row>
    <row r="710" spans="1:12" ht="15">
      <c r="A710" s="2" t="s">
        <v>142</v>
      </c>
      <c r="B710" s="2">
        <v>4</v>
      </c>
      <c r="C710" s="2" t="s">
        <v>32</v>
      </c>
      <c r="D710" s="3">
        <v>46287</v>
      </c>
      <c r="E710" s="2" t="s">
        <v>239</v>
      </c>
      <c r="F710" s="2" t="s">
        <v>225</v>
      </c>
      <c r="G710" s="4">
        <v>5.3</v>
      </c>
      <c r="H710" s="4">
        <v>5.3</v>
      </c>
      <c r="I710" s="4">
        <v>0</v>
      </c>
      <c r="J710" s="5">
        <v>4.5999999999999996</v>
      </c>
      <c r="K710" s="2" t="s">
        <v>226</v>
      </c>
      <c r="L710" s="2" t="s">
        <v>227</v>
      </c>
    </row>
    <row r="711" spans="1:12" ht="15">
      <c r="A711" s="2" t="s">
        <v>142</v>
      </c>
      <c r="B711" s="2">
        <v>5</v>
      </c>
      <c r="C711" s="2" t="s">
        <v>32</v>
      </c>
      <c r="D711" s="3">
        <v>46287</v>
      </c>
      <c r="E711" s="2" t="s">
        <v>238</v>
      </c>
      <c r="F711" s="2" t="s">
        <v>225</v>
      </c>
      <c r="G711" s="4">
        <v>7.6</v>
      </c>
      <c r="H711" s="4">
        <v>7.6</v>
      </c>
      <c r="I711" s="4">
        <v>0</v>
      </c>
      <c r="J711" s="5">
        <v>3.5</v>
      </c>
      <c r="K711" s="2" t="s">
        <v>226</v>
      </c>
      <c r="L711" s="2" t="s">
        <v>227</v>
      </c>
    </row>
    <row r="712" spans="1:12" ht="15">
      <c r="A712" s="2" t="s">
        <v>142</v>
      </c>
      <c r="B712" s="2">
        <v>6</v>
      </c>
      <c r="C712" s="2" t="s">
        <v>32</v>
      </c>
      <c r="D712" s="3">
        <v>46287</v>
      </c>
      <c r="E712" s="2" t="s">
        <v>247</v>
      </c>
      <c r="F712" s="2" t="s">
        <v>225</v>
      </c>
      <c r="G712" s="4">
        <v>12.1</v>
      </c>
      <c r="H712" s="4">
        <v>11.9</v>
      </c>
      <c r="I712" s="4">
        <v>0</v>
      </c>
      <c r="J712" s="5">
        <v>4.9000000000000004</v>
      </c>
      <c r="K712" s="2" t="s">
        <v>246</v>
      </c>
      <c r="L712" s="2" t="s">
        <v>227</v>
      </c>
    </row>
    <row r="713" spans="1:12" ht="15">
      <c r="A713" s="2" t="s">
        <v>142</v>
      </c>
      <c r="B713" s="2">
        <v>7</v>
      </c>
      <c r="C713" s="2" t="s">
        <v>32</v>
      </c>
      <c r="D713" s="3">
        <v>46287</v>
      </c>
      <c r="E713" s="2" t="s">
        <v>231</v>
      </c>
      <c r="F713" s="2" t="s">
        <v>225</v>
      </c>
      <c r="G713" s="4">
        <v>12</v>
      </c>
      <c r="H713" s="4">
        <v>12</v>
      </c>
      <c r="I713" s="4">
        <v>0</v>
      </c>
      <c r="J713" s="5">
        <v>10.4</v>
      </c>
      <c r="K713" s="2" t="s">
        <v>226</v>
      </c>
      <c r="L713" s="2" t="s">
        <v>227</v>
      </c>
    </row>
    <row r="714" spans="1:12" ht="15">
      <c r="A714" s="2" t="s">
        <v>143</v>
      </c>
      <c r="B714" s="2">
        <v>1</v>
      </c>
      <c r="C714" s="2" t="s">
        <v>33</v>
      </c>
      <c r="D714" s="3">
        <v>46287</v>
      </c>
      <c r="E714" s="2" t="s">
        <v>245</v>
      </c>
      <c r="F714" s="2" t="s">
        <v>225</v>
      </c>
      <c r="G714" s="4">
        <v>10.5</v>
      </c>
      <c r="H714" s="4">
        <v>10.5</v>
      </c>
      <c r="I714" s="4">
        <v>0</v>
      </c>
      <c r="J714" s="5">
        <v>4.9000000000000004</v>
      </c>
      <c r="K714" s="2" t="s">
        <v>226</v>
      </c>
      <c r="L714" s="2" t="s">
        <v>227</v>
      </c>
    </row>
    <row r="715" spans="1:12" ht="15">
      <c r="A715" s="2" t="s">
        <v>143</v>
      </c>
      <c r="B715" s="2">
        <v>2</v>
      </c>
      <c r="C715" s="2" t="s">
        <v>33</v>
      </c>
      <c r="D715" s="3">
        <v>46287</v>
      </c>
      <c r="E715" s="2" t="s">
        <v>230</v>
      </c>
      <c r="F715" s="2" t="s">
        <v>225</v>
      </c>
      <c r="G715" s="4">
        <v>9.1999999999999993</v>
      </c>
      <c r="H715" s="4">
        <v>9.1999999999999993</v>
      </c>
      <c r="I715" s="4">
        <v>0</v>
      </c>
      <c r="J715" s="5">
        <v>2.2999999999999998</v>
      </c>
      <c r="K715" s="2" t="s">
        <v>226</v>
      </c>
      <c r="L715" s="2" t="s">
        <v>227</v>
      </c>
    </row>
    <row r="716" spans="1:12" ht="15">
      <c r="A716" s="2" t="s">
        <v>143</v>
      </c>
      <c r="B716" s="2">
        <v>3</v>
      </c>
      <c r="C716" s="2" t="s">
        <v>33</v>
      </c>
      <c r="D716" s="3">
        <v>46287</v>
      </c>
      <c r="E716" s="2" t="s">
        <v>240</v>
      </c>
      <c r="F716" s="2" t="s">
        <v>225</v>
      </c>
      <c r="G716" s="4">
        <v>6.6</v>
      </c>
      <c r="H716" s="4">
        <v>6.6</v>
      </c>
      <c r="I716" s="4">
        <v>0</v>
      </c>
      <c r="J716" s="5">
        <v>6.1</v>
      </c>
      <c r="K716" s="2" t="s">
        <v>226</v>
      </c>
      <c r="L716" s="2" t="s">
        <v>227</v>
      </c>
    </row>
    <row r="717" spans="1:12" ht="15">
      <c r="A717" s="2" t="s">
        <v>143</v>
      </c>
      <c r="B717" s="2">
        <v>4</v>
      </c>
      <c r="C717" s="2" t="s">
        <v>33</v>
      </c>
      <c r="D717" s="3">
        <v>46287</v>
      </c>
      <c r="E717" s="2" t="s">
        <v>238</v>
      </c>
      <c r="F717" s="2" t="s">
        <v>225</v>
      </c>
      <c r="G717" s="4">
        <v>7.9</v>
      </c>
      <c r="H717" s="4">
        <v>7.9</v>
      </c>
      <c r="I717" s="4">
        <v>0</v>
      </c>
      <c r="J717" s="5">
        <v>3.5</v>
      </c>
      <c r="K717" s="2" t="s">
        <v>226</v>
      </c>
      <c r="L717" s="2" t="s">
        <v>227</v>
      </c>
    </row>
    <row r="718" spans="1:12" ht="15">
      <c r="A718" s="2" t="s">
        <v>143</v>
      </c>
      <c r="B718" s="2">
        <v>5</v>
      </c>
      <c r="C718" s="2" t="s">
        <v>33</v>
      </c>
      <c r="D718" s="3">
        <v>46287</v>
      </c>
      <c r="E718" s="2" t="s">
        <v>250</v>
      </c>
      <c r="F718" s="2" t="s">
        <v>225</v>
      </c>
      <c r="G718" s="4">
        <v>9.8000000000000007</v>
      </c>
      <c r="H718" s="4">
        <v>9.8000000000000007</v>
      </c>
      <c r="I718" s="4">
        <v>0</v>
      </c>
      <c r="J718" s="5">
        <v>4.9000000000000004</v>
      </c>
      <c r="K718" s="2" t="s">
        <v>226</v>
      </c>
      <c r="L718" s="2" t="s">
        <v>227</v>
      </c>
    </row>
    <row r="719" spans="1:12" ht="15">
      <c r="A719" s="2" t="s">
        <v>143</v>
      </c>
      <c r="B719" s="2">
        <v>6</v>
      </c>
      <c r="C719" s="2" t="s">
        <v>33</v>
      </c>
      <c r="D719" s="3">
        <v>46287</v>
      </c>
      <c r="E719" s="2" t="s">
        <v>243</v>
      </c>
      <c r="F719" s="2" t="s">
        <v>225</v>
      </c>
      <c r="G719" s="4">
        <v>4.5999999999999996</v>
      </c>
      <c r="H719" s="4">
        <v>4.5999999999999996</v>
      </c>
      <c r="I719" s="4">
        <v>0</v>
      </c>
      <c r="J719" s="5">
        <v>3.9</v>
      </c>
      <c r="K719" s="2" t="s">
        <v>226</v>
      </c>
      <c r="L719" s="2" t="s">
        <v>227</v>
      </c>
    </row>
    <row r="720" spans="1:12" ht="15">
      <c r="A720" s="2" t="s">
        <v>143</v>
      </c>
      <c r="B720" s="2">
        <v>7</v>
      </c>
      <c r="C720" s="2" t="s">
        <v>33</v>
      </c>
      <c r="D720" s="3">
        <v>46287</v>
      </c>
      <c r="E720" s="2" t="s">
        <v>232</v>
      </c>
      <c r="F720" s="2" t="s">
        <v>225</v>
      </c>
      <c r="G720" s="4">
        <v>1</v>
      </c>
      <c r="H720" s="4">
        <v>1</v>
      </c>
      <c r="I720" s="4">
        <v>0</v>
      </c>
      <c r="J720" s="5">
        <v>7.8</v>
      </c>
      <c r="K720" s="2" t="s">
        <v>226</v>
      </c>
      <c r="L720" s="2" t="s">
        <v>227</v>
      </c>
    </row>
    <row r="721" spans="1:12" ht="15">
      <c r="A721" s="2" t="s">
        <v>144</v>
      </c>
      <c r="B721" s="2">
        <v>1</v>
      </c>
      <c r="C721" s="2" t="s">
        <v>28</v>
      </c>
      <c r="D721" s="3">
        <v>46288</v>
      </c>
      <c r="E721" s="2" t="s">
        <v>237</v>
      </c>
      <c r="F721" s="2" t="s">
        <v>225</v>
      </c>
      <c r="G721" s="4">
        <v>3.3</v>
      </c>
      <c r="H721" s="4">
        <v>3.3</v>
      </c>
      <c r="I721" s="4">
        <v>0.3</v>
      </c>
      <c r="J721" s="5">
        <v>4.8</v>
      </c>
      <c r="K721" s="2" t="s">
        <v>249</v>
      </c>
      <c r="L721" s="2" t="s">
        <v>227</v>
      </c>
    </row>
    <row r="722" spans="1:12" ht="15">
      <c r="A722" s="2" t="s">
        <v>144</v>
      </c>
      <c r="B722" s="2">
        <v>2</v>
      </c>
      <c r="C722" s="2" t="s">
        <v>28</v>
      </c>
      <c r="D722" s="3">
        <v>46288</v>
      </c>
      <c r="E722" s="2" t="s">
        <v>243</v>
      </c>
      <c r="F722" s="2" t="s">
        <v>225</v>
      </c>
      <c r="G722" s="4">
        <v>2.5</v>
      </c>
      <c r="H722" s="4">
        <v>2.5</v>
      </c>
      <c r="I722" s="4">
        <v>0</v>
      </c>
      <c r="J722" s="5">
        <v>3.9</v>
      </c>
      <c r="K722" s="2" t="s">
        <v>226</v>
      </c>
      <c r="L722" s="2" t="s">
        <v>227</v>
      </c>
    </row>
    <row r="723" spans="1:12" ht="15">
      <c r="A723" s="2" t="s">
        <v>144</v>
      </c>
      <c r="B723" s="2">
        <v>3</v>
      </c>
      <c r="C723" s="2" t="s">
        <v>28</v>
      </c>
      <c r="D723" s="3">
        <v>46288</v>
      </c>
      <c r="E723" s="2" t="s">
        <v>239</v>
      </c>
      <c r="F723" s="2" t="s">
        <v>225</v>
      </c>
      <c r="G723" s="4">
        <v>3.3</v>
      </c>
      <c r="H723" s="4">
        <v>3</v>
      </c>
      <c r="I723" s="4">
        <v>0</v>
      </c>
      <c r="J723" s="5">
        <v>4.5999999999999996</v>
      </c>
      <c r="K723" s="2" t="s">
        <v>246</v>
      </c>
      <c r="L723" s="2" t="s">
        <v>227</v>
      </c>
    </row>
    <row r="724" spans="1:12" ht="15">
      <c r="A724" s="2" t="s">
        <v>144</v>
      </c>
      <c r="B724" s="2">
        <v>4</v>
      </c>
      <c r="C724" s="2" t="s">
        <v>28</v>
      </c>
      <c r="D724" s="3">
        <v>46288</v>
      </c>
      <c r="E724" s="2" t="s">
        <v>228</v>
      </c>
      <c r="F724" s="2" t="s">
        <v>225</v>
      </c>
      <c r="G724" s="4">
        <v>2.8</v>
      </c>
      <c r="H724" s="4">
        <v>2.8</v>
      </c>
      <c r="I724" s="4">
        <v>0</v>
      </c>
      <c r="J724" s="5">
        <v>2.7</v>
      </c>
      <c r="K724" s="2" t="s">
        <v>226</v>
      </c>
      <c r="L724" s="2" t="s">
        <v>227</v>
      </c>
    </row>
    <row r="725" spans="1:12" ht="15">
      <c r="A725" s="2" t="s">
        <v>145</v>
      </c>
      <c r="B725" s="2">
        <v>1</v>
      </c>
      <c r="C725" s="2" t="s">
        <v>29</v>
      </c>
      <c r="D725" s="3">
        <v>46288</v>
      </c>
      <c r="E725" s="2" t="s">
        <v>237</v>
      </c>
      <c r="F725" s="2" t="s">
        <v>225</v>
      </c>
      <c r="G725" s="4">
        <v>7.5</v>
      </c>
      <c r="H725" s="4">
        <v>7.5</v>
      </c>
      <c r="I725" s="4">
        <v>0.2</v>
      </c>
      <c r="J725" s="5">
        <v>4.8</v>
      </c>
      <c r="K725" s="2" t="s">
        <v>249</v>
      </c>
      <c r="L725" s="2" t="s">
        <v>227</v>
      </c>
    </row>
    <row r="726" spans="1:12" ht="15">
      <c r="A726" s="2" t="s">
        <v>145</v>
      </c>
      <c r="B726" s="2">
        <v>2</v>
      </c>
      <c r="C726" s="2" t="s">
        <v>29</v>
      </c>
      <c r="D726" s="3">
        <v>46288</v>
      </c>
      <c r="E726" s="2" t="s">
        <v>243</v>
      </c>
      <c r="F726" s="2" t="s">
        <v>225</v>
      </c>
      <c r="G726" s="4">
        <v>3.8</v>
      </c>
      <c r="H726" s="4">
        <v>3.8</v>
      </c>
      <c r="I726" s="4">
        <v>0</v>
      </c>
      <c r="J726" s="5">
        <v>3.9</v>
      </c>
      <c r="K726" s="2" t="s">
        <v>226</v>
      </c>
      <c r="L726" s="2" t="s">
        <v>227</v>
      </c>
    </row>
    <row r="727" spans="1:12" ht="15">
      <c r="A727" s="2" t="s">
        <v>145</v>
      </c>
      <c r="B727" s="2">
        <v>3</v>
      </c>
      <c r="C727" s="2" t="s">
        <v>29</v>
      </c>
      <c r="D727" s="3">
        <v>46288</v>
      </c>
      <c r="E727" s="2" t="s">
        <v>247</v>
      </c>
      <c r="F727" s="2" t="s">
        <v>225</v>
      </c>
      <c r="G727" s="4">
        <v>7.5</v>
      </c>
      <c r="H727" s="4">
        <v>7.5</v>
      </c>
      <c r="I727" s="4">
        <v>0</v>
      </c>
      <c r="J727" s="5">
        <v>4.9000000000000004</v>
      </c>
      <c r="K727" s="2" t="s">
        <v>226</v>
      </c>
      <c r="L727" s="2" t="s">
        <v>227</v>
      </c>
    </row>
    <row r="728" spans="1:12" ht="15">
      <c r="A728" s="2" t="s">
        <v>145</v>
      </c>
      <c r="B728" s="2">
        <v>4</v>
      </c>
      <c r="C728" s="2" t="s">
        <v>29</v>
      </c>
      <c r="D728" s="3">
        <v>46288</v>
      </c>
      <c r="E728" s="2" t="s">
        <v>230</v>
      </c>
      <c r="F728" s="2" t="s">
        <v>225</v>
      </c>
      <c r="G728" s="4">
        <v>7</v>
      </c>
      <c r="H728" s="4">
        <v>7</v>
      </c>
      <c r="I728" s="4">
        <v>0</v>
      </c>
      <c r="J728" s="5">
        <v>2.2999999999999998</v>
      </c>
      <c r="K728" s="2" t="s">
        <v>226</v>
      </c>
      <c r="L728" s="2" t="s">
        <v>227</v>
      </c>
    </row>
    <row r="729" spans="1:12" ht="15">
      <c r="A729" s="2" t="s">
        <v>145</v>
      </c>
      <c r="B729" s="2">
        <v>5</v>
      </c>
      <c r="C729" s="2" t="s">
        <v>29</v>
      </c>
      <c r="D729" s="3">
        <v>46288</v>
      </c>
      <c r="E729" s="2" t="s">
        <v>239</v>
      </c>
      <c r="F729" s="2" t="s">
        <v>225</v>
      </c>
      <c r="G729" s="4">
        <v>3.3</v>
      </c>
      <c r="H729" s="4">
        <v>3.3</v>
      </c>
      <c r="I729" s="4">
        <v>0</v>
      </c>
      <c r="J729" s="5">
        <v>4.5999999999999996</v>
      </c>
      <c r="K729" s="2" t="s">
        <v>226</v>
      </c>
      <c r="L729" s="2" t="s">
        <v>227</v>
      </c>
    </row>
    <row r="730" spans="1:12" ht="15">
      <c r="A730" s="2" t="s">
        <v>146</v>
      </c>
      <c r="B730" s="2">
        <v>1</v>
      </c>
      <c r="C730" s="2" t="s">
        <v>30</v>
      </c>
      <c r="D730" s="3">
        <v>46288</v>
      </c>
      <c r="E730" s="2" t="s">
        <v>237</v>
      </c>
      <c r="F730" s="2" t="s">
        <v>225</v>
      </c>
      <c r="G730" s="4">
        <v>7.3</v>
      </c>
      <c r="H730" s="4">
        <v>7.3</v>
      </c>
      <c r="I730" s="4">
        <v>0</v>
      </c>
      <c r="J730" s="5">
        <v>4.8</v>
      </c>
      <c r="K730" s="2" t="s">
        <v>226</v>
      </c>
      <c r="L730" s="2" t="s">
        <v>227</v>
      </c>
    </row>
    <row r="731" spans="1:12" ht="15">
      <c r="A731" s="2" t="s">
        <v>146</v>
      </c>
      <c r="B731" s="2">
        <v>2</v>
      </c>
      <c r="C731" s="2" t="s">
        <v>30</v>
      </c>
      <c r="D731" s="3">
        <v>46288</v>
      </c>
      <c r="E731" s="2" t="s">
        <v>241</v>
      </c>
      <c r="F731" s="2" t="s">
        <v>225</v>
      </c>
      <c r="G731" s="4">
        <v>6.6</v>
      </c>
      <c r="H731" s="4">
        <v>6.6</v>
      </c>
      <c r="I731" s="4">
        <v>0</v>
      </c>
      <c r="J731" s="5">
        <v>2.9</v>
      </c>
      <c r="K731" s="2" t="s">
        <v>226</v>
      </c>
      <c r="L731" s="2" t="s">
        <v>227</v>
      </c>
    </row>
    <row r="732" spans="1:12" ht="15">
      <c r="A732" s="2" t="s">
        <v>146</v>
      </c>
      <c r="B732" s="2">
        <v>3</v>
      </c>
      <c r="C732" s="2" t="s">
        <v>30</v>
      </c>
      <c r="D732" s="3">
        <v>46288</v>
      </c>
      <c r="E732" s="2" t="s">
        <v>248</v>
      </c>
      <c r="F732" s="2" t="s">
        <v>225</v>
      </c>
      <c r="G732" s="4">
        <v>7.3</v>
      </c>
      <c r="H732" s="4">
        <v>7.3</v>
      </c>
      <c r="I732" s="4">
        <v>0</v>
      </c>
      <c r="J732" s="5">
        <v>4.95</v>
      </c>
      <c r="K732" s="2" t="s">
        <v>226</v>
      </c>
      <c r="L732" s="2" t="s">
        <v>227</v>
      </c>
    </row>
    <row r="733" spans="1:12" ht="15">
      <c r="A733" s="2" t="s">
        <v>146</v>
      </c>
      <c r="B733" s="2">
        <v>4</v>
      </c>
      <c r="C733" s="2" t="s">
        <v>30</v>
      </c>
      <c r="D733" s="3">
        <v>46288</v>
      </c>
      <c r="E733" s="2" t="s">
        <v>247</v>
      </c>
      <c r="F733" s="2" t="s">
        <v>225</v>
      </c>
      <c r="G733" s="4">
        <v>5.3</v>
      </c>
      <c r="H733" s="4">
        <v>5.3</v>
      </c>
      <c r="I733" s="4">
        <v>0</v>
      </c>
      <c r="J733" s="5">
        <v>4.9000000000000004</v>
      </c>
      <c r="K733" s="2" t="s">
        <v>226</v>
      </c>
      <c r="L733" s="2" t="s">
        <v>227</v>
      </c>
    </row>
    <row r="734" spans="1:12" ht="15">
      <c r="A734" s="2" t="s">
        <v>146</v>
      </c>
      <c r="B734" s="2">
        <v>5</v>
      </c>
      <c r="C734" s="2" t="s">
        <v>30</v>
      </c>
      <c r="D734" s="3">
        <v>46288</v>
      </c>
      <c r="E734" s="2" t="s">
        <v>239</v>
      </c>
      <c r="F734" s="2" t="s">
        <v>225</v>
      </c>
      <c r="G734" s="4">
        <v>8</v>
      </c>
      <c r="H734" s="4">
        <v>8</v>
      </c>
      <c r="I734" s="4">
        <v>0</v>
      </c>
      <c r="J734" s="5">
        <v>4.5999999999999996</v>
      </c>
      <c r="K734" s="2" t="s">
        <v>226</v>
      </c>
      <c r="L734" s="2" t="s">
        <v>227</v>
      </c>
    </row>
    <row r="735" spans="1:12" ht="15">
      <c r="A735" s="2" t="s">
        <v>146</v>
      </c>
      <c r="B735" s="2">
        <v>6</v>
      </c>
      <c r="C735" s="2" t="s">
        <v>30</v>
      </c>
      <c r="D735" s="3">
        <v>46288</v>
      </c>
      <c r="E735" s="2" t="s">
        <v>229</v>
      </c>
      <c r="F735" s="2" t="s">
        <v>225</v>
      </c>
      <c r="G735" s="4">
        <v>8</v>
      </c>
      <c r="H735" s="4">
        <v>8</v>
      </c>
      <c r="I735" s="4">
        <v>0</v>
      </c>
      <c r="J735" s="5">
        <v>2.5</v>
      </c>
      <c r="K735" s="2" t="s">
        <v>226</v>
      </c>
      <c r="L735" s="2" t="s">
        <v>227</v>
      </c>
    </row>
    <row r="736" spans="1:12" ht="15">
      <c r="A736" s="2" t="s">
        <v>147</v>
      </c>
      <c r="B736" s="2">
        <v>1</v>
      </c>
      <c r="C736" s="2" t="s">
        <v>32</v>
      </c>
      <c r="D736" s="3">
        <v>46288</v>
      </c>
      <c r="E736" s="2" t="s">
        <v>224</v>
      </c>
      <c r="F736" s="2" t="s">
        <v>225</v>
      </c>
      <c r="G736" s="4">
        <v>6.4</v>
      </c>
      <c r="H736" s="4">
        <v>6.4</v>
      </c>
      <c r="I736" s="4">
        <v>0</v>
      </c>
      <c r="J736" s="5">
        <v>5</v>
      </c>
      <c r="K736" s="2" t="s">
        <v>226</v>
      </c>
      <c r="L736" s="2" t="s">
        <v>227</v>
      </c>
    </row>
    <row r="737" spans="1:12" ht="15">
      <c r="A737" s="2" t="s">
        <v>147</v>
      </c>
      <c r="B737" s="2">
        <v>2</v>
      </c>
      <c r="C737" s="2" t="s">
        <v>32</v>
      </c>
      <c r="D737" s="3">
        <v>46288</v>
      </c>
      <c r="E737" s="2" t="s">
        <v>250</v>
      </c>
      <c r="F737" s="2" t="s">
        <v>225</v>
      </c>
      <c r="G737" s="4">
        <v>8</v>
      </c>
      <c r="H737" s="4">
        <v>8</v>
      </c>
      <c r="I737" s="4">
        <v>0</v>
      </c>
      <c r="J737" s="5">
        <v>4.9000000000000004</v>
      </c>
      <c r="K737" s="2" t="s">
        <v>226</v>
      </c>
      <c r="L737" s="2" t="s">
        <v>227</v>
      </c>
    </row>
    <row r="738" spans="1:12" ht="15">
      <c r="A738" s="2" t="s">
        <v>147</v>
      </c>
      <c r="B738" s="2">
        <v>3</v>
      </c>
      <c r="C738" s="2" t="s">
        <v>32</v>
      </c>
      <c r="D738" s="3">
        <v>46288</v>
      </c>
      <c r="E738" s="2" t="s">
        <v>240</v>
      </c>
      <c r="F738" s="2" t="s">
        <v>225</v>
      </c>
      <c r="G738" s="4">
        <v>11.2</v>
      </c>
      <c r="H738" s="4">
        <v>11.2</v>
      </c>
      <c r="I738" s="4">
        <v>0</v>
      </c>
      <c r="J738" s="5">
        <v>6.1</v>
      </c>
      <c r="K738" s="2" t="s">
        <v>226</v>
      </c>
      <c r="L738" s="2" t="s">
        <v>227</v>
      </c>
    </row>
    <row r="739" spans="1:12" ht="15">
      <c r="A739" s="2" t="s">
        <v>147</v>
      </c>
      <c r="B739" s="2">
        <v>4</v>
      </c>
      <c r="C739" s="2" t="s">
        <v>32</v>
      </c>
      <c r="D739" s="3">
        <v>46288</v>
      </c>
      <c r="E739" s="2" t="s">
        <v>248</v>
      </c>
      <c r="F739" s="2" t="s">
        <v>225</v>
      </c>
      <c r="G739" s="4">
        <v>8.8000000000000007</v>
      </c>
      <c r="H739" s="4">
        <v>8.8000000000000007</v>
      </c>
      <c r="I739" s="4">
        <v>0</v>
      </c>
      <c r="J739" s="5">
        <v>4.95</v>
      </c>
      <c r="K739" s="2" t="s">
        <v>226</v>
      </c>
      <c r="L739" s="2" t="s">
        <v>227</v>
      </c>
    </row>
    <row r="740" spans="1:12" ht="15">
      <c r="A740" s="2" t="s">
        <v>147</v>
      </c>
      <c r="B740" s="2">
        <v>5</v>
      </c>
      <c r="C740" s="2" t="s">
        <v>32</v>
      </c>
      <c r="D740" s="3">
        <v>46288</v>
      </c>
      <c r="E740" s="2" t="s">
        <v>243</v>
      </c>
      <c r="F740" s="2" t="s">
        <v>225</v>
      </c>
      <c r="G740" s="4">
        <v>12</v>
      </c>
      <c r="H740" s="4">
        <v>12</v>
      </c>
      <c r="I740" s="4">
        <v>0</v>
      </c>
      <c r="J740" s="5">
        <v>3.9</v>
      </c>
      <c r="K740" s="2" t="s">
        <v>226</v>
      </c>
      <c r="L740" s="2" t="s">
        <v>227</v>
      </c>
    </row>
    <row r="741" spans="1:12" ht="15">
      <c r="A741" s="2" t="s">
        <v>147</v>
      </c>
      <c r="B741" s="2">
        <v>6</v>
      </c>
      <c r="C741" s="2" t="s">
        <v>32</v>
      </c>
      <c r="D741" s="3">
        <v>46288</v>
      </c>
      <c r="E741" s="2" t="s">
        <v>241</v>
      </c>
      <c r="F741" s="2" t="s">
        <v>225</v>
      </c>
      <c r="G741" s="4">
        <v>8</v>
      </c>
      <c r="H741" s="4">
        <v>8</v>
      </c>
      <c r="I741" s="4">
        <v>0</v>
      </c>
      <c r="J741" s="5">
        <v>2.9</v>
      </c>
      <c r="K741" s="2" t="s">
        <v>226</v>
      </c>
      <c r="L741" s="2" t="s">
        <v>227</v>
      </c>
    </row>
    <row r="742" spans="1:12" ht="15">
      <c r="A742" s="2" t="s">
        <v>148</v>
      </c>
      <c r="B742" s="2">
        <v>1</v>
      </c>
      <c r="C742" s="2" t="s">
        <v>33</v>
      </c>
      <c r="D742" s="3">
        <v>46288</v>
      </c>
      <c r="E742" s="2" t="s">
        <v>245</v>
      </c>
      <c r="F742" s="2" t="s">
        <v>225</v>
      </c>
      <c r="G742" s="4">
        <v>6.2</v>
      </c>
      <c r="H742" s="4">
        <v>6.2</v>
      </c>
      <c r="I742" s="4">
        <v>0</v>
      </c>
      <c r="J742" s="5">
        <v>4.9000000000000004</v>
      </c>
      <c r="K742" s="2" t="s">
        <v>226</v>
      </c>
      <c r="L742" s="2" t="s">
        <v>227</v>
      </c>
    </row>
    <row r="743" spans="1:12" ht="15">
      <c r="A743" s="2" t="s">
        <v>148</v>
      </c>
      <c r="B743" s="2">
        <v>2</v>
      </c>
      <c r="C743" s="2" t="s">
        <v>33</v>
      </c>
      <c r="D743" s="3">
        <v>46288</v>
      </c>
      <c r="E743" s="2" t="s">
        <v>248</v>
      </c>
      <c r="F743" s="2" t="s">
        <v>225</v>
      </c>
      <c r="G743" s="4">
        <v>10.4</v>
      </c>
      <c r="H743" s="4">
        <v>10.4</v>
      </c>
      <c r="I743" s="4">
        <v>0</v>
      </c>
      <c r="J743" s="5">
        <v>4.95</v>
      </c>
      <c r="K743" s="2" t="s">
        <v>226</v>
      </c>
      <c r="L743" s="2" t="s">
        <v>227</v>
      </c>
    </row>
    <row r="744" spans="1:12" ht="15">
      <c r="A744" s="2" t="s">
        <v>148</v>
      </c>
      <c r="B744" s="2">
        <v>3</v>
      </c>
      <c r="C744" s="2" t="s">
        <v>33</v>
      </c>
      <c r="D744" s="3">
        <v>46288</v>
      </c>
      <c r="E744" s="2" t="s">
        <v>239</v>
      </c>
      <c r="F744" s="2" t="s">
        <v>225</v>
      </c>
      <c r="G744" s="4">
        <v>8.3000000000000007</v>
      </c>
      <c r="H744" s="4">
        <v>8.3000000000000007</v>
      </c>
      <c r="I744" s="4">
        <v>0</v>
      </c>
      <c r="J744" s="5">
        <v>4.5999999999999996</v>
      </c>
      <c r="K744" s="2" t="s">
        <v>226</v>
      </c>
      <c r="L744" s="2" t="s">
        <v>227</v>
      </c>
    </row>
    <row r="745" spans="1:12" ht="15">
      <c r="A745" s="2" t="s">
        <v>148</v>
      </c>
      <c r="B745" s="2">
        <v>4</v>
      </c>
      <c r="C745" s="2" t="s">
        <v>33</v>
      </c>
      <c r="D745" s="3">
        <v>46288</v>
      </c>
      <c r="E745" s="2" t="s">
        <v>240</v>
      </c>
      <c r="F745" s="2" t="s">
        <v>225</v>
      </c>
      <c r="G745" s="4">
        <v>4.9000000000000004</v>
      </c>
      <c r="H745" s="4">
        <v>4.9000000000000004</v>
      </c>
      <c r="I745" s="4">
        <v>0</v>
      </c>
      <c r="J745" s="5">
        <v>6.1</v>
      </c>
      <c r="K745" s="2" t="s">
        <v>226</v>
      </c>
      <c r="L745" s="2" t="s">
        <v>227</v>
      </c>
    </row>
    <row r="746" spans="1:12" ht="15">
      <c r="A746" s="2" t="s">
        <v>148</v>
      </c>
      <c r="B746" s="2">
        <v>5</v>
      </c>
      <c r="C746" s="2" t="s">
        <v>33</v>
      </c>
      <c r="D746" s="3">
        <v>46288</v>
      </c>
      <c r="E746" s="2" t="s">
        <v>228</v>
      </c>
      <c r="F746" s="2" t="s">
        <v>225</v>
      </c>
      <c r="G746" s="4">
        <v>5.5</v>
      </c>
      <c r="H746" s="4">
        <v>5.5</v>
      </c>
      <c r="I746" s="4">
        <v>0</v>
      </c>
      <c r="J746" s="5">
        <v>2.7</v>
      </c>
      <c r="K746" s="2" t="s">
        <v>226</v>
      </c>
      <c r="L746" s="2" t="s">
        <v>227</v>
      </c>
    </row>
    <row r="747" spans="1:12" ht="15">
      <c r="A747" s="2" t="s">
        <v>148</v>
      </c>
      <c r="B747" s="2">
        <v>6</v>
      </c>
      <c r="C747" s="2" t="s">
        <v>33</v>
      </c>
      <c r="D747" s="3">
        <v>46288</v>
      </c>
      <c r="E747" s="2" t="s">
        <v>247</v>
      </c>
      <c r="F747" s="2" t="s">
        <v>225</v>
      </c>
      <c r="G747" s="4">
        <v>8.3000000000000007</v>
      </c>
      <c r="H747" s="4">
        <v>8.3000000000000007</v>
      </c>
      <c r="I747" s="4">
        <v>0</v>
      </c>
      <c r="J747" s="5">
        <v>4.9000000000000004</v>
      </c>
      <c r="K747" s="2" t="s">
        <v>226</v>
      </c>
      <c r="L747" s="2" t="s">
        <v>227</v>
      </c>
    </row>
    <row r="748" spans="1:12" ht="15">
      <c r="A748" s="2" t="s">
        <v>148</v>
      </c>
      <c r="B748" s="2">
        <v>7</v>
      </c>
      <c r="C748" s="2" t="s">
        <v>33</v>
      </c>
      <c r="D748" s="3">
        <v>46288</v>
      </c>
      <c r="E748" s="2" t="s">
        <v>231</v>
      </c>
      <c r="F748" s="2" t="s">
        <v>225</v>
      </c>
      <c r="G748" s="4">
        <v>9</v>
      </c>
      <c r="H748" s="4">
        <v>9</v>
      </c>
      <c r="I748" s="4">
        <v>0</v>
      </c>
      <c r="J748" s="5">
        <v>10.4</v>
      </c>
      <c r="K748" s="2" t="s">
        <v>226</v>
      </c>
      <c r="L748" s="2" t="s">
        <v>227</v>
      </c>
    </row>
    <row r="749" spans="1:12" ht="15">
      <c r="A749" s="2" t="s">
        <v>149</v>
      </c>
      <c r="B749" s="2">
        <v>1</v>
      </c>
      <c r="C749" s="2" t="s">
        <v>28</v>
      </c>
      <c r="D749" s="3">
        <v>46289</v>
      </c>
      <c r="E749" s="2" t="s">
        <v>245</v>
      </c>
      <c r="F749" s="2" t="s">
        <v>225</v>
      </c>
      <c r="G749" s="4">
        <v>2.8</v>
      </c>
      <c r="H749" s="4">
        <v>2.8</v>
      </c>
      <c r="I749" s="4">
        <v>0</v>
      </c>
      <c r="J749" s="5">
        <v>4.9000000000000004</v>
      </c>
      <c r="K749" s="2" t="s">
        <v>226</v>
      </c>
      <c r="L749" s="2" t="s">
        <v>227</v>
      </c>
    </row>
    <row r="750" spans="1:12" ht="15">
      <c r="A750" s="2" t="s">
        <v>149</v>
      </c>
      <c r="B750" s="2">
        <v>2</v>
      </c>
      <c r="C750" s="2" t="s">
        <v>28</v>
      </c>
      <c r="D750" s="3">
        <v>46289</v>
      </c>
      <c r="E750" s="2" t="s">
        <v>238</v>
      </c>
      <c r="F750" s="2" t="s">
        <v>225</v>
      </c>
      <c r="G750" s="4">
        <v>2.8</v>
      </c>
      <c r="H750" s="4">
        <v>2.8</v>
      </c>
      <c r="I750" s="4">
        <v>0</v>
      </c>
      <c r="J750" s="5">
        <v>3.5</v>
      </c>
      <c r="K750" s="2" t="s">
        <v>226</v>
      </c>
      <c r="L750" s="2" t="s">
        <v>227</v>
      </c>
    </row>
    <row r="751" spans="1:12" ht="15">
      <c r="A751" s="2" t="s">
        <v>149</v>
      </c>
      <c r="B751" s="2">
        <v>3</v>
      </c>
      <c r="C751" s="2" t="s">
        <v>28</v>
      </c>
      <c r="D751" s="3">
        <v>46289</v>
      </c>
      <c r="E751" s="2" t="s">
        <v>248</v>
      </c>
      <c r="F751" s="2" t="s">
        <v>225</v>
      </c>
      <c r="G751" s="4">
        <v>2.6</v>
      </c>
      <c r="H751" s="4">
        <v>2.6</v>
      </c>
      <c r="I751" s="4">
        <v>0</v>
      </c>
      <c r="J751" s="5">
        <v>4.95</v>
      </c>
      <c r="K751" s="2" t="s">
        <v>226</v>
      </c>
      <c r="L751" s="2" t="s">
        <v>227</v>
      </c>
    </row>
    <row r="752" spans="1:12" ht="15">
      <c r="A752" s="2" t="s">
        <v>149</v>
      </c>
      <c r="B752" s="2">
        <v>4</v>
      </c>
      <c r="C752" s="2" t="s">
        <v>28</v>
      </c>
      <c r="D752" s="3">
        <v>46289</v>
      </c>
      <c r="E752" s="2" t="s">
        <v>247</v>
      </c>
      <c r="F752" s="2" t="s">
        <v>225</v>
      </c>
      <c r="G752" s="4">
        <v>2.6</v>
      </c>
      <c r="H752" s="4">
        <v>2.6</v>
      </c>
      <c r="I752" s="4">
        <v>0</v>
      </c>
      <c r="J752" s="5">
        <v>4.9000000000000004</v>
      </c>
      <c r="K752" s="2" t="s">
        <v>226</v>
      </c>
      <c r="L752" s="2" t="s">
        <v>227</v>
      </c>
    </row>
    <row r="753" spans="1:12" ht="15">
      <c r="A753" s="2" t="s">
        <v>149</v>
      </c>
      <c r="B753" s="2">
        <v>5</v>
      </c>
      <c r="C753" s="2" t="s">
        <v>28</v>
      </c>
      <c r="D753" s="3">
        <v>46289</v>
      </c>
      <c r="E753" s="2" t="s">
        <v>231</v>
      </c>
      <c r="F753" s="2" t="s">
        <v>225</v>
      </c>
      <c r="G753" s="4">
        <v>3</v>
      </c>
      <c r="H753" s="4">
        <v>3</v>
      </c>
      <c r="I753" s="4">
        <v>0</v>
      </c>
      <c r="J753" s="5">
        <v>10.4</v>
      </c>
      <c r="K753" s="2" t="s">
        <v>226</v>
      </c>
      <c r="L753" s="2" t="s">
        <v>227</v>
      </c>
    </row>
    <row r="754" spans="1:12" ht="15">
      <c r="A754" s="2" t="s">
        <v>149</v>
      </c>
      <c r="B754" s="2">
        <v>6</v>
      </c>
      <c r="C754" s="2" t="s">
        <v>28</v>
      </c>
      <c r="D754" s="3">
        <v>46289</v>
      </c>
      <c r="E754" s="2" t="s">
        <v>233</v>
      </c>
      <c r="F754" s="2" t="s">
        <v>234</v>
      </c>
      <c r="G754" s="4">
        <v>1</v>
      </c>
      <c r="H754" s="4">
        <v>1</v>
      </c>
      <c r="I754" s="4">
        <v>0</v>
      </c>
      <c r="J754" s="5">
        <v>67</v>
      </c>
      <c r="K754" s="2" t="s">
        <v>226</v>
      </c>
      <c r="L754" s="2" t="s">
        <v>227</v>
      </c>
    </row>
    <row r="755" spans="1:12" ht="15">
      <c r="A755" s="2" t="s">
        <v>149</v>
      </c>
      <c r="B755" s="2">
        <v>7</v>
      </c>
      <c r="C755" s="2" t="s">
        <v>28</v>
      </c>
      <c r="D755" s="3">
        <v>46289</v>
      </c>
      <c r="E755" s="2" t="s">
        <v>235</v>
      </c>
      <c r="F755" s="2" t="s">
        <v>236</v>
      </c>
      <c r="G755" s="4">
        <v>1</v>
      </c>
      <c r="H755" s="4">
        <v>1</v>
      </c>
      <c r="I755" s="4">
        <v>0</v>
      </c>
      <c r="J755" s="5">
        <v>112</v>
      </c>
      <c r="K755" s="2" t="s">
        <v>226</v>
      </c>
      <c r="L755" s="2" t="s">
        <v>227</v>
      </c>
    </row>
    <row r="756" spans="1:12" ht="15">
      <c r="A756" s="2" t="s">
        <v>150</v>
      </c>
      <c r="B756" s="2">
        <v>1</v>
      </c>
      <c r="C756" s="2" t="s">
        <v>29</v>
      </c>
      <c r="D756" s="3">
        <v>46289</v>
      </c>
      <c r="E756" s="2" t="s">
        <v>237</v>
      </c>
      <c r="F756" s="2" t="s">
        <v>225</v>
      </c>
      <c r="G756" s="4">
        <v>4.5</v>
      </c>
      <c r="H756" s="4">
        <v>4.5</v>
      </c>
      <c r="I756" s="4">
        <v>0</v>
      </c>
      <c r="J756" s="5">
        <v>4.8</v>
      </c>
      <c r="K756" s="2" t="s">
        <v>226</v>
      </c>
      <c r="L756" s="2" t="s">
        <v>227</v>
      </c>
    </row>
    <row r="757" spans="1:12" ht="15">
      <c r="A757" s="2" t="s">
        <v>150</v>
      </c>
      <c r="B757" s="2">
        <v>2</v>
      </c>
      <c r="C757" s="2" t="s">
        <v>29</v>
      </c>
      <c r="D757" s="3">
        <v>46289</v>
      </c>
      <c r="E757" s="2" t="s">
        <v>248</v>
      </c>
      <c r="F757" s="2" t="s">
        <v>225</v>
      </c>
      <c r="G757" s="4">
        <v>7.9</v>
      </c>
      <c r="H757" s="4">
        <v>7.7</v>
      </c>
      <c r="I757" s="4">
        <v>0</v>
      </c>
      <c r="J757" s="5">
        <v>4.95</v>
      </c>
      <c r="K757" s="2" t="s">
        <v>246</v>
      </c>
      <c r="L757" s="2" t="s">
        <v>227</v>
      </c>
    </row>
    <row r="758" spans="1:12" ht="15">
      <c r="A758" s="2" t="s">
        <v>150</v>
      </c>
      <c r="B758" s="2">
        <v>3</v>
      </c>
      <c r="C758" s="2" t="s">
        <v>29</v>
      </c>
      <c r="D758" s="3">
        <v>46289</v>
      </c>
      <c r="E758" s="2" t="s">
        <v>243</v>
      </c>
      <c r="F758" s="2" t="s">
        <v>225</v>
      </c>
      <c r="G758" s="4">
        <v>6.4</v>
      </c>
      <c r="H758" s="4">
        <v>6.4</v>
      </c>
      <c r="I758" s="4">
        <v>0</v>
      </c>
      <c r="J758" s="5">
        <v>3.9</v>
      </c>
      <c r="K758" s="2" t="s">
        <v>226</v>
      </c>
      <c r="L758" s="2" t="s">
        <v>227</v>
      </c>
    </row>
    <row r="759" spans="1:12" ht="15">
      <c r="A759" s="2" t="s">
        <v>150</v>
      </c>
      <c r="B759" s="2">
        <v>4</v>
      </c>
      <c r="C759" s="2" t="s">
        <v>29</v>
      </c>
      <c r="D759" s="3">
        <v>46289</v>
      </c>
      <c r="E759" s="2" t="s">
        <v>238</v>
      </c>
      <c r="F759" s="2" t="s">
        <v>225</v>
      </c>
      <c r="G759" s="4">
        <v>5.5</v>
      </c>
      <c r="H759" s="4">
        <v>5.5</v>
      </c>
      <c r="I759" s="4">
        <v>0</v>
      </c>
      <c r="J759" s="5">
        <v>3.5</v>
      </c>
      <c r="K759" s="2" t="s">
        <v>226</v>
      </c>
      <c r="L759" s="2" t="s">
        <v>227</v>
      </c>
    </row>
    <row r="760" spans="1:12" ht="15">
      <c r="A760" s="2" t="s">
        <v>150</v>
      </c>
      <c r="B760" s="2">
        <v>5</v>
      </c>
      <c r="C760" s="2" t="s">
        <v>29</v>
      </c>
      <c r="D760" s="3">
        <v>46289</v>
      </c>
      <c r="E760" s="2" t="s">
        <v>241</v>
      </c>
      <c r="F760" s="2" t="s">
        <v>225</v>
      </c>
      <c r="G760" s="4">
        <v>4</v>
      </c>
      <c r="H760" s="4">
        <v>4</v>
      </c>
      <c r="I760" s="4">
        <v>0</v>
      </c>
      <c r="J760" s="5">
        <v>2.9</v>
      </c>
      <c r="K760" s="2" t="s">
        <v>226</v>
      </c>
      <c r="L760" s="2" t="s">
        <v>227</v>
      </c>
    </row>
    <row r="761" spans="1:12" ht="15">
      <c r="A761" s="2" t="s">
        <v>150</v>
      </c>
      <c r="B761" s="2">
        <v>6</v>
      </c>
      <c r="C761" s="2" t="s">
        <v>29</v>
      </c>
      <c r="D761" s="3">
        <v>46289</v>
      </c>
      <c r="E761" s="2" t="s">
        <v>231</v>
      </c>
      <c r="F761" s="2" t="s">
        <v>225</v>
      </c>
      <c r="G761" s="4">
        <v>4</v>
      </c>
      <c r="H761" s="4">
        <v>4</v>
      </c>
      <c r="I761" s="4">
        <v>0</v>
      </c>
      <c r="J761" s="5">
        <v>10.4</v>
      </c>
      <c r="K761" s="2" t="s">
        <v>226</v>
      </c>
      <c r="L761" s="2" t="s">
        <v>227</v>
      </c>
    </row>
    <row r="762" spans="1:12" ht="15">
      <c r="A762" s="2" t="s">
        <v>150</v>
      </c>
      <c r="B762" s="2">
        <v>7</v>
      </c>
      <c r="C762" s="2" t="s">
        <v>29</v>
      </c>
      <c r="D762" s="3">
        <v>46289</v>
      </c>
      <c r="E762" s="2" t="s">
        <v>242</v>
      </c>
      <c r="F762" s="2" t="s">
        <v>236</v>
      </c>
      <c r="G762" s="4">
        <v>3</v>
      </c>
      <c r="H762" s="4">
        <v>3</v>
      </c>
      <c r="I762" s="4">
        <v>0</v>
      </c>
      <c r="J762" s="5">
        <v>117</v>
      </c>
      <c r="K762" s="2" t="s">
        <v>226</v>
      </c>
      <c r="L762" s="2" t="s">
        <v>227</v>
      </c>
    </row>
    <row r="763" spans="1:12" ht="15">
      <c r="A763" s="2" t="s">
        <v>150</v>
      </c>
      <c r="B763" s="2">
        <v>8</v>
      </c>
      <c r="C763" s="2" t="s">
        <v>29</v>
      </c>
      <c r="D763" s="3">
        <v>46289</v>
      </c>
      <c r="E763" s="2" t="s">
        <v>233</v>
      </c>
      <c r="F763" s="2" t="s">
        <v>234</v>
      </c>
      <c r="G763" s="4">
        <v>1</v>
      </c>
      <c r="H763" s="4">
        <v>1</v>
      </c>
      <c r="I763" s="4">
        <v>0</v>
      </c>
      <c r="J763" s="5">
        <v>67</v>
      </c>
      <c r="K763" s="2" t="s">
        <v>226</v>
      </c>
      <c r="L763" s="2" t="s">
        <v>227</v>
      </c>
    </row>
    <row r="764" spans="1:12" ht="15">
      <c r="A764" s="2" t="s">
        <v>151</v>
      </c>
      <c r="B764" s="2">
        <v>1</v>
      </c>
      <c r="C764" s="2" t="s">
        <v>30</v>
      </c>
      <c r="D764" s="3">
        <v>46289</v>
      </c>
      <c r="E764" s="2" t="s">
        <v>245</v>
      </c>
      <c r="F764" s="2" t="s">
        <v>225</v>
      </c>
      <c r="G764" s="4">
        <v>8.4</v>
      </c>
      <c r="H764" s="4">
        <v>8.4</v>
      </c>
      <c r="I764" s="4">
        <v>0</v>
      </c>
      <c r="J764" s="5">
        <v>4.9000000000000004</v>
      </c>
      <c r="K764" s="2" t="s">
        <v>226</v>
      </c>
      <c r="L764" s="2" t="s">
        <v>227</v>
      </c>
    </row>
    <row r="765" spans="1:12" ht="15">
      <c r="A765" s="2" t="s">
        <v>151</v>
      </c>
      <c r="B765" s="2">
        <v>2</v>
      </c>
      <c r="C765" s="2" t="s">
        <v>30</v>
      </c>
      <c r="D765" s="3">
        <v>46289</v>
      </c>
      <c r="E765" s="2" t="s">
        <v>240</v>
      </c>
      <c r="F765" s="2" t="s">
        <v>225</v>
      </c>
      <c r="G765" s="4">
        <v>7.1</v>
      </c>
      <c r="H765" s="4">
        <v>7.1</v>
      </c>
      <c r="I765" s="4">
        <v>0</v>
      </c>
      <c r="J765" s="5">
        <v>6.1</v>
      </c>
      <c r="K765" s="2" t="s">
        <v>226</v>
      </c>
      <c r="L765" s="2" t="s">
        <v>227</v>
      </c>
    </row>
    <row r="766" spans="1:12" ht="15">
      <c r="A766" s="2" t="s">
        <v>151</v>
      </c>
      <c r="B766" s="2">
        <v>3</v>
      </c>
      <c r="C766" s="2" t="s">
        <v>30</v>
      </c>
      <c r="D766" s="3">
        <v>46289</v>
      </c>
      <c r="E766" s="2" t="s">
        <v>230</v>
      </c>
      <c r="F766" s="2" t="s">
        <v>225</v>
      </c>
      <c r="G766" s="4">
        <v>5.0999999999999996</v>
      </c>
      <c r="H766" s="4">
        <v>5.0999999999999996</v>
      </c>
      <c r="I766" s="4">
        <v>0</v>
      </c>
      <c r="J766" s="5">
        <v>2.2999999999999998</v>
      </c>
      <c r="K766" s="2" t="s">
        <v>226</v>
      </c>
      <c r="L766" s="2" t="s">
        <v>227</v>
      </c>
    </row>
    <row r="767" spans="1:12" ht="15">
      <c r="A767" s="2" t="s">
        <v>151</v>
      </c>
      <c r="B767" s="2">
        <v>4</v>
      </c>
      <c r="C767" s="2" t="s">
        <v>30</v>
      </c>
      <c r="D767" s="3">
        <v>46289</v>
      </c>
      <c r="E767" s="2" t="s">
        <v>229</v>
      </c>
      <c r="F767" s="2" t="s">
        <v>225</v>
      </c>
      <c r="G767" s="4">
        <v>5.8</v>
      </c>
      <c r="H767" s="4">
        <v>5.8</v>
      </c>
      <c r="I767" s="4">
        <v>0</v>
      </c>
      <c r="J767" s="5">
        <v>2.5</v>
      </c>
      <c r="K767" s="2" t="s">
        <v>226</v>
      </c>
      <c r="L767" s="2" t="s">
        <v>227</v>
      </c>
    </row>
    <row r="768" spans="1:12" ht="15">
      <c r="A768" s="2" t="s">
        <v>151</v>
      </c>
      <c r="B768" s="2">
        <v>5</v>
      </c>
      <c r="C768" s="2" t="s">
        <v>30</v>
      </c>
      <c r="D768" s="3">
        <v>46289</v>
      </c>
      <c r="E768" s="2" t="s">
        <v>250</v>
      </c>
      <c r="F768" s="2" t="s">
        <v>225</v>
      </c>
      <c r="G768" s="4">
        <v>9</v>
      </c>
      <c r="H768" s="4">
        <v>9</v>
      </c>
      <c r="I768" s="4">
        <v>0</v>
      </c>
      <c r="J768" s="5">
        <v>4.9000000000000004</v>
      </c>
      <c r="K768" s="2" t="s">
        <v>226</v>
      </c>
      <c r="L768" s="2" t="s">
        <v>227</v>
      </c>
    </row>
    <row r="769" spans="1:12" ht="15">
      <c r="A769" s="2" t="s">
        <v>151</v>
      </c>
      <c r="B769" s="2">
        <v>6</v>
      </c>
      <c r="C769" s="2" t="s">
        <v>30</v>
      </c>
      <c r="D769" s="3">
        <v>46289</v>
      </c>
      <c r="E769" s="2" t="s">
        <v>239</v>
      </c>
      <c r="F769" s="2" t="s">
        <v>225</v>
      </c>
      <c r="G769" s="4">
        <v>5.8</v>
      </c>
      <c r="H769" s="4">
        <v>5.8</v>
      </c>
      <c r="I769" s="4">
        <v>0</v>
      </c>
      <c r="J769" s="5">
        <v>4.5999999999999996</v>
      </c>
      <c r="K769" s="2" t="s">
        <v>226</v>
      </c>
      <c r="L769" s="2" t="s">
        <v>227</v>
      </c>
    </row>
    <row r="770" spans="1:12" ht="15">
      <c r="A770" s="2" t="s">
        <v>151</v>
      </c>
      <c r="B770" s="2">
        <v>7</v>
      </c>
      <c r="C770" s="2" t="s">
        <v>30</v>
      </c>
      <c r="D770" s="3">
        <v>46289</v>
      </c>
      <c r="E770" s="2" t="s">
        <v>231</v>
      </c>
      <c r="F770" s="2" t="s">
        <v>225</v>
      </c>
      <c r="G770" s="4">
        <v>6</v>
      </c>
      <c r="H770" s="4">
        <v>6</v>
      </c>
      <c r="I770" s="4">
        <v>0</v>
      </c>
      <c r="J770" s="5">
        <v>10.4</v>
      </c>
      <c r="K770" s="2" t="s">
        <v>226</v>
      </c>
      <c r="L770" s="2" t="s">
        <v>227</v>
      </c>
    </row>
    <row r="771" spans="1:12" ht="15">
      <c r="A771" s="2" t="s">
        <v>151</v>
      </c>
      <c r="B771" s="2">
        <v>8</v>
      </c>
      <c r="C771" s="2" t="s">
        <v>30</v>
      </c>
      <c r="D771" s="3">
        <v>46289</v>
      </c>
      <c r="E771" s="2" t="s">
        <v>242</v>
      </c>
      <c r="F771" s="2" t="s">
        <v>236</v>
      </c>
      <c r="G771" s="4">
        <v>5</v>
      </c>
      <c r="H771" s="4">
        <v>5</v>
      </c>
      <c r="I771" s="4">
        <v>0</v>
      </c>
      <c r="J771" s="5">
        <v>117</v>
      </c>
      <c r="K771" s="2" t="s">
        <v>226</v>
      </c>
      <c r="L771" s="2" t="s">
        <v>227</v>
      </c>
    </row>
    <row r="772" spans="1:12" ht="15">
      <c r="A772" s="2" t="s">
        <v>151</v>
      </c>
      <c r="B772" s="2">
        <v>9</v>
      </c>
      <c r="C772" s="2" t="s">
        <v>30</v>
      </c>
      <c r="D772" s="3">
        <v>46289</v>
      </c>
      <c r="E772" s="2" t="s">
        <v>244</v>
      </c>
      <c r="F772" s="2" t="s">
        <v>234</v>
      </c>
      <c r="G772" s="4">
        <v>2</v>
      </c>
      <c r="H772" s="4">
        <v>2</v>
      </c>
      <c r="I772" s="4">
        <v>0</v>
      </c>
      <c r="J772" s="5">
        <v>60</v>
      </c>
      <c r="K772" s="2" t="s">
        <v>226</v>
      </c>
      <c r="L772" s="2" t="s">
        <v>227</v>
      </c>
    </row>
    <row r="773" spans="1:12" ht="15">
      <c r="A773" s="2" t="s">
        <v>152</v>
      </c>
      <c r="B773" s="2">
        <v>1</v>
      </c>
      <c r="C773" s="2" t="s">
        <v>31</v>
      </c>
      <c r="D773" s="3">
        <v>46289</v>
      </c>
      <c r="E773" s="2" t="s">
        <v>237</v>
      </c>
      <c r="F773" s="2" t="s">
        <v>225</v>
      </c>
      <c r="G773" s="4">
        <v>6.2</v>
      </c>
      <c r="H773" s="4">
        <v>6.2</v>
      </c>
      <c r="I773" s="4">
        <v>0</v>
      </c>
      <c r="J773" s="5">
        <v>4.8</v>
      </c>
      <c r="K773" s="2" t="s">
        <v>226</v>
      </c>
      <c r="L773" s="2" t="s">
        <v>227</v>
      </c>
    </row>
    <row r="774" spans="1:12" ht="15">
      <c r="A774" s="2" t="s">
        <v>152</v>
      </c>
      <c r="B774" s="2">
        <v>2</v>
      </c>
      <c r="C774" s="2" t="s">
        <v>31</v>
      </c>
      <c r="D774" s="3">
        <v>46289</v>
      </c>
      <c r="E774" s="2" t="s">
        <v>230</v>
      </c>
      <c r="F774" s="2" t="s">
        <v>225</v>
      </c>
      <c r="G774" s="4">
        <v>6.8</v>
      </c>
      <c r="H774" s="4">
        <v>6.8</v>
      </c>
      <c r="I774" s="4">
        <v>0</v>
      </c>
      <c r="J774" s="5">
        <v>2.2999999999999998</v>
      </c>
      <c r="K774" s="2" t="s">
        <v>226</v>
      </c>
      <c r="L774" s="2" t="s">
        <v>227</v>
      </c>
    </row>
    <row r="775" spans="1:12" ht="15">
      <c r="A775" s="2" t="s">
        <v>152</v>
      </c>
      <c r="B775" s="2">
        <v>3</v>
      </c>
      <c r="C775" s="2" t="s">
        <v>31</v>
      </c>
      <c r="D775" s="3">
        <v>46289</v>
      </c>
      <c r="E775" s="2" t="s">
        <v>247</v>
      </c>
      <c r="F775" s="2" t="s">
        <v>225</v>
      </c>
      <c r="G775" s="4">
        <v>10.9</v>
      </c>
      <c r="H775" s="4">
        <v>10.9</v>
      </c>
      <c r="I775" s="4">
        <v>0</v>
      </c>
      <c r="J775" s="5">
        <v>4.9000000000000004</v>
      </c>
      <c r="K775" s="2" t="s">
        <v>226</v>
      </c>
      <c r="L775" s="2" t="s">
        <v>227</v>
      </c>
    </row>
    <row r="776" spans="1:12" ht="15">
      <c r="A776" s="2" t="s">
        <v>152</v>
      </c>
      <c r="B776" s="2">
        <v>4</v>
      </c>
      <c r="C776" s="2" t="s">
        <v>31</v>
      </c>
      <c r="D776" s="3">
        <v>46289</v>
      </c>
      <c r="E776" s="2" t="s">
        <v>238</v>
      </c>
      <c r="F776" s="2" t="s">
        <v>225</v>
      </c>
      <c r="G776" s="4">
        <v>5.5</v>
      </c>
      <c r="H776" s="4">
        <v>5.5</v>
      </c>
      <c r="I776" s="4">
        <v>0</v>
      </c>
      <c r="J776" s="5">
        <v>3.5</v>
      </c>
      <c r="K776" s="2" t="s">
        <v>226</v>
      </c>
      <c r="L776" s="2" t="s">
        <v>227</v>
      </c>
    </row>
    <row r="777" spans="1:12" ht="15">
      <c r="A777" s="2" t="s">
        <v>152</v>
      </c>
      <c r="B777" s="2">
        <v>5</v>
      </c>
      <c r="C777" s="2" t="s">
        <v>31</v>
      </c>
      <c r="D777" s="3">
        <v>46289</v>
      </c>
      <c r="E777" s="2" t="s">
        <v>243</v>
      </c>
      <c r="F777" s="2" t="s">
        <v>225</v>
      </c>
      <c r="G777" s="4">
        <v>6.8</v>
      </c>
      <c r="H777" s="4">
        <v>6.8</v>
      </c>
      <c r="I777" s="4">
        <v>0</v>
      </c>
      <c r="J777" s="5">
        <v>3.9</v>
      </c>
      <c r="K777" s="2" t="s">
        <v>226</v>
      </c>
      <c r="L777" s="2" t="s">
        <v>227</v>
      </c>
    </row>
    <row r="778" spans="1:12" ht="15">
      <c r="A778" s="2" t="s">
        <v>152</v>
      </c>
      <c r="B778" s="2">
        <v>6</v>
      </c>
      <c r="C778" s="2" t="s">
        <v>31</v>
      </c>
      <c r="D778" s="3">
        <v>46289</v>
      </c>
      <c r="E778" s="2" t="s">
        <v>250</v>
      </c>
      <c r="F778" s="2" t="s">
        <v>225</v>
      </c>
      <c r="G778" s="4">
        <v>4.8</v>
      </c>
      <c r="H778" s="4">
        <v>4.8</v>
      </c>
      <c r="I778" s="4">
        <v>0</v>
      </c>
      <c r="J778" s="5">
        <v>4.9000000000000004</v>
      </c>
      <c r="K778" s="2" t="s">
        <v>226</v>
      </c>
      <c r="L778" s="2" t="s">
        <v>227</v>
      </c>
    </row>
    <row r="779" spans="1:12" ht="15">
      <c r="A779" s="2" t="s">
        <v>152</v>
      </c>
      <c r="B779" s="2">
        <v>7</v>
      </c>
      <c r="C779" s="2" t="s">
        <v>31</v>
      </c>
      <c r="D779" s="3">
        <v>46289</v>
      </c>
      <c r="E779" s="2" t="s">
        <v>231</v>
      </c>
      <c r="F779" s="2" t="s">
        <v>225</v>
      </c>
      <c r="G779" s="4">
        <v>5</v>
      </c>
      <c r="H779" s="4">
        <v>5</v>
      </c>
      <c r="I779" s="4">
        <v>0</v>
      </c>
      <c r="J779" s="5">
        <v>10.4</v>
      </c>
      <c r="K779" s="2" t="s">
        <v>226</v>
      </c>
      <c r="L779" s="2" t="s">
        <v>227</v>
      </c>
    </row>
    <row r="780" spans="1:12" ht="15">
      <c r="A780" s="2" t="s">
        <v>152</v>
      </c>
      <c r="B780" s="2">
        <v>8</v>
      </c>
      <c r="C780" s="2" t="s">
        <v>31</v>
      </c>
      <c r="D780" s="3">
        <v>46289</v>
      </c>
      <c r="E780" s="2" t="s">
        <v>242</v>
      </c>
      <c r="F780" s="2" t="s">
        <v>236</v>
      </c>
      <c r="G780" s="4">
        <v>3</v>
      </c>
      <c r="H780" s="4">
        <v>3</v>
      </c>
      <c r="I780" s="4">
        <v>0</v>
      </c>
      <c r="J780" s="5">
        <v>117</v>
      </c>
      <c r="K780" s="2" t="s">
        <v>226</v>
      </c>
      <c r="L780" s="2" t="s">
        <v>227</v>
      </c>
    </row>
    <row r="781" spans="1:12" ht="15">
      <c r="A781" s="2" t="s">
        <v>152</v>
      </c>
      <c r="B781" s="2">
        <v>9</v>
      </c>
      <c r="C781" s="2" t="s">
        <v>31</v>
      </c>
      <c r="D781" s="3">
        <v>46289</v>
      </c>
      <c r="E781" s="2" t="s">
        <v>233</v>
      </c>
      <c r="F781" s="2" t="s">
        <v>234</v>
      </c>
      <c r="G781" s="4">
        <v>1</v>
      </c>
      <c r="H781" s="4">
        <v>1</v>
      </c>
      <c r="I781" s="4">
        <v>0</v>
      </c>
      <c r="J781" s="5">
        <v>67</v>
      </c>
      <c r="K781" s="2" t="s">
        <v>226</v>
      </c>
      <c r="L781" s="2" t="s">
        <v>227</v>
      </c>
    </row>
    <row r="782" spans="1:12" ht="15">
      <c r="A782" s="2" t="s">
        <v>153</v>
      </c>
      <c r="B782" s="2">
        <v>1</v>
      </c>
      <c r="C782" s="2" t="s">
        <v>32</v>
      </c>
      <c r="D782" s="3">
        <v>46289</v>
      </c>
      <c r="E782" s="2" t="s">
        <v>224</v>
      </c>
      <c r="F782" s="2" t="s">
        <v>225</v>
      </c>
      <c r="G782" s="4">
        <v>11.7</v>
      </c>
      <c r="H782" s="4">
        <v>11.7</v>
      </c>
      <c r="I782" s="4">
        <v>0</v>
      </c>
      <c r="J782" s="5">
        <v>5</v>
      </c>
      <c r="K782" s="2" t="s">
        <v>226</v>
      </c>
      <c r="L782" s="2" t="s">
        <v>227</v>
      </c>
    </row>
    <row r="783" spans="1:12" ht="15">
      <c r="A783" s="2" t="s">
        <v>153</v>
      </c>
      <c r="B783" s="2">
        <v>2</v>
      </c>
      <c r="C783" s="2" t="s">
        <v>32</v>
      </c>
      <c r="D783" s="3">
        <v>46289</v>
      </c>
      <c r="E783" s="2" t="s">
        <v>240</v>
      </c>
      <c r="F783" s="2" t="s">
        <v>225</v>
      </c>
      <c r="G783" s="4">
        <v>10</v>
      </c>
      <c r="H783" s="4">
        <v>10</v>
      </c>
      <c r="I783" s="4">
        <v>0</v>
      </c>
      <c r="J783" s="5">
        <v>6.1</v>
      </c>
      <c r="K783" s="2" t="s">
        <v>226</v>
      </c>
      <c r="L783" s="2" t="s">
        <v>227</v>
      </c>
    </row>
    <row r="784" spans="1:12" ht="15">
      <c r="A784" s="2" t="s">
        <v>153</v>
      </c>
      <c r="B784" s="2">
        <v>3</v>
      </c>
      <c r="C784" s="2" t="s">
        <v>32</v>
      </c>
      <c r="D784" s="3">
        <v>46289</v>
      </c>
      <c r="E784" s="2" t="s">
        <v>250</v>
      </c>
      <c r="F784" s="2" t="s">
        <v>225</v>
      </c>
      <c r="G784" s="4">
        <v>13.4</v>
      </c>
      <c r="H784" s="4">
        <v>13.4</v>
      </c>
      <c r="I784" s="4">
        <v>0</v>
      </c>
      <c r="J784" s="5">
        <v>4.9000000000000004</v>
      </c>
      <c r="K784" s="2" t="s">
        <v>226</v>
      </c>
      <c r="L784" s="2" t="s">
        <v>227</v>
      </c>
    </row>
    <row r="785" spans="1:12" ht="15">
      <c r="A785" s="2" t="s">
        <v>153</v>
      </c>
      <c r="B785" s="2">
        <v>4</v>
      </c>
      <c r="C785" s="2" t="s">
        <v>32</v>
      </c>
      <c r="D785" s="3">
        <v>46289</v>
      </c>
      <c r="E785" s="2" t="s">
        <v>241</v>
      </c>
      <c r="F785" s="2" t="s">
        <v>225</v>
      </c>
      <c r="G785" s="4">
        <v>10.9</v>
      </c>
      <c r="H785" s="4">
        <v>10.9</v>
      </c>
      <c r="I785" s="4">
        <v>0</v>
      </c>
      <c r="J785" s="5">
        <v>2.9</v>
      </c>
      <c r="K785" s="2" t="s">
        <v>226</v>
      </c>
      <c r="L785" s="2" t="s">
        <v>227</v>
      </c>
    </row>
    <row r="786" spans="1:12" ht="15">
      <c r="A786" s="2" t="s">
        <v>153</v>
      </c>
      <c r="B786" s="2">
        <v>5</v>
      </c>
      <c r="C786" s="2" t="s">
        <v>32</v>
      </c>
      <c r="D786" s="3">
        <v>46289</v>
      </c>
      <c r="E786" s="2" t="s">
        <v>230</v>
      </c>
      <c r="F786" s="2" t="s">
        <v>225</v>
      </c>
      <c r="G786" s="4">
        <v>10</v>
      </c>
      <c r="H786" s="4">
        <v>10</v>
      </c>
      <c r="I786" s="4">
        <v>0</v>
      </c>
      <c r="J786" s="5">
        <v>2.2999999999999998</v>
      </c>
      <c r="K786" s="2" t="s">
        <v>226</v>
      </c>
      <c r="L786" s="2" t="s">
        <v>227</v>
      </c>
    </row>
    <row r="787" spans="1:12" ht="15">
      <c r="A787" s="2" t="s">
        <v>153</v>
      </c>
      <c r="B787" s="2">
        <v>6</v>
      </c>
      <c r="C787" s="2" t="s">
        <v>32</v>
      </c>
      <c r="D787" s="3">
        <v>46289</v>
      </c>
      <c r="E787" s="2" t="s">
        <v>243</v>
      </c>
      <c r="F787" s="2" t="s">
        <v>225</v>
      </c>
      <c r="G787" s="4">
        <v>13.4</v>
      </c>
      <c r="H787" s="4">
        <v>13.4</v>
      </c>
      <c r="I787" s="4">
        <v>0</v>
      </c>
      <c r="J787" s="5">
        <v>3.9</v>
      </c>
      <c r="K787" s="2" t="s">
        <v>226</v>
      </c>
      <c r="L787" s="2" t="s">
        <v>227</v>
      </c>
    </row>
    <row r="788" spans="1:12" ht="15">
      <c r="A788" s="2" t="s">
        <v>153</v>
      </c>
      <c r="B788" s="2">
        <v>7</v>
      </c>
      <c r="C788" s="2" t="s">
        <v>32</v>
      </c>
      <c r="D788" s="3">
        <v>46289</v>
      </c>
      <c r="E788" s="2" t="s">
        <v>231</v>
      </c>
      <c r="F788" s="2" t="s">
        <v>225</v>
      </c>
      <c r="G788" s="4">
        <v>12</v>
      </c>
      <c r="H788" s="4">
        <v>12</v>
      </c>
      <c r="I788" s="4">
        <v>0</v>
      </c>
      <c r="J788" s="5">
        <v>10.4</v>
      </c>
      <c r="K788" s="2" t="s">
        <v>226</v>
      </c>
      <c r="L788" s="2" t="s">
        <v>227</v>
      </c>
    </row>
    <row r="789" spans="1:12" ht="15">
      <c r="A789" s="2" t="s">
        <v>153</v>
      </c>
      <c r="B789" s="2">
        <v>8</v>
      </c>
      <c r="C789" s="2" t="s">
        <v>32</v>
      </c>
      <c r="D789" s="3">
        <v>46289</v>
      </c>
      <c r="E789" s="2" t="s">
        <v>232</v>
      </c>
      <c r="F789" s="2" t="s">
        <v>225</v>
      </c>
      <c r="G789" s="4">
        <v>1</v>
      </c>
      <c r="H789" s="4">
        <v>1</v>
      </c>
      <c r="I789" s="4">
        <v>0</v>
      </c>
      <c r="J789" s="5">
        <v>7.8</v>
      </c>
      <c r="K789" s="2" t="s">
        <v>226</v>
      </c>
      <c r="L789" s="2" t="s">
        <v>227</v>
      </c>
    </row>
    <row r="790" spans="1:12" ht="15">
      <c r="A790" s="2" t="s">
        <v>154</v>
      </c>
      <c r="B790" s="2">
        <v>1</v>
      </c>
      <c r="C790" s="2" t="s">
        <v>33</v>
      </c>
      <c r="D790" s="3">
        <v>46289</v>
      </c>
      <c r="E790" s="2" t="s">
        <v>245</v>
      </c>
      <c r="F790" s="2" t="s">
        <v>225</v>
      </c>
      <c r="G790" s="4">
        <v>10.9</v>
      </c>
      <c r="H790" s="4">
        <v>10.9</v>
      </c>
      <c r="I790" s="4">
        <v>0</v>
      </c>
      <c r="J790" s="5">
        <v>4.9000000000000004</v>
      </c>
      <c r="K790" s="2" t="s">
        <v>226</v>
      </c>
      <c r="L790" s="2" t="s">
        <v>227</v>
      </c>
    </row>
    <row r="791" spans="1:12" ht="15">
      <c r="A791" s="2" t="s">
        <v>154</v>
      </c>
      <c r="B791" s="2">
        <v>2</v>
      </c>
      <c r="C791" s="2" t="s">
        <v>33</v>
      </c>
      <c r="D791" s="3">
        <v>46289</v>
      </c>
      <c r="E791" s="2" t="s">
        <v>243</v>
      </c>
      <c r="F791" s="2" t="s">
        <v>225</v>
      </c>
      <c r="G791" s="4">
        <v>6.2</v>
      </c>
      <c r="H791" s="4">
        <v>6.2</v>
      </c>
      <c r="I791" s="4">
        <v>0</v>
      </c>
      <c r="J791" s="5">
        <v>3.9</v>
      </c>
      <c r="K791" s="2" t="s">
        <v>226</v>
      </c>
      <c r="L791" s="2" t="s">
        <v>227</v>
      </c>
    </row>
    <row r="792" spans="1:12" ht="15">
      <c r="A792" s="2" t="s">
        <v>154</v>
      </c>
      <c r="B792" s="2">
        <v>3</v>
      </c>
      <c r="C792" s="2" t="s">
        <v>33</v>
      </c>
      <c r="D792" s="3">
        <v>46289</v>
      </c>
      <c r="E792" s="2" t="s">
        <v>238</v>
      </c>
      <c r="F792" s="2" t="s">
        <v>225</v>
      </c>
      <c r="G792" s="4">
        <v>10.199999999999999</v>
      </c>
      <c r="H792" s="4">
        <v>10.199999999999999</v>
      </c>
      <c r="I792" s="4">
        <v>0</v>
      </c>
      <c r="J792" s="5">
        <v>3.5</v>
      </c>
      <c r="K792" s="2" t="s">
        <v>226</v>
      </c>
      <c r="L792" s="2" t="s">
        <v>227</v>
      </c>
    </row>
    <row r="793" spans="1:12" ht="15">
      <c r="A793" s="2" t="s">
        <v>154</v>
      </c>
      <c r="B793" s="2">
        <v>4</v>
      </c>
      <c r="C793" s="2" t="s">
        <v>33</v>
      </c>
      <c r="D793" s="3">
        <v>46289</v>
      </c>
      <c r="E793" s="2" t="s">
        <v>239</v>
      </c>
      <c r="F793" s="2" t="s">
        <v>225</v>
      </c>
      <c r="G793" s="4">
        <v>7.8</v>
      </c>
      <c r="H793" s="4">
        <v>7.8</v>
      </c>
      <c r="I793" s="4">
        <v>0</v>
      </c>
      <c r="J793" s="5">
        <v>4.5999999999999996</v>
      </c>
      <c r="K793" s="2" t="s">
        <v>226</v>
      </c>
      <c r="L793" s="2" t="s">
        <v>227</v>
      </c>
    </row>
    <row r="794" spans="1:12" ht="15">
      <c r="A794" s="2" t="s">
        <v>154</v>
      </c>
      <c r="B794" s="2">
        <v>5</v>
      </c>
      <c r="C794" s="2" t="s">
        <v>33</v>
      </c>
      <c r="D794" s="3">
        <v>46289</v>
      </c>
      <c r="E794" s="2" t="s">
        <v>248</v>
      </c>
      <c r="F794" s="2" t="s">
        <v>225</v>
      </c>
      <c r="G794" s="4">
        <v>5.5</v>
      </c>
      <c r="H794" s="4">
        <v>5.5</v>
      </c>
      <c r="I794" s="4">
        <v>0</v>
      </c>
      <c r="J794" s="5">
        <v>4.95</v>
      </c>
      <c r="K794" s="2" t="s">
        <v>226</v>
      </c>
      <c r="L794" s="2" t="s">
        <v>227</v>
      </c>
    </row>
    <row r="795" spans="1:12" ht="15">
      <c r="A795" s="2" t="s">
        <v>154</v>
      </c>
      <c r="B795" s="2">
        <v>6</v>
      </c>
      <c r="C795" s="2" t="s">
        <v>33</v>
      </c>
      <c r="D795" s="3">
        <v>46289</v>
      </c>
      <c r="E795" s="2" t="s">
        <v>247</v>
      </c>
      <c r="F795" s="2" t="s">
        <v>225</v>
      </c>
      <c r="G795" s="4">
        <v>5.5</v>
      </c>
      <c r="H795" s="4">
        <v>5.5</v>
      </c>
      <c r="I795" s="4">
        <v>0</v>
      </c>
      <c r="J795" s="5">
        <v>4.9000000000000004</v>
      </c>
      <c r="K795" s="2" t="s">
        <v>226</v>
      </c>
      <c r="L795" s="2" t="s">
        <v>227</v>
      </c>
    </row>
    <row r="796" spans="1:12" ht="15">
      <c r="A796" s="2" t="s">
        <v>155</v>
      </c>
      <c r="B796" s="2">
        <v>1</v>
      </c>
      <c r="C796" s="2" t="s">
        <v>28</v>
      </c>
      <c r="D796" s="3">
        <v>46290</v>
      </c>
      <c r="E796" s="2" t="s">
        <v>237</v>
      </c>
      <c r="F796" s="2" t="s">
        <v>225</v>
      </c>
      <c r="G796" s="4">
        <v>3.1</v>
      </c>
      <c r="H796" s="4">
        <v>3.1</v>
      </c>
      <c r="I796" s="4">
        <v>0</v>
      </c>
      <c r="J796" s="5">
        <v>4.8</v>
      </c>
      <c r="K796" s="2" t="s">
        <v>226</v>
      </c>
      <c r="L796" s="2" t="s">
        <v>227</v>
      </c>
    </row>
    <row r="797" spans="1:12" ht="15">
      <c r="A797" s="2" t="s">
        <v>155</v>
      </c>
      <c r="B797" s="2">
        <v>2</v>
      </c>
      <c r="C797" s="2" t="s">
        <v>28</v>
      </c>
      <c r="D797" s="3">
        <v>46290</v>
      </c>
      <c r="E797" s="2" t="s">
        <v>229</v>
      </c>
      <c r="F797" s="2" t="s">
        <v>225</v>
      </c>
      <c r="G797" s="4">
        <v>2</v>
      </c>
      <c r="H797" s="4">
        <v>2</v>
      </c>
      <c r="I797" s="4">
        <v>0</v>
      </c>
      <c r="J797" s="5">
        <v>2.5</v>
      </c>
      <c r="K797" s="2" t="s">
        <v>226</v>
      </c>
      <c r="L797" s="2" t="s">
        <v>227</v>
      </c>
    </row>
    <row r="798" spans="1:12" ht="15">
      <c r="A798" s="2" t="s">
        <v>155</v>
      </c>
      <c r="B798" s="2">
        <v>3</v>
      </c>
      <c r="C798" s="2" t="s">
        <v>28</v>
      </c>
      <c r="D798" s="3">
        <v>46290</v>
      </c>
      <c r="E798" s="2" t="s">
        <v>230</v>
      </c>
      <c r="F798" s="2" t="s">
        <v>225</v>
      </c>
      <c r="G798" s="4">
        <v>3.1</v>
      </c>
      <c r="H798" s="4">
        <v>3.1</v>
      </c>
      <c r="I798" s="4">
        <v>0</v>
      </c>
      <c r="J798" s="5">
        <v>2.2999999999999998</v>
      </c>
      <c r="K798" s="2" t="s">
        <v>226</v>
      </c>
      <c r="L798" s="2" t="s">
        <v>227</v>
      </c>
    </row>
    <row r="799" spans="1:12" ht="15">
      <c r="A799" s="2" t="s">
        <v>155</v>
      </c>
      <c r="B799" s="2">
        <v>4</v>
      </c>
      <c r="C799" s="2" t="s">
        <v>28</v>
      </c>
      <c r="D799" s="3">
        <v>46290</v>
      </c>
      <c r="E799" s="2" t="s">
        <v>228</v>
      </c>
      <c r="F799" s="2" t="s">
        <v>225</v>
      </c>
      <c r="G799" s="4">
        <v>3.6</v>
      </c>
      <c r="H799" s="4">
        <v>3.6</v>
      </c>
      <c r="I799" s="4">
        <v>0</v>
      </c>
      <c r="J799" s="5">
        <v>2.7</v>
      </c>
      <c r="K799" s="2" t="s">
        <v>226</v>
      </c>
      <c r="L799" s="2" t="s">
        <v>227</v>
      </c>
    </row>
    <row r="800" spans="1:12" ht="15">
      <c r="A800" s="2" t="s">
        <v>155</v>
      </c>
      <c r="B800" s="2">
        <v>5</v>
      </c>
      <c r="C800" s="2" t="s">
        <v>28</v>
      </c>
      <c r="D800" s="3">
        <v>46290</v>
      </c>
      <c r="E800" s="2" t="s">
        <v>232</v>
      </c>
      <c r="F800" s="2" t="s">
        <v>225</v>
      </c>
      <c r="G800" s="4">
        <v>0.5</v>
      </c>
      <c r="H800" s="4">
        <v>0.3</v>
      </c>
      <c r="I800" s="4">
        <v>0</v>
      </c>
      <c r="J800" s="5">
        <v>7.8</v>
      </c>
      <c r="K800" s="2" t="s">
        <v>246</v>
      </c>
      <c r="L800" s="2" t="s">
        <v>227</v>
      </c>
    </row>
    <row r="801" spans="1:12" ht="15">
      <c r="A801" s="2" t="s">
        <v>156</v>
      </c>
      <c r="B801" s="2">
        <v>1</v>
      </c>
      <c r="C801" s="2" t="s">
        <v>29</v>
      </c>
      <c r="D801" s="3">
        <v>46290</v>
      </c>
      <c r="E801" s="2" t="s">
        <v>224</v>
      </c>
      <c r="F801" s="2" t="s">
        <v>225</v>
      </c>
      <c r="G801" s="4">
        <v>4.2</v>
      </c>
      <c r="H801" s="4">
        <v>4.2</v>
      </c>
      <c r="I801" s="4">
        <v>0</v>
      </c>
      <c r="J801" s="5">
        <v>5</v>
      </c>
      <c r="K801" s="2" t="s">
        <v>226</v>
      </c>
      <c r="L801" s="2" t="s">
        <v>227</v>
      </c>
    </row>
    <row r="802" spans="1:12" ht="15">
      <c r="A802" s="2" t="s">
        <v>156</v>
      </c>
      <c r="B802" s="2">
        <v>2</v>
      </c>
      <c r="C802" s="2" t="s">
        <v>29</v>
      </c>
      <c r="D802" s="3">
        <v>46290</v>
      </c>
      <c r="E802" s="2" t="s">
        <v>229</v>
      </c>
      <c r="F802" s="2" t="s">
        <v>225</v>
      </c>
      <c r="G802" s="4">
        <v>6.1</v>
      </c>
      <c r="H802" s="4">
        <v>6.1</v>
      </c>
      <c r="I802" s="4">
        <v>0</v>
      </c>
      <c r="J802" s="5">
        <v>2.5</v>
      </c>
      <c r="K802" s="2" t="s">
        <v>226</v>
      </c>
      <c r="L802" s="2" t="s">
        <v>227</v>
      </c>
    </row>
    <row r="803" spans="1:12" ht="15">
      <c r="A803" s="2" t="s">
        <v>156</v>
      </c>
      <c r="B803" s="2">
        <v>3</v>
      </c>
      <c r="C803" s="2" t="s">
        <v>29</v>
      </c>
      <c r="D803" s="3">
        <v>46290</v>
      </c>
      <c r="E803" s="2" t="s">
        <v>247</v>
      </c>
      <c r="F803" s="2" t="s">
        <v>225</v>
      </c>
      <c r="G803" s="4">
        <v>6.1</v>
      </c>
      <c r="H803" s="4">
        <v>6.1</v>
      </c>
      <c r="I803" s="4">
        <v>0</v>
      </c>
      <c r="J803" s="5">
        <v>4.9000000000000004</v>
      </c>
      <c r="K803" s="2" t="s">
        <v>226</v>
      </c>
      <c r="L803" s="2" t="s">
        <v>227</v>
      </c>
    </row>
    <row r="804" spans="1:12" ht="15">
      <c r="A804" s="2" t="s">
        <v>156</v>
      </c>
      <c r="B804" s="2">
        <v>4</v>
      </c>
      <c r="C804" s="2" t="s">
        <v>29</v>
      </c>
      <c r="D804" s="3">
        <v>46290</v>
      </c>
      <c r="E804" s="2" t="s">
        <v>240</v>
      </c>
      <c r="F804" s="2" t="s">
        <v>225</v>
      </c>
      <c r="G804" s="4">
        <v>9.6999999999999993</v>
      </c>
      <c r="H804" s="4">
        <v>9.6999999999999993</v>
      </c>
      <c r="I804" s="4">
        <v>0</v>
      </c>
      <c r="J804" s="5">
        <v>6.1</v>
      </c>
      <c r="K804" s="2" t="s">
        <v>226</v>
      </c>
      <c r="L804" s="2" t="s">
        <v>227</v>
      </c>
    </row>
    <row r="805" spans="1:12" ht="15">
      <c r="A805" s="2" t="s">
        <v>156</v>
      </c>
      <c r="B805" s="2">
        <v>5</v>
      </c>
      <c r="C805" s="2" t="s">
        <v>29</v>
      </c>
      <c r="D805" s="3">
        <v>46290</v>
      </c>
      <c r="E805" s="2" t="s">
        <v>238</v>
      </c>
      <c r="F805" s="2" t="s">
        <v>225</v>
      </c>
      <c r="G805" s="4">
        <v>5.5</v>
      </c>
      <c r="H805" s="4">
        <v>5.5</v>
      </c>
      <c r="I805" s="4">
        <v>0</v>
      </c>
      <c r="J805" s="5">
        <v>3.5</v>
      </c>
      <c r="K805" s="2" t="s">
        <v>226</v>
      </c>
      <c r="L805" s="2" t="s">
        <v>227</v>
      </c>
    </row>
    <row r="806" spans="1:12" ht="15">
      <c r="A806" s="2" t="s">
        <v>156</v>
      </c>
      <c r="B806" s="2">
        <v>6</v>
      </c>
      <c r="C806" s="2" t="s">
        <v>29</v>
      </c>
      <c r="D806" s="3">
        <v>46290</v>
      </c>
      <c r="E806" s="2" t="s">
        <v>232</v>
      </c>
      <c r="F806" s="2" t="s">
        <v>225</v>
      </c>
      <c r="G806" s="4">
        <v>1</v>
      </c>
      <c r="H806" s="4">
        <v>1</v>
      </c>
      <c r="I806" s="4">
        <v>0</v>
      </c>
      <c r="J806" s="5">
        <v>7.8</v>
      </c>
      <c r="K806" s="2" t="s">
        <v>226</v>
      </c>
      <c r="L806" s="2" t="s">
        <v>227</v>
      </c>
    </row>
    <row r="807" spans="1:12" ht="15">
      <c r="A807" s="2" t="s">
        <v>157</v>
      </c>
      <c r="B807" s="2">
        <v>1</v>
      </c>
      <c r="C807" s="2" t="s">
        <v>30</v>
      </c>
      <c r="D807" s="3">
        <v>46290</v>
      </c>
      <c r="E807" s="2" t="s">
        <v>245</v>
      </c>
      <c r="F807" s="2" t="s">
        <v>225</v>
      </c>
      <c r="G807" s="4">
        <v>4.5999999999999996</v>
      </c>
      <c r="H807" s="4">
        <v>4.5999999999999996</v>
      </c>
      <c r="I807" s="4">
        <v>0</v>
      </c>
      <c r="J807" s="5">
        <v>4.9000000000000004</v>
      </c>
      <c r="K807" s="2" t="s">
        <v>226</v>
      </c>
      <c r="L807" s="2" t="s">
        <v>227</v>
      </c>
    </row>
    <row r="808" spans="1:12" ht="15">
      <c r="A808" s="2" t="s">
        <v>157</v>
      </c>
      <c r="B808" s="2">
        <v>2</v>
      </c>
      <c r="C808" s="2" t="s">
        <v>30</v>
      </c>
      <c r="D808" s="3">
        <v>46290</v>
      </c>
      <c r="E808" s="2" t="s">
        <v>228</v>
      </c>
      <c r="F808" s="2" t="s">
        <v>225</v>
      </c>
      <c r="G808" s="4">
        <v>8.6</v>
      </c>
      <c r="H808" s="4">
        <v>8.6</v>
      </c>
      <c r="I808" s="4">
        <v>0</v>
      </c>
      <c r="J808" s="5">
        <v>2.7</v>
      </c>
      <c r="K808" s="2" t="s">
        <v>226</v>
      </c>
      <c r="L808" s="2" t="s">
        <v>227</v>
      </c>
    </row>
    <row r="809" spans="1:12" ht="15">
      <c r="A809" s="2" t="s">
        <v>157</v>
      </c>
      <c r="B809" s="2">
        <v>3</v>
      </c>
      <c r="C809" s="2" t="s">
        <v>30</v>
      </c>
      <c r="D809" s="3">
        <v>46290</v>
      </c>
      <c r="E809" s="2" t="s">
        <v>241</v>
      </c>
      <c r="F809" s="2" t="s">
        <v>225</v>
      </c>
      <c r="G809" s="4">
        <v>9.9</v>
      </c>
      <c r="H809" s="4">
        <v>9.9</v>
      </c>
      <c r="I809" s="4">
        <v>0</v>
      </c>
      <c r="J809" s="5">
        <v>2.9</v>
      </c>
      <c r="K809" s="2" t="s">
        <v>226</v>
      </c>
      <c r="L809" s="2" t="s">
        <v>227</v>
      </c>
    </row>
    <row r="810" spans="1:12" ht="15">
      <c r="A810" s="2" t="s">
        <v>157</v>
      </c>
      <c r="B810" s="2">
        <v>4</v>
      </c>
      <c r="C810" s="2" t="s">
        <v>30</v>
      </c>
      <c r="D810" s="3">
        <v>46290</v>
      </c>
      <c r="E810" s="2" t="s">
        <v>240</v>
      </c>
      <c r="F810" s="2" t="s">
        <v>225</v>
      </c>
      <c r="G810" s="4">
        <v>6.6</v>
      </c>
      <c r="H810" s="4">
        <v>6.6</v>
      </c>
      <c r="I810" s="4">
        <v>0</v>
      </c>
      <c r="J810" s="5">
        <v>6.1</v>
      </c>
      <c r="K810" s="2" t="s">
        <v>226</v>
      </c>
      <c r="L810" s="2" t="s">
        <v>227</v>
      </c>
    </row>
    <row r="811" spans="1:12" ht="15">
      <c r="A811" s="2" t="s">
        <v>157</v>
      </c>
      <c r="B811" s="2">
        <v>5</v>
      </c>
      <c r="C811" s="2" t="s">
        <v>30</v>
      </c>
      <c r="D811" s="3">
        <v>46290</v>
      </c>
      <c r="E811" s="2" t="s">
        <v>239</v>
      </c>
      <c r="F811" s="2" t="s">
        <v>225</v>
      </c>
      <c r="G811" s="4">
        <v>9.1999999999999993</v>
      </c>
      <c r="H811" s="4">
        <v>9.1999999999999993</v>
      </c>
      <c r="I811" s="4">
        <v>0</v>
      </c>
      <c r="J811" s="5">
        <v>4.5999999999999996</v>
      </c>
      <c r="K811" s="2" t="s">
        <v>226</v>
      </c>
      <c r="L811" s="2" t="s">
        <v>227</v>
      </c>
    </row>
    <row r="812" spans="1:12" ht="15">
      <c r="A812" s="2" t="s">
        <v>157</v>
      </c>
      <c r="B812" s="2">
        <v>6</v>
      </c>
      <c r="C812" s="2" t="s">
        <v>30</v>
      </c>
      <c r="D812" s="3">
        <v>46290</v>
      </c>
      <c r="E812" s="2" t="s">
        <v>250</v>
      </c>
      <c r="F812" s="2" t="s">
        <v>225</v>
      </c>
      <c r="G812" s="4">
        <v>7.3</v>
      </c>
      <c r="H812" s="4">
        <v>7.3</v>
      </c>
      <c r="I812" s="4">
        <v>0</v>
      </c>
      <c r="J812" s="5">
        <v>4.9000000000000004</v>
      </c>
      <c r="K812" s="2" t="s">
        <v>226</v>
      </c>
      <c r="L812" s="2" t="s">
        <v>227</v>
      </c>
    </row>
    <row r="813" spans="1:12" ht="15">
      <c r="A813" s="2" t="s">
        <v>157</v>
      </c>
      <c r="B813" s="2">
        <v>7</v>
      </c>
      <c r="C813" s="2" t="s">
        <v>30</v>
      </c>
      <c r="D813" s="3">
        <v>46290</v>
      </c>
      <c r="E813" s="2" t="s">
        <v>232</v>
      </c>
      <c r="F813" s="2" t="s">
        <v>225</v>
      </c>
      <c r="G813" s="4">
        <v>1</v>
      </c>
      <c r="H813" s="4">
        <v>1</v>
      </c>
      <c r="I813" s="4">
        <v>0</v>
      </c>
      <c r="J813" s="5">
        <v>7.8</v>
      </c>
      <c r="K813" s="2" t="s">
        <v>226</v>
      </c>
      <c r="L813" s="2" t="s">
        <v>227</v>
      </c>
    </row>
    <row r="814" spans="1:12" ht="15">
      <c r="A814" s="2" t="s">
        <v>158</v>
      </c>
      <c r="B814" s="2">
        <v>1</v>
      </c>
      <c r="C814" s="2" t="s">
        <v>33</v>
      </c>
      <c r="D814" s="3">
        <v>46290</v>
      </c>
      <c r="E814" s="2" t="s">
        <v>224</v>
      </c>
      <c r="F814" s="2" t="s">
        <v>225</v>
      </c>
      <c r="G814" s="4">
        <v>9.1</v>
      </c>
      <c r="H814" s="4">
        <v>9.1</v>
      </c>
      <c r="I814" s="4">
        <v>0</v>
      </c>
      <c r="J814" s="5">
        <v>5</v>
      </c>
      <c r="K814" s="2" t="s">
        <v>226</v>
      </c>
      <c r="L814" s="2" t="s">
        <v>227</v>
      </c>
    </row>
    <row r="815" spans="1:12" ht="15">
      <c r="A815" s="2" t="s">
        <v>158</v>
      </c>
      <c r="B815" s="2">
        <v>2</v>
      </c>
      <c r="C815" s="2" t="s">
        <v>33</v>
      </c>
      <c r="D815" s="3">
        <v>46290</v>
      </c>
      <c r="E815" s="2" t="s">
        <v>247</v>
      </c>
      <c r="F815" s="2" t="s">
        <v>225</v>
      </c>
      <c r="G815" s="4">
        <v>5.9</v>
      </c>
      <c r="H815" s="4">
        <v>5.9</v>
      </c>
      <c r="I815" s="4">
        <v>0</v>
      </c>
      <c r="J815" s="5">
        <v>4.9000000000000004</v>
      </c>
      <c r="K815" s="2" t="s">
        <v>226</v>
      </c>
      <c r="L815" s="2" t="s">
        <v>227</v>
      </c>
    </row>
    <row r="816" spans="1:12" ht="15">
      <c r="A816" s="2" t="s">
        <v>158</v>
      </c>
      <c r="B816" s="2">
        <v>3</v>
      </c>
      <c r="C816" s="2" t="s">
        <v>33</v>
      </c>
      <c r="D816" s="3">
        <v>46290</v>
      </c>
      <c r="E816" s="2" t="s">
        <v>243</v>
      </c>
      <c r="F816" s="2" t="s">
        <v>225</v>
      </c>
      <c r="G816" s="4">
        <v>10.4</v>
      </c>
      <c r="H816" s="4">
        <v>10.4</v>
      </c>
      <c r="I816" s="4">
        <v>0</v>
      </c>
      <c r="J816" s="5">
        <v>3.9</v>
      </c>
      <c r="K816" s="2" t="s">
        <v>226</v>
      </c>
      <c r="L816" s="2" t="s">
        <v>227</v>
      </c>
    </row>
    <row r="817" spans="1:12" ht="15">
      <c r="A817" s="2" t="s">
        <v>158</v>
      </c>
      <c r="B817" s="2">
        <v>4</v>
      </c>
      <c r="C817" s="2" t="s">
        <v>33</v>
      </c>
      <c r="D817" s="3">
        <v>46290</v>
      </c>
      <c r="E817" s="2" t="s">
        <v>239</v>
      </c>
      <c r="F817" s="2" t="s">
        <v>225</v>
      </c>
      <c r="G817" s="4">
        <v>9.1</v>
      </c>
      <c r="H817" s="4">
        <v>9.1</v>
      </c>
      <c r="I817" s="4">
        <v>0</v>
      </c>
      <c r="J817" s="5">
        <v>4.5999999999999996</v>
      </c>
      <c r="K817" s="2" t="s">
        <v>226</v>
      </c>
      <c r="L817" s="2" t="s">
        <v>227</v>
      </c>
    </row>
    <row r="818" spans="1:12" ht="15">
      <c r="A818" s="2" t="s">
        <v>158</v>
      </c>
      <c r="B818" s="2">
        <v>5</v>
      </c>
      <c r="C818" s="2" t="s">
        <v>33</v>
      </c>
      <c r="D818" s="3">
        <v>46290</v>
      </c>
      <c r="E818" s="2" t="s">
        <v>248</v>
      </c>
      <c r="F818" s="2" t="s">
        <v>225</v>
      </c>
      <c r="G818" s="4">
        <v>7.8</v>
      </c>
      <c r="H818" s="4">
        <v>7.8</v>
      </c>
      <c r="I818" s="4">
        <v>0</v>
      </c>
      <c r="J818" s="5">
        <v>4.95</v>
      </c>
      <c r="K818" s="2" t="s">
        <v>226</v>
      </c>
      <c r="L818" s="2" t="s">
        <v>227</v>
      </c>
    </row>
    <row r="819" spans="1:12" ht="15">
      <c r="A819" s="2" t="s">
        <v>158</v>
      </c>
      <c r="B819" s="2">
        <v>6</v>
      </c>
      <c r="C819" s="2" t="s">
        <v>33</v>
      </c>
      <c r="D819" s="3">
        <v>46290</v>
      </c>
      <c r="E819" s="2" t="s">
        <v>228</v>
      </c>
      <c r="F819" s="2" t="s">
        <v>225</v>
      </c>
      <c r="G819" s="4">
        <v>5.2</v>
      </c>
      <c r="H819" s="4">
        <v>5.2</v>
      </c>
      <c r="I819" s="4">
        <v>0</v>
      </c>
      <c r="J819" s="5">
        <v>2.7</v>
      </c>
      <c r="K819" s="2" t="s">
        <v>226</v>
      </c>
      <c r="L819" s="2" t="s">
        <v>227</v>
      </c>
    </row>
    <row r="820" spans="1:12" ht="15">
      <c r="A820" s="2" t="s">
        <v>158</v>
      </c>
      <c r="B820" s="2">
        <v>7</v>
      </c>
      <c r="C820" s="2" t="s">
        <v>33</v>
      </c>
      <c r="D820" s="3">
        <v>46290</v>
      </c>
      <c r="E820" s="2" t="s">
        <v>231</v>
      </c>
      <c r="F820" s="2" t="s">
        <v>225</v>
      </c>
      <c r="G820" s="4">
        <v>9</v>
      </c>
      <c r="H820" s="4">
        <v>9</v>
      </c>
      <c r="I820" s="4">
        <v>0</v>
      </c>
      <c r="J820" s="5">
        <v>10.4</v>
      </c>
      <c r="K820" s="2" t="s">
        <v>226</v>
      </c>
      <c r="L820" s="2" t="s">
        <v>227</v>
      </c>
    </row>
    <row r="821" spans="1:12" ht="15">
      <c r="A821" s="2" t="s">
        <v>158</v>
      </c>
      <c r="B821" s="2">
        <v>8</v>
      </c>
      <c r="C821" s="2" t="s">
        <v>33</v>
      </c>
      <c r="D821" s="3">
        <v>46290</v>
      </c>
      <c r="E821" s="2" t="s">
        <v>232</v>
      </c>
      <c r="F821" s="2" t="s">
        <v>225</v>
      </c>
      <c r="G821" s="4">
        <v>1</v>
      </c>
      <c r="H821" s="4">
        <v>1</v>
      </c>
      <c r="I821" s="4">
        <v>0</v>
      </c>
      <c r="J821" s="5">
        <v>7.8</v>
      </c>
      <c r="K821" s="2" t="s">
        <v>226</v>
      </c>
      <c r="L821" s="2" t="s">
        <v>227</v>
      </c>
    </row>
    <row r="822" spans="1:12" ht="15">
      <c r="A822" s="2" t="s">
        <v>159</v>
      </c>
      <c r="B822" s="2">
        <v>1</v>
      </c>
      <c r="C822" s="2" t="s">
        <v>28</v>
      </c>
      <c r="D822" s="3">
        <v>46291</v>
      </c>
      <c r="E822" s="2" t="s">
        <v>237</v>
      </c>
      <c r="F822" s="2" t="s">
        <v>225</v>
      </c>
      <c r="G822" s="4">
        <v>2.5</v>
      </c>
      <c r="H822" s="4">
        <v>2.5</v>
      </c>
      <c r="I822" s="4">
        <v>0</v>
      </c>
      <c r="J822" s="5">
        <v>4.8</v>
      </c>
      <c r="K822" s="2" t="s">
        <v>226</v>
      </c>
      <c r="L822" s="2" t="s">
        <v>227</v>
      </c>
    </row>
    <row r="823" spans="1:12" ht="15">
      <c r="A823" s="2" t="s">
        <v>159</v>
      </c>
      <c r="B823" s="2">
        <v>2</v>
      </c>
      <c r="C823" s="2" t="s">
        <v>28</v>
      </c>
      <c r="D823" s="3">
        <v>46291</v>
      </c>
      <c r="E823" s="2" t="s">
        <v>247</v>
      </c>
      <c r="F823" s="2" t="s">
        <v>225</v>
      </c>
      <c r="G823" s="4">
        <v>4</v>
      </c>
      <c r="H823" s="4">
        <v>4</v>
      </c>
      <c r="I823" s="4">
        <v>0</v>
      </c>
      <c r="J823" s="5">
        <v>4.9000000000000004</v>
      </c>
      <c r="K823" s="2" t="s">
        <v>226</v>
      </c>
      <c r="L823" s="2" t="s">
        <v>227</v>
      </c>
    </row>
    <row r="824" spans="1:12" ht="15">
      <c r="A824" s="2" t="s">
        <v>159</v>
      </c>
      <c r="B824" s="2">
        <v>3</v>
      </c>
      <c r="C824" s="2" t="s">
        <v>28</v>
      </c>
      <c r="D824" s="3">
        <v>46291</v>
      </c>
      <c r="E824" s="2" t="s">
        <v>228</v>
      </c>
      <c r="F824" s="2" t="s">
        <v>225</v>
      </c>
      <c r="G824" s="4">
        <v>3</v>
      </c>
      <c r="H824" s="4">
        <v>3</v>
      </c>
      <c r="I824" s="4">
        <v>0</v>
      </c>
      <c r="J824" s="5">
        <v>2.7</v>
      </c>
      <c r="K824" s="2" t="s">
        <v>226</v>
      </c>
      <c r="L824" s="2" t="s">
        <v>227</v>
      </c>
    </row>
    <row r="825" spans="1:12" ht="15">
      <c r="A825" s="2" t="s">
        <v>159</v>
      </c>
      <c r="B825" s="2">
        <v>4</v>
      </c>
      <c r="C825" s="2" t="s">
        <v>28</v>
      </c>
      <c r="D825" s="3">
        <v>46291</v>
      </c>
      <c r="E825" s="2" t="s">
        <v>239</v>
      </c>
      <c r="F825" s="2" t="s">
        <v>225</v>
      </c>
      <c r="G825" s="4">
        <v>2</v>
      </c>
      <c r="H825" s="4">
        <v>2</v>
      </c>
      <c r="I825" s="4">
        <v>0</v>
      </c>
      <c r="J825" s="5">
        <v>4.5999999999999996</v>
      </c>
      <c r="K825" s="2" t="s">
        <v>226</v>
      </c>
      <c r="L825" s="2" t="s">
        <v>227</v>
      </c>
    </row>
    <row r="826" spans="1:12" ht="15">
      <c r="A826" s="2" t="s">
        <v>159</v>
      </c>
      <c r="B826" s="2">
        <v>5</v>
      </c>
      <c r="C826" s="2" t="s">
        <v>28</v>
      </c>
      <c r="D826" s="3">
        <v>46291</v>
      </c>
      <c r="E826" s="2" t="s">
        <v>231</v>
      </c>
      <c r="F826" s="2" t="s">
        <v>225</v>
      </c>
      <c r="G826" s="4">
        <v>3</v>
      </c>
      <c r="H826" s="4">
        <v>3</v>
      </c>
      <c r="I826" s="4">
        <v>0.1</v>
      </c>
      <c r="J826" s="5">
        <v>10.4</v>
      </c>
      <c r="K826" s="2" t="s">
        <v>251</v>
      </c>
      <c r="L826" s="2" t="s">
        <v>227</v>
      </c>
    </row>
    <row r="827" spans="1:12" ht="15">
      <c r="A827" s="2" t="s">
        <v>160</v>
      </c>
      <c r="B827" s="2">
        <v>1</v>
      </c>
      <c r="C827" s="2" t="s">
        <v>29</v>
      </c>
      <c r="D827" s="3">
        <v>46291</v>
      </c>
      <c r="E827" s="2" t="s">
        <v>237</v>
      </c>
      <c r="F827" s="2" t="s">
        <v>225</v>
      </c>
      <c r="G827" s="4">
        <v>6.4</v>
      </c>
      <c r="H827" s="4">
        <v>6.4</v>
      </c>
      <c r="I827" s="4">
        <v>0</v>
      </c>
      <c r="J827" s="5">
        <v>4.8</v>
      </c>
      <c r="K827" s="2" t="s">
        <v>226</v>
      </c>
      <c r="L827" s="2" t="s">
        <v>227</v>
      </c>
    </row>
    <row r="828" spans="1:12" ht="15">
      <c r="A828" s="2" t="s">
        <v>160</v>
      </c>
      <c r="B828" s="2">
        <v>2</v>
      </c>
      <c r="C828" s="2" t="s">
        <v>29</v>
      </c>
      <c r="D828" s="3">
        <v>46291</v>
      </c>
      <c r="E828" s="2" t="s">
        <v>238</v>
      </c>
      <c r="F828" s="2" t="s">
        <v>225</v>
      </c>
      <c r="G828" s="4">
        <v>6.4</v>
      </c>
      <c r="H828" s="4">
        <v>6.4</v>
      </c>
      <c r="I828" s="4">
        <v>0</v>
      </c>
      <c r="J828" s="5">
        <v>3.5</v>
      </c>
      <c r="K828" s="2" t="s">
        <v>226</v>
      </c>
      <c r="L828" s="2" t="s">
        <v>227</v>
      </c>
    </row>
    <row r="829" spans="1:12" ht="15">
      <c r="A829" s="2" t="s">
        <v>160</v>
      </c>
      <c r="B829" s="2">
        <v>3</v>
      </c>
      <c r="C829" s="2" t="s">
        <v>29</v>
      </c>
      <c r="D829" s="3">
        <v>46291</v>
      </c>
      <c r="E829" s="2" t="s">
        <v>229</v>
      </c>
      <c r="F829" s="2" t="s">
        <v>225</v>
      </c>
      <c r="G829" s="4">
        <v>5.7</v>
      </c>
      <c r="H829" s="4">
        <v>5.7</v>
      </c>
      <c r="I829" s="4">
        <v>0</v>
      </c>
      <c r="J829" s="5">
        <v>2.5</v>
      </c>
      <c r="K829" s="2" t="s">
        <v>226</v>
      </c>
      <c r="L829" s="2" t="s">
        <v>227</v>
      </c>
    </row>
    <row r="830" spans="1:12" ht="15">
      <c r="A830" s="2" t="s">
        <v>160</v>
      </c>
      <c r="B830" s="2">
        <v>4</v>
      </c>
      <c r="C830" s="2" t="s">
        <v>29</v>
      </c>
      <c r="D830" s="3">
        <v>46291</v>
      </c>
      <c r="E830" s="2" t="s">
        <v>239</v>
      </c>
      <c r="F830" s="2" t="s">
        <v>225</v>
      </c>
      <c r="G830" s="4">
        <v>7.8</v>
      </c>
      <c r="H830" s="4">
        <v>7.8</v>
      </c>
      <c r="I830" s="4">
        <v>0</v>
      </c>
      <c r="J830" s="5">
        <v>4.5999999999999996</v>
      </c>
      <c r="K830" s="2" t="s">
        <v>226</v>
      </c>
      <c r="L830" s="2" t="s">
        <v>227</v>
      </c>
    </row>
    <row r="831" spans="1:12" ht="15">
      <c r="A831" s="2" t="s">
        <v>160</v>
      </c>
      <c r="B831" s="2">
        <v>5</v>
      </c>
      <c r="C831" s="2" t="s">
        <v>29</v>
      </c>
      <c r="D831" s="3">
        <v>46291</v>
      </c>
      <c r="E831" s="2" t="s">
        <v>248</v>
      </c>
      <c r="F831" s="2" t="s">
        <v>225</v>
      </c>
      <c r="G831" s="4">
        <v>10.7</v>
      </c>
      <c r="H831" s="4">
        <v>10.7</v>
      </c>
      <c r="I831" s="4">
        <v>0</v>
      </c>
      <c r="J831" s="5">
        <v>4.95</v>
      </c>
      <c r="K831" s="2" t="s">
        <v>226</v>
      </c>
      <c r="L831" s="2" t="s">
        <v>227</v>
      </c>
    </row>
    <row r="832" spans="1:12" ht="15">
      <c r="A832" s="2" t="s">
        <v>160</v>
      </c>
      <c r="B832" s="2">
        <v>6</v>
      </c>
      <c r="C832" s="2" t="s">
        <v>29</v>
      </c>
      <c r="D832" s="3">
        <v>46291</v>
      </c>
      <c r="E832" s="2" t="s">
        <v>231</v>
      </c>
      <c r="F832" s="2" t="s">
        <v>225</v>
      </c>
      <c r="G832" s="4">
        <v>4</v>
      </c>
      <c r="H832" s="4">
        <v>4</v>
      </c>
      <c r="I832" s="4">
        <v>0</v>
      </c>
      <c r="J832" s="5">
        <v>10.4</v>
      </c>
      <c r="K832" s="2" t="s">
        <v>226</v>
      </c>
      <c r="L832" s="2" t="s">
        <v>227</v>
      </c>
    </row>
    <row r="833" spans="1:12" ht="15">
      <c r="A833" s="2" t="s">
        <v>161</v>
      </c>
      <c r="B833" s="2">
        <v>1</v>
      </c>
      <c r="C833" s="2" t="s">
        <v>30</v>
      </c>
      <c r="D833" s="3">
        <v>46291</v>
      </c>
      <c r="E833" s="2" t="s">
        <v>237</v>
      </c>
      <c r="F833" s="2" t="s">
        <v>225</v>
      </c>
      <c r="G833" s="4">
        <v>9.6</v>
      </c>
      <c r="H833" s="4">
        <v>9.6</v>
      </c>
      <c r="I833" s="4">
        <v>0</v>
      </c>
      <c r="J833" s="5">
        <v>4.8</v>
      </c>
      <c r="K833" s="2" t="s">
        <v>226</v>
      </c>
      <c r="L833" s="2" t="s">
        <v>227</v>
      </c>
    </row>
    <row r="834" spans="1:12" ht="15">
      <c r="A834" s="2" t="s">
        <v>161</v>
      </c>
      <c r="B834" s="2">
        <v>2</v>
      </c>
      <c r="C834" s="2" t="s">
        <v>30</v>
      </c>
      <c r="D834" s="3">
        <v>46291</v>
      </c>
      <c r="E834" s="2" t="s">
        <v>239</v>
      </c>
      <c r="F834" s="2" t="s">
        <v>225</v>
      </c>
      <c r="G834" s="4">
        <v>7.7</v>
      </c>
      <c r="H834" s="4">
        <v>7.7</v>
      </c>
      <c r="I834" s="4">
        <v>0</v>
      </c>
      <c r="J834" s="5">
        <v>4.5999999999999996</v>
      </c>
      <c r="K834" s="2" t="s">
        <v>226</v>
      </c>
      <c r="L834" s="2" t="s">
        <v>227</v>
      </c>
    </row>
    <row r="835" spans="1:12" ht="15">
      <c r="A835" s="2" t="s">
        <v>161</v>
      </c>
      <c r="B835" s="2">
        <v>3</v>
      </c>
      <c r="C835" s="2" t="s">
        <v>30</v>
      </c>
      <c r="D835" s="3">
        <v>46291</v>
      </c>
      <c r="E835" s="2" t="s">
        <v>248</v>
      </c>
      <c r="F835" s="2" t="s">
        <v>225</v>
      </c>
      <c r="G835" s="4">
        <v>7</v>
      </c>
      <c r="H835" s="4">
        <v>7</v>
      </c>
      <c r="I835" s="4">
        <v>0</v>
      </c>
      <c r="J835" s="5">
        <v>4.95</v>
      </c>
      <c r="K835" s="2" t="s">
        <v>226</v>
      </c>
      <c r="L835" s="2" t="s">
        <v>227</v>
      </c>
    </row>
    <row r="836" spans="1:12" ht="15">
      <c r="A836" s="2" t="s">
        <v>161</v>
      </c>
      <c r="B836" s="2">
        <v>4</v>
      </c>
      <c r="C836" s="2" t="s">
        <v>30</v>
      </c>
      <c r="D836" s="3">
        <v>46291</v>
      </c>
      <c r="E836" s="2" t="s">
        <v>240</v>
      </c>
      <c r="F836" s="2" t="s">
        <v>225</v>
      </c>
      <c r="G836" s="4">
        <v>7</v>
      </c>
      <c r="H836" s="4">
        <v>7</v>
      </c>
      <c r="I836" s="4">
        <v>0</v>
      </c>
      <c r="J836" s="5">
        <v>6.1</v>
      </c>
      <c r="K836" s="2" t="s">
        <v>226</v>
      </c>
      <c r="L836" s="2" t="s">
        <v>227</v>
      </c>
    </row>
    <row r="837" spans="1:12" ht="15">
      <c r="A837" s="2" t="s">
        <v>161</v>
      </c>
      <c r="B837" s="2">
        <v>5</v>
      </c>
      <c r="C837" s="2" t="s">
        <v>30</v>
      </c>
      <c r="D837" s="3">
        <v>46291</v>
      </c>
      <c r="E837" s="2" t="s">
        <v>230</v>
      </c>
      <c r="F837" s="2" t="s">
        <v>225</v>
      </c>
      <c r="G837" s="4">
        <v>6.4</v>
      </c>
      <c r="H837" s="4">
        <v>6.4</v>
      </c>
      <c r="I837" s="4">
        <v>0</v>
      </c>
      <c r="J837" s="5">
        <v>2.2999999999999998</v>
      </c>
      <c r="K837" s="2" t="s">
        <v>226</v>
      </c>
      <c r="L837" s="2" t="s">
        <v>227</v>
      </c>
    </row>
    <row r="838" spans="1:12" ht="15">
      <c r="A838" s="2" t="s">
        <v>161</v>
      </c>
      <c r="B838" s="2">
        <v>6</v>
      </c>
      <c r="C838" s="2" t="s">
        <v>30</v>
      </c>
      <c r="D838" s="3">
        <v>46291</v>
      </c>
      <c r="E838" s="2" t="s">
        <v>238</v>
      </c>
      <c r="F838" s="2" t="s">
        <v>225</v>
      </c>
      <c r="G838" s="4">
        <v>6.4</v>
      </c>
      <c r="H838" s="4">
        <v>6.4</v>
      </c>
      <c r="I838" s="4">
        <v>0</v>
      </c>
      <c r="J838" s="5">
        <v>3.5</v>
      </c>
      <c r="K838" s="2" t="s">
        <v>226</v>
      </c>
      <c r="L838" s="2" t="s">
        <v>227</v>
      </c>
    </row>
    <row r="839" spans="1:12" ht="15">
      <c r="A839" s="2" t="s">
        <v>161</v>
      </c>
      <c r="B839" s="2">
        <v>7</v>
      </c>
      <c r="C839" s="2" t="s">
        <v>30</v>
      </c>
      <c r="D839" s="3">
        <v>46291</v>
      </c>
      <c r="E839" s="2" t="s">
        <v>231</v>
      </c>
      <c r="F839" s="2" t="s">
        <v>225</v>
      </c>
      <c r="G839" s="4">
        <v>6</v>
      </c>
      <c r="H839" s="4">
        <v>5.7</v>
      </c>
      <c r="I839" s="4">
        <v>0</v>
      </c>
      <c r="J839" s="5">
        <v>10.4</v>
      </c>
      <c r="K839" s="2" t="s">
        <v>246</v>
      </c>
      <c r="L839" s="2" t="s">
        <v>227</v>
      </c>
    </row>
    <row r="840" spans="1:12" ht="15">
      <c r="A840" s="2" t="s">
        <v>162</v>
      </c>
      <c r="B840" s="2">
        <v>1</v>
      </c>
      <c r="C840" s="2" t="s">
        <v>31</v>
      </c>
      <c r="D840" s="3">
        <v>46291</v>
      </c>
      <c r="E840" s="2" t="s">
        <v>245</v>
      </c>
      <c r="F840" s="2" t="s">
        <v>225</v>
      </c>
      <c r="G840" s="4">
        <v>9.1</v>
      </c>
      <c r="H840" s="4">
        <v>9.1</v>
      </c>
      <c r="I840" s="4">
        <v>0</v>
      </c>
      <c r="J840" s="5">
        <v>4.9000000000000004</v>
      </c>
      <c r="K840" s="2" t="s">
        <v>226</v>
      </c>
      <c r="L840" s="2" t="s">
        <v>227</v>
      </c>
    </row>
    <row r="841" spans="1:12" ht="15">
      <c r="A841" s="2" t="s">
        <v>162</v>
      </c>
      <c r="B841" s="2">
        <v>2</v>
      </c>
      <c r="C841" s="2" t="s">
        <v>31</v>
      </c>
      <c r="D841" s="3">
        <v>46291</v>
      </c>
      <c r="E841" s="2" t="s">
        <v>243</v>
      </c>
      <c r="F841" s="2" t="s">
        <v>225</v>
      </c>
      <c r="G841" s="4">
        <v>9.1</v>
      </c>
      <c r="H841" s="4">
        <v>9.1</v>
      </c>
      <c r="I841" s="4">
        <v>0</v>
      </c>
      <c r="J841" s="5">
        <v>3.9</v>
      </c>
      <c r="K841" s="2" t="s">
        <v>226</v>
      </c>
      <c r="L841" s="2" t="s">
        <v>227</v>
      </c>
    </row>
    <row r="842" spans="1:12" ht="15">
      <c r="A842" s="2" t="s">
        <v>162</v>
      </c>
      <c r="B842" s="2">
        <v>3</v>
      </c>
      <c r="C842" s="2" t="s">
        <v>31</v>
      </c>
      <c r="D842" s="3">
        <v>46291</v>
      </c>
      <c r="E842" s="2" t="s">
        <v>241</v>
      </c>
      <c r="F842" s="2" t="s">
        <v>225</v>
      </c>
      <c r="G842" s="4">
        <v>9.1</v>
      </c>
      <c r="H842" s="4">
        <v>9.1</v>
      </c>
      <c r="I842" s="4">
        <v>0</v>
      </c>
      <c r="J842" s="5">
        <v>2.9</v>
      </c>
      <c r="K842" s="2" t="s">
        <v>226</v>
      </c>
      <c r="L842" s="2" t="s">
        <v>227</v>
      </c>
    </row>
    <row r="843" spans="1:12" ht="15">
      <c r="A843" s="2" t="s">
        <v>162</v>
      </c>
      <c r="B843" s="2">
        <v>4</v>
      </c>
      <c r="C843" s="2" t="s">
        <v>31</v>
      </c>
      <c r="D843" s="3">
        <v>46291</v>
      </c>
      <c r="E843" s="2" t="s">
        <v>248</v>
      </c>
      <c r="F843" s="2" t="s">
        <v>225</v>
      </c>
      <c r="G843" s="4">
        <v>6.6</v>
      </c>
      <c r="H843" s="4">
        <v>6.6</v>
      </c>
      <c r="I843" s="4">
        <v>0</v>
      </c>
      <c r="J843" s="5">
        <v>4.95</v>
      </c>
      <c r="K843" s="2" t="s">
        <v>226</v>
      </c>
      <c r="L843" s="2" t="s">
        <v>227</v>
      </c>
    </row>
    <row r="844" spans="1:12" ht="15">
      <c r="A844" s="2" t="s">
        <v>162</v>
      </c>
      <c r="B844" s="2">
        <v>5</v>
      </c>
      <c r="C844" s="2" t="s">
        <v>31</v>
      </c>
      <c r="D844" s="3">
        <v>46291</v>
      </c>
      <c r="E844" s="2" t="s">
        <v>229</v>
      </c>
      <c r="F844" s="2" t="s">
        <v>225</v>
      </c>
      <c r="G844" s="4">
        <v>12.4</v>
      </c>
      <c r="H844" s="4">
        <v>12.4</v>
      </c>
      <c r="I844" s="4">
        <v>0</v>
      </c>
      <c r="J844" s="5">
        <v>2.5</v>
      </c>
      <c r="K844" s="2" t="s">
        <v>226</v>
      </c>
      <c r="L844" s="2" t="s">
        <v>227</v>
      </c>
    </row>
    <row r="845" spans="1:12" ht="15">
      <c r="A845" s="2" t="s">
        <v>162</v>
      </c>
      <c r="B845" s="2">
        <v>6</v>
      </c>
      <c r="C845" s="2" t="s">
        <v>31</v>
      </c>
      <c r="D845" s="3">
        <v>46291</v>
      </c>
      <c r="E845" s="2" t="s">
        <v>238</v>
      </c>
      <c r="F845" s="2" t="s">
        <v>225</v>
      </c>
      <c r="G845" s="4">
        <v>5.8</v>
      </c>
      <c r="H845" s="4">
        <v>5.8</v>
      </c>
      <c r="I845" s="4">
        <v>0</v>
      </c>
      <c r="J845" s="5">
        <v>3.5</v>
      </c>
      <c r="K845" s="2" t="s">
        <v>226</v>
      </c>
      <c r="L845" s="2" t="s">
        <v>227</v>
      </c>
    </row>
    <row r="846" spans="1:12" ht="15">
      <c r="A846" s="2" t="s">
        <v>163</v>
      </c>
      <c r="B846" s="2">
        <v>1</v>
      </c>
      <c r="C846" s="2" t="s">
        <v>33</v>
      </c>
      <c r="D846" s="3">
        <v>46291</v>
      </c>
      <c r="E846" s="2" t="s">
        <v>245</v>
      </c>
      <c r="F846" s="2" t="s">
        <v>225</v>
      </c>
      <c r="G846" s="4">
        <v>8.9</v>
      </c>
      <c r="H846" s="4">
        <v>8.9</v>
      </c>
      <c r="I846" s="4">
        <v>0</v>
      </c>
      <c r="J846" s="5">
        <v>4.9000000000000004</v>
      </c>
      <c r="K846" s="2" t="s">
        <v>226</v>
      </c>
      <c r="L846" s="2" t="s">
        <v>227</v>
      </c>
    </row>
    <row r="847" spans="1:12" ht="15">
      <c r="A847" s="2" t="s">
        <v>163</v>
      </c>
      <c r="B847" s="2">
        <v>2</v>
      </c>
      <c r="C847" s="2" t="s">
        <v>33</v>
      </c>
      <c r="D847" s="3">
        <v>46291</v>
      </c>
      <c r="E847" s="2" t="s">
        <v>243</v>
      </c>
      <c r="F847" s="2" t="s">
        <v>225</v>
      </c>
      <c r="G847" s="4">
        <v>10.199999999999999</v>
      </c>
      <c r="H847" s="4">
        <v>10.199999999999999</v>
      </c>
      <c r="I847" s="4">
        <v>0</v>
      </c>
      <c r="J847" s="5">
        <v>3.9</v>
      </c>
      <c r="K847" s="2" t="s">
        <v>226</v>
      </c>
      <c r="L847" s="2" t="s">
        <v>227</v>
      </c>
    </row>
    <row r="848" spans="1:12" ht="15">
      <c r="A848" s="2" t="s">
        <v>163</v>
      </c>
      <c r="B848" s="2">
        <v>3</v>
      </c>
      <c r="C848" s="2" t="s">
        <v>33</v>
      </c>
      <c r="D848" s="3">
        <v>46291</v>
      </c>
      <c r="E848" s="2" t="s">
        <v>241</v>
      </c>
      <c r="F848" s="2" t="s">
        <v>225</v>
      </c>
      <c r="G848" s="4">
        <v>9.5</v>
      </c>
      <c r="H848" s="4">
        <v>9.5</v>
      </c>
      <c r="I848" s="4">
        <v>0</v>
      </c>
      <c r="J848" s="5">
        <v>2.9</v>
      </c>
      <c r="K848" s="2" t="s">
        <v>226</v>
      </c>
      <c r="L848" s="2" t="s">
        <v>227</v>
      </c>
    </row>
    <row r="849" spans="1:12" ht="15">
      <c r="A849" s="2" t="s">
        <v>163</v>
      </c>
      <c r="B849" s="2">
        <v>4</v>
      </c>
      <c r="C849" s="2" t="s">
        <v>33</v>
      </c>
      <c r="D849" s="3">
        <v>46291</v>
      </c>
      <c r="E849" s="2" t="s">
        <v>248</v>
      </c>
      <c r="F849" s="2" t="s">
        <v>225</v>
      </c>
      <c r="G849" s="4">
        <v>4.4000000000000004</v>
      </c>
      <c r="H849" s="4">
        <v>4.4000000000000004</v>
      </c>
      <c r="I849" s="4">
        <v>0</v>
      </c>
      <c r="J849" s="5">
        <v>4.95</v>
      </c>
      <c r="K849" s="2" t="s">
        <v>226</v>
      </c>
      <c r="L849" s="2" t="s">
        <v>227</v>
      </c>
    </row>
    <row r="850" spans="1:12" ht="15">
      <c r="A850" s="2" t="s">
        <v>163</v>
      </c>
      <c r="B850" s="2">
        <v>5</v>
      </c>
      <c r="C850" s="2" t="s">
        <v>33</v>
      </c>
      <c r="D850" s="3">
        <v>46291</v>
      </c>
      <c r="E850" s="2" t="s">
        <v>230</v>
      </c>
      <c r="F850" s="2" t="s">
        <v>225</v>
      </c>
      <c r="G850" s="4">
        <v>4.4000000000000004</v>
      </c>
      <c r="H850" s="4">
        <v>4.4000000000000004</v>
      </c>
      <c r="I850" s="4">
        <v>0</v>
      </c>
      <c r="J850" s="5">
        <v>2.2999999999999998</v>
      </c>
      <c r="K850" s="2" t="s">
        <v>226</v>
      </c>
      <c r="L850" s="2" t="s">
        <v>227</v>
      </c>
    </row>
    <row r="851" spans="1:12" ht="15">
      <c r="A851" s="2" t="s">
        <v>163</v>
      </c>
      <c r="B851" s="2">
        <v>6</v>
      </c>
      <c r="C851" s="2" t="s">
        <v>33</v>
      </c>
      <c r="D851" s="3">
        <v>46291</v>
      </c>
      <c r="E851" s="2" t="s">
        <v>238</v>
      </c>
      <c r="F851" s="2" t="s">
        <v>225</v>
      </c>
      <c r="G851" s="4">
        <v>5.7</v>
      </c>
      <c r="H851" s="4">
        <v>5.7</v>
      </c>
      <c r="I851" s="4">
        <v>0</v>
      </c>
      <c r="J851" s="5">
        <v>3.5</v>
      </c>
      <c r="K851" s="2" t="s">
        <v>226</v>
      </c>
      <c r="L851" s="2" t="s">
        <v>227</v>
      </c>
    </row>
    <row r="852" spans="1:12" ht="15">
      <c r="A852" s="2" t="s">
        <v>163</v>
      </c>
      <c r="B852" s="2">
        <v>7</v>
      </c>
      <c r="C852" s="2" t="s">
        <v>33</v>
      </c>
      <c r="D852" s="3">
        <v>46291</v>
      </c>
      <c r="E852" s="2" t="s">
        <v>242</v>
      </c>
      <c r="F852" s="2" t="s">
        <v>236</v>
      </c>
      <c r="G852" s="4">
        <v>4</v>
      </c>
      <c r="H852" s="4">
        <v>4</v>
      </c>
      <c r="I852" s="4">
        <v>0</v>
      </c>
      <c r="J852" s="5">
        <v>117</v>
      </c>
      <c r="K852" s="2" t="s">
        <v>226</v>
      </c>
      <c r="L852" s="2" t="s">
        <v>227</v>
      </c>
    </row>
    <row r="853" spans="1:12" ht="15">
      <c r="A853" s="2" t="s">
        <v>163</v>
      </c>
      <c r="B853" s="2">
        <v>8</v>
      </c>
      <c r="C853" s="2" t="s">
        <v>33</v>
      </c>
      <c r="D853" s="3">
        <v>46291</v>
      </c>
      <c r="E853" s="2" t="s">
        <v>244</v>
      </c>
      <c r="F853" s="2" t="s">
        <v>234</v>
      </c>
      <c r="G853" s="4">
        <v>2</v>
      </c>
      <c r="H853" s="4">
        <v>2</v>
      </c>
      <c r="I853" s="4">
        <v>0</v>
      </c>
      <c r="J853" s="5">
        <v>60</v>
      </c>
      <c r="K853" s="2" t="s">
        <v>226</v>
      </c>
      <c r="L853" s="2" t="s">
        <v>227</v>
      </c>
    </row>
    <row r="854" spans="1:12" ht="15">
      <c r="A854" s="2" t="s">
        <v>164</v>
      </c>
      <c r="B854" s="2">
        <v>1</v>
      </c>
      <c r="C854" s="2" t="s">
        <v>29</v>
      </c>
      <c r="D854" s="3">
        <v>46292</v>
      </c>
      <c r="E854" s="2" t="s">
        <v>237</v>
      </c>
      <c r="F854" s="2" t="s">
        <v>225</v>
      </c>
      <c r="G854" s="4">
        <v>6.4</v>
      </c>
      <c r="H854" s="4">
        <v>6.4</v>
      </c>
      <c r="I854" s="4">
        <v>0</v>
      </c>
      <c r="J854" s="5">
        <v>4.8</v>
      </c>
      <c r="K854" s="2" t="s">
        <v>226</v>
      </c>
      <c r="L854" s="2" t="s">
        <v>227</v>
      </c>
    </row>
    <row r="855" spans="1:12" ht="15">
      <c r="A855" s="2" t="s">
        <v>164</v>
      </c>
      <c r="B855" s="2">
        <v>2</v>
      </c>
      <c r="C855" s="2" t="s">
        <v>29</v>
      </c>
      <c r="D855" s="3">
        <v>46292</v>
      </c>
      <c r="E855" s="2" t="s">
        <v>240</v>
      </c>
      <c r="F855" s="2" t="s">
        <v>225</v>
      </c>
      <c r="G855" s="4">
        <v>6.4</v>
      </c>
      <c r="H855" s="4">
        <v>6.4</v>
      </c>
      <c r="I855" s="4">
        <v>0</v>
      </c>
      <c r="J855" s="5">
        <v>6.1</v>
      </c>
      <c r="K855" s="2" t="s">
        <v>226</v>
      </c>
      <c r="L855" s="2" t="s">
        <v>227</v>
      </c>
    </row>
    <row r="856" spans="1:12" ht="15">
      <c r="A856" s="2" t="s">
        <v>164</v>
      </c>
      <c r="B856" s="2">
        <v>3</v>
      </c>
      <c r="C856" s="2" t="s">
        <v>29</v>
      </c>
      <c r="D856" s="3">
        <v>46292</v>
      </c>
      <c r="E856" s="2" t="s">
        <v>239</v>
      </c>
      <c r="F856" s="2" t="s">
        <v>225</v>
      </c>
      <c r="G856" s="4">
        <v>9.1999999999999993</v>
      </c>
      <c r="H856" s="4">
        <v>9.1999999999999993</v>
      </c>
      <c r="I856" s="4">
        <v>0</v>
      </c>
      <c r="J856" s="5">
        <v>4.5999999999999996</v>
      </c>
      <c r="K856" s="2" t="s">
        <v>226</v>
      </c>
      <c r="L856" s="2" t="s">
        <v>227</v>
      </c>
    </row>
    <row r="857" spans="1:12" ht="15">
      <c r="A857" s="2" t="s">
        <v>164</v>
      </c>
      <c r="B857" s="2">
        <v>4</v>
      </c>
      <c r="C857" s="2" t="s">
        <v>29</v>
      </c>
      <c r="D857" s="3">
        <v>46292</v>
      </c>
      <c r="E857" s="2" t="s">
        <v>228</v>
      </c>
      <c r="F857" s="2" t="s">
        <v>225</v>
      </c>
      <c r="G857" s="4">
        <v>8.5</v>
      </c>
      <c r="H857" s="4">
        <v>8.5</v>
      </c>
      <c r="I857" s="4">
        <v>0</v>
      </c>
      <c r="J857" s="5">
        <v>2.7</v>
      </c>
      <c r="K857" s="2" t="s">
        <v>226</v>
      </c>
      <c r="L857" s="2" t="s">
        <v>227</v>
      </c>
    </row>
    <row r="858" spans="1:12" ht="15">
      <c r="A858" s="2" t="s">
        <v>164</v>
      </c>
      <c r="B858" s="2">
        <v>5</v>
      </c>
      <c r="C858" s="2" t="s">
        <v>29</v>
      </c>
      <c r="D858" s="3">
        <v>46292</v>
      </c>
      <c r="E858" s="2" t="s">
        <v>247</v>
      </c>
      <c r="F858" s="2" t="s">
        <v>225</v>
      </c>
      <c r="G858" s="4">
        <v>7.8</v>
      </c>
      <c r="H858" s="4">
        <v>7.8</v>
      </c>
      <c r="I858" s="4">
        <v>0</v>
      </c>
      <c r="J858" s="5">
        <v>4.9000000000000004</v>
      </c>
      <c r="K858" s="2" t="s">
        <v>226</v>
      </c>
      <c r="L858" s="2" t="s">
        <v>227</v>
      </c>
    </row>
    <row r="859" spans="1:12" ht="15">
      <c r="A859" s="2" t="s">
        <v>165</v>
      </c>
      <c r="B859" s="2">
        <v>1</v>
      </c>
      <c r="C859" s="2" t="s">
        <v>33</v>
      </c>
      <c r="D859" s="3">
        <v>46292</v>
      </c>
      <c r="E859" s="2" t="s">
        <v>245</v>
      </c>
      <c r="F859" s="2" t="s">
        <v>225</v>
      </c>
      <c r="G859" s="4">
        <v>6.3</v>
      </c>
      <c r="H859" s="4">
        <v>6.3</v>
      </c>
      <c r="I859" s="4">
        <v>0</v>
      </c>
      <c r="J859" s="5">
        <v>4.9000000000000004</v>
      </c>
      <c r="K859" s="2" t="s">
        <v>226</v>
      </c>
      <c r="L859" s="2" t="s">
        <v>227</v>
      </c>
    </row>
    <row r="860" spans="1:12" ht="15">
      <c r="A860" s="2" t="s">
        <v>165</v>
      </c>
      <c r="B860" s="2">
        <v>2</v>
      </c>
      <c r="C860" s="2" t="s">
        <v>33</v>
      </c>
      <c r="D860" s="3">
        <v>46292</v>
      </c>
      <c r="E860" s="2" t="s">
        <v>229</v>
      </c>
      <c r="F860" s="2" t="s">
        <v>225</v>
      </c>
      <c r="G860" s="4">
        <v>9.4</v>
      </c>
      <c r="H860" s="4">
        <v>9.4</v>
      </c>
      <c r="I860" s="4">
        <v>0</v>
      </c>
      <c r="J860" s="5">
        <v>2.5</v>
      </c>
      <c r="K860" s="2" t="s">
        <v>226</v>
      </c>
      <c r="L860" s="2" t="s">
        <v>227</v>
      </c>
    </row>
    <row r="861" spans="1:12" ht="15">
      <c r="A861" s="2" t="s">
        <v>165</v>
      </c>
      <c r="B861" s="2">
        <v>3</v>
      </c>
      <c r="C861" s="2" t="s">
        <v>33</v>
      </c>
      <c r="D861" s="3">
        <v>46292</v>
      </c>
      <c r="E861" s="2" t="s">
        <v>240</v>
      </c>
      <c r="F861" s="2" t="s">
        <v>225</v>
      </c>
      <c r="G861" s="4">
        <v>8.8000000000000007</v>
      </c>
      <c r="H861" s="4">
        <v>8.8000000000000007</v>
      </c>
      <c r="I861" s="4">
        <v>0</v>
      </c>
      <c r="J861" s="5">
        <v>6.1</v>
      </c>
      <c r="K861" s="2" t="s">
        <v>226</v>
      </c>
      <c r="L861" s="2" t="s">
        <v>227</v>
      </c>
    </row>
    <row r="862" spans="1:12" ht="15">
      <c r="A862" s="2" t="s">
        <v>165</v>
      </c>
      <c r="B862" s="2">
        <v>4</v>
      </c>
      <c r="C862" s="2" t="s">
        <v>33</v>
      </c>
      <c r="D862" s="3">
        <v>46292</v>
      </c>
      <c r="E862" s="2" t="s">
        <v>248</v>
      </c>
      <c r="F862" s="2" t="s">
        <v>225</v>
      </c>
      <c r="G862" s="4">
        <v>6.3</v>
      </c>
      <c r="H862" s="4">
        <v>6.3</v>
      </c>
      <c r="I862" s="4">
        <v>0</v>
      </c>
      <c r="J862" s="5">
        <v>4.95</v>
      </c>
      <c r="K862" s="2" t="s">
        <v>226</v>
      </c>
      <c r="L862" s="2" t="s">
        <v>227</v>
      </c>
    </row>
    <row r="863" spans="1:12" ht="15">
      <c r="A863" s="2" t="s">
        <v>165</v>
      </c>
      <c r="B863" s="2">
        <v>5</v>
      </c>
      <c r="C863" s="2" t="s">
        <v>33</v>
      </c>
      <c r="D863" s="3">
        <v>46292</v>
      </c>
      <c r="E863" s="2" t="s">
        <v>230</v>
      </c>
      <c r="F863" s="2" t="s">
        <v>225</v>
      </c>
      <c r="G863" s="4">
        <v>8.1999999999999993</v>
      </c>
      <c r="H863" s="4">
        <v>8.1999999999999993</v>
      </c>
      <c r="I863" s="4">
        <v>0</v>
      </c>
      <c r="J863" s="5">
        <v>2.2999999999999998</v>
      </c>
      <c r="K863" s="2" t="s">
        <v>226</v>
      </c>
      <c r="L863" s="2" t="s">
        <v>227</v>
      </c>
    </row>
    <row r="864" spans="1:12" ht="15">
      <c r="A864" s="2" t="s">
        <v>165</v>
      </c>
      <c r="B864" s="2">
        <v>6</v>
      </c>
      <c r="C864" s="2" t="s">
        <v>33</v>
      </c>
      <c r="D864" s="3">
        <v>46292</v>
      </c>
      <c r="E864" s="2" t="s">
        <v>228</v>
      </c>
      <c r="F864" s="2" t="s">
        <v>225</v>
      </c>
      <c r="G864" s="4">
        <v>7.6</v>
      </c>
      <c r="H864" s="4">
        <v>7.6</v>
      </c>
      <c r="I864" s="4">
        <v>0</v>
      </c>
      <c r="J864" s="5">
        <v>2.7</v>
      </c>
      <c r="K864" s="2" t="s">
        <v>226</v>
      </c>
      <c r="L864" s="2" t="s">
        <v>227</v>
      </c>
    </row>
    <row r="865" spans="1:12" ht="15">
      <c r="A865" s="2" t="s">
        <v>165</v>
      </c>
      <c r="B865" s="2">
        <v>7</v>
      </c>
      <c r="C865" s="2" t="s">
        <v>33</v>
      </c>
      <c r="D865" s="3">
        <v>46292</v>
      </c>
      <c r="E865" s="2" t="s">
        <v>231</v>
      </c>
      <c r="F865" s="2" t="s">
        <v>225</v>
      </c>
      <c r="G865" s="4">
        <v>9</v>
      </c>
      <c r="H865" s="4">
        <v>9</v>
      </c>
      <c r="I865" s="4">
        <v>0</v>
      </c>
      <c r="J865" s="5">
        <v>10.4</v>
      </c>
      <c r="K865" s="2" t="s">
        <v>226</v>
      </c>
      <c r="L865" s="2" t="s">
        <v>227</v>
      </c>
    </row>
    <row r="866" spans="1:12" ht="15">
      <c r="A866" s="2" t="s">
        <v>166</v>
      </c>
      <c r="B866" s="2">
        <v>1</v>
      </c>
      <c r="C866" s="2" t="s">
        <v>28</v>
      </c>
      <c r="D866" s="3">
        <v>46293</v>
      </c>
      <c r="E866" s="2" t="s">
        <v>224</v>
      </c>
      <c r="F866" s="2" t="s">
        <v>225</v>
      </c>
      <c r="G866" s="4">
        <v>1.8</v>
      </c>
      <c r="H866" s="4">
        <v>1.8</v>
      </c>
      <c r="I866" s="4">
        <v>0</v>
      </c>
      <c r="J866" s="5">
        <v>5</v>
      </c>
      <c r="K866" s="2" t="s">
        <v>226</v>
      </c>
      <c r="L866" s="2" t="s">
        <v>227</v>
      </c>
    </row>
    <row r="867" spans="1:12" ht="15">
      <c r="A867" s="2" t="s">
        <v>166</v>
      </c>
      <c r="B867" s="2">
        <v>2</v>
      </c>
      <c r="C867" s="2" t="s">
        <v>28</v>
      </c>
      <c r="D867" s="3">
        <v>46293</v>
      </c>
      <c r="E867" s="2" t="s">
        <v>240</v>
      </c>
      <c r="F867" s="2" t="s">
        <v>225</v>
      </c>
      <c r="G867" s="4">
        <v>2.2999999999999998</v>
      </c>
      <c r="H867" s="4">
        <v>2.2999999999999998</v>
      </c>
      <c r="I867" s="4">
        <v>0</v>
      </c>
      <c r="J867" s="5">
        <v>6.1</v>
      </c>
      <c r="K867" s="2" t="s">
        <v>226</v>
      </c>
      <c r="L867" s="2" t="s">
        <v>227</v>
      </c>
    </row>
    <row r="868" spans="1:12" ht="15">
      <c r="A868" s="2" t="s">
        <v>166</v>
      </c>
      <c r="B868" s="2">
        <v>3</v>
      </c>
      <c r="C868" s="2" t="s">
        <v>28</v>
      </c>
      <c r="D868" s="3">
        <v>46293</v>
      </c>
      <c r="E868" s="2" t="s">
        <v>229</v>
      </c>
      <c r="F868" s="2" t="s">
        <v>225</v>
      </c>
      <c r="G868" s="4">
        <v>3.4</v>
      </c>
      <c r="H868" s="4">
        <v>3.4</v>
      </c>
      <c r="I868" s="4">
        <v>0</v>
      </c>
      <c r="J868" s="5">
        <v>2.5</v>
      </c>
      <c r="K868" s="2" t="s">
        <v>226</v>
      </c>
      <c r="L868" s="2" t="s">
        <v>227</v>
      </c>
    </row>
    <row r="869" spans="1:12" ht="15">
      <c r="A869" s="2" t="s">
        <v>166</v>
      </c>
      <c r="B869" s="2">
        <v>4</v>
      </c>
      <c r="C869" s="2" t="s">
        <v>28</v>
      </c>
      <c r="D869" s="3">
        <v>46293</v>
      </c>
      <c r="E869" s="2" t="s">
        <v>248</v>
      </c>
      <c r="F869" s="2" t="s">
        <v>225</v>
      </c>
      <c r="G869" s="4">
        <v>3.6</v>
      </c>
      <c r="H869" s="4">
        <v>3.6</v>
      </c>
      <c r="I869" s="4">
        <v>0</v>
      </c>
      <c r="J869" s="5">
        <v>4.95</v>
      </c>
      <c r="K869" s="2" t="s">
        <v>226</v>
      </c>
      <c r="L869" s="2" t="s">
        <v>227</v>
      </c>
    </row>
    <row r="870" spans="1:12" ht="15">
      <c r="A870" s="2" t="s">
        <v>167</v>
      </c>
      <c r="B870" s="2">
        <v>1</v>
      </c>
      <c r="C870" s="2" t="s">
        <v>30</v>
      </c>
      <c r="D870" s="3">
        <v>46293</v>
      </c>
      <c r="E870" s="2" t="s">
        <v>224</v>
      </c>
      <c r="F870" s="2" t="s">
        <v>225</v>
      </c>
      <c r="G870" s="4">
        <v>8.1</v>
      </c>
      <c r="H870" s="4">
        <v>8.1</v>
      </c>
      <c r="I870" s="4">
        <v>0</v>
      </c>
      <c r="J870" s="5">
        <v>5</v>
      </c>
      <c r="K870" s="2" t="s">
        <v>226</v>
      </c>
      <c r="L870" s="2" t="s">
        <v>227</v>
      </c>
    </row>
    <row r="871" spans="1:12" ht="15">
      <c r="A871" s="2" t="s">
        <v>167</v>
      </c>
      <c r="B871" s="2">
        <v>2</v>
      </c>
      <c r="C871" s="2" t="s">
        <v>30</v>
      </c>
      <c r="D871" s="3">
        <v>46293</v>
      </c>
      <c r="E871" s="2" t="s">
        <v>228</v>
      </c>
      <c r="F871" s="2" t="s">
        <v>225</v>
      </c>
      <c r="G871" s="4">
        <v>8.1</v>
      </c>
      <c r="H871" s="4">
        <v>8.1</v>
      </c>
      <c r="I871" s="4">
        <v>0</v>
      </c>
      <c r="J871" s="5">
        <v>2.7</v>
      </c>
      <c r="K871" s="2" t="s">
        <v>226</v>
      </c>
      <c r="L871" s="2" t="s">
        <v>227</v>
      </c>
    </row>
    <row r="872" spans="1:12" ht="15">
      <c r="A872" s="2" t="s">
        <v>167</v>
      </c>
      <c r="B872" s="2">
        <v>3</v>
      </c>
      <c r="C872" s="2" t="s">
        <v>30</v>
      </c>
      <c r="D872" s="3">
        <v>46293</v>
      </c>
      <c r="E872" s="2" t="s">
        <v>247</v>
      </c>
      <c r="F872" s="2" t="s">
        <v>225</v>
      </c>
      <c r="G872" s="4">
        <v>4.4000000000000004</v>
      </c>
      <c r="H872" s="4">
        <v>3.9</v>
      </c>
      <c r="I872" s="4">
        <v>0</v>
      </c>
      <c r="J872" s="5">
        <v>4.9000000000000004</v>
      </c>
      <c r="K872" s="2" t="s">
        <v>246</v>
      </c>
      <c r="L872" s="2" t="s">
        <v>227</v>
      </c>
    </row>
    <row r="873" spans="1:12" ht="15">
      <c r="A873" s="2" t="s">
        <v>167</v>
      </c>
      <c r="B873" s="2">
        <v>4</v>
      </c>
      <c r="C873" s="2" t="s">
        <v>30</v>
      </c>
      <c r="D873" s="3">
        <v>46293</v>
      </c>
      <c r="E873" s="2" t="s">
        <v>238</v>
      </c>
      <c r="F873" s="2" t="s">
        <v>225</v>
      </c>
      <c r="G873" s="4">
        <v>5</v>
      </c>
      <c r="H873" s="4">
        <v>5</v>
      </c>
      <c r="I873" s="4">
        <v>0</v>
      </c>
      <c r="J873" s="5">
        <v>3.5</v>
      </c>
      <c r="K873" s="2" t="s">
        <v>226</v>
      </c>
      <c r="L873" s="2" t="s">
        <v>227</v>
      </c>
    </row>
    <row r="874" spans="1:12" ht="15">
      <c r="A874" s="2" t="s">
        <v>167</v>
      </c>
      <c r="B874" s="2">
        <v>5</v>
      </c>
      <c r="C874" s="2" t="s">
        <v>30</v>
      </c>
      <c r="D874" s="3">
        <v>46293</v>
      </c>
      <c r="E874" s="2" t="s">
        <v>248</v>
      </c>
      <c r="F874" s="2" t="s">
        <v>225</v>
      </c>
      <c r="G874" s="4">
        <v>7.5</v>
      </c>
      <c r="H874" s="4">
        <v>7.5</v>
      </c>
      <c r="I874" s="4">
        <v>0</v>
      </c>
      <c r="J874" s="5">
        <v>4.95</v>
      </c>
      <c r="K874" s="2" t="s">
        <v>226</v>
      </c>
      <c r="L874" s="2" t="s">
        <v>227</v>
      </c>
    </row>
    <row r="875" spans="1:12" ht="15">
      <c r="A875" s="2" t="s">
        <v>167</v>
      </c>
      <c r="B875" s="2">
        <v>6</v>
      </c>
      <c r="C875" s="2" t="s">
        <v>30</v>
      </c>
      <c r="D875" s="3">
        <v>46293</v>
      </c>
      <c r="E875" s="2" t="s">
        <v>243</v>
      </c>
      <c r="F875" s="2" t="s">
        <v>225</v>
      </c>
      <c r="G875" s="4">
        <v>7.5</v>
      </c>
      <c r="H875" s="4">
        <v>7.5</v>
      </c>
      <c r="I875" s="4">
        <v>0</v>
      </c>
      <c r="J875" s="5">
        <v>3.9</v>
      </c>
      <c r="K875" s="2" t="s">
        <v>226</v>
      </c>
      <c r="L875" s="2" t="s">
        <v>227</v>
      </c>
    </row>
    <row r="876" spans="1:12" ht="15">
      <c r="A876" s="2" t="s">
        <v>168</v>
      </c>
      <c r="B876" s="2">
        <v>1</v>
      </c>
      <c r="C876" s="2" t="s">
        <v>32</v>
      </c>
      <c r="D876" s="3">
        <v>46293</v>
      </c>
      <c r="E876" s="2" t="s">
        <v>224</v>
      </c>
      <c r="F876" s="2" t="s">
        <v>225</v>
      </c>
      <c r="G876" s="4">
        <v>11.6</v>
      </c>
      <c r="H876" s="4">
        <v>11.6</v>
      </c>
      <c r="I876" s="4">
        <v>0</v>
      </c>
      <c r="J876" s="5">
        <v>5</v>
      </c>
      <c r="K876" s="2" t="s">
        <v>226</v>
      </c>
      <c r="L876" s="2" t="s">
        <v>227</v>
      </c>
    </row>
    <row r="877" spans="1:12" ht="15">
      <c r="A877" s="2" t="s">
        <v>168</v>
      </c>
      <c r="B877" s="2">
        <v>2</v>
      </c>
      <c r="C877" s="2" t="s">
        <v>32</v>
      </c>
      <c r="D877" s="3">
        <v>46293</v>
      </c>
      <c r="E877" s="2" t="s">
        <v>248</v>
      </c>
      <c r="F877" s="2" t="s">
        <v>225</v>
      </c>
      <c r="G877" s="4">
        <v>9.3000000000000007</v>
      </c>
      <c r="H877" s="4">
        <v>9.3000000000000007</v>
      </c>
      <c r="I877" s="4">
        <v>0</v>
      </c>
      <c r="J877" s="5">
        <v>4.95</v>
      </c>
      <c r="K877" s="2" t="s">
        <v>226</v>
      </c>
      <c r="L877" s="2" t="s">
        <v>227</v>
      </c>
    </row>
    <row r="878" spans="1:12" ht="15">
      <c r="A878" s="2" t="s">
        <v>168</v>
      </c>
      <c r="B878" s="2">
        <v>3</v>
      </c>
      <c r="C878" s="2" t="s">
        <v>32</v>
      </c>
      <c r="D878" s="3">
        <v>46293</v>
      </c>
      <c r="E878" s="2" t="s">
        <v>243</v>
      </c>
      <c r="F878" s="2" t="s">
        <v>225</v>
      </c>
      <c r="G878" s="4">
        <v>8.5</v>
      </c>
      <c r="H878" s="4">
        <v>8.5</v>
      </c>
      <c r="I878" s="4">
        <v>0</v>
      </c>
      <c r="J878" s="5">
        <v>3.9</v>
      </c>
      <c r="K878" s="2" t="s">
        <v>226</v>
      </c>
      <c r="L878" s="2" t="s">
        <v>227</v>
      </c>
    </row>
    <row r="879" spans="1:12" ht="15">
      <c r="A879" s="2" t="s">
        <v>168</v>
      </c>
      <c r="B879" s="2">
        <v>4</v>
      </c>
      <c r="C879" s="2" t="s">
        <v>32</v>
      </c>
      <c r="D879" s="3">
        <v>46293</v>
      </c>
      <c r="E879" s="2" t="s">
        <v>247</v>
      </c>
      <c r="F879" s="2" t="s">
        <v>225</v>
      </c>
      <c r="G879" s="4">
        <v>7.7</v>
      </c>
      <c r="H879" s="4">
        <v>7.7</v>
      </c>
      <c r="I879" s="4">
        <v>0</v>
      </c>
      <c r="J879" s="5">
        <v>4.9000000000000004</v>
      </c>
      <c r="K879" s="2" t="s">
        <v>226</v>
      </c>
      <c r="L879" s="2" t="s">
        <v>227</v>
      </c>
    </row>
    <row r="880" spans="1:12" ht="15">
      <c r="A880" s="2" t="s">
        <v>168</v>
      </c>
      <c r="B880" s="2">
        <v>5</v>
      </c>
      <c r="C880" s="2" t="s">
        <v>32</v>
      </c>
      <c r="D880" s="3">
        <v>46293</v>
      </c>
      <c r="E880" s="2" t="s">
        <v>240</v>
      </c>
      <c r="F880" s="2" t="s">
        <v>225</v>
      </c>
      <c r="G880" s="4">
        <v>10.8</v>
      </c>
      <c r="H880" s="4">
        <v>10.8</v>
      </c>
      <c r="I880" s="4">
        <v>0</v>
      </c>
      <c r="J880" s="5">
        <v>6.1</v>
      </c>
      <c r="K880" s="2" t="s">
        <v>226</v>
      </c>
      <c r="L880" s="2" t="s">
        <v>227</v>
      </c>
    </row>
    <row r="881" spans="1:12" ht="15">
      <c r="A881" s="2" t="s">
        <v>168</v>
      </c>
      <c r="B881" s="2">
        <v>6</v>
      </c>
      <c r="C881" s="2" t="s">
        <v>32</v>
      </c>
      <c r="D881" s="3">
        <v>46293</v>
      </c>
      <c r="E881" s="2" t="s">
        <v>241</v>
      </c>
      <c r="F881" s="2" t="s">
        <v>225</v>
      </c>
      <c r="G881" s="4">
        <v>11.6</v>
      </c>
      <c r="H881" s="4">
        <v>11.6</v>
      </c>
      <c r="I881" s="4">
        <v>0</v>
      </c>
      <c r="J881" s="5">
        <v>2.9</v>
      </c>
      <c r="K881" s="2" t="s">
        <v>226</v>
      </c>
      <c r="L881" s="2" t="s">
        <v>227</v>
      </c>
    </row>
    <row r="882" spans="1:12" ht="15">
      <c r="A882" s="2" t="s">
        <v>169</v>
      </c>
      <c r="B882" s="2">
        <v>1</v>
      </c>
      <c r="C882" s="2" t="s">
        <v>33</v>
      </c>
      <c r="D882" s="3">
        <v>46293</v>
      </c>
      <c r="E882" s="2" t="s">
        <v>245</v>
      </c>
      <c r="F882" s="2" t="s">
        <v>225</v>
      </c>
      <c r="G882" s="4">
        <v>5</v>
      </c>
      <c r="H882" s="4">
        <v>4.8</v>
      </c>
      <c r="I882" s="4">
        <v>0</v>
      </c>
      <c r="J882" s="5">
        <v>4.9000000000000004</v>
      </c>
      <c r="K882" s="2" t="s">
        <v>246</v>
      </c>
      <c r="L882" s="2" t="s">
        <v>227</v>
      </c>
    </row>
    <row r="883" spans="1:12" ht="15">
      <c r="A883" s="2" t="s">
        <v>169</v>
      </c>
      <c r="B883" s="2">
        <v>2</v>
      </c>
      <c r="C883" s="2" t="s">
        <v>33</v>
      </c>
      <c r="D883" s="3">
        <v>46293</v>
      </c>
      <c r="E883" s="2" t="s">
        <v>248</v>
      </c>
      <c r="F883" s="2" t="s">
        <v>225</v>
      </c>
      <c r="G883" s="4">
        <v>9.1999999999999993</v>
      </c>
      <c r="H883" s="4">
        <v>9.1999999999999993</v>
      </c>
      <c r="I883" s="4">
        <v>0</v>
      </c>
      <c r="J883" s="5">
        <v>4.95</v>
      </c>
      <c r="K883" s="2" t="s">
        <v>226</v>
      </c>
      <c r="L883" s="2" t="s">
        <v>227</v>
      </c>
    </row>
    <row r="884" spans="1:12" ht="15">
      <c r="A884" s="2" t="s">
        <v>169</v>
      </c>
      <c r="B884" s="2">
        <v>3</v>
      </c>
      <c r="C884" s="2" t="s">
        <v>33</v>
      </c>
      <c r="D884" s="3">
        <v>46293</v>
      </c>
      <c r="E884" s="2" t="s">
        <v>239</v>
      </c>
      <c r="F884" s="2" t="s">
        <v>225</v>
      </c>
      <c r="G884" s="4">
        <v>7.8</v>
      </c>
      <c r="H884" s="4">
        <v>7.6</v>
      </c>
      <c r="I884" s="4">
        <v>0</v>
      </c>
      <c r="J884" s="5">
        <v>4.5999999999999996</v>
      </c>
      <c r="K884" s="2" t="s">
        <v>246</v>
      </c>
      <c r="L884" s="2" t="s">
        <v>227</v>
      </c>
    </row>
    <row r="885" spans="1:12" ht="15">
      <c r="A885" s="2" t="s">
        <v>169</v>
      </c>
      <c r="B885" s="2">
        <v>4</v>
      </c>
      <c r="C885" s="2" t="s">
        <v>33</v>
      </c>
      <c r="D885" s="3">
        <v>46293</v>
      </c>
      <c r="E885" s="2" t="s">
        <v>247</v>
      </c>
      <c r="F885" s="2" t="s">
        <v>225</v>
      </c>
      <c r="G885" s="4">
        <v>5.7</v>
      </c>
      <c r="H885" s="4">
        <v>5.7</v>
      </c>
      <c r="I885" s="4">
        <v>0</v>
      </c>
      <c r="J885" s="5">
        <v>4.9000000000000004</v>
      </c>
      <c r="K885" s="2" t="s">
        <v>226</v>
      </c>
      <c r="L885" s="2" t="s">
        <v>227</v>
      </c>
    </row>
    <row r="886" spans="1:12" ht="15">
      <c r="A886" s="2" t="s">
        <v>169</v>
      </c>
      <c r="B886" s="2">
        <v>5</v>
      </c>
      <c r="C886" s="2" t="s">
        <v>33</v>
      </c>
      <c r="D886" s="3">
        <v>46293</v>
      </c>
      <c r="E886" s="2" t="s">
        <v>241</v>
      </c>
      <c r="F886" s="2" t="s">
        <v>225</v>
      </c>
      <c r="G886" s="4">
        <v>7.1</v>
      </c>
      <c r="H886" s="4">
        <v>7.1</v>
      </c>
      <c r="I886" s="4">
        <v>0</v>
      </c>
      <c r="J886" s="5">
        <v>2.9</v>
      </c>
      <c r="K886" s="2" t="s">
        <v>226</v>
      </c>
      <c r="L886" s="2" t="s">
        <v>227</v>
      </c>
    </row>
    <row r="887" spans="1:12" ht="15">
      <c r="A887" s="2" t="s">
        <v>169</v>
      </c>
      <c r="B887" s="2">
        <v>6</v>
      </c>
      <c r="C887" s="2" t="s">
        <v>33</v>
      </c>
      <c r="D887" s="3">
        <v>46293</v>
      </c>
      <c r="E887" s="2" t="s">
        <v>228</v>
      </c>
      <c r="F887" s="2" t="s">
        <v>225</v>
      </c>
      <c r="G887" s="4">
        <v>11.3</v>
      </c>
      <c r="H887" s="4">
        <v>11.3</v>
      </c>
      <c r="I887" s="4">
        <v>0</v>
      </c>
      <c r="J887" s="5">
        <v>2.7</v>
      </c>
      <c r="K887" s="2" t="s">
        <v>226</v>
      </c>
      <c r="L887" s="2" t="s">
        <v>227</v>
      </c>
    </row>
    <row r="888" spans="1:12" ht="15">
      <c r="A888" s="2" t="s">
        <v>169</v>
      </c>
      <c r="B888" s="2">
        <v>7</v>
      </c>
      <c r="C888" s="2" t="s">
        <v>33</v>
      </c>
      <c r="D888" s="3">
        <v>46293</v>
      </c>
      <c r="E888" s="2" t="s">
        <v>232</v>
      </c>
      <c r="F888" s="2" t="s">
        <v>225</v>
      </c>
      <c r="G888" s="4">
        <v>1</v>
      </c>
      <c r="H888" s="4">
        <v>1</v>
      </c>
      <c r="I888" s="4">
        <v>0</v>
      </c>
      <c r="J888" s="5">
        <v>7.8</v>
      </c>
      <c r="K888" s="2" t="s">
        <v>226</v>
      </c>
      <c r="L888" s="2" t="s">
        <v>227</v>
      </c>
    </row>
    <row r="889" spans="1:12" ht="15">
      <c r="A889" s="2" t="s">
        <v>170</v>
      </c>
      <c r="B889" s="2">
        <v>1</v>
      </c>
      <c r="C889" s="2" t="s">
        <v>28</v>
      </c>
      <c r="D889" s="3">
        <v>46294</v>
      </c>
      <c r="E889" s="2" t="s">
        <v>224</v>
      </c>
      <c r="F889" s="2" t="s">
        <v>225</v>
      </c>
      <c r="G889" s="4">
        <v>3</v>
      </c>
      <c r="H889" s="4">
        <v>3</v>
      </c>
      <c r="I889" s="4">
        <v>0</v>
      </c>
      <c r="J889" s="5">
        <v>5.2</v>
      </c>
      <c r="K889" s="2" t="s">
        <v>226</v>
      </c>
      <c r="L889" s="2" t="s">
        <v>227</v>
      </c>
    </row>
    <row r="890" spans="1:12" ht="15">
      <c r="A890" s="2" t="s">
        <v>170</v>
      </c>
      <c r="B890" s="2">
        <v>2</v>
      </c>
      <c r="C890" s="2" t="s">
        <v>28</v>
      </c>
      <c r="D890" s="3">
        <v>46294</v>
      </c>
      <c r="E890" s="2" t="s">
        <v>248</v>
      </c>
      <c r="F890" s="2" t="s">
        <v>225</v>
      </c>
      <c r="G890" s="4">
        <v>5</v>
      </c>
      <c r="H890" s="4">
        <v>5</v>
      </c>
      <c r="I890" s="4">
        <v>0</v>
      </c>
      <c r="J890" s="5">
        <v>5.25</v>
      </c>
      <c r="K890" s="2" t="s">
        <v>226</v>
      </c>
      <c r="L890" s="2" t="s">
        <v>227</v>
      </c>
    </row>
    <row r="891" spans="1:12" ht="15">
      <c r="A891" s="2" t="s">
        <v>170</v>
      </c>
      <c r="B891" s="2">
        <v>3</v>
      </c>
      <c r="C891" s="2" t="s">
        <v>28</v>
      </c>
      <c r="D891" s="3">
        <v>46294</v>
      </c>
      <c r="E891" s="2" t="s">
        <v>250</v>
      </c>
      <c r="F891" s="2" t="s">
        <v>225</v>
      </c>
      <c r="G891" s="4">
        <v>2.6</v>
      </c>
      <c r="H891" s="4">
        <v>2.6</v>
      </c>
      <c r="I891" s="4">
        <v>0</v>
      </c>
      <c r="J891" s="5">
        <v>4.8</v>
      </c>
      <c r="K891" s="2" t="s">
        <v>226</v>
      </c>
      <c r="L891" s="2" t="s">
        <v>227</v>
      </c>
    </row>
    <row r="892" spans="1:12" ht="15">
      <c r="A892" s="2" t="s">
        <v>170</v>
      </c>
      <c r="B892" s="2">
        <v>4</v>
      </c>
      <c r="C892" s="2" t="s">
        <v>28</v>
      </c>
      <c r="D892" s="3">
        <v>46294</v>
      </c>
      <c r="E892" s="2" t="s">
        <v>228</v>
      </c>
      <c r="F892" s="2" t="s">
        <v>225</v>
      </c>
      <c r="G892" s="4">
        <v>2.6</v>
      </c>
      <c r="H892" s="4">
        <v>2.6</v>
      </c>
      <c r="I892" s="4">
        <v>0</v>
      </c>
      <c r="J892" s="5">
        <v>2.8</v>
      </c>
      <c r="K892" s="2" t="s">
        <v>226</v>
      </c>
      <c r="L892" s="2" t="s">
        <v>227</v>
      </c>
    </row>
    <row r="893" spans="1:12" ht="15">
      <c r="A893" s="2" t="s">
        <v>170</v>
      </c>
      <c r="B893" s="2">
        <v>5</v>
      </c>
      <c r="C893" s="2" t="s">
        <v>28</v>
      </c>
      <c r="D893" s="3">
        <v>46294</v>
      </c>
      <c r="E893" s="2" t="s">
        <v>231</v>
      </c>
      <c r="F893" s="2" t="s">
        <v>225</v>
      </c>
      <c r="G893" s="4">
        <v>3</v>
      </c>
      <c r="H893" s="4">
        <v>3</v>
      </c>
      <c r="I893" s="4">
        <v>0</v>
      </c>
      <c r="J893" s="5">
        <v>10.3</v>
      </c>
      <c r="K893" s="2" t="s">
        <v>226</v>
      </c>
      <c r="L893" s="2" t="s">
        <v>227</v>
      </c>
    </row>
    <row r="894" spans="1:12" ht="15">
      <c r="A894" s="2" t="s">
        <v>170</v>
      </c>
      <c r="B894" s="2">
        <v>6</v>
      </c>
      <c r="C894" s="2" t="s">
        <v>28</v>
      </c>
      <c r="D894" s="3">
        <v>46294</v>
      </c>
      <c r="E894" s="2" t="s">
        <v>232</v>
      </c>
      <c r="F894" s="2" t="s">
        <v>225</v>
      </c>
      <c r="G894" s="4">
        <v>0.5</v>
      </c>
      <c r="H894" s="4">
        <v>0.5</v>
      </c>
      <c r="I894" s="4">
        <v>0</v>
      </c>
      <c r="J894" s="5">
        <v>7.7</v>
      </c>
      <c r="K894" s="2" t="s">
        <v>226</v>
      </c>
      <c r="L894" s="2" t="s">
        <v>227</v>
      </c>
    </row>
    <row r="895" spans="1:12" ht="15">
      <c r="A895" s="2" t="s">
        <v>171</v>
      </c>
      <c r="B895" s="2">
        <v>1</v>
      </c>
      <c r="C895" s="2" t="s">
        <v>29</v>
      </c>
      <c r="D895" s="3">
        <v>46294</v>
      </c>
      <c r="E895" s="2" t="s">
        <v>245</v>
      </c>
      <c r="F895" s="2" t="s">
        <v>225</v>
      </c>
      <c r="G895" s="4">
        <v>6.1</v>
      </c>
      <c r="H895" s="4">
        <v>6.1</v>
      </c>
      <c r="I895" s="4">
        <v>0.5</v>
      </c>
      <c r="J895" s="5">
        <v>4.8</v>
      </c>
      <c r="K895" s="2" t="s">
        <v>249</v>
      </c>
      <c r="L895" s="2" t="s">
        <v>227</v>
      </c>
    </row>
    <row r="896" spans="1:12" ht="15">
      <c r="A896" s="2" t="s">
        <v>171</v>
      </c>
      <c r="B896" s="2">
        <v>2</v>
      </c>
      <c r="C896" s="2" t="s">
        <v>29</v>
      </c>
      <c r="D896" s="3">
        <v>46294</v>
      </c>
      <c r="E896" s="2" t="s">
        <v>248</v>
      </c>
      <c r="F896" s="2" t="s">
        <v>225</v>
      </c>
      <c r="G896" s="4">
        <v>3.9</v>
      </c>
      <c r="H896" s="4">
        <v>3.9</v>
      </c>
      <c r="I896" s="4">
        <v>0</v>
      </c>
      <c r="J896" s="5">
        <v>5.25</v>
      </c>
      <c r="K896" s="2" t="s">
        <v>226</v>
      </c>
      <c r="L896" s="2" t="s">
        <v>227</v>
      </c>
    </row>
    <row r="897" spans="1:12" ht="15">
      <c r="A897" s="2" t="s">
        <v>171</v>
      </c>
      <c r="B897" s="2">
        <v>3</v>
      </c>
      <c r="C897" s="2" t="s">
        <v>29</v>
      </c>
      <c r="D897" s="3">
        <v>46294</v>
      </c>
      <c r="E897" s="2" t="s">
        <v>239</v>
      </c>
      <c r="F897" s="2" t="s">
        <v>225</v>
      </c>
      <c r="G897" s="4">
        <v>7</v>
      </c>
      <c r="H897" s="4">
        <v>7</v>
      </c>
      <c r="I897" s="4">
        <v>0</v>
      </c>
      <c r="J897" s="5">
        <v>4.5</v>
      </c>
      <c r="K897" s="2" t="s">
        <v>226</v>
      </c>
      <c r="L897" s="2" t="s">
        <v>227</v>
      </c>
    </row>
    <row r="898" spans="1:12" ht="15">
      <c r="A898" s="2" t="s">
        <v>171</v>
      </c>
      <c r="B898" s="2">
        <v>4</v>
      </c>
      <c r="C898" s="2" t="s">
        <v>29</v>
      </c>
      <c r="D898" s="3">
        <v>46294</v>
      </c>
      <c r="E898" s="2" t="s">
        <v>240</v>
      </c>
      <c r="F898" s="2" t="s">
        <v>225</v>
      </c>
      <c r="G898" s="4">
        <v>6.1</v>
      </c>
      <c r="H898" s="4">
        <v>5.9</v>
      </c>
      <c r="I898" s="4">
        <v>0</v>
      </c>
      <c r="J898" s="5">
        <v>6.3</v>
      </c>
      <c r="K898" s="2" t="s">
        <v>246</v>
      </c>
      <c r="L898" s="2" t="s">
        <v>227</v>
      </c>
    </row>
    <row r="899" spans="1:12" ht="15">
      <c r="A899" s="2" t="s">
        <v>171</v>
      </c>
      <c r="B899" s="2">
        <v>5</v>
      </c>
      <c r="C899" s="2" t="s">
        <v>29</v>
      </c>
      <c r="D899" s="3">
        <v>46294</v>
      </c>
      <c r="E899" s="2" t="s">
        <v>247</v>
      </c>
      <c r="F899" s="2" t="s">
        <v>225</v>
      </c>
      <c r="G899" s="4">
        <v>4.4000000000000004</v>
      </c>
      <c r="H899" s="4">
        <v>4.4000000000000004</v>
      </c>
      <c r="I899" s="4">
        <v>0</v>
      </c>
      <c r="J899" s="5">
        <v>4.8</v>
      </c>
      <c r="K899" s="2" t="s">
        <v>226</v>
      </c>
      <c r="L899" s="2" t="s">
        <v>227</v>
      </c>
    </row>
    <row r="900" spans="1:12" ht="15">
      <c r="A900" s="2" t="s">
        <v>171</v>
      </c>
      <c r="B900" s="2">
        <v>6</v>
      </c>
      <c r="C900" s="2" t="s">
        <v>29</v>
      </c>
      <c r="D900" s="3">
        <v>46294</v>
      </c>
      <c r="E900" s="2" t="s">
        <v>231</v>
      </c>
      <c r="F900" s="2" t="s">
        <v>225</v>
      </c>
      <c r="G900" s="4">
        <v>4</v>
      </c>
      <c r="H900" s="4">
        <v>4</v>
      </c>
      <c r="I900" s="4">
        <v>0</v>
      </c>
      <c r="J900" s="5">
        <v>10.3</v>
      </c>
      <c r="K900" s="2" t="s">
        <v>226</v>
      </c>
      <c r="L900" s="2" t="s">
        <v>227</v>
      </c>
    </row>
    <row r="901" spans="1:12" ht="15">
      <c r="A901" s="2" t="s">
        <v>171</v>
      </c>
      <c r="B901" s="2">
        <v>7</v>
      </c>
      <c r="C901" s="2" t="s">
        <v>29</v>
      </c>
      <c r="D901" s="3">
        <v>46294</v>
      </c>
      <c r="E901" s="2" t="s">
        <v>232</v>
      </c>
      <c r="F901" s="2" t="s">
        <v>225</v>
      </c>
      <c r="G901" s="4">
        <v>1</v>
      </c>
      <c r="H901" s="4">
        <v>1</v>
      </c>
      <c r="I901" s="4">
        <v>0</v>
      </c>
      <c r="J901" s="5">
        <v>7.7</v>
      </c>
      <c r="K901" s="2" t="s">
        <v>226</v>
      </c>
      <c r="L901" s="2" t="s">
        <v>227</v>
      </c>
    </row>
    <row r="902" spans="1:12" ht="15">
      <c r="A902" s="2" t="s">
        <v>172</v>
      </c>
      <c r="B902" s="2">
        <v>1</v>
      </c>
      <c r="C902" s="2" t="s">
        <v>30</v>
      </c>
      <c r="D902" s="3">
        <v>46294</v>
      </c>
      <c r="E902" s="2" t="s">
        <v>237</v>
      </c>
      <c r="F902" s="2" t="s">
        <v>225</v>
      </c>
      <c r="G902" s="4">
        <v>5.3</v>
      </c>
      <c r="H902" s="4">
        <v>5.3</v>
      </c>
      <c r="I902" s="4">
        <v>0</v>
      </c>
      <c r="J902" s="5">
        <v>4.8</v>
      </c>
      <c r="K902" s="2" t="s">
        <v>226</v>
      </c>
      <c r="L902" s="2" t="s">
        <v>227</v>
      </c>
    </row>
    <row r="903" spans="1:12" ht="15">
      <c r="A903" s="2" t="s">
        <v>172</v>
      </c>
      <c r="B903" s="2">
        <v>2</v>
      </c>
      <c r="C903" s="2" t="s">
        <v>30</v>
      </c>
      <c r="D903" s="3">
        <v>46294</v>
      </c>
      <c r="E903" s="2" t="s">
        <v>250</v>
      </c>
      <c r="F903" s="2" t="s">
        <v>225</v>
      </c>
      <c r="G903" s="4">
        <v>10.5</v>
      </c>
      <c r="H903" s="4">
        <v>10.199999999999999</v>
      </c>
      <c r="I903" s="4">
        <v>0</v>
      </c>
      <c r="J903" s="5">
        <v>4.8</v>
      </c>
      <c r="K903" s="2" t="s">
        <v>246</v>
      </c>
      <c r="L903" s="2" t="s">
        <v>227</v>
      </c>
    </row>
    <row r="904" spans="1:12" ht="15">
      <c r="A904" s="2" t="s">
        <v>172</v>
      </c>
      <c r="B904" s="2">
        <v>3</v>
      </c>
      <c r="C904" s="2" t="s">
        <v>30</v>
      </c>
      <c r="D904" s="3">
        <v>46294</v>
      </c>
      <c r="E904" s="2" t="s">
        <v>248</v>
      </c>
      <c r="F904" s="2" t="s">
        <v>225</v>
      </c>
      <c r="G904" s="4">
        <v>9.1999999999999993</v>
      </c>
      <c r="H904" s="4">
        <v>9.1999999999999993</v>
      </c>
      <c r="I904" s="4">
        <v>0</v>
      </c>
      <c r="J904" s="5">
        <v>5.25</v>
      </c>
      <c r="K904" s="2" t="s">
        <v>226</v>
      </c>
      <c r="L904" s="2" t="s">
        <v>227</v>
      </c>
    </row>
    <row r="905" spans="1:12" ht="15">
      <c r="A905" s="2" t="s">
        <v>172</v>
      </c>
      <c r="B905" s="2">
        <v>4</v>
      </c>
      <c r="C905" s="2" t="s">
        <v>30</v>
      </c>
      <c r="D905" s="3">
        <v>46294</v>
      </c>
      <c r="E905" s="2" t="s">
        <v>241</v>
      </c>
      <c r="F905" s="2" t="s">
        <v>225</v>
      </c>
      <c r="G905" s="4">
        <v>4.5999999999999996</v>
      </c>
      <c r="H905" s="4">
        <v>4.5999999999999996</v>
      </c>
      <c r="I905" s="4">
        <v>0</v>
      </c>
      <c r="J905" s="5">
        <v>3</v>
      </c>
      <c r="K905" s="2" t="s">
        <v>226</v>
      </c>
      <c r="L905" s="2" t="s">
        <v>227</v>
      </c>
    </row>
    <row r="906" spans="1:12" ht="15">
      <c r="A906" s="2" t="s">
        <v>172</v>
      </c>
      <c r="B906" s="2">
        <v>5</v>
      </c>
      <c r="C906" s="2" t="s">
        <v>30</v>
      </c>
      <c r="D906" s="3">
        <v>46294</v>
      </c>
      <c r="E906" s="2" t="s">
        <v>247</v>
      </c>
      <c r="F906" s="2" t="s">
        <v>225</v>
      </c>
      <c r="G906" s="4">
        <v>9.8000000000000007</v>
      </c>
      <c r="H906" s="4">
        <v>9.8000000000000007</v>
      </c>
      <c r="I906" s="4">
        <v>0</v>
      </c>
      <c r="J906" s="5">
        <v>4.8</v>
      </c>
      <c r="K906" s="2" t="s">
        <v>226</v>
      </c>
      <c r="L906" s="2" t="s">
        <v>227</v>
      </c>
    </row>
    <row r="907" spans="1:12" ht="15">
      <c r="A907" s="2" t="s">
        <v>172</v>
      </c>
      <c r="B907" s="2">
        <v>6</v>
      </c>
      <c r="C907" s="2" t="s">
        <v>30</v>
      </c>
      <c r="D907" s="3">
        <v>46294</v>
      </c>
      <c r="E907" s="2" t="s">
        <v>238</v>
      </c>
      <c r="F907" s="2" t="s">
        <v>225</v>
      </c>
      <c r="G907" s="4">
        <v>7.2</v>
      </c>
      <c r="H907" s="4">
        <v>7.2</v>
      </c>
      <c r="I907" s="4">
        <v>0</v>
      </c>
      <c r="J907" s="5">
        <v>3.1</v>
      </c>
      <c r="K907" s="2" t="s">
        <v>226</v>
      </c>
      <c r="L907" s="2" t="s">
        <v>227</v>
      </c>
    </row>
    <row r="908" spans="1:12" ht="15">
      <c r="A908" s="2" t="s">
        <v>172</v>
      </c>
      <c r="B908" s="2">
        <v>7</v>
      </c>
      <c r="C908" s="2" t="s">
        <v>30</v>
      </c>
      <c r="D908" s="3">
        <v>46294</v>
      </c>
      <c r="E908" s="2" t="s">
        <v>231</v>
      </c>
      <c r="F908" s="2" t="s">
        <v>225</v>
      </c>
      <c r="G908" s="4">
        <v>6</v>
      </c>
      <c r="H908" s="4">
        <v>6</v>
      </c>
      <c r="I908" s="4">
        <v>0</v>
      </c>
      <c r="J908" s="5">
        <v>10.3</v>
      </c>
      <c r="K908" s="2" t="s">
        <v>226</v>
      </c>
      <c r="L908" s="2" t="s">
        <v>227</v>
      </c>
    </row>
    <row r="909" spans="1:12" ht="15">
      <c r="A909" s="2" t="s">
        <v>172</v>
      </c>
      <c r="B909" s="2">
        <v>8</v>
      </c>
      <c r="C909" s="2" t="s">
        <v>30</v>
      </c>
      <c r="D909" s="3">
        <v>46294</v>
      </c>
      <c r="E909" s="2" t="s">
        <v>232</v>
      </c>
      <c r="F909" s="2" t="s">
        <v>225</v>
      </c>
      <c r="G909" s="4">
        <v>1</v>
      </c>
      <c r="H909" s="4">
        <v>1</v>
      </c>
      <c r="I909" s="4">
        <v>0</v>
      </c>
      <c r="J909" s="5">
        <v>7.7</v>
      </c>
      <c r="K909" s="2" t="s">
        <v>226</v>
      </c>
      <c r="L909" s="2" t="s">
        <v>227</v>
      </c>
    </row>
    <row r="910" spans="1:12" ht="15">
      <c r="A910" s="2" t="s">
        <v>173</v>
      </c>
      <c r="B910" s="2">
        <v>1</v>
      </c>
      <c r="C910" s="2" t="s">
        <v>31</v>
      </c>
      <c r="D910" s="3">
        <v>46294</v>
      </c>
      <c r="E910" s="2" t="s">
        <v>237</v>
      </c>
      <c r="F910" s="2" t="s">
        <v>225</v>
      </c>
      <c r="G910" s="4">
        <v>7.5</v>
      </c>
      <c r="H910" s="4">
        <v>7.5</v>
      </c>
      <c r="I910" s="4">
        <v>0</v>
      </c>
      <c r="J910" s="5">
        <v>4.8</v>
      </c>
      <c r="K910" s="2" t="s">
        <v>226</v>
      </c>
      <c r="L910" s="2" t="s">
        <v>227</v>
      </c>
    </row>
    <row r="911" spans="1:12" ht="15">
      <c r="A911" s="2" t="s">
        <v>173</v>
      </c>
      <c r="B911" s="2">
        <v>2</v>
      </c>
      <c r="C911" s="2" t="s">
        <v>31</v>
      </c>
      <c r="D911" s="3">
        <v>46294</v>
      </c>
      <c r="E911" s="2" t="s">
        <v>239</v>
      </c>
      <c r="F911" s="2" t="s">
        <v>225</v>
      </c>
      <c r="G911" s="4">
        <v>8</v>
      </c>
      <c r="H911" s="4">
        <v>8</v>
      </c>
      <c r="I911" s="4">
        <v>0</v>
      </c>
      <c r="J911" s="5">
        <v>4.5</v>
      </c>
      <c r="K911" s="2" t="s">
        <v>226</v>
      </c>
      <c r="L911" s="2" t="s">
        <v>227</v>
      </c>
    </row>
    <row r="912" spans="1:12" ht="15">
      <c r="A912" s="2" t="s">
        <v>173</v>
      </c>
      <c r="B912" s="2">
        <v>3</v>
      </c>
      <c r="C912" s="2" t="s">
        <v>31</v>
      </c>
      <c r="D912" s="3">
        <v>46294</v>
      </c>
      <c r="E912" s="2" t="s">
        <v>250</v>
      </c>
      <c r="F912" s="2" t="s">
        <v>225</v>
      </c>
      <c r="G912" s="4">
        <v>6</v>
      </c>
      <c r="H912" s="4">
        <v>6</v>
      </c>
      <c r="I912" s="4">
        <v>0</v>
      </c>
      <c r="J912" s="5">
        <v>4.8</v>
      </c>
      <c r="K912" s="2" t="s">
        <v>226</v>
      </c>
      <c r="L912" s="2" t="s">
        <v>227</v>
      </c>
    </row>
    <row r="913" spans="1:12" ht="15">
      <c r="A913" s="2" t="s">
        <v>173</v>
      </c>
      <c r="B913" s="2">
        <v>4</v>
      </c>
      <c r="C913" s="2" t="s">
        <v>31</v>
      </c>
      <c r="D913" s="3">
        <v>46294</v>
      </c>
      <c r="E913" s="2" t="s">
        <v>240</v>
      </c>
      <c r="F913" s="2" t="s">
        <v>225</v>
      </c>
      <c r="G913" s="4">
        <v>7.5</v>
      </c>
      <c r="H913" s="4">
        <v>7.5</v>
      </c>
      <c r="I913" s="4">
        <v>0</v>
      </c>
      <c r="J913" s="5">
        <v>6.3</v>
      </c>
      <c r="K913" s="2" t="s">
        <v>226</v>
      </c>
      <c r="L913" s="2" t="s">
        <v>227</v>
      </c>
    </row>
    <row r="914" spans="1:12" ht="15">
      <c r="A914" s="2" t="s">
        <v>173</v>
      </c>
      <c r="B914" s="2">
        <v>5</v>
      </c>
      <c r="C914" s="2" t="s">
        <v>31</v>
      </c>
      <c r="D914" s="3">
        <v>46294</v>
      </c>
      <c r="E914" s="2" t="s">
        <v>230</v>
      </c>
      <c r="F914" s="2" t="s">
        <v>225</v>
      </c>
      <c r="G914" s="4">
        <v>4</v>
      </c>
      <c r="H914" s="4">
        <v>4</v>
      </c>
      <c r="I914" s="4">
        <v>0</v>
      </c>
      <c r="J914" s="5">
        <v>2.2000000000000002</v>
      </c>
      <c r="K914" s="2" t="s">
        <v>226</v>
      </c>
      <c r="L914" s="2" t="s">
        <v>227</v>
      </c>
    </row>
    <row r="915" spans="1:12" ht="15">
      <c r="A915" s="2" t="s">
        <v>173</v>
      </c>
      <c r="B915" s="2">
        <v>6</v>
      </c>
      <c r="C915" s="2" t="s">
        <v>31</v>
      </c>
      <c r="D915" s="3">
        <v>46294</v>
      </c>
      <c r="E915" s="2" t="s">
        <v>238</v>
      </c>
      <c r="F915" s="2" t="s">
        <v>225</v>
      </c>
      <c r="G915" s="4">
        <v>4.5</v>
      </c>
      <c r="H915" s="4">
        <v>4.5</v>
      </c>
      <c r="I915" s="4">
        <v>0</v>
      </c>
      <c r="J915" s="5">
        <v>3.1</v>
      </c>
      <c r="K915" s="2" t="s">
        <v>226</v>
      </c>
      <c r="L915" s="2" t="s">
        <v>227</v>
      </c>
    </row>
    <row r="916" spans="1:12" ht="15">
      <c r="A916" s="2" t="s">
        <v>173</v>
      </c>
      <c r="B916" s="2">
        <v>7</v>
      </c>
      <c r="C916" s="2" t="s">
        <v>31</v>
      </c>
      <c r="D916" s="3">
        <v>46294</v>
      </c>
      <c r="E916" s="2" t="s">
        <v>231</v>
      </c>
      <c r="F916" s="2" t="s">
        <v>225</v>
      </c>
      <c r="G916" s="4">
        <v>5</v>
      </c>
      <c r="H916" s="4">
        <v>5</v>
      </c>
      <c r="I916" s="4">
        <v>0</v>
      </c>
      <c r="J916" s="5">
        <v>10.3</v>
      </c>
      <c r="K916" s="2" t="s">
        <v>226</v>
      </c>
      <c r="L916" s="2" t="s">
        <v>227</v>
      </c>
    </row>
    <row r="917" spans="1:12" ht="15">
      <c r="A917" s="2" t="s">
        <v>173</v>
      </c>
      <c r="B917" s="2">
        <v>8</v>
      </c>
      <c r="C917" s="2" t="s">
        <v>31</v>
      </c>
      <c r="D917" s="3">
        <v>46294</v>
      </c>
      <c r="E917" s="2" t="s">
        <v>232</v>
      </c>
      <c r="F917" s="2" t="s">
        <v>225</v>
      </c>
      <c r="G917" s="4">
        <v>1</v>
      </c>
      <c r="H917" s="4">
        <v>1</v>
      </c>
      <c r="I917" s="4">
        <v>0</v>
      </c>
      <c r="J917" s="5">
        <v>7.7</v>
      </c>
      <c r="K917" s="2" t="s">
        <v>226</v>
      </c>
      <c r="L917" s="2" t="s">
        <v>227</v>
      </c>
    </row>
    <row r="918" spans="1:12" ht="15">
      <c r="A918" s="2" t="s">
        <v>174</v>
      </c>
      <c r="B918" s="2">
        <v>1</v>
      </c>
      <c r="C918" s="2" t="s">
        <v>32</v>
      </c>
      <c r="D918" s="3">
        <v>46294</v>
      </c>
      <c r="E918" s="2" t="s">
        <v>245</v>
      </c>
      <c r="F918" s="2" t="s">
        <v>225</v>
      </c>
      <c r="G918" s="4">
        <v>15.5</v>
      </c>
      <c r="H918" s="4">
        <v>15.5</v>
      </c>
      <c r="I918" s="4">
        <v>0</v>
      </c>
      <c r="J918" s="5">
        <v>4.8</v>
      </c>
      <c r="K918" s="2" t="s">
        <v>226</v>
      </c>
      <c r="L918" s="2" t="s">
        <v>227</v>
      </c>
    </row>
    <row r="919" spans="1:12" ht="15">
      <c r="A919" s="2" t="s">
        <v>174</v>
      </c>
      <c r="B919" s="2">
        <v>2</v>
      </c>
      <c r="C919" s="2" t="s">
        <v>32</v>
      </c>
      <c r="D919" s="3">
        <v>46294</v>
      </c>
      <c r="E919" s="2" t="s">
        <v>238</v>
      </c>
      <c r="F919" s="2" t="s">
        <v>225</v>
      </c>
      <c r="G919" s="4">
        <v>8.6999999999999993</v>
      </c>
      <c r="H919" s="4">
        <v>8.6999999999999993</v>
      </c>
      <c r="I919" s="4">
        <v>0</v>
      </c>
      <c r="J919" s="5">
        <v>3.1</v>
      </c>
      <c r="K919" s="2" t="s">
        <v>226</v>
      </c>
      <c r="L919" s="2" t="s">
        <v>227</v>
      </c>
    </row>
    <row r="920" spans="1:12" ht="15">
      <c r="A920" s="2" t="s">
        <v>174</v>
      </c>
      <c r="B920" s="2">
        <v>3</v>
      </c>
      <c r="C920" s="2" t="s">
        <v>32</v>
      </c>
      <c r="D920" s="3">
        <v>46294</v>
      </c>
      <c r="E920" s="2" t="s">
        <v>239</v>
      </c>
      <c r="F920" s="2" t="s">
        <v>225</v>
      </c>
      <c r="G920" s="4">
        <v>6.8</v>
      </c>
      <c r="H920" s="4">
        <v>6.8</v>
      </c>
      <c r="I920" s="4">
        <v>0</v>
      </c>
      <c r="J920" s="5">
        <v>4.5</v>
      </c>
      <c r="K920" s="2" t="s">
        <v>226</v>
      </c>
      <c r="L920" s="2" t="s">
        <v>227</v>
      </c>
    </row>
    <row r="921" spans="1:12" ht="15">
      <c r="A921" s="2" t="s">
        <v>174</v>
      </c>
      <c r="B921" s="2">
        <v>4</v>
      </c>
      <c r="C921" s="2" t="s">
        <v>32</v>
      </c>
      <c r="D921" s="3">
        <v>46294</v>
      </c>
      <c r="E921" s="2" t="s">
        <v>241</v>
      </c>
      <c r="F921" s="2" t="s">
        <v>225</v>
      </c>
      <c r="G921" s="4">
        <v>8.6999999999999993</v>
      </c>
      <c r="H921" s="4">
        <v>8.6999999999999993</v>
      </c>
      <c r="I921" s="4">
        <v>0</v>
      </c>
      <c r="J921" s="5">
        <v>3</v>
      </c>
      <c r="K921" s="2" t="s">
        <v>226</v>
      </c>
      <c r="L921" s="2" t="s">
        <v>227</v>
      </c>
    </row>
    <row r="922" spans="1:12" ht="15">
      <c r="A922" s="2" t="s">
        <v>174</v>
      </c>
      <c r="B922" s="2">
        <v>5</v>
      </c>
      <c r="C922" s="2" t="s">
        <v>32</v>
      </c>
      <c r="D922" s="3">
        <v>46294</v>
      </c>
      <c r="E922" s="2" t="s">
        <v>228</v>
      </c>
      <c r="F922" s="2" t="s">
        <v>225</v>
      </c>
      <c r="G922" s="4">
        <v>13.5</v>
      </c>
      <c r="H922" s="4">
        <v>13.5</v>
      </c>
      <c r="I922" s="4">
        <v>0</v>
      </c>
      <c r="J922" s="5">
        <v>2.8</v>
      </c>
      <c r="K922" s="2" t="s">
        <v>226</v>
      </c>
      <c r="L922" s="2" t="s">
        <v>227</v>
      </c>
    </row>
    <row r="923" spans="1:12" ht="15">
      <c r="A923" s="2" t="s">
        <v>174</v>
      </c>
      <c r="B923" s="2">
        <v>6</v>
      </c>
      <c r="C923" s="2" t="s">
        <v>32</v>
      </c>
      <c r="D923" s="3">
        <v>46294</v>
      </c>
      <c r="E923" s="2" t="s">
        <v>240</v>
      </c>
      <c r="F923" s="2" t="s">
        <v>225</v>
      </c>
      <c r="G923" s="4">
        <v>10.6</v>
      </c>
      <c r="H923" s="4">
        <v>10.6</v>
      </c>
      <c r="I923" s="4">
        <v>0</v>
      </c>
      <c r="J923" s="5">
        <v>6.3</v>
      </c>
      <c r="K923" s="2" t="s">
        <v>226</v>
      </c>
      <c r="L923" s="2" t="s">
        <v>227</v>
      </c>
    </row>
    <row r="924" spans="1:12" ht="15">
      <c r="A924" s="2" t="s">
        <v>174</v>
      </c>
      <c r="B924" s="2">
        <v>7</v>
      </c>
      <c r="C924" s="2" t="s">
        <v>32</v>
      </c>
      <c r="D924" s="3">
        <v>46294</v>
      </c>
      <c r="E924" s="2" t="s">
        <v>231</v>
      </c>
      <c r="F924" s="2" t="s">
        <v>225</v>
      </c>
      <c r="G924" s="4">
        <v>12</v>
      </c>
      <c r="H924" s="4">
        <v>12</v>
      </c>
      <c r="I924" s="4">
        <v>0</v>
      </c>
      <c r="J924" s="5">
        <v>10.3</v>
      </c>
      <c r="K924" s="2" t="s">
        <v>226</v>
      </c>
      <c r="L924" s="2" t="s">
        <v>227</v>
      </c>
    </row>
    <row r="925" spans="1:12" ht="15">
      <c r="A925" s="2" t="s">
        <v>174</v>
      </c>
      <c r="B925" s="2">
        <v>8</v>
      </c>
      <c r="C925" s="2" t="s">
        <v>32</v>
      </c>
      <c r="D925" s="3">
        <v>46294</v>
      </c>
      <c r="E925" s="2" t="s">
        <v>242</v>
      </c>
      <c r="F925" s="2" t="s">
        <v>236</v>
      </c>
      <c r="G925" s="4">
        <v>6</v>
      </c>
      <c r="H925" s="4">
        <v>6</v>
      </c>
      <c r="I925" s="4">
        <v>0</v>
      </c>
      <c r="J925" s="5">
        <v>119</v>
      </c>
      <c r="K925" s="2" t="s">
        <v>226</v>
      </c>
      <c r="L925" s="2" t="s">
        <v>227</v>
      </c>
    </row>
    <row r="926" spans="1:12" ht="15">
      <c r="A926" s="2" t="s">
        <v>174</v>
      </c>
      <c r="B926" s="2">
        <v>9</v>
      </c>
      <c r="C926" s="2" t="s">
        <v>32</v>
      </c>
      <c r="D926" s="3">
        <v>46294</v>
      </c>
      <c r="E926" s="2" t="s">
        <v>244</v>
      </c>
      <c r="F926" s="2" t="s">
        <v>234</v>
      </c>
      <c r="G926" s="4">
        <v>2</v>
      </c>
      <c r="H926" s="4">
        <v>2</v>
      </c>
      <c r="I926" s="4">
        <v>0</v>
      </c>
      <c r="J926" s="5">
        <v>59</v>
      </c>
      <c r="K926" s="2" t="s">
        <v>226</v>
      </c>
      <c r="L926" s="2" t="s">
        <v>227</v>
      </c>
    </row>
    <row r="927" spans="1:12" ht="15">
      <c r="A927" s="2" t="s">
        <v>175</v>
      </c>
      <c r="B927" s="2">
        <v>1</v>
      </c>
      <c r="C927" s="2" t="s">
        <v>33</v>
      </c>
      <c r="D927" s="3">
        <v>46294</v>
      </c>
      <c r="E927" s="2" t="s">
        <v>237</v>
      </c>
      <c r="F927" s="2" t="s">
        <v>225</v>
      </c>
      <c r="G927" s="4">
        <v>4.8</v>
      </c>
      <c r="H927" s="4">
        <v>4.8</v>
      </c>
      <c r="I927" s="4">
        <v>0</v>
      </c>
      <c r="J927" s="5">
        <v>4.8</v>
      </c>
      <c r="K927" s="2" t="s">
        <v>226</v>
      </c>
      <c r="L927" s="2" t="s">
        <v>227</v>
      </c>
    </row>
    <row r="928" spans="1:12" ht="15">
      <c r="A928" s="2" t="s">
        <v>175</v>
      </c>
      <c r="B928" s="2">
        <v>2</v>
      </c>
      <c r="C928" s="2" t="s">
        <v>33</v>
      </c>
      <c r="D928" s="3">
        <v>46294</v>
      </c>
      <c r="E928" s="2" t="s">
        <v>228</v>
      </c>
      <c r="F928" s="2" t="s">
        <v>225</v>
      </c>
      <c r="G928" s="4">
        <v>6</v>
      </c>
      <c r="H928" s="4">
        <v>6</v>
      </c>
      <c r="I928" s="4">
        <v>0</v>
      </c>
      <c r="J928" s="5">
        <v>2.8</v>
      </c>
      <c r="K928" s="2" t="s">
        <v>226</v>
      </c>
      <c r="L928" s="2" t="s">
        <v>227</v>
      </c>
    </row>
    <row r="929" spans="1:12" ht="15">
      <c r="A929" s="2" t="s">
        <v>175</v>
      </c>
      <c r="B929" s="2">
        <v>3</v>
      </c>
      <c r="C929" s="2" t="s">
        <v>33</v>
      </c>
      <c r="D929" s="3">
        <v>46294</v>
      </c>
      <c r="E929" s="2" t="s">
        <v>238</v>
      </c>
      <c r="F929" s="2" t="s">
        <v>225</v>
      </c>
      <c r="G929" s="4">
        <v>9.6999999999999993</v>
      </c>
      <c r="H929" s="4">
        <v>9.6999999999999993</v>
      </c>
      <c r="I929" s="4">
        <v>0</v>
      </c>
      <c r="J929" s="5">
        <v>3.1</v>
      </c>
      <c r="K929" s="2" t="s">
        <v>226</v>
      </c>
      <c r="L929" s="2" t="s">
        <v>227</v>
      </c>
    </row>
    <row r="930" spans="1:12" ht="15">
      <c r="A930" s="2" t="s">
        <v>175</v>
      </c>
      <c r="B930" s="2">
        <v>4</v>
      </c>
      <c r="C930" s="2" t="s">
        <v>33</v>
      </c>
      <c r="D930" s="3">
        <v>46294</v>
      </c>
      <c r="E930" s="2" t="s">
        <v>230</v>
      </c>
      <c r="F930" s="2" t="s">
        <v>225</v>
      </c>
      <c r="G930" s="4">
        <v>8.5</v>
      </c>
      <c r="H930" s="4">
        <v>8.5</v>
      </c>
      <c r="I930" s="4">
        <v>0</v>
      </c>
      <c r="J930" s="5">
        <v>2.2000000000000002</v>
      </c>
      <c r="K930" s="2" t="s">
        <v>226</v>
      </c>
      <c r="L930" s="2" t="s">
        <v>227</v>
      </c>
    </row>
    <row r="931" spans="1:12" ht="15">
      <c r="A931" s="2" t="s">
        <v>175</v>
      </c>
      <c r="B931" s="2">
        <v>5</v>
      </c>
      <c r="C931" s="2" t="s">
        <v>33</v>
      </c>
      <c r="D931" s="3">
        <v>46294</v>
      </c>
      <c r="E931" s="2" t="s">
        <v>239</v>
      </c>
      <c r="F931" s="2" t="s">
        <v>225</v>
      </c>
      <c r="G931" s="4">
        <v>6.7</v>
      </c>
      <c r="H931" s="4">
        <v>6.7</v>
      </c>
      <c r="I931" s="4">
        <v>0</v>
      </c>
      <c r="J931" s="5">
        <v>4.5</v>
      </c>
      <c r="K931" s="2" t="s">
        <v>226</v>
      </c>
      <c r="L931" s="2" t="s">
        <v>227</v>
      </c>
    </row>
    <row r="932" spans="1:12" ht="15">
      <c r="A932" s="2" t="s">
        <v>175</v>
      </c>
      <c r="B932" s="2">
        <v>6</v>
      </c>
      <c r="C932" s="2" t="s">
        <v>33</v>
      </c>
      <c r="D932" s="3">
        <v>46294</v>
      </c>
      <c r="E932" s="2" t="s">
        <v>248</v>
      </c>
      <c r="F932" s="2" t="s">
        <v>225</v>
      </c>
      <c r="G932" s="4">
        <v>8.5</v>
      </c>
      <c r="H932" s="4">
        <v>8.5</v>
      </c>
      <c r="I932" s="4">
        <v>0</v>
      </c>
      <c r="J932" s="5">
        <v>5.25</v>
      </c>
      <c r="K932" s="2" t="s">
        <v>226</v>
      </c>
      <c r="L932" s="2" t="s">
        <v>227</v>
      </c>
    </row>
    <row r="933" spans="1:12" ht="15">
      <c r="A933" s="2" t="s">
        <v>175</v>
      </c>
      <c r="B933" s="2">
        <v>7</v>
      </c>
      <c r="C933" s="2" t="s">
        <v>33</v>
      </c>
      <c r="D933" s="3">
        <v>46294</v>
      </c>
      <c r="E933" s="2" t="s">
        <v>231</v>
      </c>
      <c r="F933" s="2" t="s">
        <v>225</v>
      </c>
      <c r="G933" s="4">
        <v>9</v>
      </c>
      <c r="H933" s="4">
        <v>9</v>
      </c>
      <c r="I933" s="4">
        <v>0</v>
      </c>
      <c r="J933" s="5">
        <v>10.3</v>
      </c>
      <c r="K933" s="2" t="s">
        <v>226</v>
      </c>
      <c r="L933" s="2" t="s">
        <v>227</v>
      </c>
    </row>
    <row r="934" spans="1:12" ht="15">
      <c r="A934" s="2" t="s">
        <v>176</v>
      </c>
      <c r="B934" s="2">
        <v>1</v>
      </c>
      <c r="C934" s="2" t="s">
        <v>28</v>
      </c>
      <c r="D934" s="3">
        <v>46295</v>
      </c>
      <c r="E934" s="2" t="s">
        <v>245</v>
      </c>
      <c r="F934" s="2" t="s">
        <v>225</v>
      </c>
      <c r="G934" s="4">
        <v>1.6</v>
      </c>
      <c r="H934" s="4">
        <v>1.6</v>
      </c>
      <c r="I934" s="4">
        <v>0</v>
      </c>
      <c r="J934" s="5">
        <v>4.8</v>
      </c>
      <c r="K934" s="2" t="s">
        <v>226</v>
      </c>
      <c r="L934" s="2" t="s">
        <v>227</v>
      </c>
    </row>
    <row r="935" spans="1:12" ht="15">
      <c r="A935" s="2" t="s">
        <v>176</v>
      </c>
      <c r="B935" s="2">
        <v>2</v>
      </c>
      <c r="C935" s="2" t="s">
        <v>28</v>
      </c>
      <c r="D935" s="3">
        <v>46295</v>
      </c>
      <c r="E935" s="2" t="s">
        <v>248</v>
      </c>
      <c r="F935" s="2" t="s">
        <v>225</v>
      </c>
      <c r="G935" s="4">
        <v>3.2</v>
      </c>
      <c r="H935" s="4">
        <v>3.2</v>
      </c>
      <c r="I935" s="4">
        <v>0</v>
      </c>
      <c r="J935" s="5">
        <v>5.25</v>
      </c>
      <c r="K935" s="2" t="s">
        <v>226</v>
      </c>
      <c r="L935" s="2" t="s">
        <v>227</v>
      </c>
    </row>
    <row r="936" spans="1:12" ht="15">
      <c r="A936" s="2" t="s">
        <v>176</v>
      </c>
      <c r="B936" s="2">
        <v>3</v>
      </c>
      <c r="C936" s="2" t="s">
        <v>28</v>
      </c>
      <c r="D936" s="3">
        <v>46295</v>
      </c>
      <c r="E936" s="2" t="s">
        <v>243</v>
      </c>
      <c r="F936" s="2" t="s">
        <v>225</v>
      </c>
      <c r="G936" s="4">
        <v>3</v>
      </c>
      <c r="H936" s="4">
        <v>3</v>
      </c>
      <c r="I936" s="4">
        <v>0</v>
      </c>
      <c r="J936" s="5">
        <v>4.3</v>
      </c>
      <c r="K936" s="2" t="s">
        <v>226</v>
      </c>
      <c r="L936" s="2" t="s">
        <v>227</v>
      </c>
    </row>
    <row r="937" spans="1:12" ht="15">
      <c r="A937" s="2" t="s">
        <v>176</v>
      </c>
      <c r="B937" s="2">
        <v>4</v>
      </c>
      <c r="C937" s="2" t="s">
        <v>28</v>
      </c>
      <c r="D937" s="3">
        <v>46295</v>
      </c>
      <c r="E937" s="2" t="s">
        <v>238</v>
      </c>
      <c r="F937" s="2" t="s">
        <v>225</v>
      </c>
      <c r="G937" s="4">
        <v>3</v>
      </c>
      <c r="H937" s="4">
        <v>3</v>
      </c>
      <c r="I937" s="4">
        <v>0</v>
      </c>
      <c r="J937" s="5">
        <v>3.1</v>
      </c>
      <c r="K937" s="2" t="s">
        <v>226</v>
      </c>
      <c r="L937" s="2" t="s">
        <v>227</v>
      </c>
    </row>
    <row r="938" spans="1:12" ht="15">
      <c r="A938" s="2" t="s">
        <v>176</v>
      </c>
      <c r="B938" s="2">
        <v>5</v>
      </c>
      <c r="C938" s="2" t="s">
        <v>28</v>
      </c>
      <c r="D938" s="3">
        <v>46295</v>
      </c>
      <c r="E938" s="2" t="s">
        <v>233</v>
      </c>
      <c r="F938" s="2" t="s">
        <v>234</v>
      </c>
      <c r="G938" s="4">
        <v>1</v>
      </c>
      <c r="H938" s="4">
        <v>1</v>
      </c>
      <c r="I938" s="4">
        <v>0</v>
      </c>
      <c r="J938" s="5">
        <v>69</v>
      </c>
      <c r="K938" s="2" t="s">
        <v>226</v>
      </c>
      <c r="L938" s="2" t="s">
        <v>227</v>
      </c>
    </row>
    <row r="939" spans="1:12" ht="15">
      <c r="A939" s="2" t="s">
        <v>176</v>
      </c>
      <c r="B939" s="2">
        <v>6</v>
      </c>
      <c r="C939" s="2" t="s">
        <v>28</v>
      </c>
      <c r="D939" s="3">
        <v>46295</v>
      </c>
      <c r="E939" s="2" t="s">
        <v>235</v>
      </c>
      <c r="F939" s="2" t="s">
        <v>236</v>
      </c>
      <c r="G939" s="4">
        <v>1</v>
      </c>
      <c r="H939" s="4">
        <v>1</v>
      </c>
      <c r="I939" s="4">
        <v>0</v>
      </c>
      <c r="J939" s="5">
        <v>107</v>
      </c>
      <c r="K939" s="2" t="s">
        <v>226</v>
      </c>
      <c r="L939" s="2" t="s">
        <v>227</v>
      </c>
    </row>
    <row r="940" spans="1:12" ht="15">
      <c r="A940" s="2" t="s">
        <v>177</v>
      </c>
      <c r="B940" s="2">
        <v>1</v>
      </c>
      <c r="C940" s="2" t="s">
        <v>29</v>
      </c>
      <c r="D940" s="3">
        <v>46295</v>
      </c>
      <c r="E940" s="2" t="s">
        <v>237</v>
      </c>
      <c r="F940" s="2" t="s">
        <v>225</v>
      </c>
      <c r="G940" s="4">
        <v>3.4</v>
      </c>
      <c r="H940" s="4">
        <v>3.4</v>
      </c>
      <c r="I940" s="4">
        <v>0</v>
      </c>
      <c r="J940" s="5">
        <v>4.8</v>
      </c>
      <c r="K940" s="2" t="s">
        <v>226</v>
      </c>
      <c r="L940" s="2" t="s">
        <v>227</v>
      </c>
    </row>
    <row r="941" spans="1:12" ht="15">
      <c r="A941" s="2" t="s">
        <v>177</v>
      </c>
      <c r="B941" s="2">
        <v>2</v>
      </c>
      <c r="C941" s="2" t="s">
        <v>29</v>
      </c>
      <c r="D941" s="3">
        <v>46295</v>
      </c>
      <c r="E941" s="2" t="s">
        <v>243</v>
      </c>
      <c r="F941" s="2" t="s">
        <v>225</v>
      </c>
      <c r="G941" s="4">
        <v>6.8</v>
      </c>
      <c r="H941" s="4">
        <v>6.8</v>
      </c>
      <c r="I941" s="4">
        <v>0</v>
      </c>
      <c r="J941" s="5">
        <v>4.3</v>
      </c>
      <c r="K941" s="2" t="s">
        <v>226</v>
      </c>
      <c r="L941" s="2" t="s">
        <v>227</v>
      </c>
    </row>
    <row r="942" spans="1:12" ht="15">
      <c r="A942" s="2" t="s">
        <v>177</v>
      </c>
      <c r="B942" s="2">
        <v>3</v>
      </c>
      <c r="C942" s="2" t="s">
        <v>29</v>
      </c>
      <c r="D942" s="3">
        <v>46295</v>
      </c>
      <c r="E942" s="2" t="s">
        <v>239</v>
      </c>
      <c r="F942" s="2" t="s">
        <v>225</v>
      </c>
      <c r="G942" s="4">
        <v>6.4</v>
      </c>
      <c r="H942" s="4">
        <v>6.4</v>
      </c>
      <c r="I942" s="4">
        <v>0</v>
      </c>
      <c r="J942" s="5">
        <v>4.5</v>
      </c>
      <c r="K942" s="2" t="s">
        <v>226</v>
      </c>
      <c r="L942" s="2" t="s">
        <v>227</v>
      </c>
    </row>
    <row r="943" spans="1:12" ht="15">
      <c r="A943" s="2" t="s">
        <v>177</v>
      </c>
      <c r="B943" s="2">
        <v>4</v>
      </c>
      <c r="C943" s="2" t="s">
        <v>29</v>
      </c>
      <c r="D943" s="3">
        <v>46295</v>
      </c>
      <c r="E943" s="2" t="s">
        <v>241</v>
      </c>
      <c r="F943" s="2" t="s">
        <v>225</v>
      </c>
      <c r="G943" s="4">
        <v>6.4</v>
      </c>
      <c r="H943" s="4">
        <v>6.4</v>
      </c>
      <c r="I943" s="4">
        <v>0</v>
      </c>
      <c r="J943" s="5">
        <v>3</v>
      </c>
      <c r="K943" s="2" t="s">
        <v>226</v>
      </c>
      <c r="L943" s="2" t="s">
        <v>227</v>
      </c>
    </row>
    <row r="944" spans="1:12" ht="15">
      <c r="A944" s="2" t="s">
        <v>177</v>
      </c>
      <c r="B944" s="2">
        <v>5</v>
      </c>
      <c r="C944" s="2" t="s">
        <v>29</v>
      </c>
      <c r="D944" s="3">
        <v>46295</v>
      </c>
      <c r="E944" s="2" t="s">
        <v>230</v>
      </c>
      <c r="F944" s="2" t="s">
        <v>225</v>
      </c>
      <c r="G944" s="4">
        <v>3.9</v>
      </c>
      <c r="H944" s="4">
        <v>3.9</v>
      </c>
      <c r="I944" s="4">
        <v>0</v>
      </c>
      <c r="J944" s="5">
        <v>2.2000000000000002</v>
      </c>
      <c r="K944" s="2" t="s">
        <v>226</v>
      </c>
      <c r="L944" s="2" t="s">
        <v>227</v>
      </c>
    </row>
    <row r="945" spans="1:12" ht="15">
      <c r="A945" s="2" t="s">
        <v>177</v>
      </c>
      <c r="B945" s="2">
        <v>6</v>
      </c>
      <c r="C945" s="2" t="s">
        <v>29</v>
      </c>
      <c r="D945" s="3">
        <v>46295</v>
      </c>
      <c r="E945" s="2" t="s">
        <v>242</v>
      </c>
      <c r="F945" s="2" t="s">
        <v>236</v>
      </c>
      <c r="G945" s="4">
        <v>3</v>
      </c>
      <c r="H945" s="4">
        <v>3</v>
      </c>
      <c r="I945" s="4">
        <v>0</v>
      </c>
      <c r="J945" s="5">
        <v>119</v>
      </c>
      <c r="K945" s="2" t="s">
        <v>226</v>
      </c>
      <c r="L945" s="2" t="s">
        <v>227</v>
      </c>
    </row>
    <row r="946" spans="1:12" ht="15">
      <c r="A946" s="2" t="s">
        <v>177</v>
      </c>
      <c r="B946" s="2">
        <v>7</v>
      </c>
      <c r="C946" s="2" t="s">
        <v>29</v>
      </c>
      <c r="D946" s="3">
        <v>46295</v>
      </c>
      <c r="E946" s="2" t="s">
        <v>233</v>
      </c>
      <c r="F946" s="2" t="s">
        <v>234</v>
      </c>
      <c r="G946" s="4">
        <v>1</v>
      </c>
      <c r="H946" s="4">
        <v>1</v>
      </c>
      <c r="I946" s="4">
        <v>0</v>
      </c>
      <c r="J946" s="5">
        <v>69</v>
      </c>
      <c r="K946" s="2" t="s">
        <v>226</v>
      </c>
      <c r="L946" s="2" t="s">
        <v>227</v>
      </c>
    </row>
    <row r="947" spans="1:12" ht="15">
      <c r="A947" s="2" t="s">
        <v>178</v>
      </c>
      <c r="B947" s="2">
        <v>1</v>
      </c>
      <c r="C947" s="2" t="s">
        <v>30</v>
      </c>
      <c r="D947" s="3">
        <v>46295</v>
      </c>
      <c r="E947" s="2" t="s">
        <v>237</v>
      </c>
      <c r="F947" s="2" t="s">
        <v>225</v>
      </c>
      <c r="G947" s="4">
        <v>5.6</v>
      </c>
      <c r="H947" s="4">
        <v>5.6</v>
      </c>
      <c r="I947" s="4">
        <v>0.3</v>
      </c>
      <c r="J947" s="5">
        <v>4.8</v>
      </c>
      <c r="K947" s="2" t="s">
        <v>249</v>
      </c>
      <c r="L947" s="2" t="s">
        <v>227</v>
      </c>
    </row>
    <row r="948" spans="1:12" ht="15">
      <c r="A948" s="2" t="s">
        <v>178</v>
      </c>
      <c r="B948" s="2">
        <v>2</v>
      </c>
      <c r="C948" s="2" t="s">
        <v>30</v>
      </c>
      <c r="D948" s="3">
        <v>46295</v>
      </c>
      <c r="E948" s="2" t="s">
        <v>230</v>
      </c>
      <c r="F948" s="2" t="s">
        <v>225</v>
      </c>
      <c r="G948" s="4">
        <v>7.5</v>
      </c>
      <c r="H948" s="4">
        <v>7.5</v>
      </c>
      <c r="I948" s="4">
        <v>0</v>
      </c>
      <c r="J948" s="5">
        <v>2.2000000000000002</v>
      </c>
      <c r="K948" s="2" t="s">
        <v>226</v>
      </c>
      <c r="L948" s="2" t="s">
        <v>227</v>
      </c>
    </row>
    <row r="949" spans="1:12" ht="15">
      <c r="A949" s="2" t="s">
        <v>178</v>
      </c>
      <c r="B949" s="2">
        <v>3</v>
      </c>
      <c r="C949" s="2" t="s">
        <v>30</v>
      </c>
      <c r="D949" s="3">
        <v>46295</v>
      </c>
      <c r="E949" s="2" t="s">
        <v>238</v>
      </c>
      <c r="F949" s="2" t="s">
        <v>225</v>
      </c>
      <c r="G949" s="4">
        <v>6.1</v>
      </c>
      <c r="H949" s="4">
        <v>6.1</v>
      </c>
      <c r="I949" s="4">
        <v>0</v>
      </c>
      <c r="J949" s="5">
        <v>3.1</v>
      </c>
      <c r="K949" s="2" t="s">
        <v>226</v>
      </c>
      <c r="L949" s="2" t="s">
        <v>227</v>
      </c>
    </row>
    <row r="950" spans="1:12" ht="15">
      <c r="A950" s="2" t="s">
        <v>178</v>
      </c>
      <c r="B950" s="2">
        <v>4</v>
      </c>
      <c r="C950" s="2" t="s">
        <v>30</v>
      </c>
      <c r="D950" s="3">
        <v>46295</v>
      </c>
      <c r="E950" s="2" t="s">
        <v>240</v>
      </c>
      <c r="F950" s="2" t="s">
        <v>225</v>
      </c>
      <c r="G950" s="4">
        <v>7</v>
      </c>
      <c r="H950" s="4">
        <v>6.5</v>
      </c>
      <c r="I950" s="4">
        <v>0</v>
      </c>
      <c r="J950" s="5">
        <v>6.3</v>
      </c>
      <c r="K950" s="2" t="s">
        <v>246</v>
      </c>
      <c r="L950" s="2" t="s">
        <v>227</v>
      </c>
    </row>
    <row r="951" spans="1:12" ht="15">
      <c r="A951" s="2" t="s">
        <v>178</v>
      </c>
      <c r="B951" s="2">
        <v>5</v>
      </c>
      <c r="C951" s="2" t="s">
        <v>30</v>
      </c>
      <c r="D951" s="3">
        <v>46295</v>
      </c>
      <c r="E951" s="2" t="s">
        <v>243</v>
      </c>
      <c r="F951" s="2" t="s">
        <v>225</v>
      </c>
      <c r="G951" s="4">
        <v>7</v>
      </c>
      <c r="H951" s="4">
        <v>7</v>
      </c>
      <c r="I951" s="4">
        <v>0</v>
      </c>
      <c r="J951" s="5">
        <v>4.3</v>
      </c>
      <c r="K951" s="2" t="s">
        <v>226</v>
      </c>
      <c r="L951" s="2" t="s">
        <v>227</v>
      </c>
    </row>
    <row r="952" spans="1:12" ht="15">
      <c r="A952" s="2" t="s">
        <v>178</v>
      </c>
      <c r="B952" s="2">
        <v>6</v>
      </c>
      <c r="C952" s="2" t="s">
        <v>30</v>
      </c>
      <c r="D952" s="3">
        <v>46295</v>
      </c>
      <c r="E952" s="2" t="s">
        <v>229</v>
      </c>
      <c r="F952" s="2" t="s">
        <v>225</v>
      </c>
      <c r="G952" s="4">
        <v>5.0999999999999996</v>
      </c>
      <c r="H952" s="4">
        <v>5.0999999999999996</v>
      </c>
      <c r="I952" s="4">
        <v>0</v>
      </c>
      <c r="J952" s="5">
        <v>2.7</v>
      </c>
      <c r="K952" s="2" t="s">
        <v>226</v>
      </c>
      <c r="L952" s="2" t="s">
        <v>227</v>
      </c>
    </row>
    <row r="953" spans="1:12" ht="15">
      <c r="A953" s="2" t="s">
        <v>178</v>
      </c>
      <c r="B953" s="2">
        <v>7</v>
      </c>
      <c r="C953" s="2" t="s">
        <v>30</v>
      </c>
      <c r="D953" s="3">
        <v>46295</v>
      </c>
      <c r="E953" s="2" t="s">
        <v>242</v>
      </c>
      <c r="F953" s="2" t="s">
        <v>236</v>
      </c>
      <c r="G953" s="4">
        <v>5</v>
      </c>
      <c r="H953" s="4">
        <v>5</v>
      </c>
      <c r="I953" s="4">
        <v>0</v>
      </c>
      <c r="J953" s="5">
        <v>119</v>
      </c>
      <c r="K953" s="2" t="s">
        <v>226</v>
      </c>
      <c r="L953" s="2" t="s">
        <v>227</v>
      </c>
    </row>
    <row r="954" spans="1:12" ht="15">
      <c r="A954" s="2" t="s">
        <v>178</v>
      </c>
      <c r="B954" s="2">
        <v>8</v>
      </c>
      <c r="C954" s="2" t="s">
        <v>30</v>
      </c>
      <c r="D954" s="3">
        <v>46295</v>
      </c>
      <c r="E954" s="2" t="s">
        <v>244</v>
      </c>
      <c r="F954" s="2" t="s">
        <v>234</v>
      </c>
      <c r="G954" s="4">
        <v>2</v>
      </c>
      <c r="H954" s="4">
        <v>2</v>
      </c>
      <c r="I954" s="4">
        <v>0</v>
      </c>
      <c r="J954" s="5">
        <v>59</v>
      </c>
      <c r="K954" s="2" t="s">
        <v>226</v>
      </c>
      <c r="L954" s="2" t="s">
        <v>227</v>
      </c>
    </row>
    <row r="955" spans="1:12" ht="15">
      <c r="A955" s="2" t="s">
        <v>179</v>
      </c>
      <c r="B955" s="2">
        <v>1</v>
      </c>
      <c r="C955" s="2" t="s">
        <v>32</v>
      </c>
      <c r="D955" s="3">
        <v>46295</v>
      </c>
      <c r="E955" s="2" t="s">
        <v>237</v>
      </c>
      <c r="F955" s="2" t="s">
        <v>225</v>
      </c>
      <c r="G955" s="4">
        <v>8.3000000000000007</v>
      </c>
      <c r="H955" s="4">
        <v>8.3000000000000007</v>
      </c>
      <c r="I955" s="4">
        <v>0</v>
      </c>
      <c r="J955" s="5">
        <v>4.8</v>
      </c>
      <c r="K955" s="2" t="s">
        <v>226</v>
      </c>
      <c r="L955" s="2" t="s">
        <v>227</v>
      </c>
    </row>
    <row r="956" spans="1:12" ht="15">
      <c r="A956" s="2" t="s">
        <v>179</v>
      </c>
      <c r="B956" s="2">
        <v>2</v>
      </c>
      <c r="C956" s="2" t="s">
        <v>32</v>
      </c>
      <c r="D956" s="3">
        <v>46295</v>
      </c>
      <c r="E956" s="2" t="s">
        <v>250</v>
      </c>
      <c r="F956" s="2" t="s">
        <v>225</v>
      </c>
      <c r="G956" s="4">
        <v>6.4</v>
      </c>
      <c r="H956" s="4">
        <v>6.4</v>
      </c>
      <c r="I956" s="4">
        <v>0</v>
      </c>
      <c r="J956" s="5">
        <v>4.8</v>
      </c>
      <c r="K956" s="2" t="s">
        <v>226</v>
      </c>
      <c r="L956" s="2" t="s">
        <v>227</v>
      </c>
    </row>
    <row r="957" spans="1:12" ht="15">
      <c r="A957" s="2" t="s">
        <v>179</v>
      </c>
      <c r="B957" s="2">
        <v>3</v>
      </c>
      <c r="C957" s="2" t="s">
        <v>32</v>
      </c>
      <c r="D957" s="3">
        <v>46295</v>
      </c>
      <c r="E957" s="2" t="s">
        <v>240</v>
      </c>
      <c r="F957" s="2" t="s">
        <v>225</v>
      </c>
      <c r="G957" s="4">
        <v>6.4</v>
      </c>
      <c r="H957" s="4">
        <v>6.4</v>
      </c>
      <c r="I957" s="4">
        <v>0</v>
      </c>
      <c r="J957" s="5">
        <v>6.3</v>
      </c>
      <c r="K957" s="2" t="s">
        <v>226</v>
      </c>
      <c r="L957" s="2" t="s">
        <v>227</v>
      </c>
    </row>
    <row r="958" spans="1:12" ht="15">
      <c r="A958" s="2" t="s">
        <v>179</v>
      </c>
      <c r="B958" s="2">
        <v>4</v>
      </c>
      <c r="C958" s="2" t="s">
        <v>32</v>
      </c>
      <c r="D958" s="3">
        <v>46295</v>
      </c>
      <c r="E958" s="2" t="s">
        <v>247</v>
      </c>
      <c r="F958" s="2" t="s">
        <v>225</v>
      </c>
      <c r="G958" s="4">
        <v>8.3000000000000007</v>
      </c>
      <c r="H958" s="4">
        <v>7.8</v>
      </c>
      <c r="I958" s="4">
        <v>0</v>
      </c>
      <c r="J958" s="5">
        <v>4.8</v>
      </c>
      <c r="K958" s="2" t="s">
        <v>246</v>
      </c>
      <c r="L958" s="2" t="s">
        <v>227</v>
      </c>
    </row>
    <row r="959" spans="1:12" ht="15">
      <c r="A959" s="2" t="s">
        <v>179</v>
      </c>
      <c r="B959" s="2">
        <v>5</v>
      </c>
      <c r="C959" s="2" t="s">
        <v>32</v>
      </c>
      <c r="D959" s="3">
        <v>46295</v>
      </c>
      <c r="E959" s="2" t="s">
        <v>229</v>
      </c>
      <c r="F959" s="2" t="s">
        <v>225</v>
      </c>
      <c r="G959" s="4">
        <v>12.9</v>
      </c>
      <c r="H959" s="4">
        <v>12.9</v>
      </c>
      <c r="I959" s="4">
        <v>0</v>
      </c>
      <c r="J959" s="5">
        <v>2.7</v>
      </c>
      <c r="K959" s="2" t="s">
        <v>226</v>
      </c>
      <c r="L959" s="2" t="s">
        <v>227</v>
      </c>
    </row>
    <row r="960" spans="1:12" ht="15">
      <c r="A960" s="2" t="s">
        <v>179</v>
      </c>
      <c r="B960" s="2">
        <v>6</v>
      </c>
      <c r="C960" s="2" t="s">
        <v>32</v>
      </c>
      <c r="D960" s="3">
        <v>46295</v>
      </c>
      <c r="E960" s="2" t="s">
        <v>228</v>
      </c>
      <c r="F960" s="2" t="s">
        <v>225</v>
      </c>
      <c r="G960" s="4">
        <v>14.7</v>
      </c>
      <c r="H960" s="4">
        <v>14.7</v>
      </c>
      <c r="I960" s="4">
        <v>0</v>
      </c>
      <c r="J960" s="5">
        <v>2.8</v>
      </c>
      <c r="K960" s="2" t="s">
        <v>226</v>
      </c>
      <c r="L960" s="2" t="s">
        <v>227</v>
      </c>
    </row>
    <row r="961" spans="1:12" ht="15">
      <c r="A961" s="2" t="s">
        <v>179</v>
      </c>
      <c r="B961" s="2">
        <v>7</v>
      </c>
      <c r="C961" s="2" t="s">
        <v>32</v>
      </c>
      <c r="D961" s="3">
        <v>46295</v>
      </c>
      <c r="E961" s="2" t="s">
        <v>232</v>
      </c>
      <c r="F961" s="2" t="s">
        <v>225</v>
      </c>
      <c r="G961" s="4">
        <v>1</v>
      </c>
      <c r="H961" s="4">
        <v>1</v>
      </c>
      <c r="I961" s="4">
        <v>0</v>
      </c>
      <c r="J961" s="5">
        <v>7.7</v>
      </c>
      <c r="K961" s="2" t="s">
        <v>226</v>
      </c>
      <c r="L961" s="2" t="s">
        <v>227</v>
      </c>
    </row>
    <row r="962" spans="1:12" ht="15">
      <c r="A962" s="2" t="s">
        <v>180</v>
      </c>
      <c r="B962" s="2">
        <v>1</v>
      </c>
      <c r="C962" s="2" t="s">
        <v>33</v>
      </c>
      <c r="D962" s="3">
        <v>46295</v>
      </c>
      <c r="E962" s="2" t="s">
        <v>237</v>
      </c>
      <c r="F962" s="2" t="s">
        <v>225</v>
      </c>
      <c r="G962" s="4">
        <v>5.5</v>
      </c>
      <c r="H962" s="4">
        <v>5.5</v>
      </c>
      <c r="I962" s="4">
        <v>0</v>
      </c>
      <c r="J962" s="5">
        <v>4.8</v>
      </c>
      <c r="K962" s="2" t="s">
        <v>226</v>
      </c>
      <c r="L962" s="2" t="s">
        <v>227</v>
      </c>
    </row>
    <row r="963" spans="1:12" ht="15">
      <c r="A963" s="2" t="s">
        <v>180</v>
      </c>
      <c r="B963" s="2">
        <v>2</v>
      </c>
      <c r="C963" s="2" t="s">
        <v>33</v>
      </c>
      <c r="D963" s="3">
        <v>46295</v>
      </c>
      <c r="E963" s="2" t="s">
        <v>229</v>
      </c>
      <c r="F963" s="2" t="s">
        <v>225</v>
      </c>
      <c r="G963" s="4">
        <v>7.1</v>
      </c>
      <c r="H963" s="4">
        <v>7.1</v>
      </c>
      <c r="I963" s="4">
        <v>0</v>
      </c>
      <c r="J963" s="5">
        <v>2.7</v>
      </c>
      <c r="K963" s="2" t="s">
        <v>226</v>
      </c>
      <c r="L963" s="2" t="s">
        <v>227</v>
      </c>
    </row>
    <row r="964" spans="1:12" ht="15">
      <c r="A964" s="2" t="s">
        <v>180</v>
      </c>
      <c r="B964" s="2">
        <v>3</v>
      </c>
      <c r="C964" s="2" t="s">
        <v>33</v>
      </c>
      <c r="D964" s="3">
        <v>46295</v>
      </c>
      <c r="E964" s="2" t="s">
        <v>248</v>
      </c>
      <c r="F964" s="2" t="s">
        <v>225</v>
      </c>
      <c r="G964" s="4">
        <v>11.8</v>
      </c>
      <c r="H964" s="4">
        <v>11.8</v>
      </c>
      <c r="I964" s="4">
        <v>0</v>
      </c>
      <c r="J964" s="5">
        <v>5.25</v>
      </c>
      <c r="K964" s="2" t="s">
        <v>226</v>
      </c>
      <c r="L964" s="2" t="s">
        <v>227</v>
      </c>
    </row>
    <row r="965" spans="1:12" ht="15">
      <c r="A965" s="2" t="s">
        <v>180</v>
      </c>
      <c r="B965" s="2">
        <v>4</v>
      </c>
      <c r="C965" s="2" t="s">
        <v>33</v>
      </c>
      <c r="D965" s="3">
        <v>46295</v>
      </c>
      <c r="E965" s="2" t="s">
        <v>240</v>
      </c>
      <c r="F965" s="2" t="s">
        <v>225</v>
      </c>
      <c r="G965" s="4">
        <v>7.9</v>
      </c>
      <c r="H965" s="4">
        <v>7.9</v>
      </c>
      <c r="I965" s="4">
        <v>0</v>
      </c>
      <c r="J965" s="5">
        <v>6.3</v>
      </c>
      <c r="K965" s="2" t="s">
        <v>226</v>
      </c>
      <c r="L965" s="2" t="s">
        <v>227</v>
      </c>
    </row>
    <row r="966" spans="1:12" ht="15">
      <c r="A966" s="2" t="s">
        <v>180</v>
      </c>
      <c r="B966" s="2">
        <v>5</v>
      </c>
      <c r="C966" s="2" t="s">
        <v>33</v>
      </c>
      <c r="D966" s="3">
        <v>46295</v>
      </c>
      <c r="E966" s="2" t="s">
        <v>243</v>
      </c>
      <c r="F966" s="2" t="s">
        <v>225</v>
      </c>
      <c r="G966" s="4">
        <v>12.6</v>
      </c>
      <c r="H966" s="4">
        <v>12.6</v>
      </c>
      <c r="I966" s="4">
        <v>0</v>
      </c>
      <c r="J966" s="5">
        <v>4.3</v>
      </c>
      <c r="K966" s="2" t="s">
        <v>226</v>
      </c>
      <c r="L966" s="2" t="s">
        <v>227</v>
      </c>
    </row>
    <row r="967" spans="1:12" ht="15">
      <c r="A967" s="2" t="s">
        <v>180</v>
      </c>
      <c r="B967" s="2">
        <v>6</v>
      </c>
      <c r="C967" s="2" t="s">
        <v>33</v>
      </c>
      <c r="D967" s="3">
        <v>46295</v>
      </c>
      <c r="E967" s="2" t="s">
        <v>238</v>
      </c>
      <c r="F967" s="2" t="s">
        <v>225</v>
      </c>
      <c r="G967" s="4">
        <v>5.5</v>
      </c>
      <c r="H967" s="4">
        <v>5.5</v>
      </c>
      <c r="I967" s="4">
        <v>0</v>
      </c>
      <c r="J967" s="5">
        <v>3.1</v>
      </c>
      <c r="K967" s="2" t="s">
        <v>226</v>
      </c>
      <c r="L967" s="2" t="s">
        <v>227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4A3B8"/>
  </sheetPr>
  <dimension ref="A1:H2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0.625" customWidth="1"/>
    <col min="2" max="2" width="13.25" customWidth="1"/>
    <col min="3" max="3" width="16.25" customWidth="1"/>
    <col min="4" max="4" width="5.875" customWidth="1"/>
    <col min="5" max="5" width="9" customWidth="1"/>
    <col min="6" max="6" width="17.625" customWidth="1"/>
    <col min="7" max="7" width="17.875" customWidth="1"/>
    <col min="8" max="8" width="11.75" customWidth="1"/>
  </cols>
  <sheetData>
    <row r="1" spans="1:8">
      <c r="A1" s="1" t="s">
        <v>182</v>
      </c>
      <c r="B1" s="1" t="s">
        <v>190</v>
      </c>
      <c r="C1" s="1" t="s">
        <v>191</v>
      </c>
      <c r="D1" s="1" t="s">
        <v>183</v>
      </c>
      <c r="E1" s="1" t="s">
        <v>253</v>
      </c>
      <c r="F1" s="1" t="s">
        <v>254</v>
      </c>
      <c r="G1" s="1" t="s">
        <v>255</v>
      </c>
      <c r="H1" s="1" t="s">
        <v>189</v>
      </c>
    </row>
    <row r="2" spans="1:8" ht="15">
      <c r="A2" s="2" t="s">
        <v>238</v>
      </c>
      <c r="B2" s="2" t="s">
        <v>256</v>
      </c>
      <c r="C2" s="2" t="s">
        <v>257</v>
      </c>
      <c r="D2" s="2" t="s">
        <v>225</v>
      </c>
      <c r="E2" s="2" t="s">
        <v>258</v>
      </c>
      <c r="F2" s="5">
        <v>2.8</v>
      </c>
      <c r="G2" s="5">
        <v>4</v>
      </c>
      <c r="H2" s="2" t="s">
        <v>227</v>
      </c>
    </row>
    <row r="3" spans="1:8" ht="15">
      <c r="A3" s="2" t="s">
        <v>229</v>
      </c>
      <c r="B3" s="2" t="s">
        <v>259</v>
      </c>
      <c r="C3" s="2" t="s">
        <v>257</v>
      </c>
      <c r="D3" s="2" t="s">
        <v>225</v>
      </c>
      <c r="E3" s="2" t="s">
        <v>258</v>
      </c>
      <c r="F3" s="5">
        <v>2</v>
      </c>
      <c r="G3" s="5">
        <v>3.2</v>
      </c>
      <c r="H3" s="2" t="s">
        <v>227</v>
      </c>
    </row>
    <row r="4" spans="1:8" ht="15">
      <c r="A4" s="2" t="s">
        <v>241</v>
      </c>
      <c r="B4" s="2" t="s">
        <v>260</v>
      </c>
      <c r="C4" s="2" t="s">
        <v>257</v>
      </c>
      <c r="D4" s="2" t="s">
        <v>225</v>
      </c>
      <c r="E4" s="2" t="s">
        <v>261</v>
      </c>
      <c r="F4" s="5">
        <v>2.6</v>
      </c>
      <c r="G4" s="5">
        <v>3.8</v>
      </c>
      <c r="H4" s="2" t="s">
        <v>227</v>
      </c>
    </row>
    <row r="5" spans="1:8" ht="15">
      <c r="A5" s="2" t="s">
        <v>230</v>
      </c>
      <c r="B5" s="2" t="s">
        <v>262</v>
      </c>
      <c r="C5" s="2" t="s">
        <v>257</v>
      </c>
      <c r="D5" s="2" t="s">
        <v>225</v>
      </c>
      <c r="E5" s="2" t="s">
        <v>263</v>
      </c>
      <c r="F5" s="5">
        <v>1.8</v>
      </c>
      <c r="G5" s="5">
        <v>3</v>
      </c>
      <c r="H5" s="2" t="s">
        <v>227</v>
      </c>
    </row>
    <row r="6" spans="1:8" ht="15">
      <c r="A6" s="2" t="s">
        <v>228</v>
      </c>
      <c r="B6" s="2" t="s">
        <v>264</v>
      </c>
      <c r="C6" s="2" t="s">
        <v>257</v>
      </c>
      <c r="D6" s="2" t="s">
        <v>225</v>
      </c>
      <c r="E6" s="2" t="s">
        <v>263</v>
      </c>
      <c r="F6" s="5">
        <v>2.4</v>
      </c>
      <c r="G6" s="5">
        <v>3.6</v>
      </c>
      <c r="H6" s="2" t="s">
        <v>227</v>
      </c>
    </row>
    <row r="7" spans="1:8" ht="15">
      <c r="A7" s="2" t="s">
        <v>239</v>
      </c>
      <c r="B7" s="2" t="s">
        <v>265</v>
      </c>
      <c r="C7" s="2" t="s">
        <v>257</v>
      </c>
      <c r="D7" s="2" t="s">
        <v>225</v>
      </c>
      <c r="E7" s="2" t="s">
        <v>266</v>
      </c>
      <c r="F7" s="5">
        <v>3.8</v>
      </c>
      <c r="G7" s="5">
        <v>5.8</v>
      </c>
      <c r="H7" s="2" t="s">
        <v>227</v>
      </c>
    </row>
    <row r="8" spans="1:8" ht="15">
      <c r="A8" s="2" t="s">
        <v>248</v>
      </c>
      <c r="B8" s="2" t="s">
        <v>267</v>
      </c>
      <c r="C8" s="2" t="s">
        <v>257</v>
      </c>
      <c r="D8" s="2" t="s">
        <v>225</v>
      </c>
      <c r="E8" s="2" t="s">
        <v>266</v>
      </c>
      <c r="F8" s="5">
        <v>4</v>
      </c>
      <c r="G8" s="5">
        <v>6.5</v>
      </c>
      <c r="H8" s="2" t="s">
        <v>227</v>
      </c>
    </row>
    <row r="9" spans="1:8" ht="15">
      <c r="A9" s="2" t="s">
        <v>243</v>
      </c>
      <c r="B9" s="2" t="s">
        <v>268</v>
      </c>
      <c r="C9" s="2" t="s">
        <v>257</v>
      </c>
      <c r="D9" s="2" t="s">
        <v>225</v>
      </c>
      <c r="E9" s="2" t="s">
        <v>263</v>
      </c>
      <c r="F9" s="5">
        <v>3.2</v>
      </c>
      <c r="G9" s="5">
        <v>5.2</v>
      </c>
      <c r="H9" s="2" t="s">
        <v>227</v>
      </c>
    </row>
    <row r="10" spans="1:8" ht="15">
      <c r="A10" s="2" t="s">
        <v>247</v>
      </c>
      <c r="B10" s="2" t="s">
        <v>269</v>
      </c>
      <c r="C10" s="2" t="s">
        <v>257</v>
      </c>
      <c r="D10" s="2" t="s">
        <v>225</v>
      </c>
      <c r="E10" s="2" t="s">
        <v>266</v>
      </c>
      <c r="F10" s="5">
        <v>4</v>
      </c>
      <c r="G10" s="5">
        <v>6</v>
      </c>
      <c r="H10" s="2" t="s">
        <v>227</v>
      </c>
    </row>
    <row r="11" spans="1:8" ht="15">
      <c r="A11" s="2" t="s">
        <v>245</v>
      </c>
      <c r="B11" s="2" t="s">
        <v>270</v>
      </c>
      <c r="C11" s="2" t="s">
        <v>257</v>
      </c>
      <c r="D11" s="2" t="s">
        <v>225</v>
      </c>
      <c r="E11" s="2" t="s">
        <v>271</v>
      </c>
      <c r="F11" s="5">
        <v>3.6</v>
      </c>
      <c r="G11" s="5">
        <v>5.8</v>
      </c>
      <c r="H11" s="2" t="s">
        <v>227</v>
      </c>
    </row>
    <row r="12" spans="1:8" ht="15">
      <c r="A12" s="2" t="s">
        <v>237</v>
      </c>
      <c r="B12" s="2" t="s">
        <v>272</v>
      </c>
      <c r="C12" s="2" t="s">
        <v>257</v>
      </c>
      <c r="D12" s="2" t="s">
        <v>225</v>
      </c>
      <c r="E12" s="2" t="s">
        <v>271</v>
      </c>
      <c r="F12" s="5">
        <v>3.6</v>
      </c>
      <c r="G12" s="5">
        <v>5.6</v>
      </c>
      <c r="H12" s="2" t="s">
        <v>227</v>
      </c>
    </row>
    <row r="13" spans="1:8" ht="15">
      <c r="A13" s="2" t="s">
        <v>224</v>
      </c>
      <c r="B13" s="2" t="s">
        <v>273</v>
      </c>
      <c r="C13" s="2" t="s">
        <v>257</v>
      </c>
      <c r="D13" s="2" t="s">
        <v>225</v>
      </c>
      <c r="E13" s="2" t="s">
        <v>271</v>
      </c>
      <c r="F13" s="5">
        <v>3.8</v>
      </c>
      <c r="G13" s="5">
        <v>6</v>
      </c>
      <c r="H13" s="2" t="s">
        <v>227</v>
      </c>
    </row>
    <row r="14" spans="1:8" ht="15">
      <c r="A14" s="2" t="s">
        <v>240</v>
      </c>
      <c r="B14" s="2" t="s">
        <v>274</v>
      </c>
      <c r="C14" s="2" t="s">
        <v>257</v>
      </c>
      <c r="D14" s="2" t="s">
        <v>225</v>
      </c>
      <c r="E14" s="2" t="s">
        <v>275</v>
      </c>
      <c r="F14" s="5">
        <v>4.8</v>
      </c>
      <c r="G14" s="5">
        <v>7.2</v>
      </c>
      <c r="H14" s="2" t="s">
        <v>227</v>
      </c>
    </row>
    <row r="15" spans="1:8" ht="15">
      <c r="A15" s="2" t="s">
        <v>250</v>
      </c>
      <c r="B15" s="2" t="s">
        <v>276</v>
      </c>
      <c r="C15" s="2" t="s">
        <v>257</v>
      </c>
      <c r="D15" s="2" t="s">
        <v>225</v>
      </c>
      <c r="E15" s="2" t="s">
        <v>263</v>
      </c>
      <c r="F15" s="5">
        <v>4</v>
      </c>
      <c r="G15" s="5">
        <v>6</v>
      </c>
      <c r="H15" s="2" t="s">
        <v>227</v>
      </c>
    </row>
    <row r="16" spans="1:8" ht="15">
      <c r="A16" s="2" t="s">
        <v>232</v>
      </c>
      <c r="B16" s="2" t="s">
        <v>277</v>
      </c>
      <c r="C16" s="2" t="s">
        <v>257</v>
      </c>
      <c r="D16" s="2" t="s">
        <v>225</v>
      </c>
      <c r="E16" s="2" t="s">
        <v>278</v>
      </c>
      <c r="F16" s="5">
        <v>6</v>
      </c>
      <c r="G16" s="5">
        <v>9</v>
      </c>
      <c r="H16" s="2" t="s">
        <v>227</v>
      </c>
    </row>
    <row r="17" spans="1:8" ht="15">
      <c r="A17" s="2" t="s">
        <v>231</v>
      </c>
      <c r="B17" s="2" t="s">
        <v>279</v>
      </c>
      <c r="C17" s="2" t="s">
        <v>280</v>
      </c>
      <c r="D17" s="2" t="s">
        <v>225</v>
      </c>
      <c r="E17" s="2" t="s">
        <v>281</v>
      </c>
      <c r="F17" s="5">
        <v>9.1999999999999993</v>
      </c>
      <c r="G17" s="5">
        <v>11</v>
      </c>
      <c r="H17" s="2" t="s">
        <v>227</v>
      </c>
    </row>
    <row r="18" spans="1:8" ht="15">
      <c r="A18" s="2" t="s">
        <v>242</v>
      </c>
      <c r="B18" s="2" t="s">
        <v>282</v>
      </c>
      <c r="C18" s="2" t="s">
        <v>283</v>
      </c>
      <c r="D18" s="2" t="s">
        <v>236</v>
      </c>
      <c r="E18" s="2" t="s">
        <v>284</v>
      </c>
      <c r="F18" s="5">
        <v>112</v>
      </c>
      <c r="G18" s="5">
        <v>122</v>
      </c>
      <c r="H18" s="2" t="s">
        <v>227</v>
      </c>
    </row>
    <row r="19" spans="1:8" ht="15">
      <c r="A19" s="2" t="s">
        <v>235</v>
      </c>
      <c r="B19" s="2" t="s">
        <v>285</v>
      </c>
      <c r="C19" s="2" t="s">
        <v>286</v>
      </c>
      <c r="D19" s="2" t="s">
        <v>236</v>
      </c>
      <c r="E19" s="2" t="s">
        <v>284</v>
      </c>
      <c r="F19" s="5">
        <v>105</v>
      </c>
      <c r="G19" s="5">
        <v>115</v>
      </c>
      <c r="H19" s="2" t="s">
        <v>227</v>
      </c>
    </row>
    <row r="20" spans="1:8" ht="15">
      <c r="A20" s="2" t="s">
        <v>233</v>
      </c>
      <c r="B20" s="2" t="s">
        <v>287</v>
      </c>
      <c r="C20" s="2" t="s">
        <v>288</v>
      </c>
      <c r="D20" s="2" t="s">
        <v>234</v>
      </c>
      <c r="E20" s="2" t="s">
        <v>289</v>
      </c>
      <c r="F20" s="5">
        <v>65</v>
      </c>
      <c r="G20" s="5">
        <v>73</v>
      </c>
      <c r="H20" s="2" t="s">
        <v>227</v>
      </c>
    </row>
    <row r="21" spans="1:8" ht="15">
      <c r="A21" s="2" t="s">
        <v>244</v>
      </c>
      <c r="B21" s="2" t="s">
        <v>290</v>
      </c>
      <c r="C21" s="2" t="s">
        <v>291</v>
      </c>
      <c r="D21" s="2" t="s">
        <v>234</v>
      </c>
      <c r="E21" s="2" t="s">
        <v>289</v>
      </c>
      <c r="F21" s="5">
        <v>54</v>
      </c>
      <c r="G21" s="5">
        <v>62</v>
      </c>
      <c r="H21" s="2" t="s">
        <v>227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4A3B8"/>
  </sheetPr>
  <dimension ref="A1:I7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1.625" customWidth="1"/>
    <col min="2" max="2" width="14.75" customWidth="1"/>
    <col min="3" max="3" width="13.5" customWidth="1"/>
    <col min="4" max="4" width="11.75" customWidth="1"/>
    <col min="5" max="5" width="21.875" customWidth="1"/>
    <col min="6" max="6" width="15.625" customWidth="1"/>
    <col min="7" max="7" width="14.75" customWidth="1"/>
    <col min="8" max="8" width="16.625" customWidth="1"/>
    <col min="9" max="9" width="11.75" customWidth="1"/>
  </cols>
  <sheetData>
    <row r="1" spans="1:9">
      <c r="A1" s="1" t="s">
        <v>21</v>
      </c>
      <c r="B1" s="1" t="s">
        <v>22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189</v>
      </c>
    </row>
    <row r="2" spans="1:9" ht="15">
      <c r="A2" s="2" t="s">
        <v>28</v>
      </c>
      <c r="B2" s="2" t="s">
        <v>298</v>
      </c>
      <c r="C2" s="2" t="s">
        <v>299</v>
      </c>
      <c r="D2" s="2" t="s">
        <v>300</v>
      </c>
      <c r="E2" s="2" t="s">
        <v>301</v>
      </c>
      <c r="F2" s="2" t="s">
        <v>302</v>
      </c>
      <c r="G2" s="2" t="s">
        <v>303</v>
      </c>
      <c r="H2" s="3">
        <v>46305</v>
      </c>
      <c r="I2" s="2" t="s">
        <v>227</v>
      </c>
    </row>
    <row r="3" spans="1:9" ht="15">
      <c r="A3" s="2" t="s">
        <v>29</v>
      </c>
      <c r="B3" s="2" t="s">
        <v>304</v>
      </c>
      <c r="C3" s="2" t="s">
        <v>305</v>
      </c>
      <c r="D3" s="2" t="s">
        <v>300</v>
      </c>
      <c r="E3" s="2" t="s">
        <v>306</v>
      </c>
      <c r="F3" s="2" t="s">
        <v>307</v>
      </c>
      <c r="G3" s="2" t="s">
        <v>303</v>
      </c>
      <c r="H3" s="3">
        <v>46305</v>
      </c>
      <c r="I3" s="2" t="s">
        <v>227</v>
      </c>
    </row>
    <row r="4" spans="1:9" ht="15">
      <c r="A4" s="2" t="s">
        <v>30</v>
      </c>
      <c r="B4" s="2" t="s">
        <v>308</v>
      </c>
      <c r="C4" s="2" t="s">
        <v>309</v>
      </c>
      <c r="D4" s="2" t="s">
        <v>300</v>
      </c>
      <c r="E4" s="2" t="s">
        <v>310</v>
      </c>
      <c r="F4" s="2" t="s">
        <v>302</v>
      </c>
      <c r="G4" s="2" t="s">
        <v>303</v>
      </c>
      <c r="H4" s="3">
        <v>46305</v>
      </c>
      <c r="I4" s="2" t="s">
        <v>227</v>
      </c>
    </row>
    <row r="5" spans="1:9" ht="15">
      <c r="A5" s="2" t="s">
        <v>31</v>
      </c>
      <c r="B5" s="2" t="s">
        <v>311</v>
      </c>
      <c r="C5" s="2" t="s">
        <v>312</v>
      </c>
      <c r="D5" s="2" t="s">
        <v>313</v>
      </c>
      <c r="E5" s="2" t="s">
        <v>314</v>
      </c>
      <c r="F5" s="2" t="s">
        <v>315</v>
      </c>
      <c r="G5" s="2" t="s">
        <v>303</v>
      </c>
      <c r="H5" s="3">
        <v>46305</v>
      </c>
      <c r="I5" s="2" t="s">
        <v>227</v>
      </c>
    </row>
    <row r="6" spans="1:9" ht="15">
      <c r="A6" s="2" t="s">
        <v>32</v>
      </c>
      <c r="B6" s="2" t="s">
        <v>316</v>
      </c>
      <c r="C6" s="2" t="s">
        <v>317</v>
      </c>
      <c r="D6" s="2" t="s">
        <v>300</v>
      </c>
      <c r="E6" s="2" t="s">
        <v>318</v>
      </c>
      <c r="F6" s="2" t="s">
        <v>319</v>
      </c>
      <c r="G6" s="2" t="s">
        <v>303</v>
      </c>
      <c r="H6" s="3">
        <v>46305</v>
      </c>
      <c r="I6" s="2" t="s">
        <v>227</v>
      </c>
    </row>
    <row r="7" spans="1:9" ht="15">
      <c r="A7" s="2" t="s">
        <v>33</v>
      </c>
      <c r="B7" s="2" t="s">
        <v>320</v>
      </c>
      <c r="C7" s="2" t="s">
        <v>321</v>
      </c>
      <c r="D7" s="2" t="s">
        <v>300</v>
      </c>
      <c r="E7" s="2" t="s">
        <v>322</v>
      </c>
      <c r="F7" s="2" t="s">
        <v>323</v>
      </c>
      <c r="G7" s="2" t="s">
        <v>303</v>
      </c>
      <c r="H7" s="3">
        <v>46305</v>
      </c>
      <c r="I7" s="2" t="s">
        <v>227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4A3B8"/>
  </sheetPr>
  <dimension ref="A1:G10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1.375" customWidth="1"/>
    <col min="2" max="2" width="14.375" customWidth="1"/>
    <col min="3" max="3" width="13.125" customWidth="1"/>
    <col min="4" max="4" width="8.5" customWidth="1"/>
    <col min="5" max="5" width="10" customWidth="1"/>
    <col min="6" max="6" width="28.875" customWidth="1"/>
    <col min="7" max="7" width="11.75" customWidth="1"/>
  </cols>
  <sheetData>
    <row r="1" spans="1:7">
      <c r="A1" s="1" t="s">
        <v>324</v>
      </c>
      <c r="B1" s="1" t="s">
        <v>34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189</v>
      </c>
    </row>
    <row r="2" spans="1:7" ht="15">
      <c r="A2" s="2" t="s">
        <v>329</v>
      </c>
      <c r="B2" s="2" t="s">
        <v>39</v>
      </c>
      <c r="C2" s="3">
        <v>46295</v>
      </c>
      <c r="D2" s="6">
        <v>598.22</v>
      </c>
      <c r="E2" s="2" t="s">
        <v>330</v>
      </c>
      <c r="F2" s="2" t="s">
        <v>331</v>
      </c>
      <c r="G2" s="2" t="s">
        <v>227</v>
      </c>
    </row>
    <row r="3" spans="1:7" ht="15">
      <c r="A3" s="2" t="s">
        <v>332</v>
      </c>
      <c r="B3" s="2" t="s">
        <v>45</v>
      </c>
      <c r="C3" s="3">
        <v>46295</v>
      </c>
      <c r="D3" s="6">
        <v>94.5</v>
      </c>
      <c r="E3" s="2" t="s">
        <v>330</v>
      </c>
      <c r="F3" s="2" t="s">
        <v>331</v>
      </c>
      <c r="G3" s="2" t="s">
        <v>227</v>
      </c>
    </row>
    <row r="4" spans="1:7" ht="15">
      <c r="A4" s="2" t="s">
        <v>333</v>
      </c>
      <c r="B4" s="2" t="s">
        <v>50</v>
      </c>
      <c r="C4" s="3">
        <v>46295</v>
      </c>
      <c r="D4" s="6">
        <v>138</v>
      </c>
      <c r="E4" s="2" t="s">
        <v>330</v>
      </c>
      <c r="F4" s="2" t="s">
        <v>331</v>
      </c>
      <c r="G4" s="2" t="s">
        <v>227</v>
      </c>
    </row>
    <row r="5" spans="1:7" ht="15">
      <c r="A5" s="2" t="s">
        <v>334</v>
      </c>
      <c r="B5" s="2" t="s">
        <v>56</v>
      </c>
      <c r="C5" s="3">
        <v>46295</v>
      </c>
      <c r="D5" s="6">
        <v>155.78</v>
      </c>
      <c r="E5" s="2" t="s">
        <v>330</v>
      </c>
      <c r="F5" s="2" t="s">
        <v>331</v>
      </c>
      <c r="G5" s="2" t="s">
        <v>227</v>
      </c>
    </row>
    <row r="6" spans="1:7" ht="15">
      <c r="A6" s="2" t="s">
        <v>335</v>
      </c>
      <c r="B6" s="2" t="s">
        <v>61</v>
      </c>
      <c r="C6" s="3">
        <v>46295</v>
      </c>
      <c r="D6" s="6">
        <v>13.5</v>
      </c>
      <c r="E6" s="2" t="s">
        <v>330</v>
      </c>
      <c r="F6" s="2" t="s">
        <v>331</v>
      </c>
      <c r="G6" s="2" t="s">
        <v>227</v>
      </c>
    </row>
    <row r="7" spans="1:7" ht="15">
      <c r="A7" s="2" t="s">
        <v>336</v>
      </c>
      <c r="B7" s="2" t="s">
        <v>42</v>
      </c>
      <c r="C7" s="3">
        <v>46295</v>
      </c>
      <c r="D7" s="6">
        <v>1212.68</v>
      </c>
      <c r="E7" s="2" t="s">
        <v>337</v>
      </c>
      <c r="F7" s="2" t="s">
        <v>331</v>
      </c>
      <c r="G7" s="2" t="s">
        <v>227</v>
      </c>
    </row>
    <row r="8" spans="1:7" ht="15">
      <c r="A8" s="2" t="s">
        <v>338</v>
      </c>
      <c r="B8" s="2" t="s">
        <v>47</v>
      </c>
      <c r="C8" s="3">
        <v>46295</v>
      </c>
      <c r="D8" s="6">
        <v>253.19</v>
      </c>
      <c r="E8" s="2" t="s">
        <v>337</v>
      </c>
      <c r="F8" s="2" t="s">
        <v>331</v>
      </c>
      <c r="G8" s="2" t="s">
        <v>227</v>
      </c>
    </row>
    <row r="9" spans="1:7" ht="15">
      <c r="A9" s="2" t="s">
        <v>339</v>
      </c>
      <c r="B9" s="2" t="s">
        <v>53</v>
      </c>
      <c r="C9" s="3">
        <v>46295</v>
      </c>
      <c r="D9" s="6">
        <v>375.73</v>
      </c>
      <c r="E9" s="2" t="s">
        <v>337</v>
      </c>
      <c r="F9" s="2" t="s">
        <v>331</v>
      </c>
      <c r="G9" s="2" t="s">
        <v>227</v>
      </c>
    </row>
    <row r="10" spans="1:7" ht="15">
      <c r="A10" s="2" t="s">
        <v>340</v>
      </c>
      <c r="B10" s="2" t="s">
        <v>58</v>
      </c>
      <c r="C10" s="3">
        <v>46295</v>
      </c>
      <c r="D10" s="6">
        <v>269.26</v>
      </c>
      <c r="E10" s="2" t="s">
        <v>337</v>
      </c>
      <c r="F10" s="2" t="s">
        <v>331</v>
      </c>
      <c r="G10" s="2" t="s">
        <v>227</v>
      </c>
    </row>
    <row r="11" spans="1:7" ht="15">
      <c r="A11" s="2" t="s">
        <v>341</v>
      </c>
      <c r="B11" s="2" t="s">
        <v>69</v>
      </c>
      <c r="C11" s="3">
        <v>46295</v>
      </c>
      <c r="D11" s="6">
        <v>357</v>
      </c>
      <c r="E11" s="2" t="s">
        <v>337</v>
      </c>
      <c r="F11" s="2" t="s">
        <v>331</v>
      </c>
      <c r="G11" s="2" t="s">
        <v>227</v>
      </c>
    </row>
    <row r="12" spans="1:7" ht="15">
      <c r="A12" s="2" t="s">
        <v>342</v>
      </c>
      <c r="B12" s="2" t="s">
        <v>75</v>
      </c>
      <c r="C12" s="3">
        <v>46295</v>
      </c>
      <c r="D12" s="6">
        <v>1039.42</v>
      </c>
      <c r="E12" s="2" t="s">
        <v>337</v>
      </c>
      <c r="F12" s="2" t="s">
        <v>331</v>
      </c>
      <c r="G12" s="2" t="s">
        <v>227</v>
      </c>
    </row>
    <row r="13" spans="1:7" ht="15">
      <c r="A13" s="2" t="s">
        <v>343</v>
      </c>
      <c r="B13" s="2" t="s">
        <v>80</v>
      </c>
      <c r="C13" s="3">
        <v>46295</v>
      </c>
      <c r="D13" s="6">
        <v>411.04</v>
      </c>
      <c r="E13" s="2" t="s">
        <v>337</v>
      </c>
      <c r="F13" s="2" t="s">
        <v>331</v>
      </c>
      <c r="G13" s="2" t="s">
        <v>227</v>
      </c>
    </row>
    <row r="14" spans="1:7" ht="15">
      <c r="A14" s="2" t="s">
        <v>344</v>
      </c>
      <c r="B14" s="2" t="s">
        <v>86</v>
      </c>
      <c r="C14" s="3">
        <v>46295</v>
      </c>
      <c r="D14" s="6">
        <v>198.94</v>
      </c>
      <c r="E14" s="2" t="s">
        <v>337</v>
      </c>
      <c r="F14" s="2" t="s">
        <v>331</v>
      </c>
      <c r="G14" s="2" t="s">
        <v>227</v>
      </c>
    </row>
    <row r="15" spans="1:7" ht="15">
      <c r="A15" s="2" t="s">
        <v>345</v>
      </c>
      <c r="B15" s="2" t="s">
        <v>91</v>
      </c>
      <c r="C15" s="3">
        <v>46295</v>
      </c>
      <c r="D15" s="6">
        <v>449.29</v>
      </c>
      <c r="E15" s="2" t="s">
        <v>337</v>
      </c>
      <c r="F15" s="2" t="s">
        <v>331</v>
      </c>
      <c r="G15" s="2" t="s">
        <v>227</v>
      </c>
    </row>
    <row r="16" spans="1:7" ht="15">
      <c r="A16" s="2" t="s">
        <v>346</v>
      </c>
      <c r="B16" s="2" t="s">
        <v>102</v>
      </c>
      <c r="C16" s="3">
        <v>46295</v>
      </c>
      <c r="D16" s="6">
        <v>223.53</v>
      </c>
      <c r="E16" s="2" t="s">
        <v>337</v>
      </c>
      <c r="F16" s="2" t="s">
        <v>331</v>
      </c>
      <c r="G16" s="2" t="s">
        <v>227</v>
      </c>
    </row>
    <row r="17" spans="1:7" ht="15">
      <c r="A17" s="2" t="s">
        <v>347</v>
      </c>
      <c r="B17" s="2" t="s">
        <v>108</v>
      </c>
      <c r="C17" s="3">
        <v>46295</v>
      </c>
      <c r="D17" s="6">
        <v>209.92</v>
      </c>
      <c r="E17" s="2" t="s">
        <v>337</v>
      </c>
      <c r="F17" s="2" t="s">
        <v>331</v>
      </c>
      <c r="G17" s="2" t="s">
        <v>227</v>
      </c>
    </row>
    <row r="18" spans="1:7" ht="15">
      <c r="A18" s="2" t="s">
        <v>348</v>
      </c>
      <c r="B18" s="2" t="s">
        <v>38</v>
      </c>
      <c r="C18" s="3">
        <v>46297</v>
      </c>
      <c r="D18" s="6">
        <v>256.60000000000002</v>
      </c>
      <c r="E18" s="2" t="s">
        <v>349</v>
      </c>
      <c r="F18" s="2" t="s">
        <v>331</v>
      </c>
      <c r="G18" s="2" t="s">
        <v>227</v>
      </c>
    </row>
    <row r="19" spans="1:7" ht="15">
      <c r="A19" s="2" t="s">
        <v>350</v>
      </c>
      <c r="B19" s="2" t="s">
        <v>44</v>
      </c>
      <c r="C19" s="3">
        <v>46297</v>
      </c>
      <c r="D19" s="6">
        <v>47.9</v>
      </c>
      <c r="E19" s="2" t="s">
        <v>349</v>
      </c>
      <c r="F19" s="2" t="s">
        <v>331</v>
      </c>
      <c r="G19" s="2" t="s">
        <v>227</v>
      </c>
    </row>
    <row r="20" spans="1:7" ht="15">
      <c r="A20" s="2" t="s">
        <v>351</v>
      </c>
      <c r="B20" s="2" t="s">
        <v>49</v>
      </c>
      <c r="C20" s="3">
        <v>46297</v>
      </c>
      <c r="D20" s="6">
        <v>77.64</v>
      </c>
      <c r="E20" s="2" t="s">
        <v>349</v>
      </c>
      <c r="F20" s="2" t="s">
        <v>331</v>
      </c>
      <c r="G20" s="2" t="s">
        <v>227</v>
      </c>
    </row>
    <row r="21" spans="1:7" ht="15">
      <c r="A21" s="2" t="s">
        <v>352</v>
      </c>
      <c r="B21" s="2" t="s">
        <v>55</v>
      </c>
      <c r="C21" s="3">
        <v>46297</v>
      </c>
      <c r="D21" s="6">
        <v>52.82</v>
      </c>
      <c r="E21" s="2" t="s">
        <v>349</v>
      </c>
      <c r="F21" s="2" t="s">
        <v>331</v>
      </c>
      <c r="G21" s="2" t="s">
        <v>227</v>
      </c>
    </row>
    <row r="22" spans="1:7" ht="15">
      <c r="A22" s="2" t="s">
        <v>353</v>
      </c>
      <c r="B22" s="2" t="s">
        <v>60</v>
      </c>
      <c r="C22" s="3">
        <v>46297</v>
      </c>
      <c r="D22" s="6">
        <v>82.25</v>
      </c>
      <c r="E22" s="2" t="s">
        <v>349</v>
      </c>
      <c r="F22" s="2" t="s">
        <v>331</v>
      </c>
      <c r="G22" s="2" t="s">
        <v>227</v>
      </c>
    </row>
    <row r="23" spans="1:7" ht="15">
      <c r="A23" s="2" t="s">
        <v>354</v>
      </c>
      <c r="B23" s="2" t="s">
        <v>67</v>
      </c>
      <c r="C23" s="3">
        <v>46297</v>
      </c>
      <c r="D23" s="6">
        <v>230.64</v>
      </c>
      <c r="E23" s="2" t="s">
        <v>349</v>
      </c>
      <c r="F23" s="2" t="s">
        <v>331</v>
      </c>
      <c r="G23" s="2" t="s">
        <v>227</v>
      </c>
    </row>
    <row r="24" spans="1:7" ht="15">
      <c r="A24" s="2" t="s">
        <v>355</v>
      </c>
      <c r="B24" s="2" t="s">
        <v>71</v>
      </c>
      <c r="C24" s="3">
        <v>46297</v>
      </c>
      <c r="D24" s="6">
        <v>82.71</v>
      </c>
      <c r="E24" s="2" t="s">
        <v>349</v>
      </c>
      <c r="F24" s="2" t="s">
        <v>331</v>
      </c>
      <c r="G24" s="2" t="s">
        <v>227</v>
      </c>
    </row>
    <row r="25" spans="1:7" ht="15">
      <c r="A25" s="2" t="s">
        <v>356</v>
      </c>
      <c r="B25" s="2" t="s">
        <v>77</v>
      </c>
      <c r="C25" s="3">
        <v>46297</v>
      </c>
      <c r="D25" s="6">
        <v>45.66</v>
      </c>
      <c r="E25" s="2" t="s">
        <v>349</v>
      </c>
      <c r="F25" s="2" t="s">
        <v>331</v>
      </c>
      <c r="G25" s="2" t="s">
        <v>227</v>
      </c>
    </row>
    <row r="26" spans="1:7" ht="15">
      <c r="A26" s="2" t="s">
        <v>357</v>
      </c>
      <c r="B26" s="2" t="s">
        <v>82</v>
      </c>
      <c r="C26" s="3">
        <v>46297</v>
      </c>
      <c r="D26" s="6">
        <v>76.88</v>
      </c>
      <c r="E26" s="2" t="s">
        <v>349</v>
      </c>
      <c r="F26" s="2" t="s">
        <v>331</v>
      </c>
      <c r="G26" s="2" t="s">
        <v>227</v>
      </c>
    </row>
    <row r="27" spans="1:7" ht="15">
      <c r="A27" s="2" t="s">
        <v>358</v>
      </c>
      <c r="B27" s="2" t="s">
        <v>88</v>
      </c>
      <c r="C27" s="3">
        <v>46297</v>
      </c>
      <c r="D27" s="6">
        <v>43.03</v>
      </c>
      <c r="E27" s="2" t="s">
        <v>349</v>
      </c>
      <c r="F27" s="2" t="s">
        <v>331</v>
      </c>
      <c r="G27" s="2" t="s">
        <v>227</v>
      </c>
    </row>
    <row r="28" spans="1:7" ht="15">
      <c r="A28" s="2" t="s">
        <v>359</v>
      </c>
      <c r="B28" s="2" t="s">
        <v>93</v>
      </c>
      <c r="C28" s="3">
        <v>46297</v>
      </c>
      <c r="D28" s="6">
        <v>269.64</v>
      </c>
      <c r="E28" s="2" t="s">
        <v>349</v>
      </c>
      <c r="F28" s="2" t="s">
        <v>331</v>
      </c>
      <c r="G28" s="2" t="s">
        <v>227</v>
      </c>
    </row>
    <row r="29" spans="1:7" ht="15">
      <c r="A29" s="2" t="s">
        <v>360</v>
      </c>
      <c r="B29" s="2" t="s">
        <v>100</v>
      </c>
      <c r="C29" s="3">
        <v>46297</v>
      </c>
      <c r="D29" s="6">
        <v>48.77</v>
      </c>
      <c r="E29" s="2" t="s">
        <v>349</v>
      </c>
      <c r="F29" s="2" t="s">
        <v>331</v>
      </c>
      <c r="G29" s="2" t="s">
        <v>227</v>
      </c>
    </row>
    <row r="30" spans="1:7" ht="15">
      <c r="A30" s="2" t="s">
        <v>361</v>
      </c>
      <c r="B30" s="2" t="s">
        <v>104</v>
      </c>
      <c r="C30" s="3">
        <v>46297</v>
      </c>
      <c r="D30" s="6">
        <v>76.59</v>
      </c>
      <c r="E30" s="2" t="s">
        <v>349</v>
      </c>
      <c r="F30" s="2" t="s">
        <v>331</v>
      </c>
      <c r="G30" s="2" t="s">
        <v>227</v>
      </c>
    </row>
    <row r="31" spans="1:7" ht="15">
      <c r="A31" s="2" t="s">
        <v>362</v>
      </c>
      <c r="B31" s="2" t="s">
        <v>110</v>
      </c>
      <c r="C31" s="3">
        <v>46297</v>
      </c>
      <c r="D31" s="6">
        <v>51.11</v>
      </c>
      <c r="E31" s="2" t="s">
        <v>349</v>
      </c>
      <c r="F31" s="2" t="s">
        <v>331</v>
      </c>
      <c r="G31" s="2" t="s">
        <v>227</v>
      </c>
    </row>
    <row r="32" spans="1:7" ht="15">
      <c r="A32" s="2" t="s">
        <v>363</v>
      </c>
      <c r="B32" s="2" t="s">
        <v>115</v>
      </c>
      <c r="C32" s="3">
        <v>46297</v>
      </c>
      <c r="D32" s="6">
        <v>84.88</v>
      </c>
      <c r="E32" s="2" t="s">
        <v>349</v>
      </c>
      <c r="F32" s="2" t="s">
        <v>331</v>
      </c>
      <c r="G32" s="2" t="s">
        <v>227</v>
      </c>
    </row>
    <row r="33" spans="1:7" ht="15">
      <c r="A33" s="2" t="s">
        <v>364</v>
      </c>
      <c r="B33" s="2" t="s">
        <v>121</v>
      </c>
      <c r="C33" s="3">
        <v>46297</v>
      </c>
      <c r="D33" s="6">
        <v>228.98</v>
      </c>
      <c r="E33" s="2" t="s">
        <v>349</v>
      </c>
      <c r="F33" s="2" t="s">
        <v>331</v>
      </c>
      <c r="G33" s="2" t="s">
        <v>227</v>
      </c>
    </row>
    <row r="34" spans="1:7" ht="15">
      <c r="A34" s="2" t="s">
        <v>365</v>
      </c>
      <c r="B34" s="2" t="s">
        <v>126</v>
      </c>
      <c r="C34" s="3">
        <v>46297</v>
      </c>
      <c r="D34" s="6">
        <v>88.21</v>
      </c>
      <c r="E34" s="2" t="s">
        <v>349</v>
      </c>
      <c r="F34" s="2" t="s">
        <v>331</v>
      </c>
      <c r="G34" s="2" t="s">
        <v>227</v>
      </c>
    </row>
    <row r="35" spans="1:7" ht="15">
      <c r="A35" s="2" t="s">
        <v>366</v>
      </c>
      <c r="B35" s="2" t="s">
        <v>134</v>
      </c>
      <c r="C35" s="3">
        <v>46297</v>
      </c>
      <c r="D35" s="6">
        <v>44.39</v>
      </c>
      <c r="E35" s="2" t="s">
        <v>349</v>
      </c>
      <c r="F35" s="2" t="s">
        <v>331</v>
      </c>
      <c r="G35" s="2" t="s">
        <v>227</v>
      </c>
    </row>
    <row r="36" spans="1:7" ht="15">
      <c r="A36" s="2" t="s">
        <v>367</v>
      </c>
      <c r="B36" s="2" t="s">
        <v>138</v>
      </c>
      <c r="C36" s="3">
        <v>46297</v>
      </c>
      <c r="D36" s="6">
        <v>85.49</v>
      </c>
      <c r="E36" s="2" t="s">
        <v>349</v>
      </c>
      <c r="F36" s="2" t="s">
        <v>331</v>
      </c>
      <c r="G36" s="2" t="s">
        <v>227</v>
      </c>
    </row>
    <row r="37" spans="1:7" ht="15">
      <c r="A37" s="2" t="s">
        <v>368</v>
      </c>
      <c r="B37" s="2" t="s">
        <v>144</v>
      </c>
      <c r="C37" s="3">
        <v>46297</v>
      </c>
      <c r="D37" s="6">
        <v>45.51</v>
      </c>
      <c r="E37" s="2" t="s">
        <v>349</v>
      </c>
      <c r="F37" s="2" t="s">
        <v>331</v>
      </c>
      <c r="G37" s="2" t="s">
        <v>227</v>
      </c>
    </row>
    <row r="38" spans="1:7" ht="15">
      <c r="A38" s="2" t="s">
        <v>369</v>
      </c>
      <c r="B38" s="2" t="s">
        <v>149</v>
      </c>
      <c r="C38" s="3">
        <v>46297</v>
      </c>
      <c r="D38" s="6">
        <v>259.33</v>
      </c>
      <c r="E38" s="2" t="s">
        <v>349</v>
      </c>
      <c r="F38" s="2" t="s">
        <v>331</v>
      </c>
      <c r="G38" s="2" t="s">
        <v>227</v>
      </c>
    </row>
    <row r="39" spans="1:7" ht="15">
      <c r="A39" s="2" t="s">
        <v>370</v>
      </c>
      <c r="B39" s="2" t="s">
        <v>155</v>
      </c>
      <c r="C39" s="3">
        <v>46297</v>
      </c>
      <c r="D39" s="6">
        <v>39.07</v>
      </c>
      <c r="E39" s="2" t="s">
        <v>349</v>
      </c>
      <c r="F39" s="2" t="s">
        <v>331</v>
      </c>
      <c r="G39" s="2" t="s">
        <v>227</v>
      </c>
    </row>
    <row r="40" spans="1:7" ht="15">
      <c r="A40" s="2" t="s">
        <v>371</v>
      </c>
      <c r="B40" s="2" t="s">
        <v>159</v>
      </c>
      <c r="C40" s="3">
        <v>46297</v>
      </c>
      <c r="D40" s="6">
        <v>79.06</v>
      </c>
      <c r="E40" s="2" t="s">
        <v>349</v>
      </c>
      <c r="F40" s="2" t="s">
        <v>331</v>
      </c>
      <c r="G40" s="2" t="s">
        <v>227</v>
      </c>
    </row>
    <row r="41" spans="1:7" ht="15">
      <c r="A41" s="2" t="s">
        <v>372</v>
      </c>
      <c r="B41" s="2" t="s">
        <v>166</v>
      </c>
      <c r="C41" s="3">
        <v>46297</v>
      </c>
      <c r="D41" s="6">
        <v>49.35</v>
      </c>
      <c r="E41" s="2" t="s">
        <v>349</v>
      </c>
      <c r="F41" s="2" t="s">
        <v>331</v>
      </c>
      <c r="G41" s="2" t="s">
        <v>227</v>
      </c>
    </row>
    <row r="42" spans="1:7" ht="15">
      <c r="A42" s="2" t="s">
        <v>373</v>
      </c>
      <c r="B42" s="2" t="s">
        <v>170</v>
      </c>
      <c r="C42" s="3">
        <v>46297</v>
      </c>
      <c r="D42" s="6">
        <v>96.36</v>
      </c>
      <c r="E42" s="2" t="s">
        <v>349</v>
      </c>
      <c r="F42" s="2" t="s">
        <v>331</v>
      </c>
      <c r="G42" s="2" t="s">
        <v>227</v>
      </c>
    </row>
    <row r="43" spans="1:7" ht="15">
      <c r="A43" s="2" t="s">
        <v>374</v>
      </c>
      <c r="B43" s="2" t="s">
        <v>176</v>
      </c>
      <c r="C43" s="3">
        <v>46297</v>
      </c>
      <c r="D43" s="6">
        <v>222.68</v>
      </c>
      <c r="E43" s="2" t="s">
        <v>349</v>
      </c>
      <c r="F43" s="2" t="s">
        <v>331</v>
      </c>
      <c r="G43" s="2" t="s">
        <v>227</v>
      </c>
    </row>
    <row r="44" spans="1:7" ht="15">
      <c r="A44" s="2" t="s">
        <v>375</v>
      </c>
      <c r="B44" s="2" t="s">
        <v>40</v>
      </c>
      <c r="C44" s="3">
        <v>46299</v>
      </c>
      <c r="D44" s="6">
        <v>901.28</v>
      </c>
      <c r="E44" s="2" t="s">
        <v>376</v>
      </c>
      <c r="F44" s="2" t="s">
        <v>331</v>
      </c>
      <c r="G44" s="2" t="s">
        <v>227</v>
      </c>
    </row>
    <row r="45" spans="1:7" ht="15">
      <c r="A45" s="2" t="s">
        <v>377</v>
      </c>
      <c r="B45" s="2" t="s">
        <v>46</v>
      </c>
      <c r="C45" s="3">
        <v>46299</v>
      </c>
      <c r="D45" s="6">
        <v>159.16</v>
      </c>
      <c r="E45" s="2" t="s">
        <v>376</v>
      </c>
      <c r="F45" s="2" t="s">
        <v>331</v>
      </c>
      <c r="G45" s="2" t="s">
        <v>227</v>
      </c>
    </row>
    <row r="46" spans="1:7" ht="15">
      <c r="A46" s="2" t="s">
        <v>378</v>
      </c>
      <c r="B46" s="2" t="s">
        <v>51</v>
      </c>
      <c r="C46" s="3">
        <v>46299</v>
      </c>
      <c r="D46" s="6">
        <v>222.33</v>
      </c>
      <c r="E46" s="2" t="s">
        <v>376</v>
      </c>
      <c r="F46" s="2" t="s">
        <v>331</v>
      </c>
      <c r="G46" s="2" t="s">
        <v>227</v>
      </c>
    </row>
    <row r="47" spans="1:7" ht="15">
      <c r="A47" s="2" t="s">
        <v>379</v>
      </c>
      <c r="B47" s="2" t="s">
        <v>57</v>
      </c>
      <c r="C47" s="3">
        <v>46299</v>
      </c>
      <c r="D47" s="6">
        <v>204.38</v>
      </c>
      <c r="E47" s="2" t="s">
        <v>376</v>
      </c>
      <c r="F47" s="2" t="s">
        <v>331</v>
      </c>
      <c r="G47" s="2" t="s">
        <v>227</v>
      </c>
    </row>
    <row r="48" spans="1:7" ht="15">
      <c r="A48" s="2" t="s">
        <v>380</v>
      </c>
      <c r="B48" s="2" t="s">
        <v>62</v>
      </c>
      <c r="C48" s="3">
        <v>46299</v>
      </c>
      <c r="D48" s="6">
        <v>201.52</v>
      </c>
      <c r="E48" s="2" t="s">
        <v>376</v>
      </c>
      <c r="F48" s="2" t="s">
        <v>331</v>
      </c>
      <c r="G48" s="2" t="s">
        <v>227</v>
      </c>
    </row>
    <row r="49" spans="1:7" ht="15">
      <c r="A49" s="2" t="s">
        <v>381</v>
      </c>
      <c r="B49" s="2" t="s">
        <v>68</v>
      </c>
      <c r="C49" s="3">
        <v>46299</v>
      </c>
      <c r="D49" s="6">
        <v>886.02</v>
      </c>
      <c r="E49" s="2" t="s">
        <v>376</v>
      </c>
      <c r="F49" s="2" t="s">
        <v>331</v>
      </c>
      <c r="G49" s="2" t="s">
        <v>227</v>
      </c>
    </row>
    <row r="50" spans="1:7" ht="15">
      <c r="A50" s="2" t="s">
        <v>382</v>
      </c>
      <c r="B50" s="2" t="s">
        <v>73</v>
      </c>
      <c r="C50" s="3">
        <v>46299</v>
      </c>
      <c r="D50" s="6">
        <v>246.88</v>
      </c>
      <c r="E50" s="2" t="s">
        <v>376</v>
      </c>
      <c r="F50" s="2" t="s">
        <v>331</v>
      </c>
      <c r="G50" s="2" t="s">
        <v>227</v>
      </c>
    </row>
    <row r="51" spans="1:7" ht="15">
      <c r="A51" s="2" t="s">
        <v>383</v>
      </c>
      <c r="B51" s="2" t="s">
        <v>79</v>
      </c>
      <c r="C51" s="3">
        <v>46299</v>
      </c>
      <c r="D51" s="6">
        <v>153.65</v>
      </c>
      <c r="E51" s="2" t="s">
        <v>376</v>
      </c>
      <c r="F51" s="2" t="s">
        <v>331</v>
      </c>
      <c r="G51" s="2" t="s">
        <v>227</v>
      </c>
    </row>
    <row r="52" spans="1:7" ht="15">
      <c r="A52" s="2" t="s">
        <v>384</v>
      </c>
      <c r="B52" s="2" t="s">
        <v>84</v>
      </c>
      <c r="C52" s="3">
        <v>46299</v>
      </c>
      <c r="D52" s="6">
        <v>24.78</v>
      </c>
      <c r="E52" s="2" t="s">
        <v>376</v>
      </c>
      <c r="F52" s="2" t="s">
        <v>331</v>
      </c>
      <c r="G52" s="2" t="s">
        <v>227</v>
      </c>
    </row>
    <row r="53" spans="1:7" ht="15">
      <c r="A53" s="2" t="s">
        <v>385</v>
      </c>
      <c r="B53" s="2" t="s">
        <v>61</v>
      </c>
      <c r="C53" s="3">
        <v>46300</v>
      </c>
      <c r="D53" s="6">
        <v>211.71</v>
      </c>
      <c r="E53" s="2" t="s">
        <v>386</v>
      </c>
      <c r="F53" s="2" t="s">
        <v>331</v>
      </c>
      <c r="G53" s="2" t="s">
        <v>227</v>
      </c>
    </row>
    <row r="54" spans="1:7" ht="15">
      <c r="A54" s="2" t="s">
        <v>387</v>
      </c>
      <c r="B54" s="2" t="s">
        <v>65</v>
      </c>
      <c r="C54" s="3">
        <v>46300</v>
      </c>
      <c r="D54" s="6">
        <v>575.48</v>
      </c>
      <c r="E54" s="2" t="s">
        <v>386</v>
      </c>
      <c r="F54" s="2" t="s">
        <v>331</v>
      </c>
      <c r="G54" s="2" t="s">
        <v>227</v>
      </c>
    </row>
    <row r="55" spans="1:7" ht="15">
      <c r="A55" s="2" t="s">
        <v>388</v>
      </c>
      <c r="B55" s="2" t="s">
        <v>72</v>
      </c>
      <c r="C55" s="3">
        <v>46300</v>
      </c>
      <c r="D55" s="6">
        <v>177.44</v>
      </c>
      <c r="E55" s="2" t="s">
        <v>386</v>
      </c>
      <c r="F55" s="2" t="s">
        <v>331</v>
      </c>
      <c r="G55" s="2" t="s">
        <v>227</v>
      </c>
    </row>
    <row r="56" spans="1:7" ht="15">
      <c r="A56" s="2" t="s">
        <v>389</v>
      </c>
      <c r="B56" s="2" t="s">
        <v>78</v>
      </c>
      <c r="C56" s="3">
        <v>46300</v>
      </c>
      <c r="D56" s="6">
        <v>92.96</v>
      </c>
      <c r="E56" s="2" t="s">
        <v>386</v>
      </c>
      <c r="F56" s="2" t="s">
        <v>331</v>
      </c>
      <c r="G56" s="2" t="s">
        <v>227</v>
      </c>
    </row>
    <row r="57" spans="1:7" ht="15">
      <c r="A57" s="2" t="s">
        <v>390</v>
      </c>
      <c r="B57" s="2" t="s">
        <v>83</v>
      </c>
      <c r="C57" s="3">
        <v>46300</v>
      </c>
      <c r="D57" s="6">
        <v>126.96</v>
      </c>
      <c r="E57" s="2" t="s">
        <v>386</v>
      </c>
      <c r="F57" s="2" t="s">
        <v>331</v>
      </c>
      <c r="G57" s="2" t="s">
        <v>227</v>
      </c>
    </row>
    <row r="58" spans="1:7" ht="15">
      <c r="A58" s="2" t="s">
        <v>391</v>
      </c>
      <c r="B58" s="2" t="s">
        <v>89</v>
      </c>
      <c r="C58" s="3">
        <v>46300</v>
      </c>
      <c r="D58" s="6">
        <v>158.78</v>
      </c>
      <c r="E58" s="2" t="s">
        <v>386</v>
      </c>
      <c r="F58" s="2" t="s">
        <v>331</v>
      </c>
      <c r="G58" s="2" t="s">
        <v>227</v>
      </c>
    </row>
    <row r="59" spans="1:7" ht="15">
      <c r="A59" s="2" t="s">
        <v>392</v>
      </c>
      <c r="B59" s="2" t="s">
        <v>94</v>
      </c>
      <c r="C59" s="3">
        <v>46300</v>
      </c>
      <c r="D59" s="6">
        <v>571.46</v>
      </c>
      <c r="E59" s="2" t="s">
        <v>386</v>
      </c>
      <c r="F59" s="2" t="s">
        <v>331</v>
      </c>
      <c r="G59" s="2" t="s">
        <v>227</v>
      </c>
    </row>
    <row r="60" spans="1:7" ht="15">
      <c r="A60" s="2" t="s">
        <v>393</v>
      </c>
      <c r="B60" s="2" t="s">
        <v>98</v>
      </c>
      <c r="C60" s="3">
        <v>46300</v>
      </c>
      <c r="D60" s="6">
        <v>160.62</v>
      </c>
      <c r="E60" s="2" t="s">
        <v>386</v>
      </c>
      <c r="F60" s="2" t="s">
        <v>331</v>
      </c>
      <c r="G60" s="2" t="s">
        <v>227</v>
      </c>
    </row>
    <row r="61" spans="1:7" ht="15">
      <c r="A61" s="2" t="s">
        <v>394</v>
      </c>
      <c r="B61" s="2" t="s">
        <v>105</v>
      </c>
      <c r="C61" s="3">
        <v>46300</v>
      </c>
      <c r="D61" s="6">
        <v>198.04</v>
      </c>
      <c r="E61" s="2" t="s">
        <v>386</v>
      </c>
      <c r="F61" s="2" t="s">
        <v>331</v>
      </c>
      <c r="G61" s="2" t="s">
        <v>227</v>
      </c>
    </row>
    <row r="62" spans="1:7" ht="15">
      <c r="A62" s="2" t="s">
        <v>395</v>
      </c>
      <c r="B62" s="2" t="s">
        <v>111</v>
      </c>
      <c r="C62" s="3">
        <v>46300</v>
      </c>
      <c r="D62" s="6">
        <v>111.5</v>
      </c>
      <c r="E62" s="2" t="s">
        <v>386</v>
      </c>
      <c r="F62" s="2" t="s">
        <v>331</v>
      </c>
      <c r="G62" s="2" t="s">
        <v>227</v>
      </c>
    </row>
    <row r="63" spans="1:7" ht="15">
      <c r="A63" s="2" t="s">
        <v>396</v>
      </c>
      <c r="B63" s="2" t="s">
        <v>116</v>
      </c>
      <c r="C63" s="3">
        <v>46300</v>
      </c>
      <c r="D63" s="6">
        <v>157.94</v>
      </c>
      <c r="E63" s="2" t="s">
        <v>386</v>
      </c>
      <c r="F63" s="2" t="s">
        <v>331</v>
      </c>
      <c r="G63" s="2" t="s">
        <v>227</v>
      </c>
    </row>
    <row r="64" spans="1:7" ht="15">
      <c r="A64" s="2" t="s">
        <v>397</v>
      </c>
      <c r="B64" s="2" t="s">
        <v>122</v>
      </c>
      <c r="C64" s="3">
        <v>46300</v>
      </c>
      <c r="D64" s="6">
        <v>598.04999999999995</v>
      </c>
      <c r="E64" s="2" t="s">
        <v>386</v>
      </c>
      <c r="F64" s="2" t="s">
        <v>331</v>
      </c>
      <c r="G64" s="2" t="s">
        <v>227</v>
      </c>
    </row>
    <row r="65" spans="1:7" ht="15">
      <c r="A65" s="2" t="s">
        <v>398</v>
      </c>
      <c r="B65" s="2" t="s">
        <v>127</v>
      </c>
      <c r="C65" s="3">
        <v>46300</v>
      </c>
      <c r="D65" s="6">
        <v>213.97</v>
      </c>
      <c r="E65" s="2" t="s">
        <v>386</v>
      </c>
      <c r="F65" s="2" t="s">
        <v>331</v>
      </c>
      <c r="G65" s="2" t="s">
        <v>227</v>
      </c>
    </row>
    <row r="66" spans="1:7" ht="15">
      <c r="A66" s="2" t="s">
        <v>399</v>
      </c>
      <c r="B66" s="2" t="s">
        <v>131</v>
      </c>
      <c r="C66" s="3">
        <v>46300</v>
      </c>
      <c r="D66" s="6">
        <v>147.07</v>
      </c>
      <c r="E66" s="2" t="s">
        <v>386</v>
      </c>
      <c r="F66" s="2" t="s">
        <v>331</v>
      </c>
      <c r="G66" s="2" t="s">
        <v>227</v>
      </c>
    </row>
    <row r="67" spans="1:7" ht="15">
      <c r="A67" s="2" t="s">
        <v>400</v>
      </c>
      <c r="B67" s="2" t="s">
        <v>139</v>
      </c>
      <c r="C67" s="3">
        <v>46300</v>
      </c>
      <c r="D67" s="6">
        <v>161.97</v>
      </c>
      <c r="E67" s="2" t="s">
        <v>386</v>
      </c>
      <c r="F67" s="2" t="s">
        <v>331</v>
      </c>
      <c r="G67" s="2" t="s">
        <v>227</v>
      </c>
    </row>
    <row r="68" spans="1:7" ht="15">
      <c r="A68" s="2" t="s">
        <v>401</v>
      </c>
      <c r="B68" s="2" t="s">
        <v>145</v>
      </c>
      <c r="C68" s="3">
        <v>46300</v>
      </c>
      <c r="D68" s="6">
        <v>117.89</v>
      </c>
      <c r="E68" s="2" t="s">
        <v>386</v>
      </c>
      <c r="F68" s="2" t="s">
        <v>331</v>
      </c>
      <c r="G68" s="2" t="s">
        <v>227</v>
      </c>
    </row>
    <row r="69" spans="1:7" ht="15">
      <c r="A69" s="2" t="s">
        <v>402</v>
      </c>
      <c r="B69" s="2" t="s">
        <v>150</v>
      </c>
      <c r="C69" s="3">
        <v>46300</v>
      </c>
      <c r="D69" s="6">
        <v>575.13</v>
      </c>
      <c r="E69" s="2" t="s">
        <v>386</v>
      </c>
      <c r="F69" s="2" t="s">
        <v>331</v>
      </c>
      <c r="G69" s="2" t="s">
        <v>227</v>
      </c>
    </row>
    <row r="70" spans="1:7" ht="15">
      <c r="A70" s="2" t="s">
        <v>403</v>
      </c>
      <c r="B70" s="2" t="s">
        <v>156</v>
      </c>
      <c r="C70" s="3">
        <v>46300</v>
      </c>
      <c r="D70" s="6">
        <v>152.36000000000001</v>
      </c>
      <c r="E70" s="2" t="s">
        <v>386</v>
      </c>
      <c r="F70" s="2" t="s">
        <v>331</v>
      </c>
      <c r="G70" s="2" t="s">
        <v>227</v>
      </c>
    </row>
    <row r="71" spans="1:7" ht="15">
      <c r="A71" s="2" t="s">
        <v>404</v>
      </c>
      <c r="B71" s="2" t="s">
        <v>160</v>
      </c>
      <c r="C71" s="3">
        <v>46300</v>
      </c>
      <c r="D71" s="6">
        <v>197.82</v>
      </c>
      <c r="E71" s="2" t="s">
        <v>386</v>
      </c>
      <c r="F71" s="2" t="s">
        <v>331</v>
      </c>
      <c r="G71" s="2" t="s">
        <v>227</v>
      </c>
    </row>
    <row r="72" spans="1:7" ht="15">
      <c r="A72" s="2" t="s">
        <v>405</v>
      </c>
      <c r="B72" s="2" t="s">
        <v>164</v>
      </c>
      <c r="C72" s="3">
        <v>46300</v>
      </c>
      <c r="D72" s="6">
        <v>173.25</v>
      </c>
      <c r="E72" s="2" t="s">
        <v>386</v>
      </c>
      <c r="F72" s="2" t="s">
        <v>331</v>
      </c>
      <c r="G72" s="2" t="s">
        <v>227</v>
      </c>
    </row>
    <row r="73" spans="1:7" ht="15">
      <c r="A73" s="2" t="s">
        <v>406</v>
      </c>
      <c r="B73" s="2" t="s">
        <v>171</v>
      </c>
      <c r="C73" s="3">
        <v>46300</v>
      </c>
      <c r="D73" s="6">
        <v>186.05</v>
      </c>
      <c r="E73" s="2" t="s">
        <v>386</v>
      </c>
      <c r="F73" s="2" t="s">
        <v>331</v>
      </c>
      <c r="G73" s="2" t="s">
        <v>227</v>
      </c>
    </row>
    <row r="74" spans="1:7" ht="15">
      <c r="A74" s="2" t="s">
        <v>407</v>
      </c>
      <c r="B74" s="2" t="s">
        <v>177</v>
      </c>
      <c r="C74" s="3">
        <v>46300</v>
      </c>
      <c r="D74" s="6">
        <v>528.14</v>
      </c>
      <c r="E74" s="2" t="s">
        <v>386</v>
      </c>
      <c r="F74" s="2" t="s">
        <v>331</v>
      </c>
      <c r="G74" s="2" t="s">
        <v>227</v>
      </c>
    </row>
    <row r="75" spans="1:7" ht="15">
      <c r="A75" s="2" t="s">
        <v>408</v>
      </c>
      <c r="B75" s="2" t="s">
        <v>43</v>
      </c>
      <c r="C75" s="3">
        <v>46300</v>
      </c>
      <c r="D75" s="6">
        <v>926.26</v>
      </c>
      <c r="E75" s="2" t="s">
        <v>409</v>
      </c>
      <c r="F75" s="2" t="s">
        <v>331</v>
      </c>
      <c r="G75" s="2" t="s">
        <v>227</v>
      </c>
    </row>
    <row r="76" spans="1:7" ht="15">
      <c r="A76" s="2" t="s">
        <v>410</v>
      </c>
      <c r="B76" s="2" t="s">
        <v>48</v>
      </c>
      <c r="C76" s="3">
        <v>46300</v>
      </c>
      <c r="D76" s="6">
        <v>221.72</v>
      </c>
      <c r="E76" s="2" t="s">
        <v>409</v>
      </c>
      <c r="F76" s="2" t="s">
        <v>331</v>
      </c>
      <c r="G76" s="2" t="s">
        <v>227</v>
      </c>
    </row>
    <row r="77" spans="1:7" ht="15">
      <c r="A77" s="2" t="s">
        <v>411</v>
      </c>
      <c r="B77" s="2" t="s">
        <v>54</v>
      </c>
      <c r="C77" s="3">
        <v>46300</v>
      </c>
      <c r="D77" s="6">
        <v>253.56</v>
      </c>
      <c r="E77" s="2" t="s">
        <v>409</v>
      </c>
      <c r="F77" s="2" t="s">
        <v>331</v>
      </c>
      <c r="G77" s="2" t="s">
        <v>227</v>
      </c>
    </row>
    <row r="78" spans="1:7" ht="15">
      <c r="A78" s="2" t="s">
        <v>412</v>
      </c>
      <c r="B78" s="2" t="s">
        <v>59</v>
      </c>
      <c r="C78" s="3">
        <v>46300</v>
      </c>
      <c r="D78" s="6">
        <v>172.99</v>
      </c>
      <c r="E78" s="2" t="s">
        <v>409</v>
      </c>
      <c r="F78" s="2" t="s">
        <v>331</v>
      </c>
      <c r="G78" s="2" t="s">
        <v>227</v>
      </c>
    </row>
    <row r="79" spans="1:7" ht="15">
      <c r="A79" s="2" t="s">
        <v>413</v>
      </c>
      <c r="B79" s="2" t="s">
        <v>64</v>
      </c>
      <c r="C79" s="3">
        <v>46300</v>
      </c>
      <c r="D79" s="6">
        <v>278.62</v>
      </c>
      <c r="E79" s="2" t="s">
        <v>409</v>
      </c>
      <c r="F79" s="2" t="s">
        <v>331</v>
      </c>
      <c r="G79" s="2" t="s">
        <v>227</v>
      </c>
    </row>
    <row r="80" spans="1:7" ht="15">
      <c r="A80" s="2" t="s">
        <v>414</v>
      </c>
      <c r="B80" s="2" t="s">
        <v>66</v>
      </c>
      <c r="C80" s="3">
        <v>46300</v>
      </c>
      <c r="D80" s="6">
        <v>780.85</v>
      </c>
      <c r="E80" s="2" t="s">
        <v>409</v>
      </c>
      <c r="F80" s="2" t="s">
        <v>331</v>
      </c>
      <c r="G80" s="2" t="s">
        <v>227</v>
      </c>
    </row>
    <row r="81" spans="1:7" ht="15">
      <c r="A81" s="2" t="s">
        <v>415</v>
      </c>
      <c r="B81" s="2" t="s">
        <v>70</v>
      </c>
      <c r="C81" s="3">
        <v>46300</v>
      </c>
      <c r="D81" s="6">
        <v>290.83999999999997</v>
      </c>
      <c r="E81" s="2" t="s">
        <v>409</v>
      </c>
      <c r="F81" s="2" t="s">
        <v>331</v>
      </c>
      <c r="G81" s="2" t="s">
        <v>227</v>
      </c>
    </row>
    <row r="82" spans="1:7" ht="15">
      <c r="A82" s="2" t="s">
        <v>416</v>
      </c>
      <c r="B82" s="2" t="s">
        <v>76</v>
      </c>
      <c r="C82" s="3">
        <v>46300</v>
      </c>
      <c r="D82" s="6">
        <v>188.22</v>
      </c>
      <c r="E82" s="2" t="s">
        <v>409</v>
      </c>
      <c r="F82" s="2" t="s">
        <v>331</v>
      </c>
      <c r="G82" s="2" t="s">
        <v>227</v>
      </c>
    </row>
    <row r="83" spans="1:7" ht="15">
      <c r="A83" s="2" t="s">
        <v>417</v>
      </c>
      <c r="B83" s="2" t="s">
        <v>81</v>
      </c>
      <c r="C83" s="3">
        <v>46300</v>
      </c>
      <c r="D83" s="6">
        <v>278.36</v>
      </c>
      <c r="E83" s="2" t="s">
        <v>409</v>
      </c>
      <c r="F83" s="2" t="s">
        <v>331</v>
      </c>
      <c r="G83" s="2" t="s">
        <v>227</v>
      </c>
    </row>
    <row r="84" spans="1:7" ht="15">
      <c r="A84" s="2" t="s">
        <v>418</v>
      </c>
      <c r="B84" s="2" t="s">
        <v>87</v>
      </c>
      <c r="C84" s="3">
        <v>46300</v>
      </c>
      <c r="D84" s="6">
        <v>208.57</v>
      </c>
      <c r="E84" s="2" t="s">
        <v>409</v>
      </c>
      <c r="F84" s="2" t="s">
        <v>331</v>
      </c>
      <c r="G84" s="2" t="s">
        <v>227</v>
      </c>
    </row>
    <row r="85" spans="1:7" ht="15">
      <c r="A85" s="2" t="s">
        <v>419</v>
      </c>
      <c r="B85" s="2" t="s">
        <v>92</v>
      </c>
      <c r="C85" s="3">
        <v>46300</v>
      </c>
      <c r="D85" s="6">
        <v>894.99</v>
      </c>
      <c r="E85" s="2" t="s">
        <v>409</v>
      </c>
      <c r="F85" s="2" t="s">
        <v>331</v>
      </c>
      <c r="G85" s="2" t="s">
        <v>227</v>
      </c>
    </row>
    <row r="86" spans="1:7" ht="15">
      <c r="A86" s="2" t="s">
        <v>420</v>
      </c>
      <c r="B86" s="2" t="s">
        <v>97</v>
      </c>
      <c r="C86" s="3">
        <v>46300</v>
      </c>
      <c r="D86" s="6">
        <v>195.44</v>
      </c>
      <c r="E86" s="2" t="s">
        <v>409</v>
      </c>
      <c r="F86" s="2" t="s">
        <v>331</v>
      </c>
      <c r="G86" s="2" t="s">
        <v>227</v>
      </c>
    </row>
    <row r="87" spans="1:7" ht="15">
      <c r="A87" s="2" t="s">
        <v>421</v>
      </c>
      <c r="B87" s="2" t="s">
        <v>99</v>
      </c>
      <c r="C87" s="3">
        <v>46300</v>
      </c>
      <c r="D87" s="6">
        <v>306.20999999999998</v>
      </c>
      <c r="E87" s="2" t="s">
        <v>409</v>
      </c>
      <c r="F87" s="2" t="s">
        <v>331</v>
      </c>
      <c r="G87" s="2" t="s">
        <v>227</v>
      </c>
    </row>
    <row r="88" spans="1:7" ht="15">
      <c r="A88" s="2" t="s">
        <v>422</v>
      </c>
      <c r="B88" s="2" t="s">
        <v>103</v>
      </c>
      <c r="C88" s="3">
        <v>46300</v>
      </c>
      <c r="D88" s="6">
        <v>3.37</v>
      </c>
      <c r="E88" s="2" t="s">
        <v>409</v>
      </c>
      <c r="F88" s="2" t="s">
        <v>331</v>
      </c>
      <c r="G88" s="2" t="s">
        <v>227</v>
      </c>
    </row>
    <row r="89" spans="1:7" ht="15">
      <c r="A89" s="2" t="s">
        <v>423</v>
      </c>
      <c r="B89" s="2" t="s">
        <v>41</v>
      </c>
      <c r="C89" s="3">
        <v>46301</v>
      </c>
      <c r="D89" s="6">
        <v>619.83000000000004</v>
      </c>
      <c r="E89" s="2" t="s">
        <v>424</v>
      </c>
      <c r="F89" s="2" t="s">
        <v>331</v>
      </c>
      <c r="G89" s="2" t="s">
        <v>227</v>
      </c>
    </row>
    <row r="90" spans="1:7" ht="15">
      <c r="A90" s="2" t="s">
        <v>425</v>
      </c>
      <c r="B90" s="2" t="s">
        <v>52</v>
      </c>
      <c r="C90" s="3">
        <v>46301</v>
      </c>
      <c r="D90" s="6">
        <v>191.89</v>
      </c>
      <c r="E90" s="2" t="s">
        <v>424</v>
      </c>
      <c r="F90" s="2" t="s">
        <v>331</v>
      </c>
      <c r="G90" s="2" t="s">
        <v>227</v>
      </c>
    </row>
    <row r="91" spans="1:7" ht="15">
      <c r="A91" s="2" t="s">
        <v>426</v>
      </c>
      <c r="B91" s="2" t="s">
        <v>63</v>
      </c>
      <c r="C91" s="3">
        <v>46301</v>
      </c>
      <c r="D91" s="6">
        <v>240.03</v>
      </c>
      <c r="E91" s="2" t="s">
        <v>424</v>
      </c>
      <c r="F91" s="2" t="s">
        <v>331</v>
      </c>
      <c r="G91" s="2" t="s">
        <v>227</v>
      </c>
    </row>
    <row r="92" spans="1:7" ht="15">
      <c r="A92" s="2" t="s">
        <v>427</v>
      </c>
      <c r="B92" s="2" t="s">
        <v>74</v>
      </c>
      <c r="C92" s="3">
        <v>46301</v>
      </c>
      <c r="D92" s="6">
        <v>163.47999999999999</v>
      </c>
      <c r="E92" s="2" t="s">
        <v>424</v>
      </c>
      <c r="F92" s="2" t="s">
        <v>331</v>
      </c>
      <c r="G92" s="2" t="s">
        <v>227</v>
      </c>
    </row>
    <row r="93" spans="1:7" ht="15">
      <c r="A93" s="2" t="s">
        <v>428</v>
      </c>
      <c r="B93" s="2" t="s">
        <v>85</v>
      </c>
      <c r="C93" s="3">
        <v>46301</v>
      </c>
      <c r="D93" s="6">
        <v>203.8</v>
      </c>
      <c r="E93" s="2" t="s">
        <v>424</v>
      </c>
      <c r="F93" s="2" t="s">
        <v>331</v>
      </c>
      <c r="G93" s="2" t="s">
        <v>227</v>
      </c>
    </row>
    <row r="94" spans="1:7" ht="15">
      <c r="A94" s="2" t="s">
        <v>429</v>
      </c>
      <c r="B94" s="2" t="s">
        <v>96</v>
      </c>
      <c r="C94" s="3">
        <v>46301</v>
      </c>
      <c r="D94" s="6">
        <v>604.41999999999996</v>
      </c>
      <c r="E94" s="2" t="s">
        <v>424</v>
      </c>
      <c r="F94" s="2" t="s">
        <v>331</v>
      </c>
      <c r="G94" s="2" t="s">
        <v>227</v>
      </c>
    </row>
    <row r="95" spans="1:7" ht="15">
      <c r="A95" s="2" t="s">
        <v>430</v>
      </c>
      <c r="B95" s="2" t="s">
        <v>107</v>
      </c>
      <c r="C95" s="3">
        <v>46301</v>
      </c>
      <c r="D95" s="6">
        <v>241.64</v>
      </c>
      <c r="E95" s="2" t="s">
        <v>424</v>
      </c>
      <c r="F95" s="2" t="s">
        <v>331</v>
      </c>
      <c r="G95" s="2" t="s">
        <v>227</v>
      </c>
    </row>
    <row r="96" spans="1:7" ht="15">
      <c r="A96" s="2" t="s">
        <v>431</v>
      </c>
      <c r="B96" s="2" t="s">
        <v>118</v>
      </c>
      <c r="C96" s="3">
        <v>46301</v>
      </c>
      <c r="D96" s="6">
        <v>174.41</v>
      </c>
      <c r="E96" s="2" t="s">
        <v>424</v>
      </c>
      <c r="F96" s="2" t="s">
        <v>331</v>
      </c>
      <c r="G96" s="2" t="s">
        <v>227</v>
      </c>
    </row>
    <row r="97" spans="1:7" ht="15">
      <c r="A97" s="2" t="s">
        <v>432</v>
      </c>
      <c r="B97" s="2" t="s">
        <v>129</v>
      </c>
      <c r="C97" s="3">
        <v>46301</v>
      </c>
      <c r="D97" s="6">
        <v>225.56</v>
      </c>
      <c r="E97" s="2" t="s">
        <v>424</v>
      </c>
      <c r="F97" s="2" t="s">
        <v>331</v>
      </c>
      <c r="G97" s="2" t="s">
        <v>227</v>
      </c>
    </row>
    <row r="98" spans="1:7" ht="15">
      <c r="A98" s="2" t="s">
        <v>433</v>
      </c>
      <c r="B98" s="2" t="s">
        <v>141</v>
      </c>
      <c r="C98" s="3">
        <v>46301</v>
      </c>
      <c r="D98" s="6">
        <v>170.41</v>
      </c>
      <c r="E98" s="2" t="s">
        <v>424</v>
      </c>
      <c r="F98" s="2" t="s">
        <v>331</v>
      </c>
      <c r="G98" s="2" t="s">
        <v>227</v>
      </c>
    </row>
    <row r="99" spans="1:7" ht="15">
      <c r="A99" s="2" t="s">
        <v>434</v>
      </c>
      <c r="B99" s="2" t="s">
        <v>152</v>
      </c>
      <c r="C99" s="3">
        <v>46301</v>
      </c>
      <c r="D99" s="6">
        <v>638.1</v>
      </c>
      <c r="E99" s="2" t="s">
        <v>424</v>
      </c>
      <c r="F99" s="2" t="s">
        <v>331</v>
      </c>
      <c r="G99" s="2" t="s">
        <v>227</v>
      </c>
    </row>
    <row r="100" spans="1:7" ht="15">
      <c r="A100" s="2" t="s">
        <v>435</v>
      </c>
      <c r="B100" s="2" t="s">
        <v>162</v>
      </c>
      <c r="C100" s="3">
        <v>46301</v>
      </c>
      <c r="D100" s="6">
        <v>190.44</v>
      </c>
      <c r="E100" s="2" t="s">
        <v>424</v>
      </c>
      <c r="F100" s="2" t="s">
        <v>331</v>
      </c>
      <c r="G100" s="2" t="s">
        <v>227</v>
      </c>
    </row>
    <row r="101" spans="1:7" ht="15">
      <c r="A101" s="2" t="s">
        <v>436</v>
      </c>
      <c r="B101" s="2" t="s">
        <v>173</v>
      </c>
      <c r="C101" s="3">
        <v>46301</v>
      </c>
      <c r="D101" s="6">
        <v>230</v>
      </c>
      <c r="E101" s="2" t="s">
        <v>424</v>
      </c>
      <c r="F101" s="2" t="s">
        <v>331</v>
      </c>
      <c r="G101" s="2" t="s">
        <v>227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4A3B8"/>
  </sheetPr>
  <dimension ref="A1:H8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0" customWidth="1"/>
    <col min="2" max="2" width="11.625" customWidth="1"/>
    <col min="3" max="3" width="13.125" customWidth="1"/>
    <col min="4" max="4" width="8.5" customWidth="1"/>
    <col min="5" max="5" width="15.5" customWidth="1"/>
    <col min="6" max="6" width="16" customWidth="1"/>
    <col min="7" max="7" width="13.125" customWidth="1"/>
    <col min="8" max="8" width="11.75" customWidth="1"/>
  </cols>
  <sheetData>
    <row r="1" spans="1:8">
      <c r="A1" s="1" t="s">
        <v>327</v>
      </c>
      <c r="B1" s="1" t="s">
        <v>21</v>
      </c>
      <c r="C1" s="1" t="s">
        <v>325</v>
      </c>
      <c r="D1" s="1" t="s">
        <v>326</v>
      </c>
      <c r="E1" s="1" t="s">
        <v>437</v>
      </c>
      <c r="F1" s="1" t="s">
        <v>438</v>
      </c>
      <c r="G1" s="1" t="s">
        <v>439</v>
      </c>
      <c r="H1" s="1" t="s">
        <v>189</v>
      </c>
    </row>
    <row r="2" spans="1:8" ht="15">
      <c r="A2" s="2" t="s">
        <v>330</v>
      </c>
      <c r="B2" s="2" t="s">
        <v>29</v>
      </c>
      <c r="C2" s="3">
        <v>46295</v>
      </c>
      <c r="D2" s="6">
        <v>1000</v>
      </c>
      <c r="E2" s="2" t="s">
        <v>440</v>
      </c>
      <c r="F2" s="2" t="s">
        <v>441</v>
      </c>
      <c r="G2" s="2" t="s">
        <v>442</v>
      </c>
      <c r="H2" s="2" t="s">
        <v>227</v>
      </c>
    </row>
    <row r="3" spans="1:8" ht="15">
      <c r="A3" s="2" t="s">
        <v>337</v>
      </c>
      <c r="B3" s="2" t="s">
        <v>32</v>
      </c>
      <c r="C3" s="3">
        <v>46295</v>
      </c>
      <c r="D3" s="6">
        <v>5000</v>
      </c>
      <c r="E3" s="2" t="s">
        <v>443</v>
      </c>
      <c r="F3" s="2" t="s">
        <v>441</v>
      </c>
      <c r="G3" s="2" t="s">
        <v>442</v>
      </c>
      <c r="H3" s="2" t="s">
        <v>227</v>
      </c>
    </row>
    <row r="4" spans="1:8" ht="15">
      <c r="A4" s="2" t="s">
        <v>349</v>
      </c>
      <c r="B4" s="2" t="s">
        <v>28</v>
      </c>
      <c r="C4" s="3">
        <v>46297</v>
      </c>
      <c r="D4" s="6">
        <v>2765.55</v>
      </c>
      <c r="E4" s="2" t="s">
        <v>440</v>
      </c>
      <c r="F4" s="2" t="s">
        <v>441</v>
      </c>
      <c r="G4" s="2" t="s">
        <v>442</v>
      </c>
      <c r="H4" s="2" t="s">
        <v>227</v>
      </c>
    </row>
    <row r="5" spans="1:8" ht="15">
      <c r="A5" s="2" t="s">
        <v>376</v>
      </c>
      <c r="B5" s="2" t="s">
        <v>30</v>
      </c>
      <c r="C5" s="3">
        <v>46299</v>
      </c>
      <c r="D5" s="6">
        <v>3000</v>
      </c>
      <c r="E5" s="2" t="s">
        <v>443</v>
      </c>
      <c r="F5" s="2" t="s">
        <v>441</v>
      </c>
      <c r="G5" s="2" t="s">
        <v>442</v>
      </c>
      <c r="H5" s="2" t="s">
        <v>227</v>
      </c>
    </row>
    <row r="6" spans="1:8" ht="15">
      <c r="A6" s="2" t="s">
        <v>386</v>
      </c>
      <c r="B6" s="2" t="s">
        <v>29</v>
      </c>
      <c r="C6" s="3">
        <v>46300</v>
      </c>
      <c r="D6" s="6">
        <v>5594.59</v>
      </c>
      <c r="E6" s="2" t="s">
        <v>443</v>
      </c>
      <c r="F6" s="2" t="s">
        <v>441</v>
      </c>
      <c r="G6" s="2" t="s">
        <v>442</v>
      </c>
      <c r="H6" s="2" t="s">
        <v>227</v>
      </c>
    </row>
    <row r="7" spans="1:8" ht="15">
      <c r="A7" s="2" t="s">
        <v>409</v>
      </c>
      <c r="B7" s="2" t="s">
        <v>33</v>
      </c>
      <c r="C7" s="3">
        <v>46300</v>
      </c>
      <c r="D7" s="6">
        <v>5000</v>
      </c>
      <c r="E7" s="2" t="s">
        <v>443</v>
      </c>
      <c r="F7" s="2" t="s">
        <v>441</v>
      </c>
      <c r="G7" s="2" t="s">
        <v>442</v>
      </c>
      <c r="H7" s="2" t="s">
        <v>227</v>
      </c>
    </row>
    <row r="8" spans="1:8" ht="15">
      <c r="A8" s="2" t="s">
        <v>424</v>
      </c>
      <c r="B8" s="2" t="s">
        <v>31</v>
      </c>
      <c r="C8" s="3">
        <v>46301</v>
      </c>
      <c r="D8" s="6">
        <v>3894.01</v>
      </c>
      <c r="E8" s="2" t="s">
        <v>440</v>
      </c>
      <c r="F8" s="2" t="s">
        <v>441</v>
      </c>
      <c r="G8" s="2" t="s">
        <v>442</v>
      </c>
      <c r="H8" s="2" t="s">
        <v>227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native_pivots</vt:lpstr>
      <vt:lpstr>checklist</vt:lpstr>
      <vt:lpstr>calc_customers</vt:lpstr>
      <vt:lpstr>calc_orders</vt:lpstr>
      <vt:lpstr>calc_lines</vt:lpstr>
      <vt:lpstr>pivot_report</vt:lpstr>
      <vt:lpstr>exceptions</vt:lpstr>
      <vt:lpstr>raw_order_lines</vt:lpstr>
      <vt:lpstr>dim_products</vt:lpstr>
      <vt:lpstr>dim_customers</vt:lpstr>
      <vt:lpstr>fact_payments</vt:lpstr>
      <vt:lpstr>fact_receipts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Tywin He</cp:lastModifiedBy>
  <dcterms:modified xsi:type="dcterms:W3CDTF">2026-10-07T14:18:12Z</dcterms:modified>
</cp:coreProperties>
</file>